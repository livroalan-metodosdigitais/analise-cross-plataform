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1" sheetId="1" r:id="rId5"/>
    <sheet state="visible" name="dataset_2" sheetId="2" r:id="rId6"/>
    <sheet state="visible" name="IDs Idênticas" sheetId="3" r:id="rId7"/>
    <sheet state="visible" name="Ranking IDs Idênticas" sheetId="4" r:id="rId8"/>
    <sheet state="hidden" name="Cópia de Comparações" sheetId="5" r:id="rId9"/>
  </sheets>
  <definedNames>
    <definedName hidden="1" localSheetId="3" name="_xlnm._FilterDatabase">'Ranking IDs Idênticas'!$A$1:$H$21</definedName>
  </definedNames>
  <calcPr/>
</workbook>
</file>

<file path=xl/sharedStrings.xml><?xml version="1.0" encoding="utf-8"?>
<sst xmlns="http://schemas.openxmlformats.org/spreadsheetml/2006/main" count="1784" uniqueCount="765">
  <si>
    <t>id</t>
  </si>
  <si>
    <t>IDs IDÊNTICAS</t>
  </si>
  <si>
    <t>post_source_domain</t>
  </si>
  <si>
    <t>timestamp</t>
  </si>
  <si>
    <t>thread_id</t>
  </si>
  <si>
    <t>parent_id</t>
  </si>
  <si>
    <t>url</t>
  </si>
  <si>
    <t>body</t>
  </si>
  <si>
    <t>author</t>
  </si>
  <si>
    <t>author_fullname</t>
  </si>
  <si>
    <t>verified</t>
  </si>
  <si>
    <t>author_avatar_url</t>
  </si>
  <si>
    <t>coauthors</t>
  </si>
  <si>
    <t>coauthor_fullnames</t>
  </si>
  <si>
    <t>NÚMERO DE HASHTAGS</t>
  </si>
  <si>
    <t>coauthor_ids</t>
  </si>
  <si>
    <t>media_type</t>
  </si>
  <si>
    <t>num_media</t>
  </si>
  <si>
    <t>MÉTRICAS DATASET 2</t>
  </si>
  <si>
    <t>image_urls</t>
  </si>
  <si>
    <t>media_urls</t>
  </si>
  <si>
    <t>hashtags</t>
  </si>
  <si>
    <t>usertags</t>
  </si>
  <si>
    <t>likes_hidden</t>
  </si>
  <si>
    <t>num_likes</t>
  </si>
  <si>
    <t>num_comments</t>
  </si>
  <si>
    <t>location_name</t>
  </si>
  <si>
    <t>location_id</t>
  </si>
  <si>
    <t>location_latlong</t>
  </si>
  <si>
    <t>location_city</t>
  </si>
  <si>
    <t>unix_timestamp</t>
  </si>
  <si>
    <t>missing_media</t>
  </si>
  <si>
    <t>missing_fields</t>
  </si>
  <si>
    <t>DODha0QkZcC</t>
  </si>
  <si>
    <t>https://www.instagram.com/explore/search/keyword/?q=%23tdahadulto</t>
  </si>
  <si>
    <t>quantidade de hashtags</t>
  </si>
  <si>
    <t>DPwBa_gjSKi</t>
  </si>
  <si>
    <t>Quando tudo parece demais, o caminho é começar pequeno. Sair da paralisia não é sobre disciplina, é sobre entender seu cérebro e agir com leveza.
Salva pra lembrar disso nos dias que a paralisia bate!
#tdahjuntos #tdah #tdahinfantil
#tdahmulheres #tdahmulher #tdahmeninas
#tdahadulto#tdahadultos #tdahcomamor
#hiperatividade #adhd
#tdaherelacionamento
#tdahnaoebrincadeira #organizacao #impulsividade #relatosdetdah
#saudemental #autoconhecimento
#autoconhecimentocura #ohtdah
#autoaceitação</t>
  </si>
  <si>
    <t>oh.tdah</t>
  </si>
  <si>
    <t>Janaine Cavalcanti | TDAH 💎</t>
  </si>
  <si>
    <t>tdahjuntos,tdah,tdahinfantil,tdahmulheres,tdahmulher,tdahmeninas,tdahadulto,tdahadultos,tdahcomamor,hiperatividade,adhd,tdaherelacionamento,tdahnaoebrincadeira,organizacao,impulsividade,relatosdetdah,saudemental,autoconhecimento,autoconhecimentocura,ohtdah,autoaceitação</t>
  </si>
  <si>
    <t>DAqzHR3Nm8N</t>
  </si>
  <si>
    <t>“TDAH Infantil vs TDAH Adulto” ¿Te sientes identificado? Déjalo saber en los comentarios! #tdah #tda #adhd #tdahescomplicado #tdahangelvalor #tdahesreal #tdahestigma #tdahestrés #adhdlife #trastonopordéficitdeatenciónehiperactividad #trastornopordéficitdeatenciónehiperactividad #deficitdeatencion #hiperactividad #tdahainfantil #tdahniños #tdahadulto #tdahadultos #tdahniñosadolescentesadultos</t>
  </si>
  <si>
    <t>tdahangelvalor</t>
  </si>
  <si>
    <t>Ángel Valor</t>
  </si>
  <si>
    <t>tdah,tda,adhd,tdahescomplicado,tdahangelvalor,tdahesreal,tdahestigma,tdahestrés,adhdlife,trastonopordéficitdeatenciónehiperactividad,trastornopordéficitdeatenciónehiperactividad,deficitdeatencion,hiperactividad,tdahainfantil,tdahniños,tdahadulto,tdahadultos,tdahniñosadolescentesadultos</t>
  </si>
  <si>
    <t>DQWatMWDl3O</t>
  </si>
  <si>
    <t>.
O TDAH ALÉM “DAS NOTAS”
. 
⚠️ POR QUE ISSO É IMPORTANTE
No TDAH o que mais machuca não é o aprender — é o conviver.
.
Quando se fala em TDAH, muitos ainda associam o transtorno apenas às dificuldades escolares. Mas, na prática, os maiores prejuízos costumam estar no comportamento e nas relações — e começam cedo, ainda na infância.
.
 No TDAH do tipo hiperativo/impulsivo, o “sincericídio” é uma das marcas mais visíveis. A criança fala o que pensa sem filtro, interrompe, reage sem medir as consequências. Não faz por mal — o cérebro simplesmente age antes de pensar. O resultado? Conflitos com amigos, professores e familiares, acompanhados por uma sensação constante de ser “mal compreendido”.
.
Já no TDAH do tipo desatento, o oposto acontece. A criança tende a se isolar, parecer desligada, ter vergonha de errar e uma autoestima que vai murchando com o tempo. O silêncio, aqui, também é uma forma de dor.
.
Esses dois extremos mostram que o TDAH não é apenas uma questão de aprender, mas de pertencer. .
Compreensão, empatia e orientação adequada transformam não só o rendimento escolar, mas a forma como a criança se enxerga e se conecta com o mundo.
.
O tratamento começa quando o olhar muda — do julgamento para o entendimento.
.
⚠️ ACESSE GRATUITAMENTE “A JORNADA DA ATENÇÃO” ⚠️
Comente ou envie JORNADA no direct
.
#pediatria #crianças #criança #infância #neurodesenvolvimento #maternidade #desenvolvimentoInfantil #parentalidade #tdah #tdahadulto #tdahinfantil</t>
  </si>
  <si>
    <t>fabiobaiocco.neuropediatra</t>
  </si>
  <si>
    <t>Fábio Baiocco</t>
  </si>
  <si>
    <t>pediatria,crianças,criança,infância,neurodesenvolvimento,maternidade,desenvolvimentoInfantil,parentalidade,tdah,tdahadulto,tdahinfantil</t>
  </si>
  <si>
    <t>DOLz-2FEZIt</t>
  </si>
  <si>
    <t>🎯 TDAH E REGULAÇÃO EMOCIONAL: Estratégias que funcionam!
“Explodo por qualquer coisa” “Não consigo controlar minhas emoções” “Depois me arrependo do que fiz” 😤
Se você tem TDAH e se identifica, não está sozinho!
Como neurologista referência em TDAH adulto, vejo diariamente como a desregulação emocional impacta vidas.
🧠 POR QUE ACONTECE: 
• Córtex pré-frontal funciona diferente 
• Neurotransmissores alterados 
• Dificuldade para “parar e pensar” 
• Reações mais intensas que o normal
🚨 SINAIS COMUNS: • Raiva desproporcional • Mudanças bruscas de humor • Decisões impulsivas • Dificuldade para se acalmar
⏸️ TÉCNICA STOP (para crises): 
S - PARE (reconheça a desregulação) 
T - RESPIRE (3 respirações profundas) 
O - OBSERVE (o que estou sentindo?) 
P - PROSSIGA (escolha como reagir)
🏗️ ESTRATÉGIAS DE LONGO PRAZO: 
• Exercício físico (30min/dia) 
• Mindfulness (10min/dia) 
• Sono adequado (7-9h) 
• Diário emocional • Rede de apoio
🆘 BUSQUE AJUDA SE: 
• Explosões frequentes 
• Prejudica relacionamentos/trabalho 
• Estratégias não funcionam sozinhas
💡 IMPORTANTE: Regulação emocional pode ser treinada! Com prática e estratégias certas, você pode ter mais controle.
♾️ As peças se encaixam quando você entende seu cérebro.
💬 Qual sua maior dificuldade com regulação emocional? Compartilhe para ajudar outros!
#RegulaçãoEmocional #TDAHAdulto #ControleEmocional #EstratégiasTDAH #SaúdeMentalTDAH #TDAHBrasil #Neurodiversidade #SaúdeMental #Autocontrole #TécnicasEmocionais</t>
  </si>
  <si>
    <t>drmatheustriliconeurologia</t>
  </si>
  <si>
    <t>Matheus Trilico | Neurologista Referência em TEA e TDAH adulto</t>
  </si>
  <si>
    <t>RegulaçãoEmocional,TDAHAdulto,ControleEmocional,EstratégiasTDAH,SaúdeMentalTDAH,TDAHBrasil,Neurodiversidade,SaúdeMental,Autocontrole,TécnicasEmocionais</t>
  </si>
  <si>
    <t>DQsQyU9jhX3</t>
  </si>
  <si>
    <t>Se você ama alguém com TDAH (especialmente o tipo desatento), lembre-se: essa pessoa não está te ignorando, não é desmotivada nem descuidada — o cérebro dela 🧠 apenas se move pelo mundo em um ritmo único e próprio.
Entender isso não justifica comportamentos, mas convida à empatia ❤️.�
Nos ajuda a nos encontrarmos com curiosidade, em vez de crítica.
Porque os relacionamentos — sejam amorosos, familiares ou de amizade — se aprofundam quando aprendemos a enxergar o mundo através das conexões uns dos outros.
.
.
.
 #tdahadulto #tdahmulher #tdahadulte #tdah #tdahcomamor #psiquiatraonline #psiquiatria #psiquiatrapelotas</t>
  </si>
  <si>
    <t>dranathaliabarreto</t>
  </si>
  <si>
    <t>Nathália Barreto | Psiquiatra</t>
  </si>
  <si>
    <t>tdahadulto,tdahmulher,tdahadulte,tdah,tdahcomamor,psiquiatraonline,psiquiatria,psiquiatrapelotas</t>
  </si>
  <si>
    <t>🧠✨ Você se identificou com esses comportamentos?
Sensibilidade à crítica, reatância, sobrecarga, paralisia, autocrítica cruel… tudo isso pode ter uma explicação!
A verdade é que quem tem TDAH não está “fazendo corpo mole” ou “dramatizando”.
🔥 Existe um funcionamento diferente acontecendo – e entender isso muda tudo!
💬 Comente TDAH aqui embaixo 👇
e te envio no direct um material especial com estratégias simples e eficazes pra começar a mudar sua rotina ainda hoje!
#tdahta #tdahadulto
#audiçãoseletiva #tdahsintomas
#tdahrelatos
#tdahrelacionamentos #tdah</t>
  </si>
  <si>
    <t>desafios.tdah</t>
  </si>
  <si>
    <t>Wellington Ribeiro | MEU TDAH</t>
  </si>
  <si>
    <t>tdahta,tdahadulto,audiçãoseletiva,tdahsintomas,tdahrelatos,tdahrelacionamentos,tdah</t>
  </si>
  <si>
    <t>DOXBit6DGdz</t>
  </si>
  <si>
    <t>12 coisas que são difíceis para quem tem TDAH e 6 coisas que ajudam a melhorar muito! 
.
.
.
 #tdahadulto #tdahinfantil #tdahadolescentes #tdahdescomplicado #psiquiatras #psiquiatrasp #psiquiatraonline</t>
  </si>
  <si>
    <t>drachristiane.psiquiatria</t>
  </si>
  <si>
    <t>Christiane Ribeiro Psiquiatra</t>
  </si>
  <si>
    <t>tdahadulto,tdahinfantil,tdahadolescentes,tdahdescomplicado,psiquiatras,psiquiatrasp,psiquiatraonline</t>
  </si>
  <si>
    <t>https://www.instagram.com/p/DODha0QkZcC</t>
  </si>
  <si>
    <t>DQ70aCGDEAD</t>
  </si>
  <si>
    <t>Por que pessoas com TDAH sentem tanto a rejeição?
A disforia sensível à rejeição (DSR) é uma resposta emocional intensa a qualquer sinal de crítica, desaprovação ou exclusão — mesmo que pequena ou apenas percebida.�E isso é muito comum em quem tem TDAH.
🧠 O cérebro com TDAH tem alterações na regulação emocional e na sensibilidade à dopamina, o que o torna mais vulnerável a experiências de rejeição.�Desde cedo, essas pessoas enfrentam feedbacks negativos constantes — “você é distraído”, “você não presta atenção”, “você nunca termina nada” — e o cérebro aprende a associar erro com dor emocional.
Com o tempo, a rejeição (real ou imaginada) ativa o sistema límbico, gerando reações intensas: tristeza profunda, raiva, vergonha ou vontade de se afastar.�Não é drama — é neurobiologia.
✨ O tratamento, a psicoterapia e o autoconhecimento ajudam a reprogramar essas respostas, fortalecendo a autoestima e reduzindo o impacto emocional da rejeição.
.
.
.
 #disforiasensivelarejeicao #medodeabandono #tdah #tdahmulher #tdahadulto #tdahadulte #tdahdescomplicado</t>
  </si>
  <si>
    <t>disforiasensivelarejeicao,medodeabandono,tdah,tdahmulher,tdahadulto,tdahadulte,tdahdescomplicado</t>
  </si>
  <si>
    <t>DPYvP8rABLy</t>
  </si>
  <si>
    <t>Estudando melhor com TDAH!
TDAHfeminino #TDAHemMulheres #SaúdeMentalFeminina  #Autoconhecimento #Mindfulness #Neurodivergente #TDAHAdulto #Psicoeducação</t>
  </si>
  <si>
    <t>psibarbaratenorio</t>
  </si>
  <si>
    <t>Esp. Bárbara Tenório Souza | Psicóloga | Neuropsicóloga | TDAH</t>
  </si>
  <si>
    <t>TDAHemMulheres,SaúdeMentalFeminina,Autoconhecimento,Mindfulness,Neurodivergente,TDAHAdulto,Psicoeducação</t>
  </si>
  <si>
    <t>DOyceyqDJRi</t>
  </si>
  <si>
    <t>https://scontent-gru1-2.cdninstagram.com/v/t51.2885-19/491444026_17907918897137986_281999618680596715_n.jpg?stp=dst-jpg_s150x150_tt6&amp;efg=eyJ2ZW5jb2RlX3RhZyI6InByb2ZpbGVfcGljLmRqYW5nby4xMDI0LmMyIn0&amp;_nc_ht=scontent-gru1-2.cdninstagram.com&amp;_nc_cat=110&amp;_nc_oc=Q6cZ2QF_7ptarWIDxLQefAQP7jjZgjnL08KAuVm4XgP8894Q5wMko3rhS2q9wnBYbHhZfcBPUSFTNQVgLTyYpt_NADMy&amp;_nc_ohc=M-YTrUlWW7QQ7kNvwH5oOqY&amp;_nc_gid=832jxjWftkKYOGhz8kgttw&amp;edm=AFlAz-oBAAAA&amp;ccb=7-5&amp;oh=00_Afj_q7eSSNOeB3sHaF5PEYlkHAz3_vBCuZkxe3EBaVkx_g&amp;oe=691BDBCD&amp;_nc_sid=76c0fc</t>
  </si>
  <si>
    <t>TDAH e a busca por dopamina: por que o cérebro age assim?
A dopamina é  uma substância fundamental para a sensação de recompensa, sustentação do interesse e prazer em realizar tarefas. No TDAH, os níveis de dopamina são mais baixos ou têm distribuição irregular, o que faz o cérebro buscar estímulos constantes e recompensas rápidas para se autorregular. 
Ou seja, quando uma pessoa com TDAH não consegue se convencer a fazer algo, não é simplesmente preguiça. 
⚡ Veja como isso aparece no dia a dia:
* Dificuldade de ser consistente: A ausência de novidade faz com que a motivação caia rapidamente. A dopamina cai, e a tarefa é abandonada.
* Evitar tarefas desprazerosas : Atividades sem estímulo imediato (como burocracias ou demandas repetitivas) geram aversão.
* Novo hobby / novos planos de carreira/ novas pessoas: O ciclo de começar com entusiasmo e abandonar depois é comum. O início libera dopamina, mas a manutenção exige esforço regulatório.
* Mais suscetível a vício em redes sociais: As notificações e recompensas rápidas das redes liberam dopamina com facilidade — tornando-as especialmente atrativas (e viciantes) para quem tem TDAH.
* Comer muito doce: Alimentos com alto índice glicêmico geram picos de dopamina. O cérebro aprende isso rapidamente como fonte de "alívio".
* Compras impulsivas: A decisão rápida e a recompensa imediata da compra geram prazer, mesmo que passageiro — alimentando ciclos impulsivos.
* Discussões desnecessárias: A hiper-reatividade emocional, somada à busca por estímulo, pode tornar a pessoa mais impulsiva em interações sociais.
.
.
.
 #dopamina #tdahadulto #tdahzando #tdahdescomplicado #psiquiatra #psiquiatraonline #psiquiatrapassofundo</t>
  </si>
  <si>
    <t>psiquiatramarina</t>
  </si>
  <si>
    <t>Dra. Marina Durante Migliorini</t>
  </si>
  <si>
    <t>dopamina,tdahadulto,tdahzando,tdahdescomplicado,psiquiatra,psiquiatraonline,psiquiatrapassofundo</t>
  </si>
  <si>
    <t>DKIHo__JhS1</t>
  </si>
  <si>
    <t>Tdah Adulto.
#tdah #tdahadulto #tdaadulto #tdahadulto #vivianmiletpsicologaclinica #vivianmiletpsicologa #psicoterapiamilet2022</t>
  </si>
  <si>
    <t>vivian_milet_psicologa</t>
  </si>
  <si>
    <t>Vivian Milet</t>
  </si>
  <si>
    <t>tdah,tdahadulto,tdaadulto,tdahadulto,vivianmiletpsicologaclinica,vivianmiletpsicologa,psicoterapiamilet2022</t>
  </si>
  <si>
    <t>DOJ_ILSkbF-</t>
  </si>
  <si>
    <t>Para refletir!
Não precisamos do setembro amarelo, precisamos de amor, apoio, compreensão e “ajuda” todos os dias das nossas vidas! 
Empatia e Respeito são a chave para um mundo melhor
Não consegui identificar o autor original, quem souber, marca aqui por favor. 
#tdahdescomplicado #tdah #tdahadulto #adhd #tdahadulto #setembroamarelo</t>
  </si>
  <si>
    <t>neuropsicopedagogiaaa</t>
  </si>
  <si>
    <t>Nat Garcia | Neuro | TDAH | Autismo | Neurodivergent</t>
  </si>
  <si>
    <t>https://instagram.fcgh9-1.fna.fbcdn.net/v/t51.2885-19/491444026_17907918897137986_281999618680596715_n.jpg?stp=dst-jpg_s150x150_tt6&amp;efg=eyJ2ZW5jb2RlX3RhZyI6InByb2ZpbGVfcGljLmRqYW5nby4xMDI0LmMyIn0&amp;_nc_ht=instagram.fcgh9-1.fna.fbcdn.net&amp;_nc_cat=110&amp;_nc_oc=Q6cZ2QFPov7R9KkJkRWPhoul_WHPqgeeCzwRjTZJfLUvhQ7Ahn-FmGOPACvW2uuxfW4XFm6i_ZZl8_zjX6ppwx6UG-Ds&amp;_nc_ohc=5PE-P74z5mQQ7kNvwHsgfFC&amp;_nc_gid=Pc-yOprRxmpD2PcEEeKiuQ&amp;edm=AFlAz-oBAAAA&amp;ccb=7-5&amp;oh=00_Afj-hRP3rj6oMBlJnRvoLl_h5ilP86HT_eEPxiFtdi-nnA&amp;oe=6930F3CD&amp;_nc_sid=76c0fc</t>
  </si>
  <si>
    <t>tdahdescomplicado,tdah,tdahadulto,adhd,tdahadulto,setembroamarelo</t>
  </si>
  <si>
    <t>DOhRjb6DSDz</t>
  </si>
  <si>
    <t>O estresse do cotidiano pode acentuar sintomas do TDAH, como as alterações de humor, a distração e, sobretudo, a desregulação emocional. #tdahinfantil #tdahadulto #tdah #estresse #psiquiatria #psicologia 
@post de @equilibriomental</t>
  </si>
  <si>
    <t>tdahsou</t>
  </si>
  <si>
    <t>TDAH Sou - Psicólogo - Ansiedade - TDAH</t>
  </si>
  <si>
    <t>tdahinfantil,tdahadulto,tdah,estresse,psiquiatria,psicologia</t>
  </si>
  <si>
    <t>DQemgHrDr6H</t>
  </si>
  <si>
    <t>O TDAH muitas vezes pode ser confundido com o transtorno de ansiedade generalizada e vice-versa. Além disso, é bem comum que a pessoa tenha os dois.
 Mas saber diferenciar é essencial para um tratamento adequado e eficaz!
.
.
.
#ansiedadepatológica #transtornodeansiedadegeneralizada #tdahdescomplicado #tdahadulto #psiquiatraonline #psiquiatrabh</t>
  </si>
  <si>
    <t>drajuliapsiquiatra</t>
  </si>
  <si>
    <t>Dra. Julia Khoury - Psiquiatria muito além dos remédios</t>
  </si>
  <si>
    <t>ansiedadepatológica,transtornodeansiedadegeneralizada,tdahdescomplicado,tdahadulto,psiquiatraonline,psiquiatrabh</t>
  </si>
  <si>
    <t>DOE3bzkD4YT</t>
  </si>
  <si>
    <t>Com qual contradição do TDAH você se identifica mais?
#tdah #adhd #psicologia #procrastinação #tdahadulto</t>
  </si>
  <si>
    <t>ansiedade.mente</t>
  </si>
  <si>
    <t>Jucianny Sales | Psiquiatra TDAH e Ansiedade</t>
  </si>
  <si>
    <t>tdah,adhd,psicologia,procrastinação,tdahadulto</t>
  </si>
  <si>
    <t>DOj2GEsleCS</t>
  </si>
  <si>
    <t>uem mais aqui é TDAH e se esforçou muito para aprender a arte de fingir que está entendendo o que o outro está falando enquanto tenta descobrir? Não se sinta tão mal, Isso tem explicação neurobiológica.
1️⃣ Dificuldade de processamento auditivo: escuta, mas não entende.
2️⃣ Ensaio mental: enquanto você fala, a gente tá pensando no que vai responder.
3️⃣ Atenção seletiva fraca: qualquer coisa ao redor pode nos distrair.
.
.
POST: @drachristiane.psiquiatria
.
#tpac #tdahadulto #tdahadolescentes #tdahemmulheres #psiquiatriaonline</t>
  </si>
  <si>
    <t>barbaratdah</t>
  </si>
  <si>
    <t>Bárbara Teixeira</t>
  </si>
  <si>
    <t>tpac,tdahadulto,tdahadolescentes,tdahemmulheres,psiquiatriaonline</t>
  </si>
  <si>
    <t>DOwCENwkZHz</t>
  </si>
  <si>
    <t>Se você tem TDAH, com certeza já passou pelo famoso “CONGELAMENTO”. 😰
Quando você está cheio de coisas importantes para fazer, a cabeça não para de pensar, mas o corpo simplesmente não sai do lugar.
Isso acontece por causa da DISFUNÇÃO EXECUTIVA — um mau funcionamento das funções executivas do cérebro, responsáveis pelo planejamento, tomada de decisão e atenção.
Esse funcionamento prejudicado gera várias dificuldades, como:
✅ Problemas para dar continuidade às tarefas.
✅ Dificuldade em gerenciar a atenção com flexibilidade ou mudar o foco.
✅ Problemas para manter um comportamento por longos períodos.
✅ Dificuldade em organizar prioridades e administrar o tempo.
✅ Problemas para seguir uma sequência de etapas ou instruções.
✅ Dificuldade de antecipar as consequências das ações.
✅ Pouca flexibilidade cognitiva: dificuldade em adaptar a resposta a novas situações, corrigir ou modificar ações em andamento.
✅ Problemas com o automonitoramento: dificuldade em supervisionar a própria atividade para ajustá-la ou corrigi-la quando necessário.
✅ Dificuldade no controle de impulsos e emoções.
⚡️ TDAH é um transtorno sério e precisa de tratamento. Não é preguiça, não é invenção da indústria farmacêutica e muito menos desculpa!
💎 E se você é mulher com TDAH, saiba que não está sozinha. Criamos o Clube da Mulher TDAH, um espaço exclusivo para acolhimento, apoio e estratégias práticas por apenas R$29,97.
👉 Entre para o clube e descubra como transformar a sua rotina! Link na bio.
➡️ Agora me conta: qual a coisa mais absurda que você já ouviu sobre o TDAH?
#tdah #tdahadulto #disfunçãoexecutiva #congelamento #clubedamulhertdah</t>
  </si>
  <si>
    <t>tdahdislex</t>
  </si>
  <si>
    <t>Danilo Barros| Palestrante e escritor .</t>
  </si>
  <si>
    <t>tdah,tdahadulto,disfunçãoexecutiva,congelamento,clubedamulhertdah</t>
  </si>
  <si>
    <t>DQmvlNlD7Yd</t>
  </si>
  <si>
    <t>A Psicologia não tem como ser neutra no sentido social.
Ela se ocupa do ser humano, e todo ser humano vive dentro de um contexto social, político e cultural.
Cuidar de pessoas é, inevitavelmente, cuidar das condições que impactam suas vidas.
Falar sobre desigualdade, acesso à saúde, direitos e dignidade é falar de política — no sentido mais humano e ético da palavra.
Mas isso não significa partidarismo ou ideologia.
Significa reconhecer que a saúde mental não existe isolada da realidade social.
Significa ter compromisso com o bem-estar coletivo, com a equidade e com o respeito à vida.
Psicologia é sobre pessoas e a política também.
#TDAH #tdahadulto #psicologia #terapia</t>
  </si>
  <si>
    <t>michelmansurpsicologia</t>
  </si>
  <si>
    <t>Michel Mansur | Psicólogo Clínico</t>
  </si>
  <si>
    <t>TDAH,tdahadulto,psicologia,terapia</t>
  </si>
  <si>
    <t>DPycsP2jsuh</t>
  </si>
  <si>
    <t>photo</t>
  </si>
  <si>
    <t>🧠 Você já percebeu que seu cérebro trava quando algo sai do planejado?
Isso se chama rigidez cognitiva — uma dificuldade que muitas pessoas com TDAH enfrentam sem perceber.
É como se o cérebro dissesse:
“Não era pra ser assim… então eu não sei o que fazer agora.”
Essa rigidez não é teimosia.
É um mecanismo de proteção.
O cérebro do TDAH luta para mudar de rota porque a mudança exige energia — e ele já está sobrecarregado tentando lidar com mil estímulos ao mesmo tempo.
Por isso, quando algo muda de repente, o cérebro paralisa.
Ele não resiste à mudança por orgulho, mas por exaustão mental.
A boa notícia?
A flexibilidade cognitiva pode ser treinada.
E quando isso acontece, você começa a fluir melhor, reagir com mais calma e sentir que finalmente tem o controle da sua mente.
✨ Treinar o cérebro é libertar a mente.
#rigidezcognitiva #tdah #tdahinfantil #tdahadulto</t>
  </si>
  <si>
    <t>ismaeldeoliveira.neuro</t>
  </si>
  <si>
    <t>Dr. Ismael de Oliveira | Neurociência e TDAH</t>
  </si>
  <si>
    <t>rigidezcognitiva,tdah,tdahinfantil,tdahadulto</t>
  </si>
  <si>
    <t>DQmdkIvDuGI</t>
  </si>
  <si>
    <t>Buscas terapia online para manejar el TDAH? Comenta “Terapia” y te enviamos la información para agendar. Amas una mujer con TDAH? Compártele este post como una forma de decirle “me importas”
#tdah #tda #tdahadulto</t>
  </si>
  <si>
    <t>landysjair</t>
  </si>
  <si>
    <t>Landys Jaír - Psicólogo TDAH Adulto</t>
  </si>
  <si>
    <t>https://scontent-gru1-2.cdninstagram.com/v/t51.82787-15/540339867_17921156967137986_3695512687379087820_n.jpg?stp=dst-jpg_e35_tt6&amp;_nc_cat=100&amp;ig_cache_key=MzcxMTk1NzQ4NjA5NTQyNTI3MQ%3D%3D.3-ccb1-7&amp;ccb=1-7&amp;_nc_sid=58cdad&amp;efg=eyJ2ZW5jb2RlX3RhZyI6InhwaWRzLjEwMjR4MTAyNC5zZHIuQzMifQ%3D%3D&amp;_nc_ohc=PJIjb_8uyc0Q7kNvwHhNpj3&amp;_nc_oc=Adkx9mg9aZKRAMfTF_ZbOSQtYKTSbddXP9n8u0m1IPqTOVHtANysn9GDm9PhajH4ur34HkkeQ_whN5yiKnasMrgi&amp;_nc_ad=z-m&amp;_nc_cid=0&amp;_nc_zt=23&amp;_nc_ht=scontent-gru1-2.cdninstagram.com&amp;_nc_gid=832jxjWftkKYOGhz8kgttw&amp;oh=00_Afh4-0mB0ziDsWnWxaAnCaDevcbEnxSX0UVUieD7zFVXvw&amp;oe=691BCCE6,https://scontent-gru1-2.cdninstagram.com/v/t51.82787-15/541247502_17921156976137986_7182680857996938868_n.jpg?stp=dst-jpg_e35_tt6&amp;_nc_cat=100&amp;ig_cache_key=MzcxMTk1NzQ4NjA5NTQwODIwNg%3D%3D.3-ccb1-7&amp;ccb=1-7&amp;_nc_sid=58cdad&amp;efg=eyJ2ZW5jb2RlX3RhZyI6InhwaWRzLjEwMjR4MTAyNC5zZHIuQzMifQ%3D%3D&amp;_nc_ohc=nEZw44QiUAIQ7kNvwHZ4kah&amp;_nc_oc=Adnt2oc-oUwywXBcazm2qikhr5_i07IhWBDES-NtrhPH2jFJ0PnEu_OKVCAkkYF7YyMyAwnI_kyMJtGS1ftHW7v_&amp;_nc_ad=z-m&amp;_nc_cid=0&amp;_nc_zt=23&amp;_nc_ht=scontent-gru1-2.cdninstagram.com&amp;_nc_gid=832jxjWftkKYOGhz8kgttw&amp;oh=00_Afgic-8Da-wo3Nu-02v6k6dzrTIZ4WUapGZOU4TkKAsTSg&amp;oe=691BC95E,https://scontent-gru1-2.cdninstagram.com/v/t51.82787-15/541508218_17921156985137986_472476461415562381_n.jpg?stp=dst-jpg_e35_tt6&amp;_nc_cat=108&amp;ig_cache_key=MzcxMTk1NzQ4NjA5NTQwNzM2Mg%3D%3D.3-ccb1-7&amp;ccb=1-7&amp;_nc_sid=58cdad&amp;efg=eyJ2ZW5jb2RlX3RhZyI6InhwaWRzLjEwMjR4MTAyNC5zZHIuQzMifQ%3D%3D&amp;_nc_ohc=M2pWQSPcVKAQ7kNvwHddecu&amp;_nc_oc=AdlNH7ppwhO2ZbjEDKWZlJGA6xYxh3_SQgMSbynh4Pa-IVWwdDl3dkEIcJeiugOeiT4A4IXQxyJWMst-T0_4iDne&amp;_nc_ad=z-m&amp;_nc_cid=0&amp;_nc_zt=23&amp;_nc_ht=scontent-gru1-2.cdninstagram.com&amp;_nc_gid=832jxjWftkKYOGhz8kgttw&amp;oh=00_AfjAisCnLw9HyDRN2aa1Z48w05HSqjspLGHKv2mm_nCPWQ&amp;oe=691BDC81,https://scontent-gru2-1.cdninstagram.com/v/t51.82787-15/540688820_17921156994137986_6178531013180174731_n.jpg?stp=dst-jpg_e35_tt6&amp;_nc_cat=109&amp;ig_cache_key=MzcxMTk1NzQ4NjEwMzgxNDMxNA%3D%3D.3-ccb1-7&amp;ccb=1-7&amp;_nc_sid=58cdad&amp;efg=eyJ2ZW5jb2RlX3RhZyI6InhwaWRzLjEwMjR4MTAyNC5zZHIuQzMifQ%3D%3D&amp;_nc_ohc=G1-Vj0tKvZQQ7kNvwE-KT__&amp;_nc_oc=Adn3LCo_D719nGL7oQTa-c9BTaB-ZeB556QKZSRnd5kmV2vXDRdfUiFI5ZTS49XEIaQgQz73RV0BkCyf955fihqe&amp;_nc_ad=z-m&amp;_nc_cid=0&amp;_nc_zt=23&amp;_nc_ht=scontent-gru2-1.cdninstagram.com&amp;_nc_gid=832jxjWftkKYOGhz8kgttw&amp;oh=00_Afg7-mHAFQzkkppmnAFtNNLpg-PopGP9_MZ6M8np7FMsBw&amp;oe=691BEB53,https://scontent-gru1-1.cdninstagram.com/v/t51.82787-15/541141567_17921157003137986_8612619812129509701_n.jpg?stp=dst-jpg_e35_tt6&amp;_nc_cat=104&amp;ig_cache_key=MzcxMTk1NzQ4NjA3ODYxOTYyNQ%3D%3D.3-ccb1-7&amp;ccb=1-7&amp;_nc_sid=58cdad&amp;efg=eyJ2ZW5jb2RlX3RhZyI6InhwaWRzLjEwMjR4MTAyNC5zZHIuQzMifQ%3D%3D&amp;_nc_ohc=-PKVNKIqCRIQ7kNvwGGITKy&amp;_nc_oc=AdlnF_aofQeIrSCtX2H_u-mgIp4RE5BzBmg22GrAm5pi3hcmmQV-wb4HaaXF4Lk0DesLZys963R_H31IFQZYJBDG&amp;_nc_ad=z-m&amp;_nc_cid=0&amp;_nc_zt=23&amp;_nc_ht=scontent-gru1-1.cdninstagram.com&amp;_nc_gid=832jxjWftkKYOGhz8kgttw&amp;oh=00_AfjhrS-YdGYoGwATEmKKk-yJSkX1TB1Wy-mLA7MFWbTJeQ&amp;oe=691BD1F9,https://scontent-gru1-2.cdninstagram.com/v/t51.82787-15/541173427_17921157012137986_6848244587876100179_n.jpg?stp=dst-jpg_e35_tt6&amp;_nc_cat=110&amp;ig_cache_key=MzcxMTk1NzQ4NjA4NzAzODY0MQ%3D%3D.3-ccb1-7&amp;ccb=1-7&amp;_nc_sid=58cdad&amp;efg=eyJ2ZW5jb2RlX3RhZyI6InhwaWRzLjEwMjR4MTAyNC5zZHIuQzMifQ%3D%3D&amp;_nc_ohc=Qs6V2JibhPIQ7kNvwFxF8_l&amp;_nc_oc=AdlM-o8I4Zp8rNUDSFqhoNsgiUErmyCZgpR7qcPDrkjMPVBBF4WWr7hK4RIrbYjrTvaSlC95N1fRdGFI3I3UmdIw&amp;_nc_ad=z-m&amp;_nc_cid=0&amp;_nc_zt=23&amp;_nc_ht=scontent-gru1-2.cdninstagram.com&amp;_nc_gid=832jxjWftkKYOGhz8kgttw&amp;oh=00_AfixEEr2y6dJff89c4wYlx2ZBso1qqbY-DSF4wPapJpWDw&amp;oe=691BD8AD,https://scontent-gru1-2.cdninstagram.com/v/t51.82787-15/540618586_17921157021137986_8464115445929820152_n.jpg?stp=dst-jpg_e35_tt6&amp;_nc_cat=108&amp;ig_cache_key=MzcxMTk1NzQ4NjA5NTQzMjMzMA%3D%3D.3-ccb1-7&amp;ccb=1-7&amp;_nc_sid=58cdad&amp;efg=eyJ2ZW5jb2RlX3RhZyI6InhwaWRzLjEwMjR4MTAyNC5zZHIuQzMifQ%3D%3D&amp;_nc_ohc=8N7w-akOZhwQ7kNvwGRZMuD&amp;_nc_oc=Adkm-M48kxI7tT6jUHY8EMKQkQVfK6q_gkewMGWj00uNHMxqzDnGyS5mPfA3iR9HQMEiM5bMzhl0jweX7W3Bz3Yu&amp;_nc_ad=z-m&amp;_nc_cid=0&amp;_nc_zt=23&amp;_nc_ht=scontent-gru1-2.cdninstagram.com&amp;_nc_gid=832jxjWftkKYOGhz8kgttw&amp;oh=00_AfjgC4V7rL9hLw4DrHVQ1-9awr4JGhzc5CA_7tZUkcS8bg&amp;oe=691BCF95,https://scontent-gru2-1.cdninstagram.com/v/t51.82787-15/540686403_17921157030137986_1031987347059924605_n.jpg?stp=dst-jpg_e35_tt6&amp;_nc_cat=111&amp;ig_cache_key=MzcxMTk1NzQ4NjA5NTQzMDU2MA%3D%3D.3-ccb1-7&amp;ccb=1-7&amp;_nc_sid=58cdad&amp;efg=eyJ2ZW5jb2RlX3RhZyI6InhwaWRzLjEwMjR4MTAyNC5zZHIuQzMifQ%3D%3D&amp;_nc_ohc=mHXZ_G1JCqsQ7kNvwHq0gCh&amp;_nc_oc=Admw8ERQLwRAhwuxBEhyKXTPs2Owg1nLSC0RVa7zBFzia51r0kx3-q38_sy4sTpypshIxJCmJ2oNE6WKw8dDQZGM&amp;_nc_ad=z-m&amp;_nc_cid=0&amp;_nc_zt=23&amp;_nc_ht=scontent-gru2-1.cdninstagram.com&amp;_nc_gid=832jxjWftkKYOGhz8kgttw&amp;oh=00_Afj6lTHtywAexkfTvKAkrPIqnGY0ALyPYPkJjkSXDdPFUw&amp;oe=691BECBA,https://scontent-gru2-2.cdninstagram.com/v/t51.82787-15/540594462_17921157039137986_8776067756973240375_n.jpg?stp=dst-jpg_e35_tt6&amp;_nc_cat=102&amp;ig_cache_key=MzcxMTk1NzQ4NjA5NTM4NDcyNQ%3D%3D.3-ccb1-7&amp;ccb=1-7&amp;_nc_sid=58cdad&amp;efg=eyJ2ZW5jb2RlX3RhZyI6InhwaWRzLjEwMjR4MTAyNC5zZHIuQzMifQ%3D%3D&amp;_nc_ohc=10o0tAJQNM0Q7kNvwHAkoqk&amp;_nc_oc=AdnKHyxyhVlnw8TLUcAHDF39b8ujC-tqf9-MQ-SSzmBnCXKWB8bA77j-iPJtTjG6KbHsqutwB3ytXcqrrK0hJGb-&amp;_nc_ad=z-m&amp;_nc_cid=0&amp;_nc_zt=23&amp;_nc_ht=scontent-gru2-2.cdninstagram.com&amp;_nc_gid=832jxjWftkKYOGhz8kgttw&amp;oh=00_AfglL-o8aEDTtd2ksdyA7vur40QPSBh_UWtT3SWgP3xMdA&amp;oe=691BF84F</t>
  </si>
  <si>
    <t>tdah,tda,tdahadulto</t>
  </si>
  <si>
    <t>no</t>
  </si>
  <si>
    <t>DNWbzK7SMM8</t>
  </si>
  <si>
    <t>https://www.instagram.com/p/DNWbzK7SMM8</t>
  </si>
  <si>
    <t>https://scontent.cdninstagram.com/v/t51.82787-15/540339867_17921156967137986_3695512687379087820_n.jpg?stp=dst-jpg_e35_tt6&amp;_nc_cat=100&amp;ig_cache_key=MzcxMTk1NzQ4NjA5NTQyNTI3MQ%3D%3D.3-ccb7-5&amp;ccb=7-5&amp;_nc_sid=58cdad&amp;efg=eyJ2ZW5jb2RlX3RhZyI6InhwaWRzLjEwMjR4MTAyNC5zZHIuQzMifQ%3D%3D&amp;_nc_ohc=NY9eWZ46RDIQ7kNvwHKVUfA&amp;_nc_oc=AdlJZ1uGm9zVu9tG6LK8F3aqnwjMvzIxP-__9po08kpwpSIWu5J_gTjs9RzjZRBCyCCm3CEcs8UYq-GD_Xtua1rY&amp;_nc_ad=z-m&amp;_nc_cid=0&amp;_nc_zt=23&amp;_nc_ht=scontent.cdninstagram.com&amp;_nc_gid=Pc-yOprRxmpD2PcEEeKiuQ&amp;oh=00_AfjxAfGtaPTboSDycwuOeeafIo-ZvUlV1IgqHEm_288oBg&amp;oe=6930E4E6,https://scontent.cdninstagram.com/v/t51.82787-15/541247502_17921156976137986_7182680857996938868_n.jpg?stp=dst-jpg_e35_tt6&amp;_nc_cat=100&amp;ig_cache_key=MzcxMTk1NzQ4NjA5NTQwODIwNg%3D%3D.3-ccb7-5&amp;ccb=7-5&amp;_nc_sid=58cdad&amp;efg=eyJ2ZW5jb2RlX3RhZyI6InhwaWRzLjEwMjR4MTAyNC5zZHIuQzMifQ%3D%3D&amp;_nc_ohc=VcZMmqmtknMQ7kNvwH7oTNR&amp;_nc_oc=AdltKKOn7eCpypUh0u9EGbSv53beS973HaHGun_l7LkwAgkrp9ttABRGuM8ztlS3jfDwFmt1STBfNudo4oki9gaK&amp;_nc_ad=z-m&amp;_nc_cid=0&amp;_nc_zt=23&amp;_nc_ht=scontent.cdninstagram.com&amp;_nc_gid=Pc-yOprRxmpD2PcEEeKiuQ&amp;oh=00_AfiXe347w9PwhDV1_g3GvmrbRjxMnBnV051s8AJ4fzVMng&amp;oe=6930E15E,https://scontent.cdninstagram.com/v/t51.82787-15/541508218_17921156985137986_472476461415562381_n.jpg?stp=dst-jpg_e35_tt6&amp;_nc_cat=108&amp;ig_cache_key=MzcxMTk1NzQ4NjA5NTQwNzM2Mg%3D%3D.3-ccb7-5&amp;ccb=7-5&amp;_nc_sid=58cdad&amp;efg=eyJ2ZW5jb2RlX3RhZyI6InhwaWRzLjEwMjR4MTAyNC5zZHIuQzMifQ%3D%3D&amp;_nc_ohc=P_TNliOJt0MQ7kNvwFvri5K&amp;_nc_oc=Adn6izrlc9FNzEbFbKmwKYMrZyQVlhSL2tm0Tf2rcDzFMMb4fILzH_8Z25oMY-6-5_maD4DdEuX38Bq6Oc7nUaj3&amp;_nc_ad=z-m&amp;_nc_cid=0&amp;_nc_zt=23&amp;_nc_ht=scontent.cdninstagram.com&amp;_nc_gid=Pc-yOprRxmpD2PcEEeKiuQ&amp;oh=00_AfiG2DW5IiPYj1FSgwgJz0BcpP6YCWQwy0CoXtCiUh_JBw&amp;oe=6930F481,https://scontent.cdninstagram.com/v/t51.82787-15/540688820_17921156994137986_6178531013180174731_n.jpg?stp=dst-jpg_e35_tt6&amp;_nc_cat=109&amp;ig_cache_key=MzcxMTk1NzQ4NjEwMzgxNDMxNA%3D%3D.3-ccb7-5&amp;ccb=7-5&amp;_nc_sid=58cdad&amp;efg=eyJ2ZW5jb2RlX3RhZyI6InhwaWRzLjEwMjR4MTAyNC5zZHIuQzMifQ%3D%3D&amp;_nc_ohc=atLIemCttOUQ7kNvwG63F8X&amp;_nc_oc=Adm1u7XWBtHyQ4BiipYBh6MvBH0C7PudSJfMTU6EamLgQxp8kERtqawA9uHrsGpOOJzzqoQk1ZAAttQFGxkxFLT1&amp;_nc_ad=z-m&amp;_nc_cid=0&amp;_nc_zt=23&amp;_nc_ht=scontent.cdninstagram.com&amp;_nc_gid=Pc-yOprRxmpD2PcEEeKiuQ&amp;oh=00_AfjOWEgbwouRkwCAOShOTTqccLaWYFqe14eiWcSs6Su8fQ&amp;oe=6930CB13,https://scontent.cdninstagram.com/v/t51.82787-15/541141567_17921157003137986_8612619812129509701_n.jpg?stp=dst-jpg_e35_tt6&amp;_nc_cat=104&amp;ig_cache_key=MzcxMTk1NzQ4NjA3ODYxOTYyNQ%3D%3D.3-ccb7-5&amp;ccb=7-5&amp;_nc_sid=58cdad&amp;efg=eyJ2ZW5jb2RlX3RhZyI6InhwaWRzLjEwMjR4MTAyNC5zZHIuQzMifQ%3D%3D&amp;_nc_ohc=gF0IeqavkuoQ7kNvwF9rNwA&amp;_nc_oc=AdkRl0isdoNP0NYsxI5ryKR5k4-zC2KRbF2QejZ6s7DJnUJwgeRA7mlpZWmEf37mBikWc0RWkOsF5iVOQ7zV4Y-h&amp;_nc_ad=z-m&amp;_nc_cid=0&amp;_nc_zt=23&amp;_nc_ht=scontent.cdninstagram.com&amp;_nc_gid=Pc-yOprRxmpD2PcEEeKiuQ&amp;oh=00_AfipgIlnjA6YizwIJQwvgYj6JUvvwar-tdtFDChzA2MJPQ&amp;oe=6930E9F9,https://scontent.cdninstagram.com/v/t51.82787-15/541173427_17921157012137986_6848244587876100179_n.jpg?stp=dst-jpg_e35_tt6&amp;_nc_cat=110&amp;ig_cache_key=MzcxMTk1NzQ4NjA4NzAzODY0MQ%3D%3D.3-ccb7-5&amp;ccb=7-5&amp;_nc_sid=58cdad&amp;efg=eyJ2ZW5jb2RlX3RhZyI6InhwaWRzLjEwMjR4MTAyNC5zZHIuQzMifQ%3D%3D&amp;_nc_ohc=aH7m3B7MzpQQ7kNvwEyl7UP&amp;_nc_oc=AdlNjnJJWb3M-pnB-KQdmjKb2N3OsYdy9nVUHPEnj3lOgefj7pw7m1OpCJtOQBjlK1nEs0gbAZvkhb9ZszcnwZYG&amp;_nc_ad=z-m&amp;_nc_cid=0&amp;_nc_zt=23&amp;_nc_ht=scontent.cdninstagram.com&amp;_nc_gid=Pc-yOprRxmpD2PcEEeKiuQ&amp;oh=00_AfgZtS2ja1QWrGhLA1UkkcaulH4YRK33DrY6tJLlh8ecTQ&amp;oe=6930F0AD,https://scontent.cdninstagram.com/v/t51.82787-15/540618586_17921157021137986_8464115445929820152_n.jpg?stp=dst-jpg_e35_tt6&amp;_nc_cat=108&amp;ig_cache_key=MzcxMTk1NzQ4NjA5NTQzMjMzMA%3D%3D.3-ccb7-5&amp;ccb=7-5&amp;_nc_sid=58cdad&amp;efg=eyJ2ZW5jb2RlX3RhZyI6InhwaWRzLjEwMjR4MTAyNC5zZHIuQzMifQ%3D%3D&amp;_nc_ohc=dxrWh8SK8W4Q7kNvwGX4rzh&amp;_nc_oc=Adn1fMpU13kj5tt9HzxkaewPFWZTbu5F42xFqIF19bdy_nh7Jsr1pNQfcOnMyvvI7GE8lq2Kod1754HmiJxrcr2A&amp;_nc_ad=z-m&amp;_nc_cid=0&amp;_nc_zt=23&amp;_nc_ht=scontent.cdninstagram.com&amp;_nc_gid=Pc-yOprRxmpD2PcEEeKiuQ&amp;oh=00_AfhkBQT_KLGWWj1wC6CPBKcAMTXasswAY3-HBBzLrYpkkA&amp;oe=6930E795,https://scontent.cdninstagram.com/v/t51.82787-15/540686403_17921157030137986_1031987347059924605_n.jpg?stp=dst-jpg_e35_tt6&amp;_nc_cat=111&amp;ig_cache_key=MzcxMTk1NzQ4NjA5NTQzMDU2MA%3D%3D.3-ccb7-5&amp;ccb=7-5&amp;_nc_sid=58cdad&amp;efg=eyJ2ZW5jb2RlX3RhZyI6InhwaWRzLjEwMjR4MTAyNC5zZHIuQzMifQ%3D%3D&amp;_nc_ohc=-pIE7X_NYd4Q7kNvwEjov0m&amp;_nc_oc=AdnaS5yu5Sow9SEsdVWILR8peUmJDJ3YuafMced8XYUtLC8TGtl1msyvC248GHh9QmVfS4P3RA71M23yZ_fukgzs&amp;_nc_ad=z-m&amp;_nc_cid=0&amp;_nc_zt=23&amp;_nc_ht=scontent.cdninstagram.com&amp;_nc_gid=Pc-yOprRxmpD2PcEEeKiuQ&amp;oh=00_Afh0BqsKAGIPaE4aUZfop-nrIBXnH4aFEWcOPDqMAe5SFg&amp;oe=6930CC7A,https://scontent.cdninstagram.com/v/t51.82787-15/540594462_17921157039137986_8776067756973240375_n.jpg?stp=dst-jpg_e35_tt6&amp;_nc_cat=102&amp;ig_cache_key=MzcxMTk1NzQ4NjA5NTM4NDcyNQ%3D%3D.3-ccb7-5&amp;ccb=7-5&amp;_nc_sid=58cdad&amp;efg=eyJ2ZW5jb2RlX3RhZyI6InhwaWRzLjEwMjR4MTAyNC5zZHIuQzMifQ%3D%3D&amp;_nc_ohc=SK7vX8Dc1EkQ7kNvwEBwnLl&amp;_nc_oc=Adk22JxSXbYuhfnag4WbXfoqMugglHeLbJxQLFhVE0vE-TETh0qhWgFKUoaIZs-DGs8BTzRegaKq1EbDx1jA-WVQ&amp;_nc_ad=z-m&amp;_nc_cid=0&amp;_nc_zt=23&amp;_nc_ht=scontent.cdninstagram.com&amp;_nc_gid=Pc-yOprRxmpD2PcEEeKiuQ&amp;oh=00_AfggGJZHhOZvHuCOYXa4RcnACDf2DAN1o5j7U_DFfnSpqQ&amp;oe=6930D80F</t>
  </si>
  <si>
    <t>Só nós sabemos o quanto essas coisinhas drenam nossa energia 🤯🪫
Se estiver muito difícil lidar com os sintomas do TDAH ou se você passa por isso e ainda não sabe se é mesmo TDAH, com&amp;nt@ AJUDA aqui 🚨
#tdah #sintomastdah #tdahadulto #avaliaçãotdah #tenhotdah #neurodivergência #tdahmulheres</t>
  </si>
  <si>
    <t>kaisamelonitdah</t>
  </si>
  <si>
    <t>Kaísa Meloni | TDAH adulto</t>
  </si>
  <si>
    <t>https://scontent-gru2-2.cdninstagram.com/v/t51.2885-19/498693367_18082900702816454_933490820489866059_n.jpg?stp=dst-jpg_s150x150_tt6&amp;efg=eyJ2ZW5jb2RlX3RhZyI6InByb2ZpbGVfcGljLmRqYW5nby43NjguYzIifQ&amp;_nc_ht=scontent-gru2-2.cdninstagram.com&amp;_nc_cat=102&amp;_nc_oc=Q6cZ2QF_7ptarWIDxLQefAQP7jjZgjnL08KAuVm4XgP8894Q5wMko3rhS2q9wnBYbHhZfcBPUSFTNQVgLTyYpt_NADMy&amp;_nc_ohc=XBM9YVEU8kYQ7kNvwEc4zD3&amp;_nc_gid=832jxjWftkKYOGhz8kgttw&amp;edm=AFlAz-oBAAAA&amp;ccb=7-5&amp;oh=00_AfixV9Rtv_icxa8Oi-hREGAjryDCnKWlrQwvWBQXGcfBaw&amp;oe=691BE927&amp;_nc_sid=76c0fc</t>
  </si>
  <si>
    <t>DRFPAuGkbO-</t>
  </si>
  <si>
    <t>https://www.instagram.com/p/DRFPAuGkbO-</t>
  </si>
  <si>
    <t>Você já parou pra pensar que o TDAH pode afetar seu relacionamento até quando ninguém fala nada?
Às vezes, quem convive com você não tem o transtorno, mas sente o impacto dele no dia a dia. E não por mal. Só não sabe como dizer que está cansado dos imprevistos, que sente falta de ser ouvido até o fim ou de fazer planos a dois com mais tranquilidade.
Não é sobre culpa, é sobre consciência emocional.
Relação boa se constrói com empatia dos dois lados.
💛 Se esse post te ajudou a ver isso com outros olhos, compartilha com quem você ama.
E responde aqui na enquete: 
👉 Qual dessas coisas você acha que o seu parceiro mais sente falta?
#tdah #tdahmulher #tdahadulto #tdahrelacionamento #tdahjuntos</t>
  </si>
  <si>
    <t>https://instagram.fcgh9-1.fna.fbcdn.net/v/t51.2885-19/498693367_18082900702816454_933490820489866059_n.jpg?stp=dst-jpg_s150x150_tt6&amp;efg=eyJ2ZW5jb2RlX3RhZyI6InByb2ZpbGVfcGljLmRqYW5nby43NjguYzIifQ&amp;_nc_ht=instagram.fcgh9-1.fna.fbcdn.net&amp;_nc_cat=102&amp;_nc_oc=Q6cZ2QFPov7R9KkJkRWPhoul_WHPqgeeCzwRjTZJfLUvhQ7Ahn-FmGOPACvW2uuxfW4XFm6i_ZZl8_zjX6ppwx6UG-Ds&amp;_nc_ohc=df7gORrg7Z8Q7kNvwFwXJM1&amp;_nc_gid=Pc-yOprRxmpD2PcEEeKiuQ&amp;edm=AFlAz-oBAAAA&amp;ccb=7-5&amp;oh=00_Afgw-OqlsZybyajmB0S45CDA5Vl56gtxpzJkvNYWLkbthA&amp;oe=6930C8E7&amp;_nc_sid=76c0fc</t>
  </si>
  <si>
    <t>https://scontent-gru2-2.cdninstagram.com/v/t51.82787-15/532474351_18088176754816454_6408321893004853574_n.jpg?stp=dst-jpg_e35_tt6&amp;_nc_cat=106&amp;ig_cache_key=MzY5OTI2NjM5NDUyNjU3NzIwNw%3D%3D.3-ccb1-7&amp;ccb=1-7&amp;_nc_sid=58cdad&amp;efg=eyJ2ZW5jb2RlX3RhZyI6InhwaWRzLjEwODB4MTM1MC5zZHIuQzMifQ%3D%3D&amp;_nc_ohc=sXIKfEvWjJIQ7kNvwGhDzzD&amp;_nc_oc=AdlvcSCuZflMtTgDCXqIMJMAxu0bN4I88D5GfcWsgNSxDXaahc3vP3bvka6aLpL2Y6PD7gDpqyVKOkNuQ4RavhiP&amp;_nc_ad=z-m&amp;_nc_cid=0&amp;_nc_zt=23&amp;_nc_ht=scontent-gru2-2.cdninstagram.com&amp;_nc_gid=832jxjWftkKYOGhz8kgttw&amp;oh=00_AfgA6zb9PtHozefzcrqIgKbzDJAaqdRB9K6BoEkKTAEuZA&amp;oe=691BCCF0,https://scontent-gru1-2.cdninstagram.com/v/t51.82787-15/531803662_18088176763816454_1237673008025218421_n.jpg?stp=dst-jpg_e35_tt6&amp;_nc_cat=100&amp;ig_cache_key=MzY5OTI2NjM5NDUyNjUxMzgxNA%3D%3D.3-ccb1-7&amp;ccb=1-7&amp;_nc_sid=58cdad&amp;efg=eyJ2ZW5jb2RlX3RhZyI6InhwaWRzLjEwODB4MTM1MC5zZHIuQzMifQ%3D%3D&amp;_nc_ohc=b3iQZs4RvHUQ7kNvwEGkYaB&amp;_nc_oc=AdnFDPjPqzv5FJrg_xgrdcodmZwzgEQKQ_U5Tf8SvAQb4bN7Ypyc4vYmcQ8JLmhx6EsubkFWNY_2yfVdDHz8oohp&amp;_nc_ad=z-m&amp;_nc_cid=0&amp;_nc_zt=23&amp;_nc_ht=scontent-gru1-2.cdninstagram.com&amp;_nc_gid=832jxjWftkKYOGhz8kgttw&amp;oh=00_AfgKQ7jYzoIs7bDscBWJ7F871op4L-3Ef4slmHUr7KfRug&amp;oe=691BE771,https://scontent-gru2-2.cdninstagram.com/v/t51.82787-15/532626859_18088176772816454_6165731809936843119_n.jpg?stp=dst-jpg_e35_tt6&amp;_nc_cat=105&amp;ig_cache_key=MzY5OTI2NjM5NDM5MjIzNDM2MA%3D%3D.3-ccb1-7&amp;ccb=1-7&amp;_nc_sid=58cdad&amp;efg=eyJ2ZW5jb2RlX3RhZyI6InhwaWRzLjEwODB4MTM1MC5zZHIuQzMifQ%3D%3D&amp;_nc_ohc=-LrZoPQ5PbMQ7kNvwEKSghA&amp;_nc_oc=Adm29KFBgXuvN1I3fvexoi837g0v2YbmtDHAbg7tIKcc9w8GCVnHo0NPjktje4IC-IThu5yPUXUleXivfMGuQRMy&amp;_nc_ad=z-m&amp;_nc_cid=0&amp;_nc_zt=23&amp;_nc_ht=scontent-gru2-2.cdninstagram.com&amp;_nc_gid=832jxjWftkKYOGhz8kgttw&amp;oh=00_AfhLfMsdW4HaA33EQXZm1GqSWmETjY0twUxX4d8xdmUawQ&amp;oe=691BEA37,https://scontent-gru2-1.cdninstagram.com/v/t51.82787-15/532196109_18088176781816454_2949908046835336647_n.jpg?stp=dst-jpg_e35_tt6&amp;_nc_cat=111&amp;ig_cache_key=MzY5OTI2NjM5NDc2OTY1Njc1Ng%3D%3D.3-ccb1-7&amp;ccb=1-7&amp;_nc_sid=58cdad&amp;efg=eyJ2ZW5jb2RlX3RhZyI6InhwaWRzLjEwODB4MTM1MC5zZHIuQzMifQ%3D%3D&amp;_nc_ohc=g_1V9W-aV_4Q7kNvwE_9Yaf&amp;_nc_oc=Adn-bqlapjzeEnqqdr6cA42cxNjWuWkQXFxFxoOC1L_IS2uQY8jijXE0sVbbNKb_A57vLV1yyaLXn_BXvspHAqbT&amp;_nc_ad=z-m&amp;_nc_cid=0&amp;_nc_zt=23&amp;_nc_ht=scontent-gru2-1.cdninstagram.com&amp;_nc_gid=832jxjWftkKYOGhz8kgttw&amp;oh=00_AfiwAp5-oMuBwH6kfgK_pCp48JY6w66e4ggVtdMgX6bG2A&amp;oe=691BCF94,https://scontent-gru2-1.cdninstagram.com/v/t51.82787-15/532340412_18088176790816454_7729705784365261129_n.jpg?stp=dst-jpg_e35_tt6&amp;_nc_cat=107&amp;ig_cache_key=MzY5OTI2NjM5NDM5MjIxMzMwNg%3D%3D.3-ccb1-7&amp;ccb=1-7&amp;_nc_sid=58cdad&amp;efg=eyJ2ZW5jb2RlX3RhZyI6InhwaWRzLjEwODB4MTM1MC5zZHIuQzMifQ%3D%3D&amp;_nc_ohc=s5O0zQDLLLEQ7kNvwFQ5-Lr&amp;_nc_oc=AdkUW5uQcB54k9-TsEBxSUelizSZqoJsvCej393Gmvrjbw6Nge5bD1G2mAvwBvQQ8sD4G_HkzzhbERaimiykp6KC&amp;_nc_ad=z-m&amp;_nc_cid=0&amp;_nc_zt=23&amp;_nc_ht=scontent-gru2-1.cdninstagram.com&amp;_nc_gid=832jxjWftkKYOGhz8kgttw&amp;oh=00_Afg50kEP-Ed3gLYcOwC3KuYnOIWSBYzIu2qOpiSkhWXpnw&amp;oe=691BE4C3,https://scontent-gru2-2.cdninstagram.com/v/t51.82787-15/531614980_18088176799816454_967337287731152611_n.jpg?stp=dst-jpg_e35_tt6&amp;_nc_cat=102&amp;ig_cache_key=MzY5OTI2NjM5NDY3NzQxMTM5MQ%3D%3D.3-ccb1-7&amp;ccb=1-7&amp;_nc_sid=58cdad&amp;efg=eyJ2ZW5jb2RlX3RhZyI6InhwaWRzLjEwODB4MTM1MC5zZHIuQzMifQ%3D%3D&amp;_nc_ohc=UOqz-g75lTIQ7kNvwFL0zM1&amp;_nc_oc=Adlo9L2IONto-XfczkPE01QieUxcj0zZpQaV-ihuSuVWXlrJOaK7r7JHnmvgF-ARiJb7VnpedtCx4itOEwrx_aoV&amp;_nc_ad=z-m&amp;_nc_cid=0&amp;_nc_zt=23&amp;_nc_ht=scontent-gru2-2.cdninstagram.com&amp;_nc_gid=832jxjWftkKYOGhz8kgttw&amp;oh=00_AfhC00yf3XCSFbIot9O5wooCa3zmiOhMcdHvpMv8jj0lTw&amp;oe=691BF410,https://scontent-gru2-2.cdninstagram.com/v/t51.82787-15/532223031_18088176808816454_8250182449852410624_n.jpg?stp=dst-jpg_e35_tt6&amp;_nc_cat=106&amp;ig_cache_key=MzY5OTI2NjM5NDc3ODAwMDk0OQ%3D%3D.3-ccb1-7&amp;ccb=1-7&amp;_nc_sid=58cdad&amp;efg=eyJ2ZW5jb2RlX3RhZyI6InhwaWRzLjEwODB4MTM1MC5zZHIuQzMifQ%3D%3D&amp;_nc_ohc=gVy_D5alD5EQ7kNvwGg7crS&amp;_nc_oc=Adnum9shSNLY2pbsgx9wvmt0KLQpgvs2omo7-mqqab3sDLmqz70sYShberBWQjszIcddgwSkTcltjuOrKEQxC83m&amp;_nc_ad=z-m&amp;_nc_cid=0&amp;_nc_zt=23&amp;_nc_ht=scontent-gru2-2.cdninstagram.com&amp;_nc_gid=832jxjWftkKYOGhz8kgttw&amp;oh=00_Afi_kscCgiUK-AGzanZOT4CABhvtC2IfuP0OIJTNv_n4YA&amp;oe=691BFC8D,https://scontent-gru1-2.cdninstagram.com/v/t51.82787-15/530646088_18088176817816454_5917782053836495301_n.jpg?stp=dst-jpg_e35_tt6&amp;_nc_cat=110&amp;ig_cache_key=MzY5OTI2NjM5NDQwMDczMTQwNQ%3D%3D.3-ccb1-7&amp;ccb=1-7&amp;_nc_sid=58cdad&amp;efg=eyJ2ZW5jb2RlX3RhZyI6InhwaWRzLjEwODB4MTM1MC5zZHIuQzMifQ%3D%3D&amp;_nc_ohc=ViewH8shr5sQ7kNvwGpijCl&amp;_nc_oc=Adkpsp7N0iiQsfWvIu7Mh8OEP8rKuL-TZHMTeF7PV_LJjLLySbO6PqnDxkPa4HLyiMUScVv7yt1fyvC1MX9PS5fI&amp;_nc_ad=z-m&amp;_nc_cid=0&amp;_nc_zt=23&amp;_nc_ht=scontent-gru1-2.cdninstagram.com&amp;_nc_gid=832jxjWftkKYOGhz8kgttw&amp;oh=00_Afivekz8e8r0BWVW9l-sJFs7u6fBEy0WYREfkdO6rA5u6Q&amp;oe=691BD347,https://scontent-gru2-2.cdninstagram.com/v/t51.82787-15/531992051_18088176826816454_8873181521428251864_n.jpg?stp=dst-jpg_e35_tt6&amp;_nc_cat=106&amp;ig_cache_key=MzY5OTI2NjM5NDQwMDUyMTE2Ng%3D%3D.3-ccb1-7&amp;ccb=1-7&amp;_nc_sid=58cdad&amp;efg=eyJ2ZW5jb2RlX3RhZyI6InhwaWRzLjEwODB4MTM1MC5zZHIuQzMifQ%3D%3D&amp;_nc_ohc=52FcNARhFioQ7kNvwHMG0qs&amp;_nc_oc=AdkYVQpS0vpT7F9FUgGDPIXSXRsKuZsAn8N8q4okMHHU0nFbMeLoWWvSiTDJcqiFKq2NuQFm_oXJEBKLNurOBOMY&amp;_nc_ad=z-m&amp;_nc_cid=0&amp;_nc_zt=23&amp;_nc_ht=scontent-gru2-2.cdninstagram.com&amp;_nc_gid=832jxjWftkKYOGhz8kgttw&amp;oh=00_AfjCulS7NAQqFyc_n-hAx9d8tt924GjEa7wPrVPeFCfEwQ&amp;oe=691BD7C8</t>
  </si>
  <si>
    <t>tdah,sintomastdah,tdahadulto,avaliaçãotdah,tenhotdah,neurodivergência,tdahmulheres</t>
  </si>
  <si>
    <t>DN50yucDai0</t>
  </si>
  <si>
    <t>https://www.instagram.com/p/DN50yucDai0</t>
  </si>
  <si>
    <t>https://scontent.cdninstagram.com/v/t51.82787-15/581399618_18098376010816454_9029937462941168286_n.jpg?stp=dst-jpg_e35_tt6&amp;_nc_cat=109&amp;ig_cache_key=Mzc2NDk1NTYwNTczNjk4NTk2Mg%3D%3D.3-ccb7-5&amp;ccb=7-5&amp;_nc_sid=58cdad&amp;efg=eyJ2ZW5jb2RlX3RhZyI6InhwaWRzLjEwNzl4MTM1MS5zZHIuQzMifQ%3D%3D&amp;_nc_ohc=NCL7dk0Eg80Q7kNvwEidIva&amp;_nc_oc=AdnAtKlkkm9USUj8-CJr9r1JPCJMRfmRXwibGmzkyDhDCIp_P-th8e4xyyLUoM0ztbHeabBhThywyobmfMT4Ij7e&amp;_nc_ad=z-m&amp;_nc_cid=0&amp;_nc_zt=23&amp;_nc_ht=scontent.cdninstagram.com&amp;_nc_gid=Pc-yOprRxmpD2PcEEeKiuQ&amp;oh=00_AfiUap2uHrSmwdbbkkr75z9h5AmwFlcYHk6NC8LnA6jeiA&amp;oe=6930DF07,https://scontent.cdninstagram.com/v/t51.82787-15/582550599_18098376019816454_611582996348412299_n.jpg?stp=dst-jpg_e35_tt6&amp;_nc_cat=100&amp;ig_cache_key=Mzc2NDk1NTYwNTczNjk2ODU5Ng%3D%3D.3-ccb7-5&amp;ccb=7-5&amp;_nc_sid=58cdad&amp;efg=eyJ2ZW5jb2RlX3RhZyI6InhwaWRzLjEwNzl4MTM1MS5zZHIuQzMifQ%3D%3D&amp;_nc_ohc=j0c26w66VvAQ7kNvwEk1NRo&amp;_nc_oc=AdmieJs_6kAZgu40OHtsKV0wqZAhvBstabFTcdharkIzxT7PSc9grvPl4jpC9Fw_juSWEvt7U2HZpJI6FQvzMknn&amp;_nc_ad=z-m&amp;_nc_cid=0&amp;_nc_zt=23&amp;_nc_ht=scontent.cdninstagram.com&amp;_nc_gid=Pc-yOprRxmpD2PcEEeKiuQ&amp;oh=00_AfghAGg-B2NJd8ijcXGnYiVk9d_RxY5tpME6SkS6QTvjGQ&amp;oe=6930CE59,https://scontent.cdninstagram.com/v/t51.82787-15/583199314_18098376028816454_3411628944255917211_n.jpg?stp=dst-jpg_e35_tt6&amp;_nc_cat=104&amp;ig_cache_key=Mzc2NDk1NTYwNTc0NTM4NzI0OQ%3D%3D.3-ccb7-5&amp;ccb=7-5&amp;_nc_sid=58cdad&amp;efg=eyJ2ZW5jb2RlX3RhZyI6InhwaWRzLjEwNzl4MTM1MS5zZHIuQzMifQ%3D%3D&amp;_nc_ohc=MnRPE0s7l3sQ7kNvwFe0-U-&amp;_nc_oc=Adm8ZkNQWYolYzjHNyOps2NlelLV0A3sxuAjU1kdXB2R9hGRpqpEMdcpI7tuKjkeRpM9pOcb4gollM9zQ74b4fc5&amp;_nc_ad=z-m&amp;_nc_cid=0&amp;_nc_zt=23&amp;_nc_ht=scontent.cdninstagram.com&amp;_nc_gid=Pc-yOprRxmpD2PcEEeKiuQ&amp;oh=00_AfhUjp5lPJ3sk9gpN6E-FAQOqqNNQ7LfBTc0X4Gs_YhITw&amp;oe=6930CA89,https://scontent.cdninstagram.com/v/t51.82787-15/581720975_18098376037816454_2571932418495716543_n.jpg?stp=dst-jpg_e35_tt6&amp;_nc_cat=108&amp;ig_cache_key=Mzc2NDk1NTYwNTczNjk5NDc3MQ%3D%3D.3-ccb7-5&amp;ccb=7-5&amp;_nc_sid=58cdad&amp;efg=eyJ2ZW5jb2RlX3RhZyI6InhwaWRzLjEwNzl4MTM1MS5zZHIuQzMifQ%3D%3D&amp;_nc_ohc=hzUNJfGYnRkQ7kNvwG-7ROQ&amp;_nc_oc=AdnbrhOFcvR3Rsk_GhLla-3k5nMgYOj-25MNJTgOrmuzPI2Qa1iW00QIJkHgUgk5p5_Ah5UJsjCV_8hfLKBH4ecs&amp;_nc_ad=z-m&amp;_nc_cid=0&amp;_nc_zt=23&amp;_nc_ht=scontent.cdninstagram.com&amp;_nc_gid=Pc-yOprRxmpD2PcEEeKiuQ&amp;oh=00_AfgSn3laF8teKQYiP_U8XU_WYMW1Cw_fsjEfPU4Mp5Afkw&amp;oe=6930C637,https://scontent.cdninstagram.com/v/t51.82787-15/580976368_18098376046816454_511299450239332460_n.jpg?stp=dst-jpg_e35_tt6&amp;_nc_cat=100&amp;ig_cache_key=Mzc2NDk1NTYwNTczNjk2NTk3OA%3D%3D.3-ccb7-5&amp;ccb=7-5&amp;_nc_sid=58cdad&amp;efg=eyJ2ZW5jb2RlX3RhZyI6InhwaWRzLjEwNzl4MTM1MS5zZHIuQzMifQ%3D%3D&amp;_nc_ohc=_EqsTSEn0ecQ7kNvwHZiW7k&amp;_nc_oc=AdnOQQQvNcE7jp091sGc-u874tiB9zYzGz5b2RTEMSWecKe7aqsW0k8ybnSBA5EcCXp52u6cinzkwkHltucP69F6&amp;_nc_ad=z-m&amp;_nc_cid=0&amp;_nc_zt=23&amp;_nc_ht=scontent.cdninstagram.com&amp;_nc_gid=Pc-yOprRxmpD2PcEEeKiuQ&amp;oh=00_Afj1mSpUahOFaENMn4HRjuqRp-17VubpMxLO5QqvSBd2Jw&amp;oe=6930C86A,https://scontent.cdninstagram.com/v/t51.82787-15/580959964_18098376055816454_9110489420093642963_n.jpg?stp=dst-jpg_e35_tt6&amp;_nc_cat=102&amp;ig_cache_key=Mzc2NDk1NTYwNTcyODU2MjU5MA%3D%3D.3-ccb7-5&amp;ccb=7-5&amp;_nc_sid=58cdad&amp;efg=eyJ2ZW5jb2RlX3RhZyI6InhwaWRzLjEwNzh4MTM0OS5zZHIuQzMifQ%3D%3D&amp;_nc_ohc=iEb5DtKQAqEQ7kNvwGKZHMa&amp;_nc_oc=AdkRHw1u1seJSQPQCF5OM90E5QgT_XcvfThKdnap_9Y7nYnka6a16MABF4JL0tmwivrMfHjTrifLrmfZQjUWivN4&amp;_nc_ad=z-m&amp;_nc_cid=0&amp;_nc_zt=23&amp;_nc_ht=scontent.cdninstagram.com&amp;_nc_gid=Pc-yOprRxmpD2PcEEeKiuQ&amp;oh=00_AfjZ7wT3b6Dmxp0vM9SSapy15EIKmmtGFmLgohlgZBSisg&amp;oe=6930CA0A,https://scontent.cdninstagram.com/v/t51.82787-15/583051316_18098376064816454_3452275539095917174_n.jpg?stp=dst-jpg_e35_tt6&amp;_nc_cat=105&amp;ig_cache_key=Mzc2NDk1NTYwNTczNjk5MDg4NA%3D%3D.3-ccb7-5&amp;ccb=7-5&amp;_nc_sid=58cdad&amp;efg=eyJ2ZW5jb2RlX3RhZyI6InhwaWRzLjEwNzl4MTM1MS5zZHIuQzMifQ%3D%3D&amp;_nc_ohc=H90DdpV6GSkQ7kNvwHmqfTZ&amp;_nc_oc=AdlgxCvThT1_mjTrfjo1cJoDMIChSQwvf_pAzpNr4nld_tk9rlYgK6E6_RHZxCOsrNZN3-T1KHrlgy53QmOmuJrj&amp;_nc_ad=z-m&amp;_nc_cid=0&amp;_nc_zt=23&amp;_nc_ht=scontent.cdninstagram.com&amp;_nc_gid=Pc-yOprRxmpD2PcEEeKiuQ&amp;oh=00_AfgylY5dQjxNo3n4YZ_aFbyfJyJk9dtLdiAXelgI-9G5jw&amp;oe=6930DFD5,https://scontent.cdninstagram.com/v/t51.82787-15/583047979_18098376073816454_1460299929378405054_n.jpg?stp=dst-jpg_e35_tt6&amp;_nc_cat=101&amp;ig_cache_key=Mzc2NDk1NTYwNTcyMDIxNDA1OA%3D%3D.3-ccb7-5&amp;ccb=7-5&amp;_nc_sid=58cdad&amp;efg=eyJ2ZW5jb2RlX3RhZyI6InhwaWRzLjEwNzl4MTM1MS5zZHIuQzMifQ%3D%3D&amp;_nc_ohc=oelhhRS-ASAQ7kNvwFHaukl&amp;_nc_oc=AdkCw88ibLovAX1SmYJPpU3o11h_yPmgnHrNdYyhniFQtv-p2vXOVbvTal5Rk_aClEHP82XlPmP52JgUkLRGAp9p&amp;_nc_ad=z-m&amp;_nc_cid=0&amp;_nc_zt=23&amp;_nc_ht=scontent.cdninstagram.com&amp;_nc_gid=Pc-yOprRxmpD2PcEEeKiuQ&amp;oh=00_Afj7bOyyUnjhoyBEFXT_Av0voRLNhIiRa5PYKYSEH8iOlg&amp;oe=6930E0EA,https://scontent.cdninstagram.com/v/t51.82787-15/581318552_18098376082816454_5552381711217908230_n.jpg?stp=dst-jpg_e35_tt6&amp;_nc_cat=104&amp;ig_cache_key=Mzc2NDk1NTYwNTcyMDE4NjMzMw%3D%3D.3-ccb7-5&amp;ccb=7-5&amp;_nc_sid=58cdad&amp;efg=eyJ2ZW5jb2RlX3RhZyI6InhwaWRzLjEwNzl4MTM1MS5zZHIuQzMifQ%3D%3D&amp;_nc_ohc=3USDZ68DhPoQ7kNvwGRQM-_&amp;_nc_oc=Adk_BkrMMYn5m5bAnVvAR6MgBfRJ39-LcFbsROdDuwKMFWGEalzgLAFj0yUUmoaPMR-PudLsR-pb8M5GRgbOrCLp&amp;_nc_ad=z-m&amp;_nc_cid=0&amp;_nc_zt=23&amp;_nc_ht=scontent.cdninstagram.com&amp;_nc_gid=Pc-yOprRxmpD2PcEEeKiuQ&amp;oh=00_Afgw09Y-vdt0gc4aNNcwTptY8OBVYZSX5Bfmer6y8D9ccA&amp;oe=6930C4C8,https://scontent.cdninstagram.com/v/t51.82787-15/580988349_18098376091816454_903817440055316693_n.jpg?stp=dst-jpg_e35_tt6&amp;_nc_cat=111&amp;ig_cache_key=Mzc2NDk1NTYwNTY2OTg1NjQ1Mg%3D%3D.3-ccb7-5&amp;ccb=7-5&amp;_nc_sid=58cdad&amp;efg=eyJ2ZW5jb2RlX3RhZyI6InhwaWRzLjEwNzl4MTM1MS5zZHIuQzMifQ%3D%3D&amp;_nc_ohc=eSgf9GFELjcQ7kNvwG6LAYs&amp;_nc_oc=Adn7S0H7LEfU8AL2bn8bi5asQoOH7ZVSgPEGM6tJFFVBgtgSJ_nMK-PBqVLo28QoJoXdXj-v2bavktUUc_Q-5hOM&amp;_nc_ad=z-m&amp;_nc_cid=0&amp;_nc_zt=23&amp;_nc_ht=scontent.cdninstagram.com&amp;_nc_gid=Pc-yOprRxmpD2PcEEeKiuQ&amp;oh=00_AfjtqJgZJE0EDPoGist0xLiLpbUDWbFN8_mv9I6ulk8pew&amp;oe=6930CD69</t>
  </si>
  <si>
    <t>Quem vive com TDAH sabe bem como é: algumas coisas simplesmente acontecem no automático.
Às vezes parecem detalhes do dia a dia, mas acabam virando momentos engraçados e até um pouco desafiadores.
Você se reconhece nessas situações? Deixe aqui nos comentários. 👇🏻💬
#tdah #vidacomtdah #tdahdiagnosticotardio #tdahbrasil #tdahadulto #psisandravillela</t>
  </si>
  <si>
    <t>psicologa.sandravillela</t>
  </si>
  <si>
    <t>Sandra Villela - Psicóloga TDAH</t>
  </si>
  <si>
    <t>https://scontent-gru2-1.cdninstagram.com/v/t51.2885-19/332467891_870732753989791_7019283026228548322_n.jpg?stp=dst-jpg_s150x150_tt6&amp;efg=eyJ2ZW5jb2RlX3RhZyI6InByb2ZpbGVfcGljLmRqYW5nby44OTkuYzIifQ&amp;_nc_ht=scontent-gru2-1.cdninstagram.com&amp;_nc_cat=107&amp;_nc_oc=Q6cZ2QF_7ptarWIDxLQefAQP7jjZgjnL08KAuVm4XgP8894Q5wMko3rhS2q9wnBYbHhZfcBPUSFTNQVgLTyYpt_NADMy&amp;_nc_ohc=T2k9gF6fAasQ7kNvwGD-RUN&amp;_nc_gid=832jxjWftkKYOGhz8kgttw&amp;edm=AFlAz-oBAAAA&amp;ccb=7-5&amp;oh=00_AfgSoZBGqTwlWVfvIU2P8R235H-UchFMA3xlBPjlM-svIg&amp;oe=691BDF8B&amp;_nc_sid=76c0fc</t>
  </si>
  <si>
    <t>tdah,tdahmulher,tdahadulto,tdahrelacionamento,tdahjuntos</t>
  </si>
  <si>
    <t>DQclsw8jwId</t>
  </si>
  <si>
    <t>https://www.instagram.com/p/DQclsw8jwId</t>
  </si>
  <si>
    <t>Se você deseja realizar uma avaliação para investigar se tem Tdah ou se seu parceiro(a) tem👇
Eu realizo a avaliação Neuropsicológica on-line para tdah e autismo. Me chame p/ saber mais e terei o prazer em te mostrar como funciona ♥️🧠
Amar alguém com TDAH é um exercício de paciência e compreensão, eu vivo na pele e amo alguém que também tem, sei que existe também muita união, risadas.
A gente aprende a enxergar além das distrações, das falhas.
Você não está sozinho(a). 
Repost do conteúdo do post da Lorenatdahta
#tdah #tdahmulher #tdahcasal #tdahadulto #tdahmulheres #tdahbrasil #conscientizaçãodoautismo #autismocomamor</t>
  </si>
  <si>
    <t>psidaianenascimento</t>
  </si>
  <si>
    <t>Daiane Nascimento | Neuropsicóloga TEA, TDAH, AHSD</t>
  </si>
  <si>
    <t>https://instagram.fcgh9-1.fna.fbcdn.net/v/t51.2885-19/522649308_18361687945146319_6372198072115768897_n.jpg?stp=dst-jpg_s150x150_tt6&amp;efg=eyJ2ZW5jb2RlX3RhZyI6InByb2ZpbGVfcGljLmRqYW5nby4xMDgwLmMyIn0&amp;_nc_ht=instagram.fcgh9-1.fna.fbcdn.net&amp;_nc_cat=107&amp;_nc_oc=Q6cZ2QFPov7R9KkJkRWPhoul_WHPqgeeCzwRjTZJfLUvhQ7Ahn-FmGOPACvW2uuxfW4XFm6i_ZZl8_zjX6ppwx6UG-Ds&amp;_nc_ohc=llv9Rv2ydOsQ7kNvwGNrGgf&amp;_nc_gid=Pc-yOprRxmpD2PcEEeKiuQ&amp;edm=AFlAz-oBAAAA&amp;ccb=7-5&amp;oh=00_AfgLrOmIG3MKr1ikFQJwWa8nFvLxyccRkgaVo6nNaEsnSA&amp;oe=6930F65D&amp;_nc_sid=76c0fc</t>
  </si>
  <si>
    <t>https://scontent-gru1-2.cdninstagram.com/v/t51.82787-15/539752406_18499085839065764_3813722164024565926_n.webp?_nc_cat=108&amp;ig_cache_key=MzcwOTIyNzk0MDI3NTEwMzMwMw%3D%3D.3-ccb1-7&amp;ccb=1-7&amp;_nc_sid=58cdad&amp;efg=eyJ2ZW5jb2RlX3RhZyI6InhwaWRzLjE0NDB4MTgwMC5zZHIuQzMifQ%3D%3D&amp;_nc_ohc=rKPj4XQ1TlEQ7kNvwG4lQ6m&amp;_nc_oc=Adkdea0Zn553atonBMeg_KW2gIfozKrcvUPS6RzKr8-WfGVJT9yO7-t1em84EeuUYPQdX1JYnmpuVhGdctyt7CL8&amp;_nc_ad=z-m&amp;_nc_cid=0&amp;_nc_zt=23&amp;_nc_ht=scontent-gru1-2.cdninstagram.com&amp;_nc_gid=832jxjWftkKYOGhz8kgttw&amp;oh=00_Afi6UdnVOZ54Pv2AvBp_IdxrHrSd1isVmBSm7vyOAdKZ5A&amp;oe=691BD574,https://scontent-gru2-1.cdninstagram.com/v/t51.82787-15/539887236_18499085848065764_5714984574235077578_n.webp?_nc_cat=111&amp;ig_cache_key=MzcwOTIyNzk0MDI2NjczODY4NA%3D%3D.3-ccb1-7&amp;ccb=1-7&amp;_nc_sid=58cdad&amp;efg=eyJ2ZW5jb2RlX3RhZyI6InhwaWRzLjE0NDB4MTgwMC5zZHIuQzMifQ%3D%3D&amp;_nc_ohc=E_0dd6Rs0nAQ7kNvwETEr_f&amp;_nc_oc=AdkoA64C5hj4bP0uwKYa3TZ4ssZV4p3ep91JPKkCrD2zE5r19kANnZmlVG7PMqQLQGhTlOaWdALXpo1tdwOTF8Pi&amp;_nc_ad=z-m&amp;_nc_cid=0&amp;_nc_zt=23&amp;_nc_ht=scontent-gru2-1.cdninstagram.com&amp;_nc_gid=832jxjWftkKYOGhz8kgttw&amp;oh=00_Afj9JpRBi2SAzwIIQIULpNfab-sT0QNfCWyns3K9PZHG7Q&amp;oe=691BFEF5,https://scontent-gru2-2.cdninstagram.com/v/t51.82787-15/539926353_18499085869065764_5147140095453335701_n.webp?_nc_cat=102&amp;ig_cache_key=MzcwOTIyNzk0MDM1MDYzMTI3NQ%3D%3D.3-ccb1-7&amp;ccb=1-7&amp;_nc_sid=58cdad&amp;efg=eyJ2ZW5jb2RlX3RhZyI6InhwaWRzLjE0NDB4MTgwMC5zZHIuQzMifQ%3D%3D&amp;_nc_ohc=93INa6Hk37gQ7kNvwGLY-2x&amp;_nc_oc=AdnWM2hYmeYHU5o9CBBNSzVgMCiC4Tc9hhkJN2Hb7FJkTclHmJOYjqhIfqpkPAtWq7xrRud_b17Ljp19QYcAFSYO&amp;_nc_ad=z-m&amp;_nc_cid=0&amp;_nc_zt=23&amp;_nc_ht=scontent-gru2-2.cdninstagram.com&amp;_nc_gid=832jxjWftkKYOGhz8kgttw&amp;oh=00_AfgPWPUZNze-lwPyw_GINrEC_vIexEGuw8EecD0nH2KgYg&amp;oe=691BE66C,https://scontent-gru2-2.cdninstagram.com/v/t51.82787-15/539904861_18499085878065764_1347619582094781768_n.webp?_nc_cat=102&amp;ig_cache_key=MzcwOTIyNzk0MDI3NTEzNDI4Mg%3D%3D.3-ccb1-7&amp;ccb=1-7&amp;_nc_sid=58cdad&amp;efg=eyJ2ZW5jb2RlX3RhZyI6InhwaWRzLjE0NDB4MTgwMC5zZHIuQzMifQ%3D%3D&amp;_nc_ohc=_QgRudq6_rYQ7kNvwE5nCiL&amp;_nc_oc=Adm4D0_S0R4WPvWAjDmGHiQj3uYkF8FzR89CcQm7PQCPsqzs8eNlYV0YaRth-FAvOmgRylGh8Y0UeYmClGmsB4X4&amp;_nc_ad=z-m&amp;_nc_cid=0&amp;_nc_zt=23&amp;_nc_ht=scontent-gru2-2.cdninstagram.com&amp;_nc_gid=832jxjWftkKYOGhz8kgttw&amp;oh=00_AfieSjFLBx1pk4353cadV9fiAgZ3UBPi6TuwCUcow1AdOg&amp;oe=691BFC08,https://scontent-gru1-2.cdninstagram.com/v/t51.82787-15/540587618_18499085887065764_1299003247470838074_n.webp?_nc_cat=103&amp;ig_cache_key=MzcwOTIyNzk0MDI3NTE0OTQ5OA%3D%3D.3-ccb1-7&amp;ccb=1-7&amp;_nc_sid=58cdad&amp;efg=eyJ2ZW5jb2RlX3RhZyI6InhwaWRzLjE0NDB4MTgwMC5zZHIuQzMifQ%3D%3D&amp;_nc_ohc=wwfYdWWWLkEQ7kNvwHCvN3-&amp;_nc_oc=AdnjT4ZA6u6CgaZm-ixxW4XqdNwbsuWfKbeIfLbCYNGZERAyzLmno7r3awI4o9cuh2xfMMGb4XvmxzupluTuWr5i&amp;_nc_ad=z-m&amp;_nc_cid=0&amp;_nc_zt=23&amp;_nc_ht=scontent-gru1-2.cdninstagram.com&amp;_nc_gid=832jxjWftkKYOGhz8kgttw&amp;oh=00_Afg9zZXgsE9nxCtWA6kh5Sz21jf1iAcbeZENiQcYn7xJhA&amp;oe=691C0084,https://scontent-gru2-1.cdninstagram.com/v/t51.82787-15/540689934_18499085896065764_268945065103528063_n.webp?_nc_cat=109&amp;ig_cache_key=MzcwOTIyNzk0MDI3NTA5NzQyMQ%3D%3D.3-ccb1-7&amp;ccb=1-7&amp;_nc_sid=58cdad&amp;efg=eyJ2ZW5jb2RlX3RhZyI6InhwaWRzLjE0NDB4MTgwMC5zZHIuQzMifQ%3D%3D&amp;_nc_ohc=JQLfVisYhZEQ7kNvwHZEM97&amp;_nc_oc=AdmwI35c0LCS7VDTh2dinQdoFwklphpSCdbQHywslhwqAv2eQ-OnFnW8G_iEI_Aq8RA0IMKw_1lkVMvGvMp2NKDG&amp;_nc_ad=z-m&amp;_nc_cid=0&amp;_nc_zt=23&amp;_nc_ht=scontent-gru2-1.cdninstagram.com&amp;_nc_gid=832jxjWftkKYOGhz8kgttw&amp;oh=00_AfgusPPeB5nmaqq4dOK49cKlg2CiniK5QStq1it1ceHuPw&amp;oe=691BDCE1,https://scontent-gru1-2.cdninstagram.com/v/t51.82787-15/540161907_18499085908065764_1596427524712697143_n.webp?_nc_cat=103&amp;ig_cache_key=MzcwOTIyNzk0MDI4MzUyOTE0NA%3D%3D.3-ccb1-7&amp;ccb=1-7&amp;_nc_sid=58cdad&amp;efg=eyJ2ZW5jb2RlX3RhZyI6InhwaWRzLjE0NDB4MTgwMC5zZHIuQzMifQ%3D%3D&amp;_nc_ohc=Kw8czp5-oDUQ7kNvwEreBpH&amp;_nc_oc=AdkT-L3oDU9SaOdowrFM5CO7UjE-jabrDnLIK9ybAfkyb0-LUdg0j1TGkL5ap4RDzhCYFHiBfVxCbyIyfJNZITM6&amp;_nc_ad=z-m&amp;_nc_cid=0&amp;_nc_zt=23&amp;_nc_ht=scontent-gru1-2.cdninstagram.com&amp;_nc_gid=832jxjWftkKYOGhz8kgttw&amp;oh=00_Afigf1LuuAoCTHADtJ55GgFClHbesTrDoQ652TBedjfgvw&amp;oe=691BEDC9,https://scontent-gru2-1.cdninstagram.com/v/t51.82787-15/541165855_18499085917065764_3476953841477571427_n.webp?_nc_cat=107&amp;ig_cache_key=MzcwOTIyNzk0MDI3NTEyNjI3OA%3D%3D.3-ccb1-7&amp;ccb=1-7&amp;_nc_sid=58cdad&amp;efg=eyJ2ZW5jb2RlX3RhZyI6InhwaWRzLjE0NDB4MTgwMC5zZHIuQzMifQ%3D%3D&amp;_nc_ohc=PWRovlBU_B8Q7kNvwHY6bpW&amp;_nc_oc=Adlif7ODbeIpCwUFvsEmROeyqylHjaLnqr2MS5m38p3U9PXi9hv4WckfV_tKehPFEFnHVNmRU4vTo05848DdmQHj&amp;_nc_ad=z-m&amp;_nc_cid=0&amp;_nc_zt=23&amp;_nc_ht=scontent-gru2-1.cdninstagram.com&amp;_nc_gid=832jxjWftkKYOGhz8kgttw&amp;oh=00_AfhEagVmqFmflSezhZaGbwSV0413BKtEC7DREWbk6nYB5A&amp;oe=691BD5CA,https://scontent-gru2-2.cdninstagram.com/v/t51.82787-15/539454581_18499085926065764_221337092361536563_n.webp?_nc_cat=106&amp;ig_cache_key=MzcwOTIyNzk0MDI3NTExNzg3OQ%3D%3D.3-ccb1-7&amp;ccb=1-7&amp;_nc_sid=58cdad&amp;efg=eyJ2ZW5jb2RlX3RhZyI6InhwaWRzLjE0NDB4MTgwMC5zZHIuQzMifQ%3D%3D&amp;_nc_ohc=J69bCasYEcoQ7kNvwF7bvSH&amp;_nc_oc=AdkpEtn2hQhVX_2aUvd57ej3HUQIZwA9TpOOaUbACJBc7hmXlLCvzA1rxyeorMF9YXzTXjQKt3cboddF4tYAqqTR&amp;_nc_ad=z-m&amp;_nc_cid=0&amp;_nc_zt=23&amp;_nc_ht=scontent-gru2-2.cdninstagram.com&amp;_nc_gid=832jxjWftkKYOGhz8kgttw&amp;oh=00_AfgxYBch9Itg-AyfMVmtz6ggiz7faYjXGLSNcfzHF_5qfw&amp;oe=691BF928</t>
  </si>
  <si>
    <t>tdah,vidacomtdah,tdahdiagnosticotardio,tdahbrasil,tdahadulto,psisandravillela</t>
  </si>
  <si>
    <t>DNl0zqdOfqn</t>
  </si>
  <si>
    <t>https://www.instagram.com/p/DNl0zqdOfqn</t>
  </si>
  <si>
    <t>Small talk que cansa, shutdowns, masking.
O que chamaram de ‘dificuldade social’ pode ser autismo não diagnosticado.
#autismoadulto #autismo #neurodivergente #autismo #neurodivergência #saúdemental #tdahadulto #tdah
#superdotado #superdotação
SEO: Autismo, Neurodivergência, TDAH, Diagnóstico tardio</t>
  </si>
  <si>
    <t>leitao.joaocarlos</t>
  </si>
  <si>
    <t>João Carlos Leitão, Md</t>
  </si>
  <si>
    <t>https://scontent-gru1-2.cdninstagram.com/v/t51.2885-19/451657023_4166843333546180_2546503847286835108_n.jpg?stp=dst-jpg_s150x150_tt6&amp;efg=eyJ2ZW5jb2RlX3RhZyI6InByb2ZpbGVfcGljLmRqYW5nby40MTEuYzIifQ&amp;_nc_ht=scontent-gru1-2.cdninstagram.com&amp;_nc_cat=108&amp;_nc_oc=Q6cZ2QF_7ptarWIDxLQefAQP7jjZgjnL08KAuVm4XgP8894Q5wMko3rhS2q9wnBYbHhZfcBPUSFTNQVgLTyYpt_NADMy&amp;_nc_ohc=0mKuy0JCxZsQ7kNvwHMTwd6&amp;_nc_gid=832jxjWftkKYOGhz8kgttw&amp;edm=AFlAz-oBAAAA&amp;ccb=7-5&amp;oh=00_AfjXlmX9M0jdvLESeRqIDU6QipVJd9rzfFak_rX0QvNdTA&amp;oe=691BFB23&amp;_nc_sid=76c0fc</t>
  </si>
  <si>
    <t>https://scontent-gru1-2.cdninstagram.com/v/t51.82787-15/537012205_18519611866055017_9147054734484758832_n.jpg?stp=dst-jpg_e35_tt6&amp;_nc_cat=108&amp;ig_cache_key=MzcwMzU5ODUwMTM4NTA2OTcwNQ%3D%3D.3-ccb1-7&amp;ccb=1-7&amp;_nc_sid=58cdad&amp;efg=eyJ2ZW5jb2RlX3RhZyI6InhwaWRzLjEwODB4MTM1MC5zZHIuQzMifQ%3D%3D&amp;_nc_ohc=RkA0fexX0hIQ7kNvwFyGshU&amp;_nc_oc=AdnTGtewsVXDCazquQz_r4GmuAJcHhiPrvNRvJe_ztDrqG4PDgd2KNIH4UTfRHXttn3s1NbT2cjOGsBziMEIdoUJ&amp;_nc_ad=z-m&amp;_nc_cid=0&amp;_nc_zt=23&amp;_nc_ht=scontent-gru1-2.cdninstagram.com&amp;_nc_gid=832jxjWftkKYOGhz8kgttw&amp;oh=00_Afj1UyxcPU41BKwASYhahQ0gClwdq4gM9Gm02poSa7kTZA&amp;oe=691BE13D,https://scontent-gru2-1.cdninstagram.com/v/t51.82787-15/535030330_18519611875055017_8139890511062357570_n.jpg?stp=dst-jpg_e35_tt6&amp;_nc_cat=109&amp;ig_cache_key=MzcwMzU5ODUwMTM2ODI1OTQyNg%3D%3D.3-ccb1-7&amp;ccb=1-7&amp;_nc_sid=58cdad&amp;efg=eyJ2ZW5jb2RlX3RhZyI6InhwaWRzLjEwODB4MTM1MC5zZHIuQzMifQ%3D%3D&amp;_nc_ohc=mKLl67sDBu4Q7kNvwGADGSO&amp;_nc_oc=AdlxuUi69QpfmnQWRPqYKPtTbUG9DkFnekAgPjtVxQOeMLE1w-Ic-71fHAlMm1YgSowTL8QJQeRvT-fbtRps0acn&amp;_nc_ad=z-m&amp;_nc_cid=0&amp;_nc_zt=23&amp;_nc_ht=scontent-gru2-1.cdninstagram.com&amp;_nc_gid=832jxjWftkKYOGhz8kgttw&amp;oh=00_AfhXgufF2cIVOIDa1iJ_fy3su_cBtiQmE-I-mnEGBAJOxg&amp;oe=691BE90E,https://scontent-gru2-2.cdninstagram.com/v/t51.82787-15/536302362_18519611884055017_4651343428688449329_n.jpg?stp=dst-jpg_e35_tt6&amp;_nc_cat=106&amp;ig_cache_key=MzcwMzU5ODUwMTUwMjQ3MjU3Ng%3D%3D.3-ccb1-7&amp;ccb=1-7&amp;_nc_sid=58cdad&amp;efg=eyJ2ZW5jb2RlX3RhZyI6InhwaWRzLjEwODB4MTM1MC5zZHIuQzMifQ%3D%3D&amp;_nc_ohc=jdxUQ291mIQQ7kNvwGnCV73&amp;_nc_oc=Adlo8Sa2E_POBC9H6w7nbKN6SATOc-NvKEjOYJRHlzIp-iSvM8m16JquJDH6PI18v9XgPCBViftIkdFRK7QOHbvN&amp;_nc_ad=z-m&amp;_nc_cid=0&amp;_nc_zt=23&amp;_nc_ht=scontent-gru2-2.cdninstagram.com&amp;_nc_gid=832jxjWftkKYOGhz8kgttw&amp;oh=00_Afj4z1tY_7f4oBYW79RVMdTVbJygGh9yXaUDCkBfKtXN5A&amp;oe=691BD81F,https://scontent-gru1-2.cdninstagram.com/v/t51.82787-15/536457972_18519611893055017_7842488008090002086_n.jpg?stp=dst-jpg_e35_tt6&amp;_nc_cat=108&amp;ig_cache_key=MzcwMzU5ODUwMTM4NTE2MTg2NA%3D%3D.3-ccb1-7&amp;ccb=1-7&amp;_nc_sid=58cdad&amp;efg=eyJ2ZW5jb2RlX3RhZyI6InhwaWRzLjEwODB4MTM1MC5zZHIuQzMifQ%3D%3D&amp;_nc_ohc=A8WcZ1wTpUgQ7kNvwHfQidM&amp;_nc_oc=Adl_lAL23N37l_yEBx8xHwqzH7_LZ68gnpiZrch8RVEzlG1qo3WMrMtvw0HLr550K7uscTucfgoDyD1j4kDebuSU&amp;_nc_ad=z-m&amp;_nc_cid=0&amp;_nc_zt=23&amp;_nc_ht=scontent-gru1-2.cdninstagram.com&amp;_nc_gid=832jxjWftkKYOGhz8kgttw&amp;oh=00_AfgwO3SpsNFUhgXA2Fdf9fHVtMSNdH6sJl60pMMCL7E-Ig&amp;oe=691BFC58,https://scontent-gru2-2.cdninstagram.com/v/t51.82787-15/534303948_18519611902055017_6051568011873037768_n.jpg?stp=dst-jpg_e35_tt6&amp;_nc_cat=102&amp;ig_cache_key=MzcwMzU5ODUwMTM3Njc3NDMzNg%3D%3D.3-ccb1-7&amp;ccb=1-7&amp;_nc_sid=58cdad&amp;efg=eyJ2ZW5jb2RlX3RhZyI6InhwaWRzLjEwODB4MTM1MC5zZHIuQzMifQ%3D%3D&amp;_nc_ohc=MAzBsZ8H4lgQ7kNvwHjF_SW&amp;_nc_oc=AdmjBONqZiZvEkJkkHnIS8UgR3v9jP16_Y9Z6lYWib2ZW3X1Ax8IKU5rjJYeBN6iAqfurY-ZLdVh6ebGAqeBd9Y5&amp;_nc_ad=z-m&amp;_nc_cid=0&amp;_nc_zt=23&amp;_nc_ht=scontent-gru2-2.cdninstagram.com&amp;_nc_gid=832jxjWftkKYOGhz8kgttw&amp;oh=00_Afi9TCo9DjZu9YTIp9HiQNKYNKLK8JNz6S0uIIMTvQjWYg&amp;oe=691BD615,https://scontent-gru1-2.cdninstagram.com/v/t51.82787-15/534300113_18519611911055017_7127769019657393558_n.jpg?stp=dst-jpg_e35_tt6&amp;_nc_cat=108&amp;ig_cache_key=MzcwMzU5ODUwMTM2ODIxNTY1NQ%3D%3D.3-ccb1-7&amp;ccb=1-7&amp;_nc_sid=58cdad&amp;efg=eyJ2ZW5jb2RlX3RhZyI6InhwaWRzLjEwODB4MTM1MC5zZHIuQzMifQ%3D%3D&amp;_nc_ohc=_a--X2zDRXMQ7kNvwGPU6OB&amp;_nc_oc=AdnfWc-UwFBeQZHZltYM4LEdwpcHEqKf4BNYJ1TrLR64nezYw_4PXc31lC9ggf--Vpoh_9PMCzy84JGIEtoJ0pUo&amp;_nc_ad=z-m&amp;_nc_cid=0&amp;_nc_zt=23&amp;_nc_ht=scontent-gru1-2.cdninstagram.com&amp;_nc_gid=832jxjWftkKYOGhz8kgttw&amp;oh=00_Afjollv65WsloOwfp_6S1z6OBQY7I4sUndj_djXSbVx7og&amp;oe=691BE81E,https://scontent-gru2-1.cdninstagram.com/v/t51.82787-15/534357933_18519611920055017_872950257357371382_n.jpg?stp=dst-jpg_e35_tt6&amp;_nc_cat=111&amp;ig_cache_key=MzcwMzU5ODUwMTM2ODIxNjMwOA%3D%3D.3-ccb1-7&amp;ccb=1-7&amp;_nc_sid=58cdad&amp;efg=eyJ2ZW5jb2RlX3RhZyI6InhwaWRzLjEwODB4MTM1MC5zZHIuQzMifQ%3D%3D&amp;_nc_ohc=magNIMu3W2cQ7kNvwHhPy_n&amp;_nc_oc=AdnAUCBOobSsEq8DXD3kX_KAosLpiOQQdFCqnurokWlCsq9v0qCzpxtlriVQOsdZjomdrPFmJp60bxq78BPLrWrk&amp;_nc_ad=z-m&amp;_nc_cid=0&amp;_nc_zt=23&amp;_nc_ht=scontent-gru2-1.cdninstagram.com&amp;_nc_gid=832jxjWftkKYOGhz8kgttw&amp;oh=00_AfihMDejyk2hZSu7r7u7rFegDHoXntWNm1tA98-sxKQC7Q&amp;oe=691BFC0D,https://scontent-gru1-2.cdninstagram.com/v/t51.82787-15/537321737_18519611929055017_7250067952609197844_n.jpg?stp=dst-jpg_e35_tt6&amp;_nc_cat=103&amp;ig_cache_key=MzcwMzU5ODUwMTM2ODI2MTM0NA%3D%3D.3-ccb1-7&amp;ccb=1-7&amp;_nc_sid=58cdad&amp;efg=eyJ2ZW5jb2RlX3RhZyI6InhwaWRzLjEwODB4MTM1MC5zZHIuQzMifQ%3D%3D&amp;_nc_ohc=9jCLq_6Wr4oQ7kNvwHg6G-s&amp;_nc_oc=AdntQD91y4Gp7MJzP637u3hiN35cyPNDrscECywZq5F7j8bNeA7d8VIdI8PMbDgGp-uPyIpEgzEcrlMBvMCTOKR0&amp;_nc_ad=z-m&amp;_nc_cid=0&amp;_nc_zt=23&amp;_nc_ht=scontent-gru1-2.cdninstagram.com&amp;_nc_gid=832jxjWftkKYOGhz8kgttw&amp;oh=00_AfhtuS3C37_p28ZqhCXLLnk1RfZIbXSZ0FjCiKWLfTBJJg&amp;oe=691BDB4A,https://scontent-gru1-2.cdninstagram.com/v/t51.82787-15/534763218_18519611938055017_8319921190002413376_n.jpg?stp=dst-jpg_e35_tt6&amp;_nc_cat=100&amp;ig_cache_key=MzcwMzU5ODUwMTM2ODM2OTgzMw%3D%3D.3-ccb1-7&amp;ccb=1-7&amp;_nc_sid=58cdad&amp;efg=eyJ2ZW5jb2RlX3RhZyI6InhwaWRzLjEwODB4MTM1MC5zZHIuQzMifQ%3D%3D&amp;_nc_ohc=6pOT_WwXL3YQ7kNvwENlhsF&amp;_nc_oc=AdnSnORjag80J74W_91Has8dwsj-3UHTBlCM4MQQU6e7jI5RSyV6hMw_CjNzATDltlJlolmk_H9SQQa-7fV2CcgD&amp;_nc_ad=z-m&amp;_nc_cid=0&amp;_nc_zt=23&amp;_nc_ht=scontent-gru1-2.cdninstagram.com&amp;_nc_gid=832jxjWftkKYOGhz8kgttw&amp;oh=00_AfiojdvR5NWzitpeMCAjiN-2crHqiq-MMZ2oTDJr_7sJdw&amp;oe=691BD402,https://scontent-gru2-2.cdninstagram.com/v/t51.82787-15/537445907_18519611947055017_6012752122770181949_n.jpg?stp=dst-jpg_e35_tt6&amp;_nc_cat=105&amp;ig_cache_key=MzcwMzU5ODUwMTUxMDg3ODc5Nw%3D%3D.3-ccb1-7&amp;ccb=1-7&amp;_nc_sid=58cdad&amp;efg=eyJ2ZW5jb2RlX3RhZyI6InhwaWRzLjEwODB4MTM1MC5zZHIuQzMifQ%3D%3D&amp;_nc_ohc=1VGW4d4zK6YQ7kNvwHg5m31&amp;_nc_oc=Adm5Ifn5DVNOtY8oko5CcJluBLXuQI4IWCcBxxfpGoGWC0OxddTWOAARUx-hR0d518oIoJyHfDKT_6OfIe-i32Lq&amp;_nc_ad=z-m&amp;_nc_cid=0&amp;_nc_zt=23&amp;_nc_ht=scontent-gru2-2.cdninstagram.com&amp;_nc_gid=832jxjWftkKYOGhz8kgttw&amp;oh=00_AfjNB-1CalDXubmLI1A1DzIwItcjhG4IhDpM6EKOK_bObQ&amp;oe=691BDE7B,https://scontent-gru1-2.cdninstagram.com/v/t51.82787-15/534841894_18519611956055017_280075763593011425_n.jpg?stp=dst-jpg_e35_tt6&amp;_nc_cat=108&amp;ig_cache_key=MzcwMzU5ODUwMTM2ODM0MjI1Mw%3D%3D.3-ccb1-7&amp;ccb=1-7&amp;_nc_sid=58cdad&amp;efg=eyJ2ZW5jb2RlX3RhZyI6InhwaWRzLjEwODB4MTM1MC5zZHIuQzMifQ%3D%3D&amp;_nc_ohc=vOHFZS1457YQ7kNvwHAv2I5&amp;_nc_oc=AdkyDNNyWQrhquOpsqk3DF80CMai6bdj2ThmChG8MuL3gUklKt9NV_ZGnXC1ZathaML83RIp0C37RATH3wWgrWhy&amp;_nc_ad=z-m&amp;_nc_cid=0&amp;_nc_zt=23&amp;_nc_ht=scontent-gru1-2.cdninstagram.com&amp;_nc_gid=832jxjWftkKYOGhz8kgttw&amp;oh=00_AfhtsnUbwxlhniTt_M4LQAwzi0CMmo2KJYSOM86qnk0vxQ&amp;oe=691BD1F7</t>
  </si>
  <si>
    <t>autismoadulto,autismo,neurodivergente,autismo,neurodivergência,saúdemental,tdahadulto,tdah,superdotado,superdotação</t>
  </si>
  <si>
    <t>https://www.instagram.com/p/DOE3bzkD4YT</t>
  </si>
  <si>
    <t>https://scontent-gru2-2.cdninstagram.com/v/t51.2885-19/454655817_415212718224218_4878863477330946250_n.jpg?stp=dst-jpg_s150x150_tt6&amp;efg=eyJ2ZW5jb2RlX3RhZyI6InByb2ZpbGVfcGljLmRqYW5nby4xMDQwLmMyIn0&amp;_nc_ht=scontent-gru2-2.cdninstagram.com&amp;_nc_cat=102&amp;_nc_oc=Q6cZ2QF_7ptarWIDxLQefAQP7jjZgjnL08KAuVm4XgP8894Q5wMko3rhS2q9wnBYbHhZfcBPUSFTNQVgLTyYpt_NADMy&amp;_nc_ohc=baETodjAF6oQ7kNvwHj2rsw&amp;_nc_gid=832jxjWftkKYOGhz8kgttw&amp;edm=AFlAz-oBAAAA&amp;ccb=7-5&amp;oh=00_Afgsv3-JVqgWVh86YJFilRoZ_I3bwD-tPn1B2xl0g34kaw&amp;oe=691BE300&amp;_nc_sid=76c0fc</t>
  </si>
  <si>
    <t>https://scontent.cdninstagram.com/v/t51.82787-15/573446152_18374641606146319_8602864446894232956_n.webp?_nc_cat=103&amp;ig_cache_key=Mzc1NTA0MTk4MjI2NDYxNjI5Ng%3D%3D.3-ccb7-5&amp;ccb=7-5&amp;_nc_sid=58cdad&amp;efg=eyJ2ZW5jb2RlX3RhZyI6InhwaWRzLjEwODB4MTM1MC5zZHIuQzMifQ%3D%3D&amp;_nc_ohc=MJ2EOmLBS2gQ7kNvwGIkDcw&amp;_nc_oc=AdkA77zsDmX5_lbNtt-KlPkn4dWe-1QWyJTMe47M1N4y6g3aSzDHGgGrFb-dp6db2VQZKq_P42Mo3yBHGss7Neuy&amp;_nc_ad=z-m&amp;_nc_cid=0&amp;_nc_zt=23&amp;_nc_ht=scontent.cdninstagram.com&amp;_nc_gid=Pc-yOprRxmpD2PcEEeKiuQ&amp;oh=00_AfjogNq17MxJzxvy7cOPxztYckwx1xRct-WWFrOKFJnFLQ&amp;oe=6930E15B,https://scontent.cdninstagram.com/v/t51.82787-15/571988307_18374641603146319_3432966415639053715_n.webp?_nc_cat=106&amp;ig_cache_key=Mzc1NTA0MTk4MjIxNDI3ODc3Mw%3D%3D.3-ccb7-5&amp;ccb=7-5&amp;_nc_sid=58cdad&amp;efg=eyJ2ZW5jb2RlX3RhZyI6InhwaWRzLjEwODB4MTM1MC5zZHIuQzMifQ%3D%3D&amp;_nc_ohc=wk4YNR9bPN8Q7kNvwEda9jV&amp;_nc_oc=Adkl1qFl9dhr6OlGoIX-81T59m-2g1MmnA6wmGzjdLKXn1s5wiiUOpoSSOGbhl11xn_fG3xi_QxI_xC8aHEXj_GC&amp;_nc_ad=z-m&amp;_nc_cid=0&amp;_nc_zt=23&amp;_nc_ht=scontent.cdninstagram.com&amp;_nc_gid=Pc-yOprRxmpD2PcEEeKiuQ&amp;oh=00_AfgsMz_n6kM1d1t5PRKTC_4S6M5poE08Xiv7e1nvzdVZKQ&amp;oe=6930E689,https://scontent.cdninstagram.com/v/t51.82787-15/572229128_18374641588146319_4818165509225659718_n.webp?_nc_cat=107&amp;ig_cache_key=Mzc1NTA0MTk4MjE3MjMwNjE3Mg%3D%3D.3-ccb7-5&amp;ccb=7-5&amp;_nc_sid=58cdad&amp;efg=eyJ2ZW5jb2RlX3RhZyI6InhwaWRzLjEwODB4MTM1MC5zZHIuQzMifQ%3D%3D&amp;_nc_ohc=7mzwgHalpUMQ7kNvwFtDlds&amp;_nc_oc=AdnCo7wsnV_QpIKPh-kB24ASd13HRyAG9uMsL_nZo7Mi86Fh4xv_ey5qwIy7qiInxWoqo29yGex7w8GCm9viKD-1&amp;_nc_ad=z-m&amp;_nc_cid=0&amp;_nc_zt=23&amp;_nc_ht=scontent.cdninstagram.com&amp;_nc_gid=Pc-yOprRxmpD2PcEEeKiuQ&amp;oh=00_AfjXUM6hEREqmZXcO0AmITmHSz9tiHZ5yH5ZaDnP0Jb5FA&amp;oe=6930C6CB,https://scontent.cdninstagram.com/v/t51.82787-15/570380902_18374641615146319_4702575243416036105_n.webp?_nc_cat=110&amp;ig_cache_key=Mzc1NTA0MTk4MjA3MTY5MjY3OQ%3D%3D.3-ccb7-5&amp;ccb=7-5&amp;_nc_sid=58cdad&amp;efg=eyJ2ZW5jb2RlX3RhZyI6InhwaWRzLjEwODB4MTM1MC5zZHIuQzMifQ%3D%3D&amp;_nc_ohc=H_67oPsJ_Q4Q7kNvwEx60SD&amp;_nc_oc=AdnEtJvtzqIs57RykraFI2TiiT9xCm1onv9hkXWL4VCxHv0wO9C1VFCwz-9Np7cBritdg2HiQGlaEXDcBQcf0llQ&amp;_nc_ad=z-m&amp;_nc_cid=0&amp;_nc_zt=23&amp;_nc_ht=scontent.cdninstagram.com&amp;_nc_gid=Pc-yOprRxmpD2PcEEeKiuQ&amp;oh=00_AfiEdLSAkSpdpGwq069AIYZ4_KyYtOhVqnRPaE0SJXv8sg&amp;oe=6930E78E,https://scontent.cdninstagram.com/v/t51.82787-15/573268041_18374641624146319_9140400698911226454_n.webp?_nc_cat=109&amp;ig_cache_key=Mzc1NTA0MTk4MjE4MDY5MzQ5MQ%3D%3D.3-ccb7-5&amp;ccb=7-5&amp;_nc_sid=58cdad&amp;efg=eyJ2ZW5jb2RlX3RhZyI6InhwaWRzLjEwODB4MTM1MC5zZHIuQzMifQ%3D%3D&amp;_nc_ohc=XZPDvJokV7MQ7kNvwGejsBS&amp;_nc_oc=AdnxopUUaYBz3jvdT-Wz7aFHhhyByLusFkKa08WWd_HbYQBf4nZxjmUKdEoFV4GvnjaPgbm8RfhhelGcjz9Jwe2z&amp;_nc_ad=z-m&amp;_nc_cid=0&amp;_nc_zt=23&amp;_nc_ht=scontent.cdninstagram.com&amp;_nc_gid=Pc-yOprRxmpD2PcEEeKiuQ&amp;oh=00_AfigM6WcEMNuhrMEP7dfk8kTLAFIOjBm984QFeqRv_ulpg&amp;oe=6930E297,https://scontent.cdninstagram.com/v/t51.82787-15/573502915_18374641633146319_8440890290100360052_n.webp?_nc_cat=110&amp;ig_cache_key=Mzc1NTA0MTk4MjE4MDY5MzkzNA%3D%3D.3-ccb7-5&amp;ccb=7-5&amp;_nc_sid=58cdad&amp;efg=eyJ2ZW5jb2RlX3RhZyI6InhwaWRzLjEwODB4MTM1MC5zZHIuQzMifQ%3D%3D&amp;_nc_ohc=5p-eiEWxCQ4Q7kNvwG2THU6&amp;_nc_oc=AdkIBod3gijkyqE2yvvPG9m89gXDONlLPES0HftIrhbJsmo3pZyaKQBwGA0FYqGSxuSzp3ONay3Hiz1IQWXDegeG&amp;_nc_ad=z-m&amp;_nc_cid=0&amp;_nc_zt=23&amp;_nc_ht=scontent.cdninstagram.com&amp;_nc_gid=Pc-yOprRxmpD2PcEEeKiuQ&amp;oh=00_AfjXjnOxaxPzAbtKF91Eh4Zm0Wo6yPS7CYF4unAtaeaYug&amp;oe=6930D8D9,https://scontent.cdninstagram.com/v/t51.82787-15/572592212_18374641642146319_2207449717440186091_n.webp?_nc_cat=107&amp;ig_cache_key=Mzc1NTA0MTk4MjE4MDcxMTAwMA%3D%3D.3-ccb7-5&amp;ccb=7-5&amp;_nc_sid=58cdad&amp;efg=eyJ2ZW5jb2RlX3RhZyI6InhwaWRzLjEwODB4MTM1MC5zZHIuQzMifQ%3D%3D&amp;_nc_ohc=iJ_r-e6tF9kQ7kNvwFqJzPu&amp;_nc_oc=AdnLTmA52x1mRB4QBJbu4XITFc73ZK333h7jnCu3h0CnFYic-4o5uZhNbnRTUGmwHiq_jVEvCJBMJFFzEx8mHyFt&amp;_nc_ad=z-m&amp;_nc_cid=0&amp;_nc_zt=23&amp;_nc_ht=scontent.cdninstagram.com&amp;_nc_gid=Pc-yOprRxmpD2PcEEeKiuQ&amp;oh=00_Afj6t-0oVoW7zTwJ5R63Ut_vNGEJE0carI-mlA_gPWkxvA&amp;oe=6930C751,https://scontent.cdninstagram.com/v/t51.82787-15/572251866_18374641651146319_902710980071452936_n.webp?_nc_cat=106&amp;ig_cache_key=Mzc1NTA0MTk4MjI2NDU5OTQyNg%3D%3D.3-ccb7-5&amp;ccb=7-5&amp;_nc_sid=58cdad&amp;efg=eyJ2ZW5jb2RlX3RhZyI6InhwaWRzLjEwODB4MTM1MC5zZHIuQzMifQ%3D%3D&amp;_nc_ohc=QbE3WT_j9WsQ7kNvwHXvVYF&amp;_nc_oc=Adn8Dx_0jo5qQSe2TYXgx1sPMKPe3qE0w9EyOCHBw3jKWxfOkt1jc5pwV-nkURl66r7rIX8wh-HSv1GOCYNYdGYQ&amp;_nc_ad=z-m&amp;_nc_cid=0&amp;_nc_zt=23&amp;_nc_ht=scontent.cdninstagram.com&amp;_nc_gid=Pc-yOprRxmpD2PcEEeKiuQ&amp;oh=00_AfiKe06KLdKcCyymc5yL01QgEhJbNtjegI8vdTbXyYNKAg&amp;oe=6930C9C9,https://scontent.cdninstagram.com/v/t51.82787-15/574077457_18374641660146319_2794285826928620102_n.webp?_nc_cat=104&amp;ig_cache_key=Mzc1NTA0MTk4MjE4MDczODc5Nw%3D%3D.3-ccb7-5&amp;ccb=7-5&amp;_nc_sid=58cdad&amp;efg=eyJ2ZW5jb2RlX3RhZyI6InhwaWRzLjEwODB4MTM1MC5zZHIuQzMifQ%3D%3D&amp;_nc_ohc=StcN4TitsfoQ7kNvwFSsbO_&amp;_nc_oc=Adm1EHw3DSlXRHicC3Ac7ttlTVPqV00HS-axNhNRaJZYJEYZaSLGX6yNwUWFr7wUF1AhtKVQhza9JMZwbux8Y2o5&amp;_nc_ad=z-m&amp;_nc_cid=0&amp;_nc_zt=23&amp;_nc_ht=scontent.cdninstagram.com&amp;_nc_gid=Pc-yOprRxmpD2PcEEeKiuQ&amp;oh=00_Afgl6dcQq9MXtLFk-CgOcg1RDKfvwu244r3ue9uLDQH8lg&amp;oe=6930EBD4</t>
  </si>
  <si>
    <t>tdah,tdahmulher,tdahcasal,tdahadulto,tdahmulheres,tdahbrasil,conscientizaçãodoautismo,autismocomamor</t>
  </si>
  <si>
    <t>DRAl-15ka-1</t>
  </si>
  <si>
    <t>https://scontent-gru1-1.cdninstagram.com/v/t51.82787-15/542873741_18090488416767674_121150723601224541_n.heic?stp=dst-jpg_e35_tt6&amp;_nc_cat=104&amp;ig_cache_key=MzcxMjMzNTc4MDk4NDU5OTk4Mw%3D%3D.3-ccb1-7&amp;ccb=1-7&amp;_nc_sid=58cdad&amp;efg=eyJ2ZW5jb2RlX3RhZyI6InhwaWRzLjE0NDB4MTgwMC5zZHIuQzMifQ%3D%3D&amp;_nc_ohc=nWpQvjX8oZgQ7kNvwGqb2se&amp;_nc_oc=AdmLH0aWEQuQguJgudOkSRbD5udOZMbvcl8e-7Hu2sDCIruUC6IPTMO3Fk2C4qFo0vgP0AYjDuv-praATeF8ZML2&amp;_nc_ad=z-m&amp;_nc_cid=0&amp;_nc_zt=23&amp;_nc_ht=scontent-gru1-1.cdninstagram.com&amp;_nc_gid=832jxjWftkKYOGhz8kgttw&amp;oh=00_Afi55jIC3D9Vx1EIUKNRri9gX5JVm2XFP3nqaOoPXrEVew&amp;oe=691BFF95,https://scontent-gru1-2.cdninstagram.com/v/t51.82787-15/541741254_18090488425767674_3918248093337623856_n.heic?stp=dst-jpg_e35_tt6&amp;_nc_cat=110&amp;ig_cache_key=MzcxMjMzNTc4MDg4MzkyNDU4NA%3D%3D.3-ccb1-7&amp;ccb=1-7&amp;_nc_sid=58cdad&amp;efg=eyJ2ZW5jb2RlX3RhZyI6InhwaWRzLjE0NDB4MTgwMC5zZHIuQzMifQ%3D%3D&amp;_nc_ohc=DVPlQ32RWbEQ7kNvwHHjqbQ&amp;_nc_oc=AdkO0SVeIiu-7i3O4uTGrI9yQ5eRA72H6nn89iugyXEv7q1Fa3_qJu7nl4zVHNTYywSbJ4OT67s05gvfl8dIQRGG&amp;_nc_ad=z-m&amp;_nc_cid=0&amp;_nc_zt=23&amp;_nc_ht=scontent-gru1-2.cdninstagram.com&amp;_nc_gid=832jxjWftkKYOGhz8kgttw&amp;oh=00_Afg_gKdyXjaJOTdeM5mSyjKYGxNzImtITmzk_FRIKEPYNQ&amp;oe=691BF87E,https://scontent-gru1-2.cdninstagram.com/v/t51.82787-15/541539461_18090488434767674_1886286510236359933_n.heic?stp=dst-jpg_e35_tt6&amp;_nc_cat=110&amp;ig_cache_key=MzcxMjMzNTc4MTA2MDEyODUzMQ%3D%3D.3-ccb1-7&amp;ccb=1-7&amp;_nc_sid=58cdad&amp;efg=eyJ2ZW5jb2RlX3RhZyI6InhwaWRzLjE0NDB4MTgwMC5zZHIuQzMifQ%3D%3D&amp;_nc_ohc=kpDp_5TLodkQ7kNvwGKLFMz&amp;_nc_oc=Adm1fRB9qG2io3tZsK3jGFbBEoyvWN8KO5yecSY0yZT_cpX3Lch515vLKRElJA5pJfF00ifpnJAqVfRFC1_nf7_f&amp;_nc_ad=z-m&amp;_nc_cid=0&amp;_nc_zt=23&amp;_nc_ht=scontent-gru1-2.cdninstagram.com&amp;_nc_gid=832jxjWftkKYOGhz8kgttw&amp;oh=00_Afjv5v0bUroyzRthMk6fMmo5b95v9lBAfIJAnyOpW6t3Fw&amp;oe=691BD886,https://scontent-gru2-2.cdninstagram.com/v/t51.82787-15/542285015_18090488443767674_1042746226414584739_n.heic?stp=dst-jpg_e35_tt6&amp;_nc_cat=102&amp;ig_cache_key=MzcxMjMzNTc4MDk5Mjk4MzY3MQ%3D%3D.3-ccb1-7&amp;ccb=1-7&amp;_nc_sid=58cdad&amp;efg=eyJ2ZW5jb2RlX3RhZyI6InhwaWRzLjE0NDB4MTgwMC5zZHIuQzMifQ%3D%3D&amp;_nc_ohc=uxyouX4bBb4Q7kNvwEGbIb-&amp;_nc_oc=Adkn4SlphvtJRX-4SQMNTvXYUO27aEqo8zeGrW6r_HQPB0s80UsP_dbysAcRkxxn4CJ1_dGvnwXks2WSKgZRqaOz&amp;_nc_ad=z-m&amp;_nc_cid=0&amp;_nc_zt=23&amp;_nc_ht=scontent-gru2-2.cdninstagram.com&amp;_nc_gid=832jxjWftkKYOGhz8kgttw&amp;oh=00_AfiYPSxNNHReVvKvtUWCG2QUibTRgjRPQzdl9rg1hszKNA&amp;oe=691BD9A6,https://scontent-gru1-2.cdninstagram.com/v/t51.82787-15/540741462_18090488452767674_6734782182454119484_n.heic?stp=dst-jpg_e35_tt6&amp;_nc_cat=103&amp;ig_cache_key=MzcxMjMzNTc4MDg3NTU1NzI5Mg%3D%3D.3-ccb1-7&amp;ccb=1-7&amp;_nc_sid=58cdad&amp;efg=eyJ2ZW5jb2RlX3RhZyI6InhwaWRzLjE0NDB4MTgwMC5zZHIuQzMifQ%3D%3D&amp;_nc_ohc=w0HMulmpZjEQ7kNvwExoNfQ&amp;_nc_oc=Adm5qSdgdkHL5UJvS_TH_V_8QvzesOKz2ZOZK9t_gBbQdB5LRHakVBhlVpKf2KvXOpc7thXoqYl65TwOiqKBn4ZO&amp;_nc_ad=z-m&amp;_nc_cid=0&amp;_nc_zt=23&amp;_nc_ht=scontent-gru1-2.cdninstagram.com&amp;_nc_gid=832jxjWftkKYOGhz8kgttw&amp;oh=00_Afh1qTpRL4Bd2x_cMSgx6vb1fiV0q1oqkYgI3Qt6FT_xsQ&amp;oe=691BD87B,https://scontent-gru2-2.cdninstagram.com/v/t51.82787-15/542809414_18090488464767674_1083972072600888557_n.heic?stp=dst-jpg_e35_tt6&amp;_nc_cat=106&amp;ig_cache_key=MzcxMjMzNTc4MDg3NTU5MjIzMw%3D%3D.3-ccb1-7&amp;ccb=1-7&amp;_nc_sid=58cdad&amp;efg=eyJ2ZW5jb2RlX3RhZyI6InhwaWRzLjE0NDB4MTgwMC5zZHIuQzMifQ%3D%3D&amp;_nc_ohc=BAcb_qbscLAQ7kNvwHfuj3P&amp;_nc_oc=Adnka6EfxDR6NxSEl6GH7SXq0R1wezVGfjVnefSRV_9D6P7PpE227HuNl_lSwWT0a7Fkyt5Nb2clDsDQZVnwmuLb&amp;_nc_ad=z-m&amp;_nc_cid=0&amp;_nc_zt=23&amp;_nc_ht=scontent-gru2-2.cdninstagram.com&amp;_nc_gid=832jxjWftkKYOGhz8kgttw&amp;oh=00_Afh9bQKhiMzYIp-L0MlyVi2IV00NALX2UrlX1kFaDQBVXg&amp;oe=691BE44B,https://scontent-gru2-2.cdninstagram.com/v/t51.82787-15/541029226_18090488473767674_6246711926379289238_n.heic?stp=dst-jpg_e35_tt6&amp;_nc_cat=102&amp;ig_cache_key=MzcxMjMzNTc4MDk5MzAzMzUzMw%3D%3D.3-ccb1-7&amp;ccb=1-7&amp;_nc_sid=58cdad&amp;efg=eyJ2ZW5jb2RlX3RhZyI6InhwaWRzLjE0NDB4MTgwMC5zZHIuQzMifQ%3D%3D&amp;_nc_ohc=wn_BVdpWPwMQ7kNvwGUTD3J&amp;_nc_oc=AdnxAQ4k0xUUzwKYifBmNRytclh0-FpU7DKAYR2Xaokp276KXWXjJbYklNI4JFCmVUpt9I8Y3KVTYm6rMYZWmVJv&amp;_nc_ad=z-m&amp;_nc_cid=0&amp;_nc_zt=23&amp;_nc_ht=scontent-gru2-2.cdninstagram.com&amp;_nc_gid=832jxjWftkKYOGhz8kgttw&amp;oh=00_Afgq2VceCw9vTUfpoLY3p-NQKT43qKe0ycoN6-1trprHJg&amp;oe=691BE93A,https://scontent-gru2-1.cdninstagram.com/v/t51.82787-15/540428399_18090488482767674_8491712421079309999_n.heic?stp=dst-jpg_e35_tt6&amp;_nc_cat=111&amp;ig_cache_key=MzcxMjMzNTc4MTA2MDEwNTUyMQ%3D%3D.3-ccb1-7&amp;ccb=1-7&amp;_nc_sid=58cdad&amp;efg=eyJ2ZW5jb2RlX3RhZyI6InhwaWRzLjE0NDB4MTgwMC5zZHIuQzMifQ%3D%3D&amp;_nc_ohc=r8ldw2NZfX4Q7kNvwEJ5HWU&amp;_nc_oc=AdmYm595hHslBCjRVHiWbY_tVcFDCdTBlZtt4tBUs038NIWBucN29F_n1xes25SFpGA2p8xVyjeuwWBoIRS8T6X4&amp;_nc_ad=z-m&amp;_nc_cid=0&amp;_nc_zt=23&amp;_nc_ht=scontent-gru2-1.cdninstagram.com&amp;_nc_gid=832jxjWftkKYOGhz8kgttw&amp;oh=00_Afgg_TjiWWvCDe8jXIbawArWtFSHeiY910rwNElAcBalcQ&amp;oe=691BCE9A</t>
  </si>
  <si>
    <t>https://www.instagram.com/p/DRAl-15ka-1</t>
  </si>
  <si>
    <t>https://www.instagram.com/p/DOyceyqDJRi</t>
  </si>
  <si>
    <t>https://scontent-gru2-1.cdninstagram.com/v/t51.2885-19/343300468_614553440272619_4120800574994471110_n.jpg?stp=dst-jpg_s150x150_tt6&amp;efg=eyJ2ZW5jb2RlX3RhZyI6InByb2ZpbGVfcGljLmRqYW5nby45MzIuYzIifQ&amp;_nc_ht=scontent-gru2-1.cdninstagram.com&amp;_nc_cat=111&amp;_nc_oc=Q6cZ2QF_7ptarWIDxLQefAQP7jjZgjnL08KAuVm4XgP8894Q5wMko3rhS2q9wnBYbHhZfcBPUSFTNQVgLTyYpt_NADMy&amp;_nc_ohc=2eDuyJC8GLQQ7kNvwFU9JL-&amp;_nc_gid=832jxjWftkKYOGhz8kgttw&amp;edm=AFlAz-oBAAAA&amp;ccb=7-5&amp;oh=00_Afi40RO1uBaMnZj6henFLhciyy4CGadKCJICz7i9GLSPVQ&amp;oe=691BFC39&amp;_nc_sid=76c0fc</t>
  </si>
  <si>
    <t>Talvez você não seja desorganizado, preguiçoso ou exagerado. Talvez você só esteja vivendo sem diagnóstico, carregando sozinho um cérebro que funciona diferente. Se a vida sempre pareceu difícil demais, talvez o problema nunca tenha sido você. 
#tdahadulto #autismoadulto #neurodivergência #diagnósticoimporta #saúdemental</t>
  </si>
  <si>
    <t>https://instagram.fcgh9-1.fna.fbcdn.net/v/t51.2885-19/451657023_4166843333546180_2546503847286835108_n.jpg?stp=dst-jpg_s150x150_tt6&amp;efg=eyJ2ZW5jb2RlX3RhZyI6InByb2ZpbGVfcGljLmRqYW5nby40MTEuYzIifQ&amp;_nc_ht=instagram.fcgh9-1.fna.fbcdn.net&amp;_nc_cat=108&amp;_nc_oc=Q6cZ2QFPov7R9KkJkRWPhoul_WHPqgeeCzwRjTZJfLUvhQ7Ahn-FmGOPACvW2uuxfW4XFm6i_ZZl8_zjX6ppwx6UG-Ds&amp;_nc_ohc=bagxgy2JW-oQ7kNvwHxIN2j&amp;_nc_gid=Pc-yOprRxmpD2PcEEeKiuQ&amp;edm=AFlAz-oBAAAA&amp;ccb=7-5&amp;oh=00_AfgFzRxcYyXT1LCWKcbwbguFJqxjLbxejOeJK_g34orO7A&amp;oe=6930DAE3&amp;_nc_sid=76c0fc</t>
  </si>
  <si>
    <t>https://scontent-gru2-2.cdninstagram.com/v/t39.30808-6/547739167_1332859212178548_2277358149879575446_n.jpg?stp=dst-jpg_e35_tt6&amp;_nc_cat=102&amp;ig_cache_key=MzcyNTE2NTEwMzA2Nzk5MzE4Ng%3D%3D.3-ccb1-7&amp;ccb=1-7&amp;_nc_sid=58cdad&amp;efg=eyJ2ZW5jb2RlX3RhZyI6InhwaWRzLjEwODB4MTM1MC5zZHIuQzMifQ%3D%3D&amp;_nc_ohc=DcaA7XQl-2QQ7kNvwHxa2Jf&amp;_nc_oc=AdkASy92FQGSlHxkszUW6YFrzBzAK-DzWHJqSXNgqtS8bC82eNOfLDh-Qvl-i-67MJuVfXE3scvewCevl__QCbxk&amp;_nc_ad=z-m&amp;_nc_cid=0&amp;_nc_zt=23&amp;_nc_ht=scontent-gru2-2.cdninstagram.com&amp;_nc_gid=832jxjWftkKYOGhz8kgttw&amp;oh=00_AfiZ4Tw_w_TeghTSiT3y03TwZQwYqcK_g1_5CzGjntKBBQ&amp;oe=691BE98B</t>
  </si>
  <si>
    <t>Passo Fundo, Rio Grande Do Sul</t>
  </si>
  <si>
    <t>-28.2667,-52.4</t>
  </si>
  <si>
    <t>DOW2qG2k_ZJ</t>
  </si>
  <si>
    <t>https://scontent.cdninstagram.com/v/t51.82787-15/581261053_18538459930055017_5467925697168884290_n.jpg?stp=dst-jpg_e35_tt6&amp;_nc_cat=111&amp;ig_cache_key=Mzc2NTEzMTAyNTIyMDQ3OTQ0OQ%3D%3D.3-ccb7-5&amp;ccb=7-5&amp;_nc_sid=58cdad&amp;efg=eyJ2ZW5jb2RlX3RhZyI6InhwaWRzLjEwODB4MTM1MC5zZHIuQzMifQ%3D%3D&amp;_nc_ohc=43xUWprQAeMQ7kNvwGQaNzG&amp;_nc_oc=AdnWWSW5WOlinkwOnmA83hyAqLwpL05qXjkQuGHlYVy_GHbPIZsARxqfQLcYmmZ3hs08P2UabtyP-kDu4meBKq7D&amp;_nc_ad=z-m&amp;_nc_cid=0&amp;_nc_zt=23&amp;_nc_ht=scontent.cdninstagram.com&amp;_nc_gid=Pc-yOprRxmpD2PcEEeKiuQ&amp;oh=00_AfgDFUCZd07six7okKStzUF0lEzP71V3Ro9T4DiafJAvkA&amp;oe=6930EF58,https://scontent.cdninstagram.com/v/t51.82787-15/583121180_18538459939055017_1995745348122357510_n.jpg?stp=dst-jpg_e35_tt6&amp;_nc_cat=110&amp;ig_cache_key=Mzc2NTEzMTAyNTE5NTMwODMxMg%3D%3D.3-ccb7-5&amp;ccb=7-5&amp;_nc_sid=58cdad&amp;efg=eyJ2ZW5jb2RlX3RhZyI6InhwaWRzLjEwODB4MTM1MC5zZHIuQzMifQ%3D%3D&amp;_nc_ohc=YpfrFMociT8Q7kNvwGlqKT3&amp;_nc_oc=AdldJ9uHwMa7WdtsQBsO57BXxTZVQg4X8s8488RtiEKlmY5EvSdfu5p39v2tMOZTpr1x9TGZmy-PAgV9pelulNPd&amp;_nc_ad=z-m&amp;_nc_cid=0&amp;_nc_zt=23&amp;_nc_ht=scontent.cdninstagram.com&amp;_nc_gid=Pc-yOprRxmpD2PcEEeKiuQ&amp;oh=00_AfhryDR8jg0wuYHfifBhjtO4CMy4W24Sorkoy_cBoQpahg&amp;oe=6930D568,https://scontent.cdninstagram.com/v/t51.82787-15/581982710_18538459948055017_4683354199035592759_n.jpg?stp=dst-jpg_e35_tt6&amp;_nc_cat=100&amp;ig_cache_key=Mzc2NTEzMTAyNTIxMjA0ODQ3Mg%3D%3D.3-ccb7-5&amp;ccb=7-5&amp;_nc_sid=58cdad&amp;efg=eyJ2ZW5jb2RlX3RhZyI6InhwaWRzLjEwODB4MTM1MC5zZHIuQzMifQ%3D%3D&amp;_nc_ohc=eoU_-WwfzhUQ7kNvwHkRcS6&amp;_nc_oc=AdkxJ79Ncv7FTOZqs7qqMYxy7dr1eC6hc_74TlfKpUmxeJnS1ahfmtAyRNvWMMGI2ezCw6Cl0UYG9MYlJDipRbUD&amp;_nc_ad=z-m&amp;_nc_cid=0&amp;_nc_zt=23&amp;_nc_ht=scontent.cdninstagram.com&amp;_nc_gid=Pc-yOprRxmpD2PcEEeKiuQ&amp;oh=00_AfjPvIrYpp8LUqdvLOitxNEhBs1SrlFXp1abOJHJWDmPVw&amp;oe=6930DBF4,https://scontent.cdninstagram.com/v/t51.82787-15/580999505_18538459957055017_2358640029576739096_n.jpg?stp=dst-jpg_e35_tt6&amp;_nc_cat=104&amp;ig_cache_key=Mzc2NTEzMTAyNTIwMzY3MDUyNA%3D%3D.3-ccb7-5&amp;ccb=7-5&amp;_nc_sid=58cdad&amp;efg=eyJ2ZW5jb2RlX3RhZyI6InhwaWRzLjEwODB4MTM1MC5zZHIuQzMifQ%3D%3D&amp;_nc_ohc=qimfjJGYKpQQ7kNvwHvirTg&amp;_nc_oc=Adlswo9bprAYj_J0eV4Su3nWzYOAOKDGgpl6fbATz6dbHzOTUzLhk1cOuNaMk6mNyTvz_6f7xPhRtummi0FatT0A&amp;_nc_ad=z-m&amp;_nc_cid=0&amp;_nc_zt=23&amp;_nc_ht=scontent.cdninstagram.com&amp;_nc_gid=Pc-yOprRxmpD2PcEEeKiuQ&amp;oh=00_AfigHICw7g4KwjVMl18TKGluGTbjtb3OL99QFdAovXuOhw&amp;oe=6930EBBF,https://scontent.cdninstagram.com/v/t51.82787-15/583046291_18538459966055017_81595840204204348_n.jpg?stp=dst-jpg_e35_tt6&amp;_nc_cat=111&amp;ig_cache_key=Mzc2NTEzMTAyNTE5NTI4Mzk0MQ%3D%3D.3-ccb7-5&amp;ccb=7-5&amp;_nc_sid=58cdad&amp;efg=eyJ2ZW5jb2RlX3RhZyI6InhwaWRzLjEwODB4MTM1MC5zZHIuQzMifQ%3D%3D&amp;_nc_ohc=IQdRiPJX8PQQ7kNvwG_meoO&amp;_nc_oc=AdnbQ6_TDBfusBpbIFF_o5MaSbX5Z5eyKVU6l9rWd9m857BJIiaJYHsmh2siZelKQZDrTXdlHz2ESHAJwZcVboOY&amp;_nc_ad=z-m&amp;_nc_cid=0&amp;_nc_zt=23&amp;_nc_ht=scontent.cdninstagram.com&amp;_nc_gid=Pc-yOprRxmpD2PcEEeKiuQ&amp;oh=00_AfgemVd-R8ns49RhzW1yevn2HwXqiCPRk2SCv6MHHrpndg&amp;oe=6930F63C,https://scontent.cdninstagram.com/v/t51.82787-15/580949844_18538459975055017_7439926325615192104_n.jpg?stp=dst-jpg_e35_tt6&amp;_nc_cat=101&amp;ig_cache_key=Mzc2NTEzMTAyNTI2MjQyOTYwMA%3D%3D.3-ccb7-5&amp;ccb=7-5&amp;_nc_sid=58cdad&amp;efg=eyJ2ZW5jb2RlX3RhZyI6InhwaWRzLjEwODB4MTM1MC5zZHIuQzMifQ%3D%3D&amp;_nc_ohc=xSLGO_ArnC0Q7kNvwH5pYmN&amp;_nc_oc=AdkWJw7GeZwH81WVleZAxVmREpH1U_t_8V6z_sjV2y9byRzcWseaIWAIKyH4O5KXzFxPB95mXVWvK2_5Ikhuqbwx&amp;_nc_ad=z-m&amp;_nc_cid=0&amp;_nc_zt=23&amp;_nc_ht=scontent.cdninstagram.com&amp;_nc_gid=Pc-yOprRxmpD2PcEEeKiuQ&amp;oh=00_Afg6aycRiHbzWvtVP0y5nAZMnWP3LtL7df-dS6Ab7U8qUw&amp;oe=6930E605,https://scontent.cdninstagram.com/v/t51.82787-15/581258739_18538459984055017_7729759221673875473_n.jpg?stp=dst-jpg_e35_tt6&amp;_nc_cat=106&amp;ig_cache_key=Mzc2NTEzMTAyNTMyMTEwMDQwNg%3D%3D.3-ccb7-5&amp;ccb=7-5&amp;_nc_sid=58cdad&amp;efg=eyJ2ZW5jb2RlX3RhZyI6InhwaWRzLjEwODB4MTM1MC5zZHIuQzMifQ%3D%3D&amp;_nc_ohc=nW2StERcxWsQ7kNvwH70SiZ&amp;_nc_oc=AdlzPbQZsWHyelt6ZXg4otfO2ZI6TB5F820D2-A2SGXV1MTKVo_7XZ6362oByPXA2xgFMQ5770m8BCRoHyqDv9um&amp;_nc_ad=z-m&amp;_nc_cid=0&amp;_nc_zt=23&amp;_nc_ht=scontent.cdninstagram.com&amp;_nc_gid=Pc-yOprRxmpD2PcEEeKiuQ&amp;oh=00_Afi5_xf2LkAgW3-XSL0vCZOvYse0haSPNKgMi1qH5XO0rg&amp;oe=6930E69F,https://scontent.cdninstagram.com/v/t51.82787-15/581337152_18538459993055017_4735461176211381491_n.jpg?stp=dst-jpg_e35_tt6&amp;_nc_cat=104&amp;ig_cache_key=Mzc2NTEzMTAyNTE5NTMwNjg1NQ%3D%3D.3-ccb7-5&amp;ccb=7-5&amp;_nc_sid=58cdad&amp;efg=eyJ2ZW5jb2RlX3RhZyI6InhwaWRzLjEwODB4MTM1MC5zZHIuQzMifQ%3D%3D&amp;_nc_ohc=afAVZVrgaG4Q7kNvwFHrdjp&amp;_nc_oc=AdmwX9AQGiMRWuFjMlqY-08FJbZ8m92e4TnQZYzKiBCnddyG7ywsJpjPuAAVGPucclNicOWD1fl9LM0IV_zIU4UE&amp;_nc_ad=z-m&amp;_nc_cid=0&amp;_nc_zt=23&amp;_nc_ht=scontent.cdninstagram.com&amp;_nc_gid=Pc-yOprRxmpD2PcEEeKiuQ&amp;oh=00_AfgKfQz20_wCsQl4u-G0Q28RAmKu7QpV3tjDlI3GWsD42Q&amp;oe=6930DF5D,https://scontent.cdninstagram.com/v/t51.82787-15/583296052_18538460002055017_4640254624254684498_n.jpg?stp=dst-jpg_e35_tt6&amp;_nc_cat=101&amp;ig_cache_key=Mzc2NTEzMTAyNTE5NTMxMjIwNQ%3D%3D.3-ccb7-5&amp;ccb=7-5&amp;_nc_sid=58cdad&amp;efg=eyJ2ZW5jb2RlX3RhZyI6InhwaWRzLjEwODB4MTM1MC5zZHIuQzMifQ%3D%3D&amp;_nc_ohc=PANcrYIa47MQ7kNvwGt13Iw&amp;_nc_oc=AdnoYMnQyQY0GqoDwQHJ0yB52v_COF9_6BYxFfjfghk1jwdojrHFIc9_n5uBojsLWZl7gxwweAATkm6ssqDiKpf_&amp;_nc_ad=z-m&amp;_nc_cid=0&amp;_nc_zt=23&amp;_nc_ht=scontent.cdninstagram.com&amp;_nc_gid=Pc-yOprRxmpD2PcEEeKiuQ&amp;oh=00_AfhV8N5L38ys-scPtTORVjvA-OZGbs4lE8b9fu-yRdu-yw&amp;oe=6930E954,https://scontent.cdninstagram.com/v/t51.82787-15/583027792_18538460011055017_4654049749226536707_n.jpg?stp=dst-jpg_e35_tt6&amp;_nc_cat=100&amp;ig_cache_key=Mzc2NTEzMTAyNTIyODgzMDA1NQ%3D%3D.3-ccb7-5&amp;ccb=7-5&amp;_nc_sid=58cdad&amp;efg=eyJ2ZW5jb2RlX3RhZyI6InhwaWRzLjEwODB4MTM1MC5zZHIuQzMifQ%3D%3D&amp;_nc_ohc=iUAYSRe8mVEQ7kNvwGvY19c&amp;_nc_oc=AdnNdImOU8Eoug1cO3yhKXhjzu9MU1cf4MoCEqgNCIBKNYKSUKwYZcDRWZVMQQMVsjIXH2md_upgmQu7OXgT_cr_&amp;_nc_ad=z-m&amp;_nc_cid=0&amp;_nc_zt=23&amp;_nc_ht=scontent.cdninstagram.com&amp;_nc_gid=Pc-yOprRxmpD2PcEEeKiuQ&amp;oh=00_AfjbiIoVEHyRYcv-mysitw3oeYCB7PFWgFHYZTUbn6HLjQ&amp;oe=6930CBEE</t>
  </si>
  <si>
    <t>https://www.instagram.com/p/DOW2qG2k_ZJ</t>
  </si>
  <si>
    <t>tdahadulto,autismoadulto,neurodivergência,diagnósticoimporta,saúdemental</t>
  </si>
  <si>
    <t>DRNkaYrD1_p</t>
  </si>
  <si>
    <t>Transtorno de Personalidade Borderline e TDAH têm pontos em comum, mas são condições diferentes!
Neste post, você vai encontrar:
✨ Principais traços de cada um;
🔗 Sintomas que se sobrepõem;
💡 Entenda como eles se apresentam na prática;
⚠️ Atenção:
As informações são para fins didáticos e não substituem avaliação profissional.
Se você se identifica, procure ajuda especializada. O autodiagnóstico pode ser perigoso. ⚠️
 #tdah #tdahadulto #transtornoborderline #transtornodepersonalidadeborderline #psiquiatraonline 
Dra. Kelly Eugênio
Psiquiatra | CRM-MG 62.893 | RQE 57.829
📍 Montes Claros | Atendimento presencial e online
📱 Agendamentos via link na bio</t>
  </si>
  <si>
    <t>drakellyeugeniopsiquiatra</t>
  </si>
  <si>
    <t>Kelly Eugênio | Médica Psiquiatra</t>
  </si>
  <si>
    <t>https://scontent-gru2-1.cdninstagram.com/v/t51.2885-19/576115846_18148972519422981_7507511265202803568_n.jpg?stp=dst-jpg_s150x150_tt6&amp;efg=eyJ2ZW5jb2RlX3RhZyI6InByb2ZpbGVfcGljLmRqYW5nby4xMDgwLmMyIn0&amp;_nc_ht=scontent-gru2-1.cdninstagram.com&amp;_nc_cat=109&amp;_nc_oc=Q6cZ2QF_7ptarWIDxLQefAQP7jjZgjnL08KAuVm4XgP8894Q5wMko3rhS2q9wnBYbHhZfcBPUSFTNQVgLTyYpt_NADMy&amp;_nc_ohc=nkywnO5ZAAoQ7kNvwHjrORR&amp;_nc_gid=832jxjWftkKYOGhz8kgttw&amp;edm=AFlAz-oBAAAA&amp;ccb=7-5&amp;oh=00_Afh909hRp9QgVWqOuvhu-o1hQJ5QYAeSSvRa3cCDnbORJQ&amp;oe=691BEC5F&amp;_nc_sid=76c0fc</t>
  </si>
  <si>
    <t>https://www.instagram.com/p/DRNkaYrD1_p</t>
  </si>
  <si>
    <t>É importante lembrar:
Não…o TDAH não é um super poder. 
E é um diagnóstico por um motivo: traz prejuízos (e muitos, viu?)
Mas, você não se resume ao TDAH e
Tendo orientação adequada você aprende a manejar os déficits e a enxergar as potencialidades.
Se alguém não te disse isso hoje: sim, você é capaz.
E se sente que não está conseguindo lidar sozinho com isso, procure ajuda profissional. ❤️</t>
  </si>
  <si>
    <t>https://instagram.fcgh9-1.fna.fbcdn.net/v/t51.2885-19/454655817_415212718224218_4878863477330946250_n.jpg?stp=dst-jpg_s150x150_tt6&amp;efg=eyJ2ZW5jb2RlX3RhZyI6InByb2ZpbGVfcGljLmRqYW5nby4xMDQwLmMyIn0&amp;_nc_ht=instagram.fcgh9-1.fna.fbcdn.net&amp;_nc_cat=102&amp;_nc_oc=Q6cZ2QFPov7R9KkJkRWPhoul_WHPqgeeCzwRjTZJfLUvhQ7Ahn-FmGOPACvW2uuxfW4XFm6i_ZZl8_zjX6ppwx6UG-Ds&amp;_nc_ohc=vvePLaUBoRUQ7kNvwHqfw3E&amp;_nc_gid=Pc-yOprRxmpD2PcEEeKiuQ&amp;edm=AFlAz-oBAAAA&amp;ccb=7-5&amp;oh=00_AfiwHFVeeE8DdfB7K65xybyU526ZU__Rb0oXpdIBBr9gFg&amp;oe=6930FB00&amp;_nc_sid=76c0fc</t>
  </si>
  <si>
    <t>https://scontent-gru2-2.cdninstagram.com/v/t39.30808-6/544978792_122221462574140747_4246589021929324983_n.jpg?stp=dst-jpg_e35_tt6&amp;_nc_cat=106&amp;ig_cache_key=MzcxNzM5ODkzMDUyODY2MzExMw%3D%3D.3-ccb1-7&amp;ccb=1-7&amp;_nc_sid=58cdad&amp;efg=eyJ2ZW5jb2RlX3RhZyI6InhwaWRzLjEwODB4MTM1MC5zZHIuQzMifQ%3D%3D&amp;_nc_ohc=vShHZANp1_0Q7kNvwHe0Ylt&amp;_nc_oc=AdlEW4lE09epVihEqUIblJAfVDGZpR8Hm4mtCdzI-MBX6qbWi81qII37x1_9semVxsaMOFa52ZhpBLLLGWAcm6eN&amp;_nc_ad=z-m&amp;_nc_cid=0&amp;_nc_zt=23&amp;_nc_ht=scontent-gru2-2.cdninstagram.com&amp;_nc_gid=832jxjWftkKYOGhz8kgttw&amp;oh=00_AfiTbCDyXOMBZNs509004BowxFzKdaPsPZNuk2qTziEiIQ&amp;oe=691BD26A</t>
  </si>
  <si>
    <t>https://scontent.cdninstagram.com/v/t51.82787-15/583117123_18099568825767674_2483985895575591293_n.jpg?stp=dst-jpg_e35_tt6&amp;_nc_cat=100&amp;ig_cache_key=Mzc2ODgyODU5MzE0MTk1MzMzNQ%3D%3D.3-ccb7-5&amp;ccb=7-5&amp;_nc_sid=58cdad&amp;efg=eyJ2ZW5jb2RlX3RhZyI6InhwaWRzLjE0NDB4MTgwMC5zZHIuQzMifQ%3D%3D&amp;_nc_ohc=i3ccyKqe9U4Q7kNvwFveOOM&amp;_nc_oc=AdmZA48D9pZMRLmYj529SkPKoOUf_Mvyyf5KUlzBHwedfWp_Kt_5-pqx5yNtGLx3qxngTK4hlSRGAhBpeSCZk3C1&amp;_nc_ad=z-m&amp;_nc_cid=0&amp;_nc_zt=23&amp;_nc_ht=scontent.cdninstagram.com&amp;_nc_gid=Pc-yOprRxmpD2PcEEeKiuQ&amp;oh=00_AfhUMKqBIakIny2vhm7urZG1qqTVMzcoWRev85hsW-zplg&amp;oe=6930C3BB,https://scontent.cdninstagram.com/v/t51.82787-15/583198143_18099568834767674_7617889620823181800_n.jpg?stp=dst-jpg_e35_tt6&amp;_nc_cat=101&amp;ig_cache_key=Mzc2ODgyODU5MzE0MTk0NjY2Nw%3D%3D.3-ccb7-5&amp;ccb=7-5&amp;_nc_sid=58cdad&amp;efg=eyJ2ZW5jb2RlX3RhZyI6InhwaWRzLjE0NDB4MTgwMC5zZHIuQzMifQ%3D%3D&amp;_nc_ohc=naVmeuDUKTkQ7kNvwE_RUVl&amp;_nc_oc=Adk0HFTQFQZA9TIDoi3BnmwDffdo7FLl8W9edh13TfLAjwqpPn8vLdDkOAjzSlAQrH9WpL4hig-t8ecCHAJ7DLVv&amp;_nc_ad=z-m&amp;_nc_cid=0&amp;_nc_zt=23&amp;_nc_ht=scontent.cdninstagram.com&amp;_nc_gid=Pc-yOprRxmpD2PcEEeKiuQ&amp;oh=00_AfjRq9LEPwJrkGRoGlfsZ7VAiXH8NqHQxrRXp-UThjEAIQ&amp;oe=6930CEA1,https://scontent.cdninstagram.com/v/t51.82787-15/582196909_18099568843767674_9207188327359235610_n.jpg?stp=dst-jpg_e35_tt6&amp;_nc_cat=100&amp;ig_cache_key=Mzc2ODgyODU5MzA5MTU3ODc5Mg%3D%3D.3-ccb7-5&amp;ccb=7-5&amp;_nc_sid=58cdad&amp;efg=eyJ2ZW5jb2RlX3RhZyI6InhwaWRzLjE0NDB4MTgwMC5zZHIuQzMifQ%3D%3D&amp;_nc_ohc=chwuPcJmRfIQ7kNvwEPWGDD&amp;_nc_oc=AdnVgRNz9eXFJZR3dLPb0k8RzOaYYN9vKta2H4gZ8bpbT2Iza6rPALzb5_EogGAgI1yfbKnKADmaFITldqpfQ27v&amp;_nc_ad=z-m&amp;_nc_cid=0&amp;_nc_zt=23&amp;_nc_ht=scontent.cdninstagram.com&amp;_nc_gid=Pc-yOprRxmpD2PcEEeKiuQ&amp;oh=00_AfhoMwvA5BoQVDciC2c2EBaHudXjgSVO-b7EJmU0rxEz_Q&amp;oe=6930C97B,https://scontent.cdninstagram.com/v/t51.82787-15/584303965_18099568852767674_2854889880035898830_n.jpg?stp=dst-jpg_e35_tt6&amp;_nc_cat=107&amp;ig_cache_key=Mzc2ODgyODU5MzEzMzU3Nzg3OA%3D%3D.3-ccb7-5&amp;ccb=7-5&amp;_nc_sid=58cdad&amp;efg=eyJ2ZW5jb2RlX3RhZyI6InhwaWRzLjE0NDB4MTgwMC5zZHIuQzMifQ%3D%3D&amp;_nc_ohc=dEgL7vXpPC4Q7kNvwFLAO_C&amp;_nc_oc=Admwr-JoNIxaX_e2JN8-PsUUpCluvtc6qrc_mIf9qoaxo0NdSm28wk7Ixax2PWGT0sBKdWcZ6Ns7BcSN7fLoVz4a&amp;_nc_ad=z-m&amp;_nc_cid=0&amp;_nc_zt=23&amp;_nc_ht=scontent.cdninstagram.com&amp;_nc_gid=Pc-yOprRxmpD2PcEEeKiuQ&amp;oh=00_AfgX-nz7e3pWVSPLHzQ4Py4vn8-bmfngMlx0gbxZvc6qfg&amp;oe=6930D6C6,https://scontent.cdninstagram.com/v/t51.82787-15/582082262_18099568861767674_3273412779797633432_n.jpg?stp=dst-jpg_e35_tt6&amp;_nc_cat=103&amp;ig_cache_key=Mzc2ODgyODU5MzA1ODA2NzU0NQ%3D%3D.3-ccb7-5&amp;ccb=7-5&amp;_nc_sid=58cdad&amp;efg=eyJ2ZW5jb2RlX3RhZyI6InhwaWRzLjE0NDB4MTgwMC5zZHIuQzMifQ%3D%3D&amp;_nc_ohc=DUFIBqTtnigQ7kNvwGkInD8&amp;_nc_oc=AdkWRplxcmQw8NZdlfcVHad7pAOU7Q-5xrerlWRNY5tky_TIA0mZPADspM6RQh6MHsrHwC8_MZcP9RsEyteZq6dS&amp;_nc_ad=z-m&amp;_nc_cid=0&amp;_nc_zt=23&amp;_nc_ht=scontent.cdninstagram.com&amp;_nc_gid=Pc-yOprRxmpD2PcEEeKiuQ&amp;oh=00_AfiIEfuvxPg4G728SoTpyAaqTVA6q7ZREQ_vXD33hqI0ow&amp;oe=6930D0AB,https://scontent.cdninstagram.com/v/t51.82787-15/581525277_18099568879767674_1888338073467341049_n.jpg?stp=dst-jpg_e35_tt6&amp;_nc_cat=111&amp;ig_cache_key=Mzc2ODgyODU5Mjk1NzQxNDIyMg%3D%3D.3-ccb7-5&amp;ccb=7-5&amp;_nc_sid=58cdad&amp;efg=eyJ2ZW5jb2RlX3RhZyI6InhwaWRzLjE0NDB4MTgwMC5zZHIuQzMifQ%3D%3D&amp;_nc_ohc=eA0601ibCdkQ7kNvwE7I_4f&amp;_nc_oc=AdkTIRZAK2O5wTUBUjZu6H5w8iW3WD2EBmwAHO6cLsWMJ2TIQAhsKMseUohQ_Zm6j8Xak7f1mIyTZmG8uzjhumAX&amp;_nc_ad=z-m&amp;_nc_cid=0&amp;_nc_zt=23&amp;_nc_ht=scontent.cdninstagram.com&amp;_nc_gid=Pc-yOprRxmpD2PcEEeKiuQ&amp;oh=00_AfjtBEvJhkMLbE3Rr7jk7fzpu69yepEbVAclKvxeLRV12Q&amp;oe=6930CC05,https://scontent.cdninstagram.com/v/t51.82787-15/583332663_18099568870767674_1998633296554678725_n.jpg?stp=dst-jpg_e35_tt6&amp;_nc_cat=100&amp;ig_cache_key=Mzc2ODgyODU5Mjk2NTc1MDQwOQ%3D%3D.3-ccb7-5&amp;ccb=7-5&amp;_nc_sid=58cdad&amp;efg=eyJ2ZW5jb2RlX3RhZyI6InhwaWRzLjE0NDB4MTgwMC5zZHIuQzMifQ%3D%3D&amp;_nc_ohc=HAQfdXZ-nNQQ7kNvwHuy7Po&amp;_nc_oc=Adlm7RxggqbPhOP4sobsSclScJzBI5Ax5X9l6kBcjx5MXnfxUymlD6jsmBkQZwT4X5b3yb3i_H0Kjv-uKVdrRZ7O&amp;_nc_ad=z-m&amp;_nc_cid=0&amp;_nc_zt=23&amp;_nc_ht=scontent.cdninstagram.com&amp;_nc_gid=Pc-yOprRxmpD2PcEEeKiuQ&amp;oh=00_AfghXDmL0YkJ1OnwjRGYMlBFR6LRpY84T0pG6vuAKtfzxA&amp;oe=6930C73B</t>
  </si>
  <si>
    <t>tdah,tdahadulto,transtornoborderline,transtornodepersonalidadeborderline,psiquiatraonline</t>
  </si>
  <si>
    <t>https://www.instagram.com/p/DOXBit6DGdz</t>
  </si>
  <si>
    <t>https://scontent-gru1-2.cdninstagram.com/v/t51.2885-19/363500112_265279026131451_3375377597105336600_n.jpg?stp=dst-jpg_s150x150_tt6&amp;efg=eyJ2ZW5jb2RlX3RhZyI6InByb2ZpbGVfcGljLmRqYW5nby4xMDgwLmMyIn0&amp;_nc_ht=scontent-gru1-2.cdninstagram.com&amp;_nc_cat=103&amp;_nc_oc=Q6cZ2QF_7ptarWIDxLQefAQP7jjZgjnL08KAuVm4XgP8894Q5wMko3rhS2q9wnBYbHhZfcBPUSFTNQVgLTyYpt_NADMy&amp;_nc_ohc=lTeuoHmBi40Q7kNvwFORD9S&amp;_nc_gid=832jxjWftkKYOGhz8kgttw&amp;edm=AFlAz-oBAAAA&amp;ccb=7-5&amp;oh=00_AfgkuEqLlk6PrPJ5KL4_DvP_T3WfHQyVSj6ybLRMnvLrmg&amp;oe=691C0081&amp;_nc_sid=76c0fc</t>
  </si>
  <si>
    <t>https://instagram.fcgh9-1.fna.fbcdn.net/v/t51.2885-19/363500112_265279026131451_3375377597105336600_n.jpg?stp=dst-jpg_s150x150_tt6&amp;efg=eyJ2ZW5jb2RlX3RhZyI6InByb2ZpbGVfcGljLmRqYW5nby4xMDgwLmMyIn0&amp;_nc_ht=instagram.fcgh9-1.fna.fbcdn.net&amp;_nc_cat=103&amp;_nc_oc=Q6cZ2QFPov7R9KkJkRWPhoul_WHPqgeeCzwRjTZJfLUvhQ7Ahn-FmGOPACvW2uuxfW4XFm6i_ZZl8_zjX6ppwx6UG-Ds&amp;_nc_ohc=2ltg-AkWwkQQ7kNvwFPK4VM&amp;_nc_gid=Pc-yOprRxmpD2PcEEeKiuQ&amp;edm=AFlAz-oBAAAA&amp;ccb=7-5&amp;oh=00_AfgsX5wkZwN32uB43bTzMZo_ZK2H0yiZW1WlFNwSVP3aIw&amp;oe=6930E041&amp;_nc_sid=76c0fc</t>
  </si>
  <si>
    <t>https://scontent-gru2-2.cdninstagram.com/v/t39.30808-6/545684429_1836972710529252_1703659941625034657_n.jpg?stp=dst-jpg_e35_tt6&amp;_nc_cat=105&amp;ig_cache_key=MzcxNzQ0Njc4OTUwODE2NjY3Mw%3D%3D.3-ccb1-7&amp;ccb=1-7&amp;_nc_sid=58cdad&amp;efg=eyJ2ZW5jb2RlX3RhZyI6InhwaWRzLjEwODB4MTM1MC5zZHIuQzMifQ%3D%3D&amp;_nc_ohc=VKNW18i96KEQ7kNvwF5AgYW&amp;_nc_oc=AdkQx5KULEOkrTU9oOXxKIX2hCoboc0ul4x0LBGbDmXYEg9O9SXyOeMbPeMPR3bWZv73ghYiCieRBSHN_m73-rN6&amp;_nc_ad=z-m&amp;_nc_cid=0&amp;_nc_zt=23&amp;_nc_ht=scontent-gru2-2.cdninstagram.com&amp;_nc_gid=832jxjWftkKYOGhz8kgttw&amp;oh=00_Afg6WhpT_FAlaF6N64mcPBkDeNPn9LL0vJzgNsfuo3glXw&amp;oe=691BEB59,https://scontent-gru1-2.cdninstagram.com/v/t39.30808-6/545029611_1836972720529251_3016421577974373527_n.jpg?stp=dst-jpg_e35_tt6&amp;_nc_cat=103&amp;ig_cache_key=MzcxNzQ0Njc4OTAyOTk2NDU2NQ%3D%3D.3-ccb1-7&amp;ccb=1-7&amp;_nc_sid=58cdad&amp;efg=eyJ2ZW5jb2RlX3RhZyI6InhwaWRzLjEwODB4MTM1MC5zZHIuQzMifQ%3D%3D&amp;_nc_ohc=22OPE46QZC0Q7kNvwEYgL04&amp;_nc_oc=AdlgCxQsbVGguDoVIoGLvJz3dl86onKpqAqydBCUD-Vljt3fFR0LXhSXUQtG6IMwN0h4YeiPspWJrYti9gHl40AI&amp;_nc_ad=z-m&amp;_nc_cid=0&amp;_nc_zt=23&amp;_nc_ht=scontent-gru1-2.cdninstagram.com&amp;_nc_gid=832jxjWftkKYOGhz8kgttw&amp;oh=00_AfgFsy4X1Cup8vA91QJX7NtfsPHikfqxGOccmbEI3s11hg&amp;oe=691BFE56</t>
  </si>
  <si>
    <t>https://www.instagram.com/p/DQmvlNlD7Yd</t>
  </si>
  <si>
    <t>https://scontent-gru2-1.cdninstagram.com/v/t51.2885-19/401673128_678469827596659_4494033280894812917_n.jpg?stp=dst-jpg_s150x150_tt6&amp;efg=eyJ2ZW5jb2RlX3RhZyI6InByb2ZpbGVfcGljLmRqYW5nby4xMDgwLmMyIn0&amp;_nc_ht=scontent-gru2-1.cdninstagram.com&amp;_nc_cat=107&amp;_nc_oc=Q6cZ2QF_7ptarWIDxLQefAQP7jjZgjnL08KAuVm4XgP8894Q5wMko3rhS2q9wnBYbHhZfcBPUSFTNQVgLTyYpt_NADMy&amp;_nc_ohc=9sJh8HZjEhwQ7kNvwHSa7T5&amp;_nc_gid=832jxjWftkKYOGhz8kgttw&amp;edm=AFlAz-oBAAAA&amp;ccb=7-5&amp;oh=00_AfgTpvv0z5IOlbIyP7aubHAptto_Tzx3Hd5TqbTfcYM1SA&amp;oe=691BD696&amp;_nc_sid=76c0fc</t>
  </si>
  <si>
    <t>https://scontent.cdninstagram.com/v/t39.30808-6/545684429_1836972710529252_1703659941625034657_n.jpg?stp=dst-jpg_e35_tt6&amp;_nc_cat=105&amp;ig_cache_key=MzcxNzQ0Njc4OTUwODE2NjY3Mw%3D%3D.3-ccb7-5&amp;ccb=7-5&amp;_nc_sid=58cdad&amp;efg=eyJ2ZW5jb2RlX3RhZyI6InhwaWRzLjEwODB4MTM1MC5zZHIuQzMifQ%3D%3D&amp;_nc_ohc=8Tqy-tsTBQQQ7kNvwGc7CSA&amp;_nc_oc=AdnAKwYNIUFxse1RUh9cGOKisQ-JlU7kd3tMDt6E9tQCmwxaBa5O28y4ytJ2Dc-cQnqale4UL5V5z2Z9rR-j9n-z&amp;_nc_ad=z-m&amp;_nc_cid=0&amp;_nc_zt=23&amp;_nc_ht=scontent.cdninstagram.com&amp;_nc_gid=Pc-yOprRxmpD2PcEEeKiuQ&amp;oh=00_AfgC6qSNW8b2nVj_80c-3ENzYZcdVR5sPnjp2Cqf0NE2Dg&amp;oe=6930CB19,https://scontent.cdninstagram.com/v/t39.30808-6/545029611_1836972720529251_3016421577974373527_n.jpg?stp=dst-jpg_e35_tt6&amp;_nc_cat=103&amp;ig_cache_key=MzcxNzQ0Njc4OTAyOTk2NDU2NQ%3D%3D.3-ccb7-5&amp;ccb=7-5&amp;_nc_sid=58cdad&amp;efg=eyJ2ZW5jb2RlX3RhZyI6InhwaWRzLjEwODB4MTM1MC5zZHIuQzMifQ%3D%3D&amp;_nc_ohc=XPz5MsqD-IYQ7kNvwG9TWwv&amp;_nc_oc=AdngnmLw5QBukGctzF0mOSd_sBDvlB6i_5yN8lsRR2z_y8lBf8bcV5dluk_20JHyyDtuIj-URnhG3P_77cbeXntR&amp;_nc_ad=z-m&amp;_nc_cid=0&amp;_nc_zt=23&amp;_nc_ht=scontent.cdninstagram.com&amp;_nc_gid=Pc-yOprRxmpD2PcEEeKiuQ&amp;oh=00_AfgmY4UORK7s5kcEbeKkoQ13eYpbeI_BvheRGRSgDNv48Q&amp;oe=6930DE16</t>
  </si>
  <si>
    <t>https://www.instagram.com/p/DQ70aCGDEAD</t>
  </si>
  <si>
    <t>psicohumor,usecorpora</t>
  </si>
  <si>
    <t>psicohumor,Corpora</t>
  </si>
  <si>
    <t>1286517898,57261142400</t>
  </si>
  <si>
    <t>https://instagram.fcgh9-1.fna.fbcdn.net/v/t51.2885-19/450346823_737391045066002_1178007830183780591_n.jpg?stp=dst-jpg_s150x150_tt6&amp;efg=eyJ2ZW5jb2RlX3RhZyI6InByb2ZpbGVfcGljLmRqYW5nby43NTYuYzIifQ&amp;_nc_ht=instagram.fcgh9-1.fna.fbcdn.net&amp;_nc_cat=102&amp;_nc_oc=Q6cZ2QFPov7R9KkJkRWPhoul_WHPqgeeCzwRjTZJfLUvhQ7Ahn-FmGOPACvW2uuxfW4XFm6i_ZZl8_zjX6ppwx6UG-Ds&amp;_nc_ohc=7BBDKiSRR5AQ7kNvwEPwGQe&amp;_nc_gid=Pc-yOprRxmpD2PcEEeKiuQ&amp;edm=AFlAz-oBAAAA&amp;ccb=7-5&amp;oh=00_AfiDrKYa3pMG7TtKCIxFuHz-YeB0KIHY3b997-1MFjAoNQ&amp;oe=6930F177&amp;_nc_sid=76c0fc</t>
  </si>
  <si>
    <t>https://scontent-gru2-2.cdninstagram.com/v/t51.82787-15/573324786_18324666469240163_570230804042894005_n.heic?stp=dst-jpg_e35_tt6&amp;_nc_cat=102&amp;ig_cache_key=Mzc1NzkwMDE5MDEzODIyNTIxNQ%3D%3D.3-ccb1-7&amp;ccb=1-7&amp;_nc_sid=58cdad&amp;efg=eyJ2ZW5jb2RlX3RhZyI6InhwaWRzLjE0NDB4MTgwMC5zZHIuQzMifQ%3D%3D&amp;_nc_ohc=4NbDcaL1ZXAQ7kNvwFoV_uM&amp;_nc_oc=Adlmr5SMI_ERmZlFxAcekwFCSdzySKTOxiWO_U9Y5_U0urJj7CB7Ed88fws9c4U4h7iE2i8VdaRlfGQcgXLk13iR&amp;_nc_ad=z-m&amp;_nc_cid=0&amp;_nc_zt=23&amp;_nc_ht=scontent-gru2-2.cdninstagram.com&amp;_nc_gid=832jxjWftkKYOGhz8kgttw&amp;oh=00_AfiO5g8UtPwGKM1zxnODEHYsGVw_29eyqmxkUqvBzxWN7w&amp;oe=691BFC84,https://scontent-gru1-2.cdninstagram.com/v/t51.82787-15/573758134_18324666478240163_698689003008187131_n.heic?stp=dst-jpg_e35_tt6&amp;_nc_cat=108&amp;ig_cache_key=Mzc1NzkwMDE5MDEyOTc5OTQ3NA%3D%3D.3-ccb1-7&amp;ccb=1-7&amp;_nc_sid=58cdad&amp;efg=eyJ2ZW5jb2RlX3RhZyI6InhwaWRzLjE0NDB4MTgwMC5zZHIuQzMifQ%3D%3D&amp;_nc_ohc=PRryPLwMQoUQ7kNvwE7jWv8&amp;_nc_oc=AdnFFFgX59XJqltaId5onOYWivv1R8wf_ukmrqebkLrROOcjjhla_45Sk130EaPfBT2A8YDnbG9thgDyCT3d5_qN&amp;_nc_ad=z-m&amp;_nc_cid=0&amp;_nc_zt=23&amp;_nc_ht=scontent-gru1-2.cdninstagram.com&amp;_nc_gid=832jxjWftkKYOGhz8kgttw&amp;oh=00_Afip30bAaH3RUy-xzCXPKP9X8gMq9lgb3vDxo7VCBwaUug&amp;oe=691BF48A,https://scontent-gru2-2.cdninstagram.com/v/t51.82787-15/574394777_18324666487240163_519248367284024710_n.heic?stp=dst-jpg_e35_tt6&amp;_nc_cat=102&amp;ig_cache_key=Mzc1NzkwMDE5MDExMzA0MzYyNw%3D%3D.3-ccb1-7&amp;ccb=1-7&amp;_nc_sid=58cdad&amp;efg=eyJ2ZW5jb2RlX3RhZyI6InhwaWRzLjE0NDB4MTgwMC5zZHIuQzMifQ%3D%3D&amp;_nc_ohc=HIN3ZI_Ibg8Q7kNvwEXD27T&amp;_nc_oc=AdkoamX4-ckBvWLWrEqIj__BsEFu3xvQ7_hqqd8B3A9GYAFGdrA9xxCtgjuoCYjrHMa4Xt1A4eUTNC8AHOiE-HPv&amp;_nc_ad=z-m&amp;_nc_cid=0&amp;_nc_zt=23&amp;_nc_ht=scontent-gru2-2.cdninstagram.com&amp;_nc_gid=832jxjWftkKYOGhz8kgttw&amp;oh=00_Afin78D0jaNHxCB9TvD2nPxQuIVRx7dzn7f-tZVdbKb94A&amp;oe=691BE623,https://scontent-gru2-1.cdninstagram.com/v/t51.82787-15/573115609_18324666499240163_9190482993463366220_n.heic?stp=dst-jpg_e35_tt6&amp;_nc_cat=111&amp;ig_cache_key=Mzc1NzkwMDE5MDA2MjcwNTk3MQ%3D%3D.3-ccb1-7&amp;ccb=1-7&amp;_nc_sid=58cdad&amp;efg=eyJ2ZW5jb2RlX3RhZyI6InhwaWRzLjE0NDB4MTgwMC5zZHIuQzMifQ%3D%3D&amp;_nc_ohc=QK1Vrgze4XAQ7kNvwEqhS1q&amp;_nc_oc=AdnSpv5cFWE4D0lePlZyq2YWUF1uiZ4JEWwkGbpzAQhJ1T7svvStg-PaBhG5ju9X9riaT9fBBr-xhSfRQoyhd0xo&amp;_nc_ad=z-m&amp;_nc_cid=0&amp;_nc_zt=23&amp;_nc_ht=scontent-gru2-1.cdninstagram.com&amp;_nc_gid=832jxjWftkKYOGhz8kgttw&amp;oh=00_AficJXIFUp-S6GKn2_9UBbH5zYboap8v7EZ3vk3_ijR3fg&amp;oe=691BE540,https://scontent-gru2-1.cdninstagram.com/v/t51.82787-15/573076376_18324666508240163_7274864875883332092_n.heic?stp=dst-jpg_e35_tt6&amp;_nc_cat=107&amp;ig_cache_key=Mzc1NzkwMDE4OTkzNjg4MTYxMg%3D%3D.3-ccb1-7&amp;ccb=1-7&amp;_nc_sid=58cdad&amp;efg=eyJ2ZW5jb2RlX3RhZyI6InhwaWRzLjE0NDB4MTgwMC5zZHIuQzMifQ%3D%3D&amp;_nc_ohc=AS-YFbrElR8Q7kNvwGtc7dg&amp;_nc_oc=AdnTx_Urivqp5gzhDtCxBpgzz0YGTawg-XgYHRabgF2m38kNf6X9JHn7cDMU-QZc-usR1rOfWP8NqlY_nNX0wYM9&amp;_nc_ad=z-m&amp;_nc_cid=0&amp;_nc_zt=23&amp;_nc_ht=scontent-gru2-1.cdninstagram.com&amp;_nc_gid=832jxjWftkKYOGhz8kgttw&amp;oh=00_Afjr2t4Jw1ubcZBZX_-kjbtTaB1aP3my_AFnm7wotonNcw&amp;oe=691BFE0C,https://scontent-gru1-2.cdninstagram.com/v/t51.82787-15/572851446_18324666517240163_6662609966810336341_n.heic?stp=dst-jpg_e35_tt6&amp;_nc_cat=103&amp;ig_cache_key=Mzc1NzkwMDE4OTkzNjg0NTE1NA%3D%3D.3-ccb1-7&amp;ccb=1-7&amp;_nc_sid=58cdad&amp;efg=eyJ2ZW5jb2RlX3RhZyI6InhwaWRzLjE0NDB4MTgwMC5zZHIuQzMifQ%3D%3D&amp;_nc_ohc=_V8YuhIC7ZEQ7kNvwHB_wgA&amp;_nc_oc=Admn16Y_XhTxVfUzFRyjisDlIsNtkWkeQgqoY2ugbCPUofjkFnnAnip9d2sMSLw10MRnm00hE0MPOo32cnwFEaTB&amp;_nc_ad=z-m&amp;_nc_cid=0&amp;_nc_zt=23&amp;_nc_ht=scontent-gru1-2.cdninstagram.com&amp;_nc_gid=832jxjWftkKYOGhz8kgttw&amp;oh=00_AfgcSilwVa2Qi4Y9AG0EuCbcwW91k61t199nn7ETkN2nHw&amp;oe=691BFEE6,https://scontent-gru1-2.cdninstagram.com/v/t51.82787-15/572271748_18324666526240163_7566299549790890586_n.heic?stp=dst-jpg_e35_tt6&amp;_nc_cat=103&amp;ig_cache_key=Mzc1NzkwMDE5MDEwNDY3NjkyNA%3D%3D.3-ccb1-7&amp;ccb=1-7&amp;_nc_sid=58cdad&amp;efg=eyJ2ZW5jb2RlX3RhZyI6InhwaWRzLjE0NDB4MTgwMC5zZHIuQzMifQ%3D%3D&amp;_nc_ohc=I5a5t1ZRHP8Q7kNvwG8EKuO&amp;_nc_oc=AdlL8E_-Pnf5-9KxhNw65qtNCly8oxAAU4BJ-2_idNc6j7WP1PddKKFLnNd3FB_1P6-efpHkLm7KSN88e3FBU-Pn&amp;_nc_ad=z-m&amp;_nc_cid=0&amp;_nc_zt=23&amp;_nc_ht=scontent-gru1-2.cdninstagram.com&amp;_nc_gid=832jxjWftkKYOGhz8kgttw&amp;oh=00_AfikU4r2br3QAsL_rVCHPVNf6zGKVjmdeWpwd-wWgyFR3A&amp;oe=691BDEFF,https://scontent-gru1-2.cdninstagram.com/v/t51.82787-15/572639954_18324666535240163_7600707318423698648_n.heic?stp=dst-jpg_e35_tt6&amp;_nc_cat=110&amp;ig_cache_key=Mzc1NzkwMDE5MDA2MjczMTMzMg%3D%3D.3-ccb1-7&amp;ccb=1-7&amp;_nc_sid=58cdad&amp;efg=eyJ2ZW5jb2RlX3RhZyI6InhwaWRzLjE0NDB4MTgwMC5zZHIuQzMifQ%3D%3D&amp;_nc_ohc=kaOKysFEV40Q7kNvwHrjr59&amp;_nc_oc=AdmeiQmgi9D2i1nCbCwjRhq3qzO96pWwS6lEYCk5jEJMK88zS0GcnGBr5_owr-EmnKfXZZ4JWCjPVQZXbAM9Ci8o&amp;_nc_ad=z-m&amp;_nc_cid=0&amp;_nc_zt=23&amp;_nc_ht=scontent-gru1-2.cdninstagram.com&amp;_nc_gid=832jxjWftkKYOGhz8kgttw&amp;oh=00_AfiXGKmyPuwJlAkTRYeIvigOaZXLz3UAMQ_0JyKXaQfUGg&amp;oe=691BEC67,https://scontent-gru2-2.cdninstagram.com/v/t51.82787-15/572111388_18324666544240163_727731346277926126_n.heic?stp=dst-jpg_e35_tt6&amp;_nc_cat=105&amp;ig_cache_key=Mzc1NzkwMDE5MDA1NDMxMjE5MQ%3D%3D.3-ccb1-7&amp;ccb=1-7&amp;_nc_sid=58cdad&amp;efg=eyJ2ZW5jb2RlX3RhZyI6InhwaWRzLjE0NDB4MTgwMC5zZHIuQzMifQ%3D%3D&amp;_nc_ohc=8csVaBM0fskQ7kNvwHZQZ55&amp;_nc_oc=Adm5Yz_PGMIU4q_zvomBb7Me9fw0C4ZaHt9MZuPKYm0W0imo6_Wt40h3YYMtYW7c0_VMC8TAflycxIxq89qFeRHy&amp;_nc_ad=z-m&amp;_nc_cid=0&amp;_nc_zt=23&amp;_nc_ht=scontent-gru2-2.cdninstagram.com&amp;_nc_gid=832jxjWftkKYOGhz8kgttw&amp;oh=00_AfiLsxCZTzpxC-PXUaCkWy2RZi5RXQW8RfKCy7ockErN4w&amp;oe=691BEC38</t>
  </si>
  <si>
    <t>Brasil (País)</t>
  </si>
  <si>
    <t>-13.923403897723,-49.921875</t>
  </si>
  <si>
    <t>DOlef_tjQoh</t>
  </si>
  <si>
    <t>https://www.instagram.com/p/DOlef_tjQoh</t>
  </si>
  <si>
    <t>O Transtorno do Déficit de Atenção com Hiperatividade (TDAH) em mulheres é muitas vezes subdiagnosticado devido a sintomas atípicos e à tendência de mascarar dificuldades para se ajustar às expectativas sociais. As manifestações podem incluir dificuldade de concentração, inquietação interna, impulsividade, organização deficiente e, em mulheres mais velhas, os sintomas podem ser agravados pelas flutuações hormonais da menopausa. Condições coexistentes como ansiedade e depressão são comuns, e o diagnóstico tardio pode ser frustrante e impactar a autoestima.
#tdah #tdahniños #tdahadulto #tdahinfantil #saude #mulher 
Postagem de @equilibriomental</t>
  </si>
  <si>
    <t>https://scontent-gru1-2.cdninstagram.com/v/t51.2885-19/364276362_1017951822536379_2762309384634493842_n.jpg?stp=dst-jpg_s150x150_tt6&amp;efg=eyJ2ZW5jb2RlX3RhZyI6InByb2ZpbGVfcGljLmRqYW5nby43MjUuYzIifQ&amp;_nc_ht=scontent-gru1-2.cdninstagram.com&amp;_nc_cat=103&amp;_nc_oc=Q6cZ2QF_7ptarWIDxLQefAQP7jjZgjnL08KAuVm4XgP8894Q5wMko3rhS2q9wnBYbHhZfcBPUSFTNQVgLTyYpt_NADMy&amp;_nc_ohc=3tVgQHeurBQQ7kNvwHeQkxM&amp;_nc_gid=832jxjWftkKYOGhz8kgttw&amp;edm=AFlAz-oBAAAA&amp;ccb=7-5&amp;oh=00_AfiBPaB5pXWByUnG0bYiNbdOZdBd3F190ZHAwqozlkTP3Q&amp;oe=691BF990&amp;_nc_sid=76c0fc</t>
  </si>
  <si>
    <t>https://scontent.cdninstagram.com/v/t39.30808-6/576433730_1653247979327058_1914648284471783328_n.jpg?stp=dst-jpg_e35_tt6&amp;_nc_cat=110&amp;ig_cache_key=Mzc2MzgzMjQwMDk3MjEwMzY4Mw%3D%3D.3-ccb7-5&amp;ccb=7-5&amp;_nc_sid=58cdad&amp;efg=eyJ2ZW5jb2RlX3RhZyI6InhwaWRzLjEwODB4MTM1MC5zZHIuQzMifQ%3D%3D&amp;_nc_ohc=A4THNY-diF8Q7kNvwGWE_KZ&amp;_nc_oc=Adm27BZ50LVPCbl5dcnXi2Q1bo46E8e0UMzXINf3moWw_NXp1Rabkk7nC8G851syA6p-DsYaEDbloOeohhnT8zSS&amp;_nc_ad=z-m&amp;_nc_cid=0&amp;_nc_zt=23&amp;_nc_ht=scontent.cdninstagram.com&amp;_nc_gid=Pc-yOprRxmpD2PcEEeKiuQ&amp;oh=00_Afj0La-fYFBfw24d4TbPVeX035RV_vnRtNK9uX_MXgNJrA&amp;oe=6930D027</t>
  </si>
  <si>
    <t>https://scontent-gru2-1.cdninstagram.com/v/t51.82787-15/548697934_18067006322213448_5473813316249042757_n.jpg?stp=dst-jpg_e35_tt6&amp;_nc_cat=107&amp;ig_cache_key=MzcyMTUxNDgwNzIwMDY0NzcxMw%3D%3D.3-ccb1-7&amp;ccb=1-7&amp;_nc_sid=58cdad&amp;efg=eyJ2ZW5jb2RlX3RhZyI6InhwaWRzLjE0NDB4MTc5Mi5zZHIuQzMifQ%3D%3D&amp;_nc_ohc=3zCBlnL_9owQ7kNvwE5V_W2&amp;_nc_oc=AdlcB3m_SkKdbWRFGdI563zTvSgmJR299u4fZ_q2DJoLqJ5nttKVVI7I67LllW4CkyFwmR9c2ZZgOrqJYL0xJ9Ag&amp;_nc_ad=z-m&amp;_nc_cid=0&amp;_nc_zt=23&amp;_nc_ht=scontent-gru2-1.cdninstagram.com&amp;_nc_gid=832jxjWftkKYOGhz8kgttw&amp;oh=00_AfjlwBDf7CM-KwqIPTYuCunpv9rEQoSroXxYQNPYQqtlJg&amp;oe=691BD8E4</t>
  </si>
  <si>
    <t>tdah,tdahniños,tdahadulto,tdahinfantil,saude,mulher</t>
  </si>
  <si>
    <t>equilibriomental</t>
  </si>
  <si>
    <t>Pelotas</t>
  </si>
  <si>
    <t>-31.7719,-52.3425</t>
  </si>
  <si>
    <t>Padre Paraíso</t>
  </si>
  <si>
    <t>-17.071944444444,-41.523888888889</t>
  </si>
  <si>
    <t>DRNvL8KESlS</t>
  </si>
  <si>
    <t>https://www.instagram.com/p/DRNvL8KESlS</t>
  </si>
  <si>
    <t>https://www.instagram.com/p/DOLz-2FEZIt</t>
  </si>
  <si>
    <t>https://scontent-gru1-2.cdninstagram.com/v/t51.2885-19/494665101_18074979502868396_5149972479216782979_n.jpg?stp=dst-jpg_s150x150_tt6&amp;efg=eyJ2ZW5jb2RlX3RhZyI6InByb2ZpbGVfcGljLmRqYW5nby41NTMuYzIifQ&amp;_nc_ht=scontent-gru1-2.cdninstagram.com&amp;_nc_cat=108&amp;_nc_oc=Q6cZ2QF_7ptarWIDxLQefAQP7jjZgjnL08KAuVm4XgP8894Q5wMko3rhS2q9wnBYbHhZfcBPUSFTNQVgLTyYpt_NADMy&amp;_nc_ohc=SNEr3oRrdGYQ7kNvwEc_s_U&amp;_nc_gid=832jxjWftkKYOGhz8kgttw&amp;edm=AFlAz-oBAAAA&amp;ccb=7-5&amp;oh=00_Afh1xYNtQ1JNaU9Zg2WhtBTetyh6fcRoRrU-5I0O6Rz-mQ&amp;oe=691BFFFB&amp;_nc_sid=76c0fc</t>
  </si>
  <si>
    <t>Quem tem TDAH sabe... Tem coisas que a gente precisava tanto ouvir. Mas infelizmente, quase nunca escuta! ❤️‍🩹
.
.
.
Espero que esse post encontre quem também está precisando "ouvir" algumas dessas frases hoje! 🫰🏻
.
.
.
E me conta aí embaixo, o quê você gostaria de ter ouvido quando mais precisou, TDAH. Que eu aposto que sua frase pode mudar o dia de alguém também! 💛💬
.
.
.
#tdahta #tdahadulto #tdahapoio #adhdawareness #tdahcomamor</t>
  </si>
  <si>
    <t>lorenatdahta</t>
  </si>
  <si>
    <t>Lorena Marques | TDAHTA🐈‍⬛</t>
  </si>
  <si>
    <t>https://instagram.fcgh9-1.fna.fbcdn.net/v/t51.2885-19/541340529_18007903898795107_2806927687798919756_n.jpg?stp=dst-jpg_s150x150_tt6&amp;efg=eyJ2ZW5jb2RlX3RhZyI6InByb2ZpbGVfcGljLmRqYW5nby45OTAuYzIifQ&amp;_nc_ht=instagram.fcgh9-1.fna.fbcdn.net&amp;_nc_cat=107&amp;_nc_oc=Q6cZ2QFPov7R9KkJkRWPhoul_WHPqgeeCzwRjTZJfLUvhQ7Ahn-FmGOPACvW2uuxfW4XFm6i_ZZl8_zjX6ppwx6UG-Ds&amp;_nc_ohc=ff2YpJX16SMQ7kNvwEKPijZ&amp;_nc_gid=Pc-yOprRxmpD2PcEEeKiuQ&amp;edm=AFlAz-oBAAAA&amp;ccb=7-5&amp;oh=00_Afjy7kdACmqXG5HwUiW78YJZeC1VFEEkRxi1NOkKRwJO5g&amp;oe=6930C84B&amp;_nc_sid=76c0fc</t>
  </si>
  <si>
    <t>https://scontent-gru1-2.cdninstagram.com/v/t51.82787-15/541650107_18086782036868396_8426698766086834933_n.jpg?stp=dst-jpg_e35_tt6&amp;_nc_cat=103&amp;ig_cache_key=MzcxNDI5MDkyNDEyNzM2ODk1NA%3D%3D.3-ccb1-7&amp;ccb=1-7&amp;_nc_sid=58cdad&amp;efg=eyJ2ZW5jb2RlX3RhZyI6InhwaWRzLjE0NDB4MTgwMS5zZHIuQzMifQ%3D%3D&amp;_nc_ohc=viwN4KiS1vIQ7kNvwFosKlH&amp;_nc_oc=AdmDsKwjGdB5m2HNg2M2SCh9m8MR6JRYg_lnLHyZPXl9DhQwi5MR0d14uN5nxQDLjficQ-H5uPpSc9GHW9AE3Ptu&amp;_nc_ad=z-m&amp;_nc_cid=0&amp;_nc_zt=23&amp;_nc_ht=scontent-gru1-2.cdninstagram.com&amp;_nc_gid=832jxjWftkKYOGhz8kgttw&amp;oh=00_AfgdOVmKz5VrpYgflnmpteq2gvzeeAZMy1dYYToiEs2Z7Q&amp;oe=691BD5D0,https://scontent-gru1-2.cdninstagram.com/v/t51.82787-15/540566442_18086782051868396_5263347542687915198_n.jpg?stp=dst-jpg_e35_tt6&amp;_nc_cat=103&amp;ig_cache_key=MzcxNDI5MDkyNDA2MDIzOTA0OQ%3D%3D.3-ccb1-7&amp;ccb=1-7&amp;_nc_sid=58cdad&amp;efg=eyJ2ZW5jb2RlX3RhZyI6InhwaWRzLjE0NDB4MTgwMS5zZHIuQzMifQ%3D%3D&amp;_nc_ohc=4MHxM5kUbwIQ7kNvwGGgs9q&amp;_nc_oc=AdnJxPfyG01kz_zcIcGrYK0G9C3K3psdgYh-kmMYCdgdHW2HZtiAjWxfSa8kw6c4qv8RdNNPokGJJR8DUhJyfag1&amp;_nc_ad=z-m&amp;_nc_cid=0&amp;_nc_zt=23&amp;_nc_ht=scontent-gru1-2.cdninstagram.com&amp;_nc_gid=832jxjWftkKYOGhz8kgttw&amp;oh=00_AfjTXxRjeOA7d1MH70g182t-Vch5tC80xW3Cjts4SRzuhQ&amp;oe=691BF7D5,https://scontent-gru2-1.cdninstagram.com/v/t51.82787-15/541667358_18086782060868396_2902299089316692106_n.jpg?stp=dst-jpg_e35_tt6&amp;_nc_cat=107&amp;ig_cache_key=MzcxNDI5MDkyNDA2MDI2NDAwOA%3D%3D.3-ccb1-7&amp;ccb=1-7&amp;_nc_sid=58cdad&amp;efg=eyJ2ZW5jb2RlX3RhZyI6InhwaWRzLjE0NDB4MTgwMS5zZHIuQzMifQ%3D%3D&amp;_nc_ohc=PQhUm6YKtCYQ7kNvwF198tF&amp;_nc_oc=AdmsMXDoEQNGiGsLPByJpWq8P_rtgy-BgWDke2hYimxaiFINQwh3x1WNswpYtCA_9jUFJUnpezMgZJ_Ao9RCznKV&amp;_nc_ad=z-m&amp;_nc_cid=0&amp;_nc_zt=23&amp;_nc_ht=scontent-gru2-1.cdninstagram.com&amp;_nc_gid=832jxjWftkKYOGhz8kgttw&amp;oh=00_AfjfEmqRcmdaUjdJuYb7ceqOBbcXSEtg6MEBJSGpJ3fu0w&amp;oe=691BDBE9,https://scontent-gru1-2.cdninstagram.com/v/t51.82787-15/541165557_18086782069868396_6085015680710613323_n.jpg?stp=dst-jpg_e35_tt6&amp;_nc_cat=100&amp;ig_cache_key=MzcxNDI5MDkyNDA2MDIxNTEwMQ%3D%3D.3-ccb1-7&amp;ccb=1-7&amp;_nc_sid=58cdad&amp;efg=eyJ2ZW5jb2RlX3RhZyI6InhwaWRzLjE0NDB4MTgwMS5zZHIuQzMifQ%3D%3D&amp;_nc_ohc=kdRZiqSVnfQQ7kNvwEnk_fk&amp;_nc_oc=AdmcbHNPpQwBmiVOFdZ_vFwWW0u0bpBf4MPI9whaqIH8ylsqVpgzo0AxK7nl4iTdz3wiLWnLsMCFzHlOR0C0ds0m&amp;_nc_ad=z-m&amp;_nc_cid=0&amp;_nc_zt=23&amp;_nc_ht=scontent-gru1-2.cdninstagram.com&amp;_nc_gid=832jxjWftkKYOGhz8kgttw&amp;oh=00_AfjEtSUsSCyyXYoi8Ap2CHMq57Qr2E36TI5rKv5MHAl-Og&amp;oe=691BE7E0,https://scontent-gru2-2.cdninstagram.com/v/t51.82787-15/541956075_18086782078868396_4879489262791010418_n.jpg?stp=dst-jpg_e35_tt6&amp;_nc_cat=106&amp;ig_cache_key=MzcxNDI5MDkyNDA2MDIxODk3Ng%3D%3D.3-ccb1-7&amp;ccb=1-7&amp;_nc_sid=58cdad&amp;efg=eyJ2ZW5jb2RlX3RhZyI6InhwaWRzLjE0NDB4MTgwMS5zZHIuQzMifQ%3D%3D&amp;_nc_ohc=KEtVBzHiIfEQ7kNvwHg7yU7&amp;_nc_oc=AdmPgcCVUZpnLk-I-AM3Bl6nxbvIsI_tTILuhHKiShUZCq0Lk9QH-_47fpWJEEW9usC-Xei0xs-IVgbd-S1OQF0D&amp;_nc_ad=z-m&amp;_nc_cid=0&amp;_nc_zt=23&amp;_nc_ht=scontent-gru2-2.cdninstagram.com&amp;_nc_gid=832jxjWftkKYOGhz8kgttw&amp;oh=00_AfgEheLfxUQEqKQQMio1HwfMQNBkEJ8CsHrspoCi29PXtw&amp;oe=691BF1FC,https://scontent-gru2-1.cdninstagram.com/v/t51.82787-15/541740391_18086782087868396_8557093931090475729_n.jpg?stp=dst-jpg_e35_tt6&amp;_nc_cat=109&amp;ig_cache_key=MzcxNDI5MDkyNDA2MDI3MDE2OQ%3D%3D.3-ccb1-7&amp;ccb=1-7&amp;_nc_sid=58cdad&amp;efg=eyJ2ZW5jb2RlX3RhZyI6InhwaWRzLjE0NDB4MTgwMS5zZHIuQzMifQ%3D%3D&amp;_nc_ohc=dgEOZw5BUNsQ7kNvwEAGokX&amp;_nc_oc=AdmRUebZoqozap7MUuXJ4ojCiSzEvpOylYxqLBE6nqEAKcoZ5rsG0p0Fd84h_pGlzlOsoXQbTwGSCO54zCPS_fmB&amp;_nc_ad=z-m&amp;_nc_cid=0&amp;_nc_zt=23&amp;_nc_ht=scontent-gru2-1.cdninstagram.com&amp;_nc_gid=832jxjWftkKYOGhz8kgttw&amp;oh=00_AfhHpxX6kPyB855YtLGU2OS04iSFvWGFeJZ48pn5XxkGYw&amp;oe=691BEDDC,https://scontent-gru2-1.cdninstagram.com/v/t51.82787-15/541652513_18086782096868396_4236069153176884821_n.jpg?stp=dst-jpg_e35_tt6&amp;_nc_cat=107&amp;ig_cache_key=MzcxNDI5MDkyNDA1MTg1MzI0Mw%3D%3D.3-ccb1-7&amp;ccb=1-7&amp;_nc_sid=58cdad&amp;efg=eyJ2ZW5jb2RlX3RhZyI6InhwaWRzLjE0NDB4MTgwMS5zZHIuQzMifQ%3D%3D&amp;_nc_ohc=Ix2Wwae-zYcQ7kNvwH0Ni-R&amp;_nc_oc=AdnOROTNnN7CZtkgKcP2XaWZzCU2xsfxCsEL61kOQ4U-pS6zOHiDqlmKu8AlVap8gcRYAx11b9pHc5_sv4S9B2gH&amp;_nc_ad=z-m&amp;_nc_cid=0&amp;_nc_zt=23&amp;_nc_ht=scontent-gru2-1.cdninstagram.com&amp;_nc_gid=832jxjWftkKYOGhz8kgttw&amp;oh=00_Afio3hevDGK26STXm78DhkKUPANx2sj2_FwTzrL72r_0Lw&amp;oe=691BD8D2,https://scontent-gru2-2.cdninstagram.com/v/t51.82787-15/542848865_18086782105868396_8747545050665887980_n.jpg?stp=dst-jpg_e35_tt6&amp;_nc_cat=105&amp;ig_cache_key=MzcxNDI5MDkyNDA2ODY2MDMyMw%3D%3D.3-ccb1-7&amp;ccb=1-7&amp;_nc_sid=58cdad&amp;efg=eyJ2ZW5jb2RlX3RhZyI6InhwaWRzLjE0NDB4MTgwMS5zZHIuQzMifQ%3D%3D&amp;_nc_ohc=v-uT5T1zcecQ7kNvwHOh06Z&amp;_nc_oc=AdmZ0UWS8MSj8GCMIeo0gJE4QFzmy-PGVgVR37cuMMf3pSVQvgVaTJwNAp0YdQqrnoIeWbJGTfsv7Q7uijmn59U-&amp;_nc_ad=z-m&amp;_nc_cid=0&amp;_nc_zt=23&amp;_nc_ht=scontent-gru2-2.cdninstagram.com&amp;_nc_gid=832jxjWftkKYOGhz8kgttw&amp;oh=00_Afhgni96lPPXbrc_BPRgYJymID3_FxR5KRol0Ni63YheXQ&amp;oe=691BE64F,https://scontent-gru1-2.cdninstagram.com/v/t51.82787-15/542548435_18086782114868396_1192411364767092494_n.jpg?stp=dst-jpg_e35_tt6&amp;_nc_cat=108&amp;ig_cache_key=MzcxNDI5MDkyNDA2MDI3MzU5Ng%3D%3D.3-ccb1-7&amp;ccb=1-7&amp;_nc_sid=58cdad&amp;efg=eyJ2ZW5jb2RlX3RhZyI6InhwaWRzLjE0NDB4MTgwMS5zZHIuQzMifQ%3D%3D&amp;_nc_ohc=8Evzn_TCzukQ7kNvwHqma_s&amp;_nc_oc=AdluIAr4Otl-uau48BNrwQ44swlVjjjFBgca0TZcpEPDU-OSuRuU21UojEGPe9XoAqX0ZO1SmxnY8out3ARr_DEw&amp;_nc_ad=z-m&amp;_nc_cid=0&amp;_nc_zt=23&amp;_nc_ht=scontent-gru1-2.cdninstagram.com&amp;_nc_gid=832jxjWftkKYOGhz8kgttw&amp;oh=00_Afjkh1heE7FnFuJVVQaRg4YCD0ozSyOUVGR2_3CLurVVGQ&amp;oe=691BEF9C</t>
  </si>
  <si>
    <t>https://scontent.cdninstagram.com/v/t51.82787-15/582089796_18017325404795107_5010720323040071102_n.heic?stp=dst-jpg_e35_tt6&amp;_nc_cat=111&amp;ig_cache_key=Mzc2ODg3NTk4MTc0NzYyMjQ0OQ%3D%3D.3-ccb7-5&amp;ccb=7-5&amp;_nc_sid=58cdad&amp;efg=eyJ2ZW5jb2RlX3RhZyI6InhwaWRzLjE0NDB4MTgwMC5zZHIuQzMifQ%3D%3D&amp;_nc_ohc=aiOze6dlhAcQ7kNvwG1oSxT&amp;_nc_oc=Adk71kG9I0ciBtiVp0TF9g2EknMw_LRiuvjO5rHD0PpDdDbjW1i-oMhZBccSXwL0lGG6CaZLvsVFTAkUFz_iJ80q&amp;_nc_ad=z-m&amp;_nc_cid=0&amp;_nc_zt=23&amp;_nc_ht=scontent.cdninstagram.com&amp;_nc_gid=Pc-yOprRxmpD2PcEEeKiuQ&amp;oh=00_AfjiSg526_yKohl7VTjb1s4ixKmKNUkjdetYu-0VHBQCWA&amp;oe=6930EC56,https://scontent.cdninstagram.com/v/t51.82787-15/583316891_18017325413795107_3950755422395656698_n.heic?stp=dst-jpg_e35_tt6&amp;_nc_cat=104&amp;ig_cache_key=Mzc2ODg3NTk4MTczOTIyNzcwOA%3D%3D.3-ccb7-5&amp;ccb=7-5&amp;_nc_sid=58cdad&amp;efg=eyJ2ZW5jb2RlX3RhZyI6InhwaWRzLjE0NDB4MTgwMC5zZHIuQzMifQ%3D%3D&amp;_nc_ohc=j-sjzd3zsGYQ7kNvwFxi0a0&amp;_nc_oc=AdlD81IRaqvr5IIZpUyZ0LM4D6FoHzhYqI7jP82fPph67OlVsPbulOI2semILlpY1MlpR0uOdv_1wlnq_0FFZxfX&amp;_nc_ad=z-m&amp;_nc_cid=0&amp;_nc_zt=23&amp;_nc_ht=scontent.cdninstagram.com&amp;_nc_gid=Pc-yOprRxmpD2PcEEeKiuQ&amp;oh=00_AfhR2YVxXIkOyrJGL4pvpUSphIWt58eZi5bSUrAN9BZVyA&amp;oe=6930FB52,https://scontent.cdninstagram.com/v/t51.82787-15/582546152_18017325422795107_2085568794923007685_n.heic?stp=dst-jpg_e35_tt6&amp;_nc_cat=109&amp;ig_cache_key=Mzc2ODg3NTk4MTczOTI1ODY4NQ%3D%3D.3-ccb7-5&amp;ccb=7-5&amp;_nc_sid=58cdad&amp;efg=eyJ2ZW5jb2RlX3RhZyI6InhwaWRzLjE0NDB4MTgwMC5zZHIuQzMifQ%3D%3D&amp;_nc_ohc=p1kimEXOo58Q7kNvwGMUVLk&amp;_nc_oc=AdnbJduPEUFQtghCjdh3k0QFyZ6gacX_jiptu2cuwIF65UXuJqNDf53Hz9pr1L64qEk-BUFhfR96-NgBH2kS1ESy&amp;_nc_ad=z-m&amp;_nc_cid=0&amp;_nc_zt=23&amp;_nc_ht=scontent.cdninstagram.com&amp;_nc_gid=Pc-yOprRxmpD2PcEEeKiuQ&amp;oh=00_AfiKUxj1z2HN-tec04VVIZhnHgNLYDhSFQ6s-_etq1oClg&amp;oe=6930CF0F,https://scontent.cdninstagram.com/v/t51.82787-15/582501608_18017325431795107_1333674453660098160_n.heic?stp=dst-jpg_e35_tt6&amp;_nc_cat=106&amp;ig_cache_key=Mzc2ODg3NTk4MTY4MDUzMDYwMA%3D%3D.3-ccb7-5&amp;ccb=7-5&amp;_nc_sid=58cdad&amp;efg=eyJ2ZW5jb2RlX3RhZyI6InhwaWRzLjE0NDB4MTgwMC5zZHIuQzMifQ%3D%3D&amp;_nc_ohc=3kk9HupJshMQ7kNvwFJuVBo&amp;_nc_oc=AdnGkYq0M-1jN6JRPZvtij4OZmlkBA_mR6voAFc5aQFZ6ub_o9KMhPB0ETwk7RiZXNzXAlyHLBt2R__WpytQPCaC&amp;_nc_ad=z-m&amp;_nc_cid=0&amp;_nc_zt=23&amp;_nc_ht=scontent.cdninstagram.com&amp;_nc_gid=Pc-yOprRxmpD2PcEEeKiuQ&amp;oh=00_Afhs11jGQeTtTvyWMXYmDKPg_JfxelNtKD5rDa4y09mGqQ&amp;oe=6930DBB9,https://scontent.cdninstagram.com/v/t51.82787-15/583006511_18017325440795107_8789511429183164663_n.heic?stp=dst-jpg_e35_tt6&amp;_nc_cat=110&amp;ig_cache_key=Mzc2ODg3NTk4MTczOTIzOTUwNw%3D%3D.3-ccb7-5&amp;ccb=7-5&amp;_nc_sid=58cdad&amp;efg=eyJ2ZW5jb2RlX3RhZyI6InhwaWRzLjE0NDB4MTgwMC5zZHIuQzMifQ%3D%3D&amp;_nc_ohc=20f7AiYH3a0Q7kNvwGE-RGw&amp;_nc_oc=AdnHc1XcnTmp6NSVsq5Ghv1A5dX9HDafbv33V-5LDeD0KpVsRe-gNx_iFPQsLjNHt2YWyaHowyGdw3Qses68KW2Z&amp;_nc_ad=z-m&amp;_nc_cid=0&amp;_nc_zt=23&amp;_nc_ht=scontent.cdninstagram.com&amp;_nc_gid=Pc-yOprRxmpD2PcEEeKiuQ&amp;oh=00_AfhpNSB-aAklacuWyXlnqvHElRXjUcwzFcIY0Gi6IU2kTA&amp;oe=6930CECA,https://scontent.cdninstagram.com/v/t51.82787-15/582521629_18017325449795107_7817320319007042494_n.heic?stp=dst-jpg_e35_tt6&amp;_nc_cat=109&amp;ig_cache_key=Mzc2ODg3NTk4MTczOTIwNjk1Ng%3D%3D.3-ccb7-5&amp;ccb=7-5&amp;_nc_sid=58cdad&amp;efg=eyJ2ZW5jb2RlX3RhZyI6InhwaWRzLjE0NDB4MTgwMC5zZHIuQzMifQ%3D%3D&amp;_nc_ohc=gYbAFvY4dv8Q7kNvwHuCxWy&amp;_nc_oc=Adm8K054UURiHfKjM6Y8-5SCG2d9RBnEfk96zyFaL-SBDpXzm3zog0Pt0pL_SYX-sKDdAJTLdnl5QHr01yF7InW9&amp;_nc_ad=z-m&amp;_nc_cid=0&amp;_nc_zt=23&amp;_nc_ht=scontent.cdninstagram.com&amp;_nc_gid=Pc-yOprRxmpD2PcEEeKiuQ&amp;oh=00_AfjHWUg7BHIrWZM2Lq-P0TMXcCFpi1ebaKstNA1PFyz-sw&amp;oe=6930E6BB,https://scontent.cdninstagram.com/v/t51.82787-15/583067911_18017325458795107_8983250154542826314_n.heic?stp=dst-jpg_e35_tt6&amp;_nc_cat=107&amp;ig_cache_key=Mzc2ODg3NTk4MTc2NDM3Njg1Ng%3D%3D.3-ccb7-5&amp;ccb=7-5&amp;_nc_sid=58cdad&amp;efg=eyJ2ZW5jb2RlX3RhZyI6InhwaWRzLjE0NDB4MTgwMC5zZHIuQzMifQ%3D%3D&amp;_nc_ohc=aPywZqBqW34Q7kNvwHT6YZW&amp;_nc_oc=Adktkx5aGa4V-PxgMlZ-7wpOSTlGB51CUzcB0CnoCEmurYV-81pgsCYqwsBVEFEhdQfTpD_BWo28OCTdhjPtHCbT&amp;_nc_ad=z-m&amp;_nc_cid=0&amp;_nc_zt=23&amp;_nc_ht=scontent.cdninstagram.com&amp;_nc_gid=Pc-yOprRxmpD2PcEEeKiuQ&amp;oh=00_AfhcBAdMrz_hrSBqyTH7m7edNRjcom7CMXRKHO60j-R6Pw&amp;oe=6930C72F</t>
  </si>
  <si>
    <t>tdahta,tdahadulto,tdahapoio,adhdawareness,tdahcomamor</t>
  </si>
  <si>
    <t>https://scontent-gru2-2.cdninstagram.com/v/t51.2885-19/450346823_737391045066002_1178007830183780591_n.jpg?stp=dst-jpg_s150x150_tt6&amp;efg=eyJ2ZW5jb2RlX3RhZyI6InByb2ZpbGVfcGljLmRqYW5nby43NTYuYzIifQ&amp;_nc_ht=scontent-gru2-2.cdninstagram.com&amp;_nc_cat=102&amp;_nc_oc=Q6cZ2QF_7ptarWIDxLQefAQP7jjZgjnL08KAuVm4XgP8894Q5wMko3rhS2q9wnBYbHhZfcBPUSFTNQVgLTyYpt_NADMy&amp;_nc_ohc=tnpxKn7FRRMQ7kNvwH2_BD2&amp;_nc_gid=832jxjWftkKYOGhz8kgttw&amp;edm=AFlAz-oBAAAA&amp;ccb=7-5&amp;oh=00_AfiKco6oqnriQfTUGOkMKeUOP1cOOB93FF5sJTJWqVi_9A&amp;oe=691BD977&amp;_nc_sid=76c0fc</t>
  </si>
  <si>
    <t>São José do Rio Preto</t>
  </si>
  <si>
    <t>-20.8102,-49.3794</t>
  </si>
  <si>
    <t>https://www.instagram.com/p/DPwBa_gjSKi</t>
  </si>
  <si>
    <t>https://instagram.fcgh9-1.fna.fbcdn.net/v/t51.2885-19/559001436_18024887939741299_6491809288109977911_n.jpg?stp=dst-jpg_s150x150_tt6&amp;efg=eyJ2ZW5jb2RlX3RhZyI6InByb2ZpbGVfcGljLmRqYW5nby4xMDgwLmMyIn0&amp;_nc_ht=instagram.fcgh9-1.fna.fbcdn.net&amp;_nc_cat=107&amp;_nc_oc=Q6cZ2QFPov7R9KkJkRWPhoul_WHPqgeeCzwRjTZJfLUvhQ7Ahn-FmGOPACvW2uuxfW4XFm6i_ZZl8_zjX6ppwx6UG-Ds&amp;_nc_ohc=PnpENg9d05cQ7kNvwE-IvxA&amp;_nc_gid=Pc-yOprRxmpD2PcEEeKiuQ&amp;edm=AFlAz-oBAAAA&amp;ccb=7-5&amp;oh=00_Afj1lVm1RTtmRP-peIlbiwlH0qLdGG9M1EDb192IuW_gGg&amp;oe=6930E5EE&amp;_nc_sid=76c0fc</t>
  </si>
  <si>
    <t>https://scontent-gru1-2.cdninstagram.com/v/t39.30808-6/576433730_1653247979327058_1914648284471783328_n.jpg?stp=dst-jpg_e35_tt6&amp;_nc_cat=110&amp;ig_cache_key=Mzc2MzgzMjQwMDk3MjEwMzY4Mw%3D%3D.3-ccb1-7&amp;ccb=1-7&amp;_nc_sid=58cdad&amp;efg=eyJ2ZW5jb2RlX3RhZyI6InhwaWRzLjEwODB4MTM1MC5zZHIuQzMifQ%3D%3D&amp;_nc_ohc=wOzNBPlQjbYQ7kNvwF9x4eo&amp;_nc_oc=Adm8r28QsvOJp0JafjCgOilke6o1-xR3RCbCWI84Wa1YYvooaQsxuxc88EmVvJ2RTcs6cu5mzNSMMzOBQqjpMXTB&amp;_nc_ad=z-m&amp;_nc_cid=0&amp;_nc_zt=23&amp;_nc_ht=scontent-gru1-2.cdninstagram.com&amp;_nc_gid=832jxjWftkKYOGhz8kgttw&amp;oh=00_Afgv3m1FXPDZk_FUSGdoGnoAV5eDVhO3YWS1uwI4is6NSA&amp;oe=691BF067</t>
  </si>
  <si>
    <t>https://scontent.cdninstagram.com/v/t51.82787-15/565502467_18026064185741299_1269697619020387455_n.jpg?stp=dst-jpg_e35_tt6&amp;_nc_cat=103&amp;ig_cache_key=Mzc0MjQ5NzUzNDQ0ODA1NDIyOQ%3D%3D.3-ccb7-5&amp;ccb=7-5&amp;_nc_sid=58cdad&amp;efg=eyJ2ZW5jb2RlX3RhZyI6InhwaWRzLjEwODB4MTMyOC5zZHIuQzMifQ%3D%3D&amp;_nc_ohc=yNcdW9iMRyIQ7kNvwGjD_KT&amp;_nc_oc=AdkHNuaM79l4ywBnsc3fHI7T8Z6AOtwsUUD5c9zYhwZPE1i-G4bez4DuzezHqlCLwdDp3-pTcyPW6UqeBGO8fofs&amp;_nc_ad=z-m&amp;_nc_cid=0&amp;_nc_zt=23&amp;_nc_ht=scontent.cdninstagram.com&amp;_nc_gid=Pc-yOprRxmpD2PcEEeKiuQ&amp;oh=00_AfhrgDFU0qT08J5R_E7t4qSyd-sTagEs3tIQFW0O0HxQGA&amp;oe=6930F09E,https://scontent.cdninstagram.com/v/t51.82787-15/563997253_18026064194741299_669301317545243698_n.jpg?stp=dst-jpg_e35_tt6&amp;_nc_cat=104&amp;ig_cache_key=Mzc0MjQ5NzUzNDQzOTY1MzY0OA%3D%3D.3-ccb7-5&amp;ccb=7-5&amp;_nc_sid=58cdad&amp;efg=eyJ2ZW5jb2RlX3RhZyI6InhwaWRzLjEwODB4MTMyOC5zZHIuQzMifQ%3D%3D&amp;_nc_ohc=klgZ4r5uj7YQ7kNvwGb4_Sk&amp;_nc_oc=Adk7EhHXfY_eJdinYujkgznBONS29fzoBUSeTdPomLC3SBDEIoMsdd59JoTsI6ZlA_ozc_muSxEkaVg-tmreyECD&amp;_nc_ad=z-m&amp;_nc_cid=0&amp;_nc_zt=23&amp;_nc_ht=scontent.cdninstagram.com&amp;_nc_gid=Pc-yOprRxmpD2PcEEeKiuQ&amp;oh=00_AfjgpZ6ZThNxxoNgY55F8FlZkU2e0YM7_RSCgaILk-wSxQ&amp;oe=6930D16D,https://scontent.cdninstagram.com/v/t51.82787-15/563502132_18026064203741299_3101983356835666787_n.jpg?stp=dst-jpg_e35_tt6&amp;_nc_cat=108&amp;ig_cache_key=Mzc0MjQ5NzUzNDQ0ODA1NzU2OQ%3D%3D.3-ccb7-5&amp;ccb=7-5&amp;_nc_sid=58cdad&amp;efg=eyJ2ZW5jb2RlX3RhZyI6InhwaWRzLjEwODB4MTMyOC5zZHIuQzMifQ%3D%3D&amp;_nc_ohc=Rs7Lc5iF704Q7kNvwEZ5e2X&amp;_nc_oc=AdmTjHhg6IyZy0c73x3O2opGDT6vTo1b-5hL4O2p2jVVqVLY7aB5Bu4IXuaZ2SSJNlHL9CH6Z4-L1nqzyMm_WPzb&amp;_nc_ad=z-m&amp;_nc_cid=0&amp;_nc_zt=23&amp;_nc_ht=scontent.cdninstagram.com&amp;_nc_gid=Pc-yOprRxmpD2PcEEeKiuQ&amp;oh=00_AfjCtLZPE1gQDj5XPGLaJPOgcXv8XJ41PoF-s22xBzK8Mw&amp;oe=6930CE08,https://scontent.cdninstagram.com/v/t51.82787-15/564243038_18026064212741299_7218366548973852002_n.jpg?stp=dst-jpg_e35_tt6&amp;_nc_cat=102&amp;ig_cache_key=Mzc0MjQ5NzUzNDYwNzQ1MDU3Nw%3D%3D.3-ccb7-5&amp;ccb=7-5&amp;_nc_sid=58cdad&amp;efg=eyJ2ZW5jb2RlX3RhZyI6InhwaWRzLjEwODB4MTMyOC5zZHIuQzMifQ%3D%3D&amp;_nc_ohc=Y4EcTXhOsegQ7kNvwFTJpsK&amp;_nc_oc=AdmDHh2-tArk32l_b7dOr1C8u1D2x5GcIio34FQ2Olh6RZvnNaoU-BC3xiiaH9vfyq7K4FOfPKgsWx9bErPzd0yA&amp;_nc_ad=z-m&amp;_nc_cid=0&amp;_nc_zt=23&amp;_nc_ht=scontent.cdninstagram.com&amp;_nc_gid=Pc-yOprRxmpD2PcEEeKiuQ&amp;oh=00_Afg0IyljaVP6SNFpa6VCgj68VJ9tDEEZG2sRt-JhhSG3Fg&amp;oe=6930E18A,https://scontent.cdninstagram.com/v/t51.82787-15/564162045_18026064221741299_2488614543194665319_n.jpg?stp=dst-jpg_e35_tt6&amp;_nc_cat=107&amp;ig_cache_key=Mzc0MjQ5NzUzNDQ0ODEwMzU5Mg%3D%3D.3-ccb7-5&amp;ccb=7-5&amp;_nc_sid=58cdad&amp;efg=eyJ2ZW5jb2RlX3RhZyI6InhwaWRzLjEwODB4MTMyOC5zZHIuQzMifQ%3D%3D&amp;_nc_ohc=A0bSewBv5W0Q7kNvwFM7g8m&amp;_nc_oc=AdntTh-nllZae9vawstNB4mQwkf30AnfazetOuj56sg5o3GqRvAB1LjAoOks318jD9npcEB6xirnZsA9J_Ug6YE1&amp;_nc_ad=z-m&amp;_nc_cid=0&amp;_nc_zt=23&amp;_nc_ht=scontent.cdninstagram.com&amp;_nc_gid=Pc-yOprRxmpD2PcEEeKiuQ&amp;oh=00_AfgyqN6Ql9VkEGSYTORGq-GaF6nCgn8qBuTuLaFEc6Uhsw&amp;oe=6930CE7B,https://scontent.cdninstagram.com/v/t51.82787-15/564589461_18026064230741299_7172175055899870586_n.jpg?stp=dst-jpg_e35_tt6&amp;_nc_cat=100&amp;ig_cache_key=Mzc0MjQ5NzUzNDQ0ODEwNDAyMg%3D%3D.3-ccb7-5&amp;ccb=7-5&amp;_nc_sid=58cdad&amp;efg=eyJ2ZW5jb2RlX3RhZyI6InhwaWRzLjEwODB4MTMyOC5zZHIuQzMifQ%3D%3D&amp;_nc_ohc=beEBdhsnmoMQ7kNvwFp6w-j&amp;_nc_oc=AdmUfSheAQGGatQKCTQEpthmRFgJDDjPjLalPtv08NNBz8tR5zbthygCM2pCCKxGVCRguvnHhDxLg4RwLGcKb23_&amp;_nc_ad=z-m&amp;_nc_cid=0&amp;_nc_zt=23&amp;_nc_ht=scontent.cdninstagram.com&amp;_nc_gid=Pc-yOprRxmpD2PcEEeKiuQ&amp;oh=00_AfgCwF1LK_fJnN1JyEW3sA_hawpVEOgFSq7bgaxaVlPaIQ&amp;oe=6930F6D9,https://scontent.cdninstagram.com/v/t51.82787-15/564284863_18026064239741299_1578281150854882943_n.jpg?stp=dst-jpg_e35_tt6&amp;_nc_cat=106&amp;ig_cache_key=Mzc0MjQ5NzUzNDQ3MzI0MDQ1NQ%3D%3D.3-ccb7-5&amp;ccb=7-5&amp;_nc_sid=58cdad&amp;efg=eyJ2ZW5jb2RlX3RhZyI6InhwaWRzLjEwODB4MTMyMi5zZHIuQzMifQ%3D%3D&amp;_nc_ohc=Czg9Y0letJUQ7kNvwHrcDmG&amp;_nc_oc=AdljTDe98UxyuSndHtNb-fTFjG2b1V_H_pdG1morvQdwkXhB10eg1rYKukHOzcvMa-dUtbaS2tWPJO0E4RY15hUn&amp;_nc_ad=z-m&amp;_nc_cid=0&amp;_nc_zt=23&amp;_nc_ht=scontent.cdninstagram.com&amp;_nc_gid=Pc-yOprRxmpD2PcEEeKiuQ&amp;oh=00_AfiDGk9p_1c3ejeS9Q79GfilOUu9AsL40HfRSuXQR6QWbA&amp;oe=6930C677</t>
  </si>
  <si>
    <t>DPrDvyckpsC</t>
  </si>
  <si>
    <t>https://www.instagram.com/p/DPrDvyckpsC</t>
  </si>
  <si>
    <t>https://www.instagram.com/p/DPycsP2jsuh</t>
  </si>
  <si>
    <t>👉 Medicamentos para o tratamento do TDAH: 
💊 Atentah 🆚 Venvanse
🤔 Você faz o uso de algum deles?
#tdah #tdahadulto #tdahadultos #tdahinfantil #tdahmulher #tdahadolescentes #tdahdescomplicado #psiquiatra #psiquiatraonline #psiquiatragoiania #psicologagoiania #inhumasgo #psiquiatras</t>
  </si>
  <si>
    <t>drasuzanarezende</t>
  </si>
  <si>
    <t>Suzana Rezende | Médica Psiquiatra</t>
  </si>
  <si>
    <t>https://instagram.fcgh9-1.fna.fbcdn.net/v/t51.2885-19/520201116_18073496299963362_5659245198539464402_n.jpg?stp=dst-jpg_s150x150_tt6&amp;efg=eyJ2ZW5jb2RlX3RhZyI6InByb2ZpbGVfcGljLmRqYW5nby4xMDgwLmMyIn0&amp;_nc_ht=instagram.fcgh9-1.fna.fbcdn.net&amp;_nc_cat=106&amp;_nc_oc=Q6cZ2QFPov7R9KkJkRWPhoul_WHPqgeeCzwRjTZJfLUvhQ7Ahn-FmGOPACvW2uuxfW4XFm6i_ZZl8_zjX6ppwx6UG-Ds&amp;_nc_ohc=OeK8_0XFxLQQ7kNvwGRPpkL&amp;_nc_gid=Pc-yOprRxmpD2PcEEeKiuQ&amp;edm=AFlAz-oBAAAA&amp;ccb=7-5&amp;oh=00_AfimJSvb8fhu6HN70sn2IstxPSiL6q1Mep-zlt6xYE63YQ&amp;oe=6930EAD8&amp;_nc_sid=76c0fc</t>
  </si>
  <si>
    <t>https://scontent-gru1-2.cdninstagram.com/v/t51.2885-19/455013615_470449425912783_783811379615735835_n.jpg?stp=dst-jpg_s150x150_tt6&amp;efg=eyJ2ZW5jb2RlX3RhZyI6InByb2ZpbGVfcGljLmRqYW5nby4xMDgwLmMyIn0&amp;_nc_ht=scontent-gru1-2.cdninstagram.com&amp;_nc_cat=103&amp;_nc_oc=Q6cZ2QF_7ptarWIDxLQefAQP7jjZgjnL08KAuVm4XgP8894Q5wMko3rhS2q9wnBYbHhZfcBPUSFTNQVgLTyYpt_NADMy&amp;_nc_ohc=I_EEbKtazh8Q7kNvwEyuw1M&amp;_nc_gid=832jxjWftkKYOGhz8kgttw&amp;edm=AFlAz-oBAAAA&amp;ccb=7-5&amp;oh=00_Afgs5GUchXC7xEnxG_AH2PjwFvysSnB_p_zwW8K3cwre9A&amp;oe=691BF0D3&amp;_nc_sid=76c0fc</t>
  </si>
  <si>
    <t>https://scontent-gru1-2.cdninstagram.com/v/t51.82787-15/562879347_18045635483672916_7075356544626563677_n.jpg?stp=dst-jpg_e35_tt6&amp;_nc_cat=108&amp;ig_cache_key=Mzc0MzE4MDQxMjY3MjczMDM2Ng%3D%3D.3-ccb1-7&amp;ccb=1-7&amp;_nc_sid=58cdad&amp;efg=eyJ2ZW5jb2RlX3RhZyI6InhwaWRzLjEzMjB4MTY1MS5zZHIuQzMifQ%3D%3D&amp;_nc_ohc=8evMyCQz9xcQ7kNvwFLT14-&amp;_nc_oc=AdnHgujzHtN-Ogo1IVPCbRLLKOHb9U6DeTjS_oBpyNBDG_9HMmFkxWn_uBvvMr72oS9quy0yr_0--cr-1CprrfYd&amp;_nc_ad=z-m&amp;_nc_cid=0&amp;_nc_zt=23&amp;_nc_ht=scontent-gru1-2.cdninstagram.com&amp;_nc_gid=832jxjWftkKYOGhz8kgttw&amp;oh=00_AfhN2U9A2hszh9NnWq6o2L30UM0GTFQDLjn2kKq-5zyIxQ&amp;oe=691BE43C,https://scontent-gru1-2.cdninstagram.com/v/t51.82787-15/563751660_18045635492672916_2399706571982240972_n.jpg?stp=dst-jpg_e35_tt6&amp;_nc_cat=110&amp;ig_cache_key=Mzc0MzE4MDQxMjUzMDA5NzE3NQ%3D%3D.3-ccb1-7&amp;ccb=1-7&amp;_nc_sid=58cdad&amp;efg=eyJ2ZW5jb2RlX3RhZyI6InhwaWRzLjEzMjB4MTY1MC5zZHIuQzMifQ%3D%3D&amp;_nc_ohc=uCCUI4-c_I4Q7kNvwE9DUK7&amp;_nc_oc=AdlDhXYDhfwC93TzpLDStVpKF60Dy23y3TYDTvZVDGn_kALV0pw4u_avInOkeeMSIntAJs6KGLLd9Xd-BW5f8PAu&amp;_nc_ad=z-m&amp;_nc_cid=0&amp;_nc_zt=23&amp;_nc_ht=scontent-gru1-2.cdninstagram.com&amp;_nc_gid=832jxjWftkKYOGhz8kgttw&amp;oh=00_AfhKf5A_DBHio99QcJ6soOO8PNf1r9g1JYbDkK3xcVO26A&amp;oe=691BED1D,https://scontent-gru2-1.cdninstagram.com/v/t51.82787-15/565079693_18045635510672916_652718033327717928_n.jpg?stp=dst-jpg_e35_tt6&amp;_nc_cat=107&amp;ig_cache_key=Mzc0MzE4MDQxMjUzMDEyNzY0NA%3D%3D.3-ccb1-7&amp;ccb=1-7&amp;_nc_sid=58cdad&amp;efg=eyJ2ZW5jb2RlX3RhZyI6InhwaWRzLjEzMjB4MTY1MC5zZHIuQzMifQ%3D%3D&amp;_nc_ohc=OVFqEo6MmXAQ7kNvwFQ4nzZ&amp;_nc_oc=AdkzDwGUU-j565Z21XBcipd1rWkzQefH9tgP7ilbnBSp9bAMR-knH0_c9K9vNt090T5pFf1DqP4Z3Jl7g4GQ0oiC&amp;_nc_ad=z-m&amp;_nc_cid=0&amp;_nc_zt=23&amp;_nc_ht=scontent-gru2-1.cdninstagram.com&amp;_nc_gid=832jxjWftkKYOGhz8kgttw&amp;oh=00_AfgqehE_QOsEXf_1EhPHqshX-TuggNxaExYK8yCyas6icQ&amp;oe=691BD015,https://scontent-gru1-2.cdninstagram.com/v/t51.82787-15/563717312_18045635501672916_4339439939547444327_n.jpg?stp=dst-jpg_e35_tt6&amp;_nc_cat=103&amp;ig_cache_key=Mzc0MzE4MDQxMjc4MTc0NDUwNQ%3D%3D.3-ccb1-7&amp;ccb=1-7&amp;_nc_sid=58cdad&amp;efg=eyJ2ZW5jb2RlX3RhZyI6InhwaWRzLjEzMjB4MTY1MC5zZHIuQzMifQ%3D%3D&amp;_nc_ohc=LL0n72QHclEQ7kNvwHlGzOs&amp;_nc_oc=AdnAbwSeI6I897F0Ez4aWT93kJTRMW5cDkV7ZY4UqmO3Q5FEYQx1OGHrmqjnNd-vvZ8P5RjNwmk-uOlCRKDLK7dL&amp;_nc_ad=z-m&amp;_nc_cid=0&amp;_nc_zt=23&amp;_nc_ht=scontent-gru1-2.cdninstagram.com&amp;_nc_gid=832jxjWftkKYOGhz8kgttw&amp;oh=00_Afj684bH7Nc7b5AwqJuWjm1YGk6ewWOAx5sj0q_wBK959w&amp;oe=691BF3CA,https://scontent-gru2-1.cdninstagram.com/v/t51.82787-15/564914027_18045635537672916_6495569161805357448_n.jpg?stp=dst-jpg_e35_tt6&amp;_nc_cat=109&amp;ig_cache_key=Mzc0MzE4MDQxMjY5Nzg3NDA5Mg%3D%3D.3-ccb1-7&amp;ccb=1-7&amp;_nc_sid=58cdad&amp;efg=eyJ2ZW5jb2RlX3RhZyI6InhwaWRzLjEzMjB4MTY1MC5zZHIuQzMifQ%3D%3D&amp;_nc_ohc=mOoH5mbcbIwQ7kNvwGf1FFS&amp;_nc_oc=AdnwPYWSAflflLznRRhXN5Q1S0AagrKmy91DNLLvMeRcPL4IFYlQtf-cH2jajAPTjow52MeCx1I_ZtlsEaAQHbpt&amp;_nc_ad=z-m&amp;_nc_cid=0&amp;_nc_zt=23&amp;_nc_ht=scontent-gru2-1.cdninstagram.com&amp;_nc_gid=832jxjWftkKYOGhz8kgttw&amp;oh=00_AfhdFTH3RjuzidUSYegX4kNiMorZnlpRcSMZRpDHbMDvKw&amp;oe=691BDD75,https://scontent-gru2-2.cdninstagram.com/v/t51.82787-15/566073233_18045635528672916_4576498661209455037_n.jpg?stp=dst-jpg_e35_tt6&amp;_nc_cat=106&amp;ig_cache_key=Mzc0MzE4MDQxMjUzMDA3ODg2OQ%3D%3D.3-ccb1-7&amp;ccb=1-7&amp;_nc_sid=58cdad&amp;efg=eyJ2ZW5jb2RlX3RhZyI6InhwaWRzLjEzMjB4MTY1MC5zZHIuQzMifQ%3D%3D&amp;_nc_ohc=ApFLE0dzxjgQ7kNvwENNfwz&amp;_nc_oc=AdnWnRmHkX3f9pU3OaMjsRkRV2JD9rjes_9nSSWmEGUgijpwAYW5tF0DBfbSHzt-ntt3yjPH_kcQ4v588KewwFWy&amp;_nc_ad=z-m&amp;_nc_cid=0&amp;_nc_zt=23&amp;_nc_ht=scontent-gru2-2.cdninstagram.com&amp;_nc_gid=832jxjWftkKYOGhz8kgttw&amp;oh=00_Afim8wcW6BYO4XDAQlwcX82zeCCF0Xm9iaMMsWJKGMFgzw&amp;oe=691BF20B,https://scontent-gru2-1.cdninstagram.com/v/t51.82787-15/563347386_18045635519672916_8520250103023764329_n.jpg?stp=dst-jpg_e35_tt6&amp;_nc_cat=107&amp;ig_cache_key=Mzc0MzE4MDQxMjUzMDEwODkwNg%3D%3D.3-ccb1-7&amp;ccb=1-7&amp;_nc_sid=58cdad&amp;efg=eyJ2ZW5jb2RlX3RhZyI6InhwaWRzLjEzMjB4MTY1MC5zZHIuQzMifQ%3D%3D&amp;_nc_ohc=-8K6ObkIKgIQ7kNvwHhPeSP&amp;_nc_oc=AdlYtXD93mN75Wcp5RfLoA6HwrrPZEDAekTZ1ZISbBzzWa6jVZ4OOwEWIUGqKs6R02hkmoLf8jc6qS40iYBxXdnT&amp;_nc_ad=z-m&amp;_nc_cid=0&amp;_nc_zt=23&amp;_nc_ht=scontent-gru2-1.cdninstagram.com&amp;_nc_gid=832jxjWftkKYOGhz8kgttw&amp;oh=00_AfhTeIirH-aEibin98puJfvVglkoFwWE2e4DOncXVvJNAg&amp;oe=691BFB63,https://scontent-gru2-2.cdninstagram.com/v/t51.82787-15/565618713_18045635546672916_8428682590916499800_n.jpg?stp=dst-jpg_e35_tt6&amp;_nc_cat=102&amp;ig_cache_key=Mzc0MzE4MDQxMjUzMDA2ODQ2OQ%3D%3D.3-ccb1-7&amp;ccb=1-7&amp;_nc_sid=58cdad&amp;efg=eyJ2ZW5jb2RlX3RhZyI6InhwaWRzLjEzMjB4MTY1MC5zZHIuQzMifQ%3D%3D&amp;_nc_ohc=LVI6D4l1lT8Q7kNvwE1V3NG&amp;_nc_oc=AdmyDASqJ9KTQQxksWqQU5drOaKtOXLyduMwRIg-G8EnHlSDjIKi3f2zmxO_LbPl5nKAW8ATmoEvmpBbrP25pNNV&amp;_nc_ad=z-m&amp;_nc_cid=0&amp;_nc_zt=23&amp;_nc_ht=scontent-gru2-2.cdninstagram.com&amp;_nc_gid=832jxjWftkKYOGhz8kgttw&amp;oh=00_AfgeWO3xaVwGl6Ix9t31d1N4WMyBV-ubzFbzK_mP7Mm2NA&amp;oe=691BEBA3</t>
  </si>
  <si>
    <t>https://scontent.cdninstagram.com/v/t51.82787-15/560468408_18082372405963362_3367952555804777463_n.jpg?stp=dst-jpg_e35_tt6&amp;_nc_cat=109&amp;ig_cache_key=MzczOTg1MTY1MjE1ODYzODI5Mw%3D%3D.3-ccb7-5&amp;ccb=7-5&amp;_nc_sid=58cdad&amp;efg=eyJ2ZW5jb2RlX3RhZyI6InhwaWRzLjE0NDB4MTc5NS5zZHIuQzMifQ%3D%3D&amp;_nc_ohc=9BL0K347D7UQ7kNvwE2ejQT&amp;_nc_oc=AdkQ455CU--oQ8mYK1XtjVBtJbL181NyMHxIOwLcFCZ_gutdAdJTZ6peC45pnRld-pS37Kybf5CCgZ8DzNxNa3xJ&amp;_nc_ad=z-m&amp;_nc_cid=0&amp;_nc_zt=23&amp;_nc_ht=scontent.cdninstagram.com&amp;_nc_gid=Pc-yOprRxmpD2PcEEeKiuQ&amp;oh=00_Afj2pD4ZbAnKR37iBR3cd1mZkP17tG5Prlpax6coHRBz0g&amp;oe=6930E294,https://scontent.cdninstagram.com/v/t51.82787-15/562048683_18082372417963362_5893072411457464695_n.jpg?stp=dst-jpg_e35_tt6&amp;_nc_cat=107&amp;ig_cache_key=MzczOTg1MTY1MTk5OTI0NTA3MQ%3D%3D.3-ccb7-5&amp;ccb=7-5&amp;_nc_sid=58cdad&amp;efg=eyJ2ZW5jb2RlX3RhZyI6InhwaWRzLjE0NDB4MTc5NS5zZHIuQzMifQ%3D%3D&amp;_nc_ohc=EB5FYsrQqeQQ7kNvwFy7eAw&amp;_nc_oc=AdlGYGheQx8O7HdODaVcWAeNZKPL6QOmQnjhEnzV7YypOtfnycyk8jbl3piMLpcn15ZEG_oluy_rHNdP-jcSwCeh&amp;_nc_ad=z-m&amp;_nc_cid=0&amp;_nc_zt=23&amp;_nc_ht=scontent.cdninstagram.com&amp;_nc_gid=Pc-yOprRxmpD2PcEEeKiuQ&amp;oh=00_AfjxW7fyO9fDWTBYq-0ssY0jph84BQJ11luQwk_GZPcprA&amp;oe=6930E378,https://scontent.cdninstagram.com/v/t51.82787-15/561634453_18082372426963362_8226249280836252387_n.jpg?stp=dst-jpg_e35_tt6&amp;_nc_cat=108&amp;ig_cache_key=MzczOTg1MTY1MTg2NTAyNDE5MQ%3D%3D.3-ccb7-5&amp;ccb=7-5&amp;_nc_sid=58cdad&amp;efg=eyJ2ZW5jb2RlX3RhZyI6InhwaWRzLjE0NDB4MTc5NS5zZHIuQzMifQ%3D%3D&amp;_nc_ohc=YNzekFOHQtoQ7kNvwGMUqf4&amp;_nc_oc=AdmEY4GQdS82jlWG8HRaSpsosbcbIf4Y2evlupBaDcdoEFMIhbhElCipyI2IovBJ2i1C4iIs3N87hVJgzUIlwEel&amp;_nc_ad=z-m&amp;_nc_cid=0&amp;_nc_zt=23&amp;_nc_ht=scontent.cdninstagram.com&amp;_nc_gid=Pc-yOprRxmpD2PcEEeKiuQ&amp;oh=00_AfisoPSFnHQcWxudScGtfdmXsR-zcP4PoL6LVlJgsSICCg&amp;oe=6930C3DA,https://scontent.cdninstagram.com/v/t51.82787-15/562661661_18082372444963362_1990506510843827403_n.jpg?stp=dst-jpg_e35_tt6&amp;_nc_cat=111&amp;ig_cache_key=MzczOTg1MTY1MjI1MDg5MTE1NQ%3D%3D.3-ccb7-5&amp;ccb=7-5&amp;_nc_sid=58cdad&amp;efg=eyJ2ZW5jb2RlX3RhZyI6InhwaWRzLjE0NDB4MTc5NS5zZHIuQzMifQ%3D%3D&amp;_nc_ohc=VontbOYp7wwQ7kNvwEWiFmb&amp;_nc_oc=AdnqZ54bO0PapxQE2rey_pcXtuIDzewg0TeltsOnCO0hOqN2juxvT491OoQetSixU1QM94dOWsR6ZDAxngh1xvhG&amp;_nc_ad=z-m&amp;_nc_cid=0&amp;_nc_zt=23&amp;_nc_ht=scontent.cdninstagram.com&amp;_nc_gid=Pc-yOprRxmpD2PcEEeKiuQ&amp;oh=00_AfgydbrodyomkZWLQP_8qNWebJSUB4esdOSjQb1wYlnfBQ&amp;oe=6930E4B2,https://scontent.cdninstagram.com/v/t51.82787-15/561416826_18082372435963362_841354642846769434_n.jpg?stp=dst-jpg_e35_tt6&amp;_nc_cat=103&amp;ig_cache_key=MzczOTg1MTY1MTg2NDk5OTMzNQ%3D%3D.3-ccb7-5&amp;ccb=7-5&amp;_nc_sid=58cdad&amp;efg=eyJ2ZW5jb2RlX3RhZyI6InhwaWRzLjE0NDB4MTc5NS5zZHIuQzMifQ%3D%3D&amp;_nc_ohc=pjqmexlVnWMQ7kNvwGTxw6p&amp;_nc_oc=Adlhne-XivXMRQr--eYV5RdKRksQB6D2ar8l9llGMrerKQbBKW5q5rgAXirLl_KrT8RX3NaHbrG1fTjWSb_uEOTR&amp;_nc_ad=z-m&amp;_nc_cid=0&amp;_nc_zt=23&amp;_nc_ht=scontent.cdninstagram.com&amp;_nc_gid=Pc-yOprRxmpD2PcEEeKiuQ&amp;oh=00_AfhQsHYyRTo0Ho6kElMZb01gOcOW9omV173EXAMQs-Q3Tw&amp;oe=6930EB8B</t>
  </si>
  <si>
    <t>Goiânia, Goiás, Brasil</t>
  </si>
  <si>
    <t>1898501906897937</t>
  </si>
  <si>
    <t>-16.68640494288,-49.274330980745</t>
  </si>
  <si>
    <t>tdah,tdahadulto,tdahadultos,tdahinfantil,tdahmulher,tdahadolescentes,tdahdescomplicado,psiquiatra,psiquiatraonline,psiquiatragoiania,psicologagoiania,inhumasgo,psiquiatras</t>
  </si>
  <si>
    <t>yes</t>
  </si>
  <si>
    <t>https://scontent-gru2-1.cdninstagram.com/v/t51.2885-19/559001436_18024887939741299_6491809288109977911_n.jpg?stp=dst-jpg_s150x150_tt6&amp;efg=eyJ2ZW5jb2RlX3RhZyI6InByb2ZpbGVfcGljLmRqYW5nby4xMDgwLmMyIn0&amp;_nc_ht=scontent-gru2-1.cdninstagram.com&amp;_nc_cat=107&amp;_nc_oc=Q6cZ2QF_7ptarWIDxLQefAQP7jjZgjnL08KAuVm4XgP8894Q5wMko3rhS2q9wnBYbHhZfcBPUSFTNQVgLTyYpt_NADMy&amp;_nc_ohc=CLaJyWxxuTYQ7kNvwFdCdQD&amp;_nc_gid=832jxjWftkKYOGhz8kgttw&amp;edm=AFlAz-oBAAAA&amp;ccb=7-5&amp;oh=00_AfgytW0N9GIVilY_66KWmd0sSPOIG1lEo9YyuBCuV1ZHAQ&amp;oe=691BCDEE&amp;_nc_sid=76c0fc</t>
  </si>
  <si>
    <t>https://instagram.fcgh9-1.fna.fbcdn.net/v/t51.2885-19/455013615_470449425912783_783811379615735835_n.jpg?stp=dst-jpg_s150x150_tt6&amp;efg=eyJ2ZW5jb2RlX3RhZyI6InByb2ZpbGVfcGljLmRqYW5nby4xMDgwLmMyIn0&amp;_nc_ht=instagram.fcgh9-1.fna.fbcdn.net&amp;_nc_cat=1&amp;_nc_oc=Q6cZ2QFPov7R9KkJkRWPhoul_WHPqgeeCzwRjTZJfLUvhQ7Ahn-FmGOPACvW2uuxfW4XFm6i_ZZl8_zjX6ppwx6UG-Ds&amp;_nc_ohc=wJDzXiC1A-MQ7kNvwHxjsNU&amp;_nc_gid=Pc-yOprRxmpD2PcEEeKiuQ&amp;edm=AFlAz-oBAAAA&amp;ccb=7-5&amp;oh=00_AfieYlD_G4D8ukn-eXfqnGfnZAn1S-8O0b1UOojb2yYBqg&amp;oe=6930D093&amp;_nc_sid=76c0fc</t>
  </si>
  <si>
    <t>https://scontent-gru1-2.cdninstagram.com/v/t51.82787-15/565502467_18026064185741299_1269697619020387455_n.jpg?stp=dst-jpg_e35_tt6&amp;_nc_cat=103&amp;ig_cache_key=Mzc0MjQ5NzUzNDQ0ODA1NDIyOQ%3D%3D.3-ccb1-7&amp;ccb=1-7&amp;_nc_sid=58cdad&amp;efg=eyJ2ZW5jb2RlX3RhZyI6InhwaWRzLjEwODB4MTMyOC5zZHIuQzMifQ%3D%3D&amp;_nc_ohc=j-ZgYH5oS4AQ7kNvwEDdXKW&amp;_nc_oc=AdllpXvf7HY4Yb0ut1xk-9t3UvQuVwQuMrdd2tBj_qi1b70XxW8DMIjQgY86_jwmMVci8j-ba1tk_LM_fWDLhFdV&amp;_nc_ad=z-m&amp;_nc_cid=0&amp;_nc_zt=23&amp;_nc_ht=scontent-gru1-2.cdninstagram.com&amp;_nc_gid=832jxjWftkKYOGhz8kgttw&amp;oh=00_AfiZGrT3fecBSaChnLCL581vb8TN5ElF3Ldh7GpDdt3guA&amp;oe=691BD89E,https://scontent-gru1-1.cdninstagram.com/v/t51.82787-15/563997253_18026064194741299_669301317545243698_n.jpg?stp=dst-jpg_e35_tt6&amp;_nc_cat=104&amp;ig_cache_key=Mzc0MjQ5NzUzNDQzOTY1MzY0OA%3D%3D.3-ccb1-7&amp;ccb=1-7&amp;_nc_sid=58cdad&amp;efg=eyJ2ZW5jb2RlX3RhZyI6InhwaWRzLjEwODB4MTMyOC5zZHIuQzMifQ%3D%3D&amp;_nc_ohc=tz0p_4kN0PQQ7kNvwHC_8O3&amp;_nc_oc=Adl5LUnk50YCal1tHsFNTX-jDGysy1gGiNQtCjN7G7SN_TCidzePRXyFDDHOvMhCBS73aI6YOWYP_5O_sl8BmS3a&amp;_nc_ad=z-m&amp;_nc_cid=0&amp;_nc_zt=23&amp;_nc_ht=scontent-gru1-1.cdninstagram.com&amp;_nc_gid=832jxjWftkKYOGhz8kgttw&amp;oh=00_AfjcmlvLsvM_YK8ClOzDqkU_uDMlwTlws8ZWP2ondxbJmQ&amp;oe=691BF1AD,https://scontent-gru1-2.cdninstagram.com/v/t51.82787-15/563502132_18026064203741299_3101983356835666787_n.jpg?stp=dst-jpg_e35_tt6&amp;_nc_cat=108&amp;ig_cache_key=Mzc0MjQ5NzUzNDQ0ODA1NzU2OQ%3D%3D.3-ccb7-5&amp;ccb=7-5&amp;_nc_sid=58cdad&amp;efg=eyJ2ZW5jb2RlX3RhZyI6InhwaWRzLjEwODB4MTMyOC5zZHIuQzMifQ%3D%3D&amp;_nc_ohc=wwXj4N4hQmAQ7kNvwGA2B26&amp;_nc_oc=AdnyIcaWa-x_lwQ5MyI7fWGIs3KWONCaep3Tf2D1Jm5YztL0WIDoqxx9zGLqgfyi7eMcrFGSxAF82le33hCOZcn0&amp;_nc_ad=z-m&amp;_nc_cid=0&amp;_nc_zt=23&amp;_nc_ht=scontent-gru1-2.cdninstagram.com&amp;_nc_gid=832jxjWftkKYOGhz8kgttw&amp;oh=00_AfhPR-KqMwzyOOmeX7fOggB6Vu5kvCBdN9nSxiLjHkpn0w&amp;oe=691BEE48,https://scontent-gru2-2.cdninstagram.com/v/t51.82787-15/564243038_18026064212741299_7218366548973852002_n.jpg?stp=dst-jpg_e35_tt6&amp;_nc_cat=102&amp;ig_cache_key=Mzc0MjQ5NzUzNDYwNzQ1MDU3Nw%3D%3D.3-ccb1-7&amp;ccb=1-7&amp;_nc_sid=58cdad&amp;efg=eyJ2ZW5jb2RlX3RhZyI6InhwaWRzLjEwODB4MTMyOC5zZHIuQzMifQ%3D%3D&amp;_nc_ohc=5uTIGCOxINEQ7kNvwFZCZD-&amp;_nc_oc=AdmNGmFlQQtHi8iADQV6_lr1Ny4Mpfx9ki--ehv0MnhFgHXkaifpnGr7neRhZtFgwfKmfTNkJKnzw7BGR_ViY0tx&amp;_nc_ad=z-m&amp;_nc_cid=0&amp;_nc_zt=23&amp;_nc_ht=scontent-gru2-2.cdninstagram.com&amp;_nc_gid=832jxjWftkKYOGhz8kgttw&amp;oh=00_AfjKA1VXgnsCZ61jTmwYrJ5vvtLN7qpuBycnNvbGTOhkBg&amp;oe=691BC98A,https://scontent-gru2-1.cdninstagram.com/v/t51.82787-15/564162045_18026064221741299_2488614543194665319_n.jpg?stp=dst-jpg_e35_tt6&amp;_nc_cat=107&amp;ig_cache_key=Mzc0MjQ5NzUzNDQ0ODEwMzU5Mg%3D%3D.3-ccb1-7&amp;ccb=1-7&amp;_nc_sid=58cdad&amp;efg=eyJ2ZW5jb2RlX3RhZyI6InhwaWRzLjEwODB4MTMyOC5zZHIuQzMifQ%3D%3D&amp;_nc_ohc=Ycn5ABWCN64Q7kNvwE5MwjE&amp;_nc_oc=AdlfTxboR-ARpuPJMVHm2PhxR4l--MDHZiX88CWpxCPgd1Qt5vFC_xb1shHOvZKsPEA5QEql7rLapYSadQFJvjOU&amp;_nc_ad=z-m&amp;_nc_cid=0&amp;_nc_zt=23&amp;_nc_ht=scontent-gru2-1.cdninstagram.com&amp;_nc_gid=832jxjWftkKYOGhz8kgttw&amp;oh=00_AfgGf3EysEFIb9VIhEUciqJjSOJ_esdst6It01egaksbUg&amp;oe=691BEEBB,https://scontent-gru1-2.cdninstagram.com/v/t51.82787-15/564589461_18026064230741299_7172175055899870586_n.jpg?stp=dst-jpg_e35_tt6&amp;_nc_cat=100&amp;ig_cache_key=Mzc0MjQ5NzUzNDQ0ODEwNDAyMg%3D%3D.3-ccb1-7&amp;ccb=1-7&amp;_nc_sid=58cdad&amp;efg=eyJ2ZW5jb2RlX3RhZyI6InhwaWRzLjEwODB4MTMyOC5zZHIuQzMifQ%3D%3D&amp;_nc_ohc=T3PagHJSBIAQ7kNvwEPvbJ7&amp;_nc_oc=AdkMuKMm0MOo7DXTDm_4Jm-_n3ux-VRNX8jNynF8goeAOV4UES_PMwocGLMLD9pTKlAGP9zZ28axzJw7Yow_ibBO&amp;_nc_ad=z-m&amp;_nc_cid=0&amp;_nc_zt=23&amp;_nc_ht=scontent-gru1-2.cdninstagram.com&amp;_nc_gid=832jxjWftkKYOGhz8kgttw&amp;oh=00_Afi8z_H6zuORUQnJsM3ZtONs1QJXbk0SQDfWSOkBokmWOQ&amp;oe=691BDED9,https://scontent-gru2-2.cdninstagram.com/v/t51.82787-15/564284863_18026064239741299_1578281150854882943_n.jpg?stp=dst-jpg_e35_tt6&amp;_nc_cat=106&amp;ig_cache_key=Mzc0MjQ5NzUzNDQ3MzI0MDQ1NQ%3D%3D.3-ccb1-7&amp;ccb=1-7&amp;_nc_sid=58cdad&amp;efg=eyJ2ZW5jb2RlX3RhZyI6InhwaWRzLjEwODB4MTMyMi5zZHIuQzMifQ%3D%3D&amp;_nc_ohc=9Rz4FEZP_kUQ7kNvwEtzHOi&amp;_nc_oc=Admz1HDJFe-ZXq9edkQIfvWgLfMhzDoa1w4Cf9MDxz1Ee7TI4uUUXZYzYZ1XlOZocK47KwQGSDr19hQgC7MIDjGL&amp;_nc_ad=z-m&amp;_nc_cid=0&amp;_nc_zt=23&amp;_nc_ht=scontent-gru2-2.cdninstagram.com&amp;_nc_gid=832jxjWftkKYOGhz8kgttw&amp;oh=00_AfgaSC2y5tnkcTsGiDnxD8GkyBzeim1QihKKw0Kq3HNUFg&amp;oe=691BE6B7</t>
  </si>
  <si>
    <t>https://www.instagram.com/p/DOJ_ILSkbF-</t>
  </si>
  <si>
    <t>https://scontent-gru1-2.cdninstagram.com/v/t51.2885-19/541301317_18066670676242904_229664044403058617_n.jpg?stp=dst-jpg_s150x150_tt6&amp;efg=eyJ2ZW5jb2RlX3RhZyI6InByb2ZpbGVfcGljLmRqYW5nby4xMDgwLmMyIn0&amp;_nc_ht=scontent-gru1-2.cdninstagram.com&amp;_nc_cat=108&amp;_nc_oc=Q6cZ2QF_7ptarWIDxLQefAQP7jjZgjnL08KAuVm4XgP8894Q5wMko3rhS2q9wnBYbHhZfcBPUSFTNQVgLTyYpt_NADMy&amp;_nc_ohc=1kY-jtOq7F0Q7kNvwF4XX9O&amp;_nc_gid=832jxjWftkKYOGhz8kgttw&amp;edm=AFlAz-oBAAAA&amp;ccb=7-5&amp;oh=00_Afg1ubt4J1jHX4ZzWbpvMYmbQM74wNfOjDU3qNPQoda0fQ&amp;oe=691BED7C&amp;_nc_sid=76c0fc</t>
  </si>
  <si>
    <t>https://scontent.cdninstagram.com/v/t51.82787-15/562879347_18045635483672916_7075356544626563677_n.jpg?stp=dst-jpg_e35_tt6&amp;_nc_cat=108&amp;ig_cache_key=Mzc0MzE4MDQxMjY3MjczMDM2Ng%3D%3D.3-ccb7-5&amp;ccb=7-5&amp;_nc_sid=58cdad&amp;efg=eyJ2ZW5jb2RlX3RhZyI6InhwaWRzLjEzMjB4MTY1MS5zZHIuQzMifQ%3D%3D&amp;_nc_ohc=AqrwNyRmxZ4Q7kNvwF_qA5B&amp;_nc_oc=AdnVUBNN4TUjk9zM18hs-XqqwZIt7DG-W0YsH2IsoYxVPW20_YNWQGlSdJVMDbuRdNUMq9Wz6XLbvr3K9iHob2PW&amp;_nc_ad=z-m&amp;_nc_cid=0&amp;_nc_zt=23&amp;_nc_ht=scontent.cdninstagram.com&amp;_nc_gid=Pc-yOprRxmpD2PcEEeKiuQ&amp;oh=00_AfjobWyAWmzwM0oSgoF7_zqo4mjm_bEV_p9hkrUycW2yXQ&amp;oe=6930C3FC,https://scontent.cdninstagram.com/v/t51.82787-15/563751660_18045635492672916_2399706571982240972_n.jpg?stp=dst-jpg_e35_tt6&amp;_nc_cat=110&amp;ig_cache_key=Mzc0MzE4MDQxMjUzMDA5NzE3NQ%3D%3D.3-ccb7-5&amp;ccb=7-5&amp;_nc_sid=58cdad&amp;efg=eyJ2ZW5jb2RlX3RhZyI6InhwaWRzLjEzMjB4MTY1MC5zZHIuQzMifQ%3D%3D&amp;_nc_ohc=u5S1upqGMc0Q7kNvwHQ5A4G&amp;_nc_oc=AdkLohHNLfmuOXgDVOZp7bKGGFqAsSvZ8hqYJBFrKJYncEqdmo2RB0oiygFlXw8rRiFvJ2ZI2zCQgXOZ89_uoke9&amp;_nc_ad=z-m&amp;_nc_cid=0&amp;_nc_zt=23&amp;_nc_ht=scontent.cdninstagram.com&amp;_nc_gid=Pc-yOprRxmpD2PcEEeKiuQ&amp;oh=00_AfimnHNlp4xuYDCsIWkUCiW_lFDdPRIUVpF4ZVk1V6UGaQ&amp;oe=6930CCDD,https://scontent.cdninstagram.com/v/t51.82787-15/565079693_18045635510672916_652718033327717928_n.jpg?stp=dst-jpg_e35_tt6&amp;_nc_cat=107&amp;ig_cache_key=Mzc0MzE4MDQxMjUzMDEyNzY0NA%3D%3D.3-ccb7-5&amp;ccb=7-5&amp;_nc_sid=58cdad&amp;efg=eyJ2ZW5jb2RlX3RhZyI6InhwaWRzLjEzMjB4MTY1MC5zZHIuQzMifQ%3D%3D&amp;_nc_ohc=7qAFCtOA2Q8Q7kNvwFnIO31&amp;_nc_oc=AdmCy22UAkMWczOr2sPWszmGV_m6tzNcbnyJGC_0j1PilJhjjoiaGa7k8O9cesFVphxboWKFc2SudS3Shcp6-WRu&amp;_nc_ad=z-m&amp;_nc_cid=0&amp;_nc_zt=23&amp;_nc_ht=scontent.cdninstagram.com&amp;_nc_gid=Pc-yOprRxmpD2PcEEeKiuQ&amp;oh=00_Afi880CGtGdA033Lo89q2oHMk6I55tPYHQMBxOVDaZPTwg&amp;oe=6930E815,https://scontent.cdninstagram.com/v/t51.82787-15/563717312_18045635501672916_4339439939547444327_n.jpg?stp=dst-jpg_e35_tt6&amp;_nc_cat=103&amp;ig_cache_key=Mzc0MzE4MDQxMjc4MTc0NDUwNQ%3D%3D.3-ccb7-5&amp;ccb=7-5&amp;_nc_sid=58cdad&amp;efg=eyJ2ZW5jb2RlX3RhZyI6InhwaWRzLjEzMjB4MTY1MC5zZHIuQzMifQ%3D%3D&amp;_nc_ohc=bnDicEuVD4oQ7kNvwEyoR1x&amp;_nc_oc=AdmQEwD0hIT5yZseW0WkgT1yR8JcqqJOipyDx8J8BanQnxYZ-IZuZjC4Z4mZdydmitJZcUTGHWgjv-BgeBivBGiE&amp;_nc_ad=z-m&amp;_nc_cid=0&amp;_nc_zt=23&amp;_nc_ht=scontent.cdninstagram.com&amp;_nc_gid=Pc-yOprRxmpD2PcEEeKiuQ&amp;oh=00_Afiu27vWqli0XTGVvRW8HyEXTFRwLPV0WvgBueafT9BRcg&amp;oe=6930D38A,https://scontent.cdninstagram.com/v/t51.82787-15/564914027_18045635537672916_6495569161805357448_n.jpg?stp=dst-jpg_e35_tt6&amp;_nc_cat=109&amp;ig_cache_key=Mzc0MzE4MDQxMjY5Nzg3NDA5Mg%3D%3D.3-ccb7-5&amp;ccb=7-5&amp;_nc_sid=58cdad&amp;efg=eyJ2ZW5jb2RlX3RhZyI6InhwaWRzLjEzMjB4MTY1MC5zZHIuQzMifQ%3D%3D&amp;_nc_ohc=bFYMLLkvIvQQ7kNvwEpCCoF&amp;_nc_oc=AdkuEgGNjq9HayRQW80ZwM7SHSf5Wf4RZ1XIeWczzTR83wT3Tnpwis7jc9r7XWdpk1bPiszwPl6pxQ14EK8k2TyH&amp;_nc_ad=z-m&amp;_nc_cid=0&amp;_nc_zt=23&amp;_nc_ht=scontent.cdninstagram.com&amp;_nc_gid=Pc-yOprRxmpD2PcEEeKiuQ&amp;oh=00_AfhcqgSw2bY119j_L7ConTJpAUW_nyX7jx8F90kmiC8zkA&amp;oe=6930F575,https://scontent.cdninstagram.com/v/t51.82787-15/566073233_18045635528672916_4576498661209455037_n.jpg?stp=dst-jpg_e35_tt6&amp;_nc_cat=106&amp;ig_cache_key=Mzc0MzE4MDQxMjUzMDA3ODg2OQ%3D%3D.3-ccb7-5&amp;ccb=7-5&amp;_nc_sid=58cdad&amp;efg=eyJ2ZW5jb2RlX3RhZyI6InhwaWRzLjEzMjB4MTY1MC5zZHIuQzMifQ%3D%3D&amp;_nc_ohc=JCSFfJY9My4Q7kNvwEcm_Lb&amp;_nc_oc=Adn9etdIP1oaDqabSzfvoztXXfManj59VHVP5tohK5NmvyV_Or_eL9Ru_qbjpaoj40C_4c9S5xBIpUr_NEMxqxwz&amp;_nc_ad=z-m&amp;_nc_cid=0&amp;_nc_zt=23&amp;_nc_ht=scontent.cdninstagram.com&amp;_nc_gid=Pc-yOprRxmpD2PcEEeKiuQ&amp;oh=00_Afi8upJcFt8vx35zys0UTCkxPxfXwAgwX0IC_DdypWdGCg&amp;oe=6930D1CB,https://scontent.cdninstagram.com/v/t51.82787-15/563347386_18045635519672916_8520250103023764329_n.jpg?stp=dst-jpg_e35_tt6&amp;_nc_cat=107&amp;ig_cache_key=Mzc0MzE4MDQxMjUzMDEwODkwNg%3D%3D.3-ccb7-5&amp;ccb=7-5&amp;_nc_sid=58cdad&amp;efg=eyJ2ZW5jb2RlX3RhZyI6InhwaWRzLjEzMjB4MTY1MC5zZHIuQzMifQ%3D%3D&amp;_nc_ohc=IFaYliFZcE8Q7kNvwHwfVeh&amp;_nc_oc=Adlyg6beHYRx-O7SN7PyhoSlWEOQfd9cUwuWLc5MtZedxfuGBKpW2sjaHeuAFESBNK-7UImGwySzWkeL-XNiPJ3Q&amp;_nc_ad=z-m&amp;_nc_cid=0&amp;_nc_zt=23&amp;_nc_ht=scontent.cdninstagram.com&amp;_nc_gid=Pc-yOprRxmpD2PcEEeKiuQ&amp;oh=00_AfiSBtcPdCqstAE9xsIBKgi5NvMXvMveFDAqyDd8H2X7TQ&amp;oe=6930DB23,https://scontent.cdninstagram.com/v/t51.82787-15/565618713_18045635546672916_8428682590916499800_n.jpg?stp=dst-jpg_e35_tt6&amp;_nc_cat=102&amp;ig_cache_key=Mzc0MzE4MDQxMjUzMDA2ODQ2OQ%3D%3D.3-ccb7-5&amp;ccb=7-5&amp;_nc_sid=58cdad&amp;efg=eyJ2ZW5jb2RlX3RhZyI6InhwaWRzLjEzMjB4MTY1MC5zZHIuQzMifQ%3D%3D&amp;_nc_ohc=OPI6yc0IJkQQ7kNvwHnXBA0&amp;_nc_oc=AdmhAymZ6-pniGYPppxKfnu3sq1g4rzfgAgCFmDPuUUuiVc9Nkp8TzaMtjYhrPTbgV349NIenUsHnXvHUhHt2htu&amp;_nc_ad=z-m&amp;_nc_cid=0&amp;_nc_zt=23&amp;_nc_ht=scontent.cdninstagram.com&amp;_nc_gid=Pc-yOprRxmpD2PcEEeKiuQ&amp;oh=00_AfjchG47ILrOVOD1EqaAuygqozlzDAmL8zji_SqTv-rSWg&amp;oe=6930CB63</t>
  </si>
  <si>
    <t>DOjxF0-jc1n</t>
  </si>
  <si>
    <t>https://www.instagram.com/p/DOjxF0-jc1n</t>
  </si>
  <si>
    <t>https://scontent-gru2-1.cdninstagram.com/v/t51.82787-15/541251011_18067170623242904_859517779203890615_n.jpg?stp=dst-jpg_e35_tt6&amp;_nc_cat=111&amp;ig_cache_key=MzcxMzc3Njk5MzcwMTAwNDk0MQ%3D%3D.3-ccb1-7&amp;ccb=1-7&amp;_nc_sid=58cdad&amp;efg=eyJ2ZW5jb2RlX3RhZyI6InhwaWRzLjEzMjB4MTc2MC5zZHIuQzMifQ%3D%3D&amp;_nc_ohc=6VmwhHvpnJYQ7kNvwE15kwr&amp;_nc_oc=Adky79jBinZ9fqzE-B5vj0vdfYd4BtW-3_mSmOH8WfUNzFLU4sKIMlT3CteNeOtDrE5OJWetEEPmRxrHZM1FSs_v&amp;_nc_ad=z-m&amp;_nc_cid=0&amp;_nc_zt=23&amp;_nc_ht=scontent-gru2-1.cdninstagram.com&amp;_nc_gid=832jxjWftkKYOGhz8kgttw&amp;oh=00_AfjoIC6_uUrjpreuNn0gxlTQ1xnfMRY8Gm370-HKKVKkxg&amp;oe=691BFAC9,https://scontent-gru2-1.cdninstagram.com/v/t51.82787-15/541849959_18067170632242904_7421732476072450315_n.jpg?stp=dst-jpg_e35_tt6&amp;_nc_cat=109&amp;ig_cache_key=MzcxMzc3Njk5MzcwOTQxODU0NQ%3D%3D.3-ccb1-7&amp;ccb=1-7&amp;_nc_sid=58cdad&amp;efg=eyJ2ZW5jb2RlX3RhZyI6InhwaWRzLjEzMjB4MTc2MC5zZHIuQzMifQ%3D%3D&amp;_nc_ohc=pthFL6t3wboQ7kNvwHqbVv1&amp;_nc_oc=AdnXNCdPPotHk8UCiG3by0Tlc90pKEdTfisbOX3f6-m6OBYFZFM9o03M_UUlaq9zFb2meG5CIOygDP9OImYpifHg&amp;_nc_ad=z-m&amp;_nc_cid=0&amp;_nc_zt=23&amp;_nc_ht=scontent-gru2-1.cdninstagram.com&amp;_nc_gid=832jxjWftkKYOGhz8kgttw&amp;oh=00_Afje01s-bemmcWSAEPml14iPfnsTV3ih6ZYf2BLZBPOQYQ&amp;oe=691BFBCC,https://scontent-gru2-2.cdninstagram.com/v/t51.82787-15/541167012_18067170641242904_2956384469461914749_n.jpg?stp=dst-jpg_e35_tt6&amp;_nc_cat=105&amp;ig_cache_key=MzcxMzc3Njk5MzcwMTAzNzc3OQ%3D%3D.3-ccb1-7&amp;ccb=1-7&amp;_nc_sid=58cdad&amp;efg=eyJ2ZW5jb2RlX3RhZyI6InhwaWRzLjEzMjB4MTc2MC5zZHIuQzMifQ%3D%3D&amp;_nc_ohc=1Yde7rtoU50Q7kNvwHlu33i&amp;_nc_oc=Adm70GqoaYG1XMRhlkJc8ddVZ1R9W1kbTfT9CZXyNjst67RAfpjROfOK32NnO30G93a5B_lmoxqY8KFhTH0sB2wk&amp;_nc_ad=z-m&amp;_nc_cid=0&amp;_nc_zt=23&amp;_nc_ht=scontent-gru2-2.cdninstagram.com&amp;_nc_gid=832jxjWftkKYOGhz8kgttw&amp;oh=00_AfgUM-ZiRf-IWVx93O2mOc8beLMV5RsloMW71uxiCwvL5g&amp;oe=691BF539,https://scontent-gru2-2.cdninstagram.com/v/t51.82787-15/541523359_18067170650242904_8664919215432430453_n.jpg?stp=dst-jpg_e35_tt6&amp;_nc_cat=106&amp;ig_cache_key=MzcxMzc3Njk5MzcwMTA2MDU4MQ%3D%3D.3-ccb1-7&amp;ccb=1-7&amp;_nc_sid=58cdad&amp;efg=eyJ2ZW5jb2RlX3RhZyI6InhwaWRzLjEzMjB4MTc2MC5zZHIuQzMifQ%3D%3D&amp;_nc_ohc=z1zG7EbploAQ7kNvwFavDWv&amp;_nc_oc=AdkCAeMleXWOoOT-ee-fFfILEHV8zFYS9zZC9enN1fELd79OVOGwkVy6xYI-367krxyRQjVNaeOrbIeMIXZtW7XY&amp;_nc_ad=z-m&amp;_nc_cid=0&amp;_nc_zt=23&amp;_nc_ht=scontent-gru2-2.cdninstagram.com&amp;_nc_gid=832jxjWftkKYOGhz8kgttw&amp;oh=00_AfiDhdN8TQkW9moMDlSCL5lieKlAxJxQgShB1rbeqm8iYA&amp;oe=691BCB2F,https://scontent-gru2-2.cdninstagram.com/v/t51.82787-15/542058551_18067170659242904_8967768612504937989_n.jpg?stp=dst-jpg_e35_tt6&amp;_nc_cat=106&amp;ig_cache_key=MzcxMzc3Njk5MzcwMTAzOTI3Mg%3D%3D.3-ccb1-7&amp;ccb=1-7&amp;_nc_sid=58cdad&amp;efg=eyJ2ZW5jb2RlX3RhZyI6InhwaWRzLjEzMjB4MTc2MC5zZHIuQzMifQ%3D%3D&amp;_nc_ohc=La-xrBmbVJ0Q7kNvwH8OwEa&amp;_nc_oc=Adkim1nC_DT8Udiw3OY62k_44j0cAcSjqgycHuU2A9v-svlV_e71ApU5cY_JxzJ8mwS3w-HPTNHzJYpY3KYuHyRR&amp;_nc_ad=z-m&amp;_nc_cid=0&amp;_nc_zt=23&amp;_nc_ht=scontent-gru2-2.cdninstagram.com&amp;_nc_gid=832jxjWftkKYOGhz8kgttw&amp;oh=00_AfhzesyBGODG_RXIhEZAugh7zsOssdsqvLx4eAbJCA-wyg&amp;oe=691BD0B1,https://scontent-gru2-1.cdninstagram.com/v/t51.82787-15/541160552_18067170668242904_1067727278576298459_n.jpg?stp=dst-jpg_e35_tt6&amp;_nc_cat=107&amp;ig_cache_key=MzcxMzc3Njk5MzY5MjY0Mzc1Mw%3D%3D.3-ccb1-7&amp;ccb=1-7&amp;_nc_sid=58cdad&amp;efg=eyJ2ZW5jb2RlX3RhZyI6InhwaWRzLjEzMjB4MTc1OS5zZHIuQzMifQ%3D%3D&amp;_nc_ohc=Pp6oyaumrdAQ7kNvwFvVnJQ&amp;_nc_oc=AdkSXnas44_WEisA4xcwrhd2s63ATgmgpC1FMsCseDiYvwrHzAc9LvBqIISXQvyEQGZFhl7CxjxI42eaoPM0vcuK&amp;_nc_ad=z-m&amp;_nc_cid=0&amp;_nc_zt=23&amp;_nc_ht=scontent-gru2-1.cdninstagram.com&amp;_nc_gid=832jxjWftkKYOGhz8kgttw&amp;oh=00_Afie3rEpnRz1nvry7P_VanKXnZHTBgWdSDRBmCFlzofQsw&amp;oe=691BDA04,https://scontent-gru1-1.cdninstagram.com/v/t51.82787-15/542453030_18067170677242904_1263203297999984276_n.jpg?stp=dst-jpg_e35_tt6&amp;_nc_cat=104&amp;ig_cache_key=MzcxMzc3Njk5MzcwMTAyOTQyMg%3D%3D.3-ccb1-7&amp;ccb=1-7&amp;_nc_sid=58cdad&amp;efg=eyJ2ZW5jb2RlX3RhZyI6InhwaWRzLjEzMjB4MTc2MC5zZHIuQzMifQ%3D%3D&amp;_nc_ohc=XFrvKCm9fo0Q7kNvwHHK5gT&amp;_nc_oc=AdlRqYTg3ccC22A1babUxCXU2O5m_gI9MlDuhfMRbvCN9h0YU_MpdI4nkBrdLiYmZYLoeuRqMJ06LXBBCMoCiay-&amp;_nc_ad=z-m&amp;_nc_cid=0&amp;_nc_zt=23&amp;_nc_ht=scontent-gru1-1.cdninstagram.com&amp;_nc_gid=832jxjWftkKYOGhz8kgttw&amp;oh=00_AfihgZZRom-MOO1Kks7LghUrqTPcdTX4-2Ua4wEXScwNEw&amp;oe=691BE383,https://scontent-gru2-2.cdninstagram.com/v/t51.82787-15/543668808_18067170686242904_1367291329930231319_n.jpg?stp=dst-jpg_e35_tt6&amp;_nc_cat=105&amp;ig_cache_key=MzcxMzc3Njk5MzcwMTA0MjIyMg%3D%3D.3-ccb1-7&amp;ccb=1-7&amp;_nc_sid=58cdad&amp;efg=eyJ2ZW5jb2RlX3RhZyI6InhwaWRzLjEzMjB4MTc2MC5zZHIuQzMifQ%3D%3D&amp;_nc_ohc=1AxWtt09uccQ7kNvwGuJ4dW&amp;_nc_oc=AdlNJSdkOZjXBVm-l5RafyC-T0BU7fQmIBNOC7p5CSA_jYKlcSLYtQzDMPUhkWaBZFUpoF13pR5cTHDLdF5Plr3U&amp;_nc_ad=z-m&amp;_nc_cid=0&amp;_nc_zt=23&amp;_nc_ht=scontent-gru2-2.cdninstagram.com&amp;_nc_gid=832jxjWftkKYOGhz8kgttw&amp;oh=00_Afhp2gO3T94qxVANl1UBpvz7xGa2DUSEcoPCdb21bK-DDg&amp;oe=691BE91A,https://scontent-gru1-2.cdninstagram.com/v/t51.82787-15/540495704_18067170695242904_5129172825562848010_n.jpg?stp=dst-jpg_e35_tt6&amp;_nc_cat=110&amp;ig_cache_key=MzcxMzc3Njk5MzcwMTAyMTc2Ng%3D%3D.3-ccb1-7&amp;ccb=1-7&amp;_nc_sid=58cdad&amp;efg=eyJ2ZW5jb2RlX3RhZyI6InhwaWRzLjEzMjB4MTc2MC5zZHIuQzMifQ%3D%3D&amp;_nc_ohc=2vXl6tBusLwQ7kNvwHeBOz2&amp;_nc_oc=AdkGWPC0qkh4bYCQovpe6gSAjfoRv7bPswMWZjynuawnNPCkL9hvrsf6gTMITzCAhrqBpJ20XofirzqH7Xceag6k&amp;_nc_ad=z-m&amp;_nc_cid=0&amp;_nc_zt=23&amp;_nc_ht=scontent-gru1-2.cdninstagram.com&amp;_nc_gid=832jxjWftkKYOGhz8kgttw&amp;oh=00_AfjNzH1OwMmo21d7ETehpnuVXw49qJhBPeXpu10I6MOI1Q&amp;oe=691BD452,https://scontent-gru2-2.cdninstagram.com/v/t51.82787-15/540279158_18067170704242904_4093587434330792239_n.jpg?stp=dst-jpg_e35_tt6&amp;_nc_cat=105&amp;ig_cache_key=MzcxMzc3Njk5MzcwMTAxOTQyMA%3D%3D.3-ccb1-7&amp;ccb=1-7&amp;_nc_sid=58cdad&amp;efg=eyJ2ZW5jb2RlX3RhZyI6InhwaWRzLjEzMjB4MTc2MC5zZHIuQzMifQ%3D%3D&amp;_nc_ohc=PrF5X5C4-MwQ7kNvwEcg0e3&amp;_nc_oc=Adn64dQps0CbIJZ8d0uwqlPUdvayK2Z77xeLXAxg2IPL7KMUhqJhyYkvfLlI8_nJoVOcRqJZVtfDQfj7XB5dEKA9&amp;_nc_ad=z-m&amp;_nc_cid=0&amp;_nc_zt=23&amp;_nc_ht=scontent-gru2-2.cdninstagram.com&amp;_nc_gid=832jxjWftkKYOGhz8kgttw&amp;oh=00_Afg9rVrMAyv78aeal8PH3A8o5La_vX3mI79CPaXdy4fzFQ&amp;oe=691BE533,https://scontent-gru2-2.cdninstagram.com/v/t51.82787-15/540412113_18067170713242904_7043634415758589713_n.jpg?stp=dst-jpg_e35_tt6&amp;_nc_cat=105&amp;ig_cache_key=MzcxMzc3Njk5MzcwMTA0MDMxNA%3D%3D.3-ccb1-7&amp;ccb=1-7&amp;_nc_sid=58cdad&amp;efg=eyJ2ZW5jb2RlX3RhZyI6InhwaWRzLjEzMjB4MTc2MC5zZHIuQzMifQ%3D%3D&amp;_nc_ohc=Ki2Hvh58rtkQ7kNvwHEi0L5&amp;_nc_oc=AdmXUihF0m2snZJh4bEhYTJjJ-XYMLkeDQba6I1FoF8Dh3Nw_LFybNYFQJ9vCr6d6iPyESp_0qRBXIxE1lk-KDfz&amp;_nc_ad=z-m&amp;_nc_cid=0&amp;_nc_zt=23&amp;_nc_ht=scontent-gru2-2.cdninstagram.com&amp;_nc_gid=832jxjWftkKYOGhz8kgttw&amp;oh=00_AfimQ2N0ueG0AHKsVzS-nyIVP2TJjotBI4QC3lpVFfa0vg&amp;oe=691BF292,https://scontent-gru2-1.cdninstagram.com/v/t51.82787-15/542395122_18067170725242904_5232248377574558651_n.jpg?stp=dst-jpg_e35_tt6&amp;_nc_cat=107&amp;ig_cache_key=MzcxMzc3Njk5MzcwMTA0MDU1Mg%3D%3D.3-ccb1-7&amp;ccb=1-7&amp;_nc_sid=58cdad&amp;efg=eyJ2ZW5jb2RlX3RhZyI6InhwaWRzLjEzMjB4MTc2MC5zZHIuQzMifQ%3D%3D&amp;_nc_ohc=H4unLQf2w24Q7kNvwGl1GCq&amp;_nc_oc=AdkHUbn41DFTcMDdCksu0fLy_urGWB0WRuRxg-tRivXDVqaRlgHCMTjqGVHXq_SI_QYAAmkz7J7nxFR9Ay8GCYGb&amp;_nc_ad=z-m&amp;_nc_cid=0&amp;_nc_zt=23&amp;_nc_ht=scontent-gru2-1.cdninstagram.com&amp;_nc_gid=832jxjWftkKYOGhz8kgttw&amp;oh=00_AfhyaVEBGcOVZjbl2YSTKajuZylJiiO-wL9AiKwoQnZjKw&amp;oe=691BD4B3,https://scontent-gru1-2.cdninstagram.com/v/t51.82787-15/541088896_18067170737242904_7559865375470623802_n.jpg?stp=dst-jpg_e35_tt6&amp;_nc_cat=103&amp;ig_cache_key=MzcxMzc3Njk5MzcwMTAxOTMxMQ%3D%3D.3-ccb1-7&amp;ccb=1-7&amp;_nc_sid=58cdad&amp;efg=eyJ2ZW5jb2RlX3RhZyI6InhwaWRzLjEzMjB4MTc2MC5zZHIuQzMifQ%3D%3D&amp;_nc_ohc=pWESqTSefTgQ7kNvwHkh0Kj&amp;_nc_oc=Adm8zuVRgAxOzZziddk5R-2eni1MtYqL2APVzwHktEfHG7t3FxZXR7sdP7ny1U-40jIQ5UvkhfQ0XZ0qg7VtQngq&amp;_nc_ad=z-m&amp;_nc_cid=0&amp;_nc_zt=23&amp;_nc_ht=scontent-gru1-2.cdninstagram.com&amp;_nc_gid=832jxjWftkKYOGhz8kgttw&amp;oh=00_AfhTCl6mrT2h_tf_yG_lAXdaOA75AEaacZrmBiRVZg0OwQ&amp;oe=691BDB14</t>
  </si>
  <si>
    <t>DP7YUHSEQmE</t>
  </si>
  <si>
    <t>https://www.instagram.com/p/DP7YUHSEQmE</t>
  </si>
  <si>
    <t>🤯 Como é ter TDAH e transtorno de ansiedade generalizada (TAG) ao mesmo tempo
✨ O TAG é um quadro em que a pessoa está sempre preocupada e em alerta.
✨ Isso leva a um estado constante de tensão e ansiedade elevada.
✨ Quando alguém tem #tdah junto com o TAG, a #preocupação excessiva pode se unir à #distração do TDAH. 
✨ A ansiedade pode até ajudar a pessoa a se organizar, mas ela fica sempre à procura de problemas, mesmo onde não existem, aumentando sua tensão.
👉 Essas preocupações excessivas e persistentes mantém o TDAH focado, mas gera um grande desconforto e fazem a pessoa se sentir exausta com muita frequência.
✨ A mente da pessoa com TDAH + TAG nunca para, está sempre pensando em mil coisas e muitas vezes, imaginando o pior cenário possível para o futuro. Isso causa muito #sofrimento e #desgasteemocional .
✨A ansiedade constante acaba intensificando a dificuldade de concentração, #desatenção , #procrastinação , insônia e outros sintomas típicos do TDAH.
✨ Muitas vezes, pacientes buscam ajuda para tratar a ansiedade e acabam descobrindo que têm também TDAH, e ao tratar este, os sintomas de ansiedade melhoram bastante. 
⚠️ É importante diferenciar a ansiedade comum do TAG, que é um estado de preocupação constante por mais de seis meses e causa desconforto significativo.
✨ Post: @equilibriomental + @drajuliapsiquiatra 
#tdahadultos #tdahadulto #tdahinfantil #tdahmemes #tdahdescomplicado #transtornodeansiedadegeneralizada #crisedeansiedade #psiquiatras</t>
  </si>
  <si>
    <t>Natália Chaves Pessoa</t>
  </si>
  <si>
    <t>Falta algum na lista?
#tdah #autismo #tdahzando #tea #psicologia #dislexia #psicopedagogia #pedagogia #tdahinfantil #educa #desenvolvimentoinfantil #tdahadulto #terapiaocupacional #autismoinfantil #autismobrasil #autista #neuropsicologia #saudemental #hiperatividade #deficitdeatencao #aracaju #sergipe #aracajusergipe</t>
  </si>
  <si>
    <t>taharibnn</t>
  </si>
  <si>
    <t>Tahar  |  TDAH com humor</t>
  </si>
  <si>
    <t>https://instagram.fcgh9-1.fna.fbcdn.net/v/t51.2885-19/342896576_197390316393171_6767736904209467616_n.jpg?stp=dst-jpg_s150x150_tt6&amp;efg=eyJ2ZW5jb2RlX3RhZyI6InByb2ZpbGVfcGljLmRqYW5nby4xMDgwLmMyIn0&amp;_nc_ht=instagram.fcgh9-1.fna.fbcdn.net&amp;_nc_cat=103&amp;_nc_oc=Q6cZ2QFPov7R9KkJkRWPhoul_WHPqgeeCzwRjTZJfLUvhQ7Ahn-FmGOPACvW2uuxfW4XFm6i_ZZl8_zjX6ppwx6UG-Ds&amp;_nc_ohc=wGwHqzpeXyMQ7kNvwF0ropW&amp;_nc_gid=Pc-yOprRxmpD2PcEEeKiuQ&amp;edm=AFlAz-oBAAAA&amp;ccb=7-5&amp;oh=00_AfjY77tssC80CHqpbKqFIoDGbWbOQ_WEUhsBzlDDjH7kng&amp;oe=6930C7E4&amp;_nc_sid=76c0fc</t>
  </si>
  <si>
    <t>https://scontent-gru2-1.cdninstagram.com/v/t51.2885-19/521225609_18070023599280911_2791653571434660971_n.jpg?stp=dst-jpg_s150x150_tt6&amp;efg=eyJ2ZW5jb2RlX3RhZyI6InByb2ZpbGVfcGljLmRqYW5nby4xMDgwLmMyIn0&amp;_nc_ht=scontent-gru2-1.cdninstagram.com&amp;_nc_cat=111&amp;_nc_oc=Q6cZ2QF_7ptarWIDxLQefAQP7jjZgjnL08KAuVm4XgP8894Q5wMko3rhS2q9wnBYbHhZfcBPUSFTNQVgLTyYpt_NADMy&amp;_nc_ohc=fjMox7P1BXEQ7kNvwFhpB7G&amp;_nc_gid=832jxjWftkKYOGhz8kgttw&amp;edm=AFlAz-oBAAAA&amp;ccb=7-5&amp;oh=00_AfhGJ-HC9bBxw4e2vb0QZb-0_WetJhD1q-h16ZNMGadZfQ&amp;oe=691BDDB2&amp;_nc_sid=76c0fc</t>
  </si>
  <si>
    <t>poststdah</t>
  </si>
  <si>
    <t>Posts TDAH</t>
  </si>
  <si>
    <t>https://scontent-gru2-1.cdninstagram.com/v/t51.82787-15/566636974_18080265461280911_4912887352076013339_n.jpg?stp=dst-jpg_e35_tt6&amp;_nc_cat=107&amp;ig_cache_key=Mzc0NTY5NDQ0MTA1MjExODkyNQ%3D%3D.3-ccb1-7&amp;ccb=1-7&amp;_nc_sid=58cdad&amp;efg=eyJ2ZW5jb2RlX3RhZyI6InhwaWRzLjEwODB4MTM1MC5zZHIuQzMifQ%3D%3D&amp;_nc_ohc=yuwA0hSo_kkQ7kNvwHcM9Lw&amp;_nc_oc=AdmJajlDdTSJLcKwyroYJ5sPCZoZINGB259sWnUhY0pumybFtiV99ihPlrSl-jMOwwLtIzbWoGt0oImr2s5l8TId&amp;_nc_ad=z-m&amp;_nc_cid=0&amp;_nc_zt=23&amp;_nc_ht=scontent-gru2-1.cdninstagram.com&amp;_nc_gid=832jxjWftkKYOGhz8kgttw&amp;oh=00_AfhJPX5FpjqKxPaKoO9ERbr0F6DdxFGVISIlvbcmWfkUvw&amp;oe=691BDA95,https://scontent-gru1-2.cdninstagram.com/v/t51.82787-15/566048537_18080265470280911_6321573045406581091_n.jpg?stp=dst-jpg_e35_tt6&amp;_nc_cat=103&amp;ig_cache_key=Mzc0NTY5NDQ0MTA1MjE3MzQ2Mw%3D%3D.3-ccb1-7&amp;ccb=1-7&amp;_nc_sid=58cdad&amp;efg=eyJ2ZW5jb2RlX3RhZyI6InhwaWRzLjEwODB4MTM1MC5zZHIuQzMifQ%3D%3D&amp;_nc_ohc=U6zyySud6q8Q7kNvwG0noZM&amp;_nc_oc=Adk-KqmmdlX3K9koSxeiA-PXGXUIZWxMWTGQAml0EucutNoupklgS97ccdxujkTdtJK-BVIVShSPNvDET95SdE81&amp;_nc_ad=z-m&amp;_nc_cid=0&amp;_nc_zt=23&amp;_nc_ht=scontent-gru1-2.cdninstagram.com&amp;_nc_gid=832jxjWftkKYOGhz8kgttw&amp;oh=00_Afji1K1TaCyWlXgTtxu4Fs6UVNgfX-QGhwkZQY6lrgf8Ww&amp;oe=691BDFF5,https://scontent-gru2-2.cdninstagram.com/v/t51.82787-15/565817032_18080265479280911_3519966337586661194_n.jpg?stp=dst-jpg_e35_tt6&amp;_nc_cat=102&amp;ig_cache_key=Mzc0NTY5NDQ0MTA1MjEzNTQ4OQ%3D%3D.3-ccb1-7&amp;ccb=1-7&amp;_nc_sid=58cdad&amp;efg=eyJ2ZW5jb2RlX3RhZyI6InhwaWRzLjEwODB4MTM1MC5zZHIuQzMifQ%3D%3D&amp;_nc_ohc=Qu4PLSQUTZkQ7kNvwG7i4rG&amp;_nc_oc=AdlQVZEwHvUVJFItWYBWJhWgizcRs9h7gKBwawilWFssBySXAxm8xfrtoIaVDAhW-XRfwqFMEppQmVy1U3ykHz4P&amp;_nc_ad=z-m&amp;_nc_cid=0&amp;_nc_zt=23&amp;_nc_ht=scontent-gru2-2.cdninstagram.com&amp;_nc_gid=832jxjWftkKYOGhz8kgttw&amp;oh=00_Afj74NFdXS8GCsEjwYkvoEJmY5TJooRLAqONRtHk27wN6Q&amp;oe=691BF0AE,https://scontent-gru1-1.cdninstagram.com/v/t51.82787-15/565611441_18080265488280911_5550258050407070966_n.jpg?stp=dst-jpg_e35_tt6&amp;_nc_cat=101&amp;ig_cache_key=Mzc0NTY5NDQ0MTAyNjk4MTY0NQ%3D%3D.3-ccb1-7&amp;ccb=1-7&amp;_nc_sid=58cdad&amp;efg=eyJ2ZW5jb2RlX3RhZyI6InhwaWRzLjEwODB4MTM1MC5zZHIuQzMifQ%3D%3D&amp;_nc_ohc=OCGYlByiBf4Q7kNvwEjj2wp&amp;_nc_oc=AdnixEqnYqjGRU86k7-5_dQmUE3KChsw9SJoPCD1QIJT6AIv1yFBb_38kfSl4tHSxi0nBpfJSu_s4xP0oNB0AcRz&amp;_nc_ad=z-m&amp;_nc_cid=0&amp;_nc_zt=23&amp;_nc_ht=scontent-gru1-1.cdninstagram.com&amp;_nc_gid=832jxjWftkKYOGhz8kgttw&amp;oh=00_AfioHHq74A7NJpFkqyg4JHEVoyRqNZmHQxDZ7vHwDtbLow&amp;oe=691BF88D,https://scontent-gru1-2.cdninstagram.com/v/t51.82787-15/565916323_18080265497280911_2550239285480573328_n.jpg?stp=dst-jpg_e35_tt6&amp;_nc_cat=103&amp;ig_cache_key=Mzc0NTY5NDQ0MTA1MjE2NDUzMw%3D%3D.3-ccb1-7&amp;ccb=1-7&amp;_nc_sid=58cdad&amp;efg=eyJ2ZW5jb2RlX3RhZyI6InhwaWRzLjEwODB4MTM1MC5zZHIuQzMifQ%3D%3D&amp;_nc_ohc=hxXnE3tbVaMQ7kNvwEcay92&amp;_nc_oc=AdlETt8GVGeP_juLIIP4N-aXJSHkH3q1lUWDLWiNSj-ENIpFWxhJGG5UNQ7L79VvS_SA4dNOzCZSkTtruR6d6g_h&amp;_nc_ad=z-m&amp;_nc_cid=0&amp;_nc_zt=23&amp;_nc_ht=scontent-gru1-2.cdninstagram.com&amp;_nc_gid=832jxjWftkKYOGhz8kgttw&amp;oh=00_AfjOiV6Crpm8LkM4-P9UZ2HrZCUm4OtAIE7XwC-BODxu3A&amp;oe=691BE51C,https://scontent-gru1-2.cdninstagram.com/v/t51.82787-15/565142773_18080265515280911_2696440118490714413_n.jpg?stp=dst-jpg_e35_tt6&amp;_nc_cat=100&amp;ig_cache_key=Mzc0NTY5NDQ0MTA1MjE0NzExOA%3D%3D.3-ccb1-7&amp;ccb=1-7&amp;_nc_sid=58cdad&amp;efg=eyJ2ZW5jb2RlX3RhZyI6InhwaWRzLjEwODB4MTM1MC5zZHIuQzMifQ%3D%3D&amp;_nc_ohc=hUEDwzQsbhQQ7kNvwER0hIN&amp;_nc_oc=AdmRnpZ2K7UtDyjRI9bJxsKA2D-diixxkrB-CjJ1JJ5WHzKHJbaUUX5OWS6DNuvDzQDHjX7tTdZ4s9LhSKPRwZFv&amp;_nc_ad=z-m&amp;_nc_cid=0&amp;_nc_zt=23&amp;_nc_ht=scontent-gru1-2.cdninstagram.com&amp;_nc_gid=832jxjWftkKYOGhz8kgttw&amp;oh=00_AfjPv5348zLUIMWQBA_iVymp_T8WNW7Nrk54cpBvUSPfJA&amp;oe=691BF75E,https://scontent-gru1-2.cdninstagram.com/v/t51.82787-15/565105764_18080265506280911_5250647728724781230_n.jpg?stp=dst-jpg_e35_tt6&amp;_nc_cat=103&amp;ig_cache_key=Mzc0NTY5NDQ0MTA0Mzc3ODYzOQ%3D%3D.3-ccb1-7&amp;ccb=1-7&amp;_nc_sid=58cdad&amp;efg=eyJ2ZW5jb2RlX3RhZyI6InhwaWRzLjEwODB4MTM1MC5zZHIuQzMifQ%3D%3D&amp;_nc_ohc=uFWlYWxL4xIQ7kNvwEsA__d&amp;_nc_oc=AdloWX3ug2O0xQHRqlZBPnCWB-PnKmWp5w-vl7VVx2U57aFS8jHzDyQv13A-edQUV-cpnNW5L8WM7X_Tm6mi3MRH&amp;_nc_ad=z-m&amp;_nc_cid=0&amp;_nc_zt=23&amp;_nc_ht=scontent-gru1-2.cdninstagram.com&amp;_nc_gid=832jxjWftkKYOGhz8kgttw&amp;oh=00_AfibTOCyKrYn2Usl31lAtSZUY8YOqkpUz9X9DsA_qnX1KQ&amp;oe=691BD9CD,https://scontent-gru2-2.cdninstagram.com/v/t51.82787-15/565107920_18080265524280911_8188491461982968128_n.jpg?stp=dst-jpg_e35_tt6&amp;_nc_cat=102&amp;ig_cache_key=Mzc0NTY5NDQ0MTAzNTM2MDMzMg%3D%3D.3-ccb1-7&amp;ccb=1-7&amp;_nc_sid=58cdad&amp;efg=eyJ2ZW5jb2RlX3RhZyI6InhwaWRzLjEwODB4MTM1MC5zZHIuQzMifQ%3D%3D&amp;_nc_ohc=DdEgOYnDXGMQ7kNvwFw0LVc&amp;_nc_oc=Adkdr9Vm9fqcNoZyd1Jna6y6VILGBbFhuuv_wZZ6QhsBeJcGAVp1vTiVuwvfd_I7omrrdruM7E1VZXkpKh7JNVld&amp;_nc_ad=z-m&amp;_nc_cid=0&amp;_nc_zt=23&amp;_nc_ht=scontent-gru2-2.cdninstagram.com&amp;_nc_gid=832jxjWftkKYOGhz8kgttw&amp;oh=00_AfgYySki6t4D-fs2hz84dEWfDIxiDpo1iNUzBJgA41PCpQ&amp;oe=691BCA14</t>
  </si>
  <si>
    <t>tdah,autismo,tdahzando,tea,psicologia,dislexia,psicopedagogia,pedagogia,tdahinfantil,educa,desenvolvimentoinfantil,tdahadulto,terapiaocupacional,autismoinfantil,autismobrasil,autista,neuropsicologia,saudemental,hiperatividade,deficitdeatencao,aracaju,sergipe,aracajusergipe</t>
  </si>
  <si>
    <t>https://scontent.cdninstagram.com/v/t51.82787-15/548564344_18323114584232330_3713434289825880020_n.jpg?stp=dst-jpg_e35_tt6&amp;_nc_cat=102&amp;ig_cache_key=MzcyMTAzMzYyMTg5ODY0NDgzOQ%3D%3D.3-ccb7-5&amp;ccb=7-5&amp;_nc_sid=58cdad&amp;efg=eyJ2ZW5jb2RlX3RhZyI6InhwaWRzLjE2Mzd4MjA0OC5zZHIuQzMifQ%3D%3D&amp;_nc_ohc=bOdzcUZrQgIQ7kNvwF-xnO1&amp;_nc_oc=AdmNskDcbCuAjT0JAjNV9iDk6eTZi2oMPgVQcgg3ZNmT03wURtxKGN9zlAfFefw6yiSY_V3bcvuU-Z8-E8NDb5ks&amp;_nc_ad=z-m&amp;_nc_cid=0&amp;_nc_zt=23&amp;_nc_ht=scontent.cdninstagram.com&amp;_nc_gid=Pc-yOprRxmpD2PcEEeKiuQ&amp;oh=00_AfhgWuLeR5ZXnJicR7zu8-f9NXuarDRWockZFqELX0IqVw&amp;oe=6930D416</t>
  </si>
  <si>
    <t>https://www.instagram.com/p/DKIHo__JhS1</t>
  </si>
  <si>
    <t>https://scontent-gru2-1.cdninstagram.com/v/t51.2885-19/463306506_578019911247247_6027540863326158088_n.jpg?stp=dst-jpg_s150x150_tt6&amp;efg=eyJ2ZW5jb2RlX3RhZyI6InByb2ZpbGVfcGljLmRqYW5nby4zMjAuYzIifQ&amp;_nc_ht=scontent-gru2-1.cdninstagram.com&amp;_nc_cat=107&amp;_nc_oc=Q6cZ2QF_7ptarWIDxLQefAQP7jjZgjnL08KAuVm4XgP8894Q5wMko3rhS2q9wnBYbHhZfcBPUSFTNQVgLTyYpt_NADMy&amp;_nc_ohc=1vT7_7SvafsQ7kNvwGOgbh2&amp;_nc_gid=832jxjWftkKYOGhz8kgttw&amp;edm=AFlAz-oBAAAA&amp;ccb=7-5&amp;oh=00_AfgZ44b9LLjqzHqsJDGe-E4sWs_YknZCflnx3bOqoGUwuQ&amp;oe=691BEB51&amp;_nc_sid=76c0fc</t>
  </si>
  <si>
    <t>tdah,preocupação,distração,sofrimento,desgasteemocional,desatenção,procrastinação,tdahadultos,tdahadulto,tdahinfantil,tdahmemes,tdahdescomplicado,transtornodeansiedadegeneralizada,crisedeansiedade,psiquiatras</t>
  </si>
  <si>
    <t>drajuliapsiquiatra,mariliapessoamarketing</t>
  </si>
  <si>
    <t>Belo Horizonte</t>
  </si>
  <si>
    <t>-19.9191,-43.9387</t>
  </si>
  <si>
    <t>https://www.instagram.com/p/DOhRjb6DSDz</t>
  </si>
  <si>
    <t>https://scontent-gru1-2.cdninstagram.com/v/t51.75761-15/501427063_18509343841016235_7451810044767480491_n.webp?_nc_cat=108&amp;ig_cache_key=MzY0MTE5MzkwMjUzODg4ODM3Mw%3D%3D.3-ccb1-7&amp;ccb=1-7&amp;_nc_sid=58cdad&amp;efg=eyJ2ZW5jb2RlX3RhZyI6InhwaWRzLjEwODB4MTA4MC5zZHIuQzMifQ%3D%3D&amp;_nc_ohc=7igvBg1HOpgQ7kNvwFNpMfr&amp;_nc_oc=AdnTjDzVF-11oLhuSWYKKGea5BRZV-ShYttk7va8AlmZz9a7RijSFuDBlGpA1Npf_ZiEcISDLdMOIwIEYBnEUtXD&amp;_nc_ad=z-m&amp;_nc_cid=0&amp;_nc_zt=23&amp;_nc_ht=scontent-gru1-2.cdninstagram.com&amp;_nc_gid=832jxjWftkKYOGhz8kgttw&amp;oh=00_Afg2hnEcMZSjXXCPcaHzlVB9-O4KT7-Jk3sut9TjyxYx2g&amp;oe=691BCD31</t>
  </si>
  <si>
    <t>https://instagram.fcgh9-1.fna.fbcdn.net/v/t51.2885-19/364276362_1017951822536379_2762309384634493842_n.jpg?stp=dst-jpg_s150x150_tt6&amp;efg=eyJ2ZW5jb2RlX3RhZyI6InByb2ZpbGVfcGljLmRqYW5nby43MjUuYzIifQ&amp;_nc_ht=instagram.fcgh9-1.fna.fbcdn.net&amp;_nc_cat=103&amp;_nc_oc=Q6cZ2QFPov7R9KkJkRWPhoul_WHPqgeeCzwRjTZJfLUvhQ7Ahn-FmGOPACvW2uuxfW4XFm6i_ZZl8_zjX6ppwx6UG-Ds&amp;_nc_ohc=mVLDBu0PhrcQ7kNvwEzZ-WQ&amp;_nc_gid=Pc-yOprRxmpD2PcEEeKiuQ&amp;edm=AFlAz-oBAAAA&amp;ccb=7-5&amp;oh=00_AfjCNDQOMutbI_e1UqPnoMhYrMrVU7NlZPbeJiNCMK1VDQ&amp;oe=6930D950&amp;_nc_sid=76c0fc</t>
  </si>
  <si>
    <t>https://scontent.cdninstagram.com/v/t51.82787-15/546205617_18066856778213448_3602519716053271052_n.jpg?stp=dst-jpg_e35_tt6&amp;_nc_cat=101&amp;ig_cache_key=MzcyMDMzMTk2OTEyMjA4MzA1OQ%3D%3D.3-ccb7-5&amp;ccb=7-5&amp;_nc_sid=58cdad&amp;efg=eyJ2ZW5jb2RlX3RhZyI6InhwaWRzLjE0MDh4MTY5NC5zZHIuQzMifQ%3D%3D&amp;_nc_ohc=h-3HykDHDPYQ7kNvwEc3opS&amp;_nc_oc=AdkQNQ9bP27Hh7_qH8mCfXnzDeHHqvj19dnRQf9BZVNCZdp0rVZnqHIEEvbsv6iv120W9D1LDFXgwLSCPG1AGuKl&amp;_nc_ad=z-m&amp;_nc_cid=0&amp;_nc_zt=23&amp;_nc_ht=scontent.cdninstagram.com&amp;_nc_gid=Pc-yOprRxmpD2PcEEeKiuQ&amp;oh=00_AfjFcsqDV9Q0xD9KP-HoIFLsClh9KUUTs0L0QZcVfKJ7zg&amp;oe=6930CBFF</t>
  </si>
  <si>
    <t>https://www.instagram.com/p/DOj2GEsleCS</t>
  </si>
  <si>
    <t>https://scontent-gru2-2.cdninstagram.com/v/t51.2885-19/556796088_17965445144963777_7387558014503794404_n.jpg?stp=dst-jpg_s150x150_tt6&amp;efg=eyJ2ZW5jb2RlX3RhZyI6InByb2ZpbGVfcGljLmRqYW5nby4xMDI0LmMyIn0&amp;_nc_ht=scontent-gru2-2.cdninstagram.com&amp;_nc_cat=105&amp;_nc_oc=Q6cZ2QF_7ptarWIDxLQefAQP7jjZgjnL08KAuVm4XgP8894Q5wMko3rhS2q9wnBYbHhZfcBPUSFTNQVgLTyYpt_NADMy&amp;_nc_ohc=eWEV1J-czSQQ7kNvwESGTVs&amp;_nc_gid=832jxjWftkKYOGhz8kgttw&amp;edm=AFlAz-oBAAAA&amp;ccb=7-5&amp;oh=00_AfiisMwJFVQ3gMQnNqwzoFBlaerb_zUf4bLPJlUNSWhG4w&amp;oe=691BFA1C&amp;_nc_sid=76c0fc</t>
  </si>
  <si>
    <t>https://scontent-gru2-2.cdninstagram.com/v/t39.30808-6/514261286_122170840460477299_3820653014859878581_n.jpg?stp=dst-jpg_e35_tt6&amp;_nc_cat=105&amp;ig_cache_key=MzcyMTA1NTYwODUxNjIwNzM1NA%3D%3D.3-ccb1-7&amp;ccb=1-7&amp;_nc_sid=58cdad&amp;efg=eyJ2ZW5jb2RlX3RhZyI6InhwaWRzLjEwODB4MTM1MC5zZHIuQzMifQ%3D%3D&amp;_nc_ohc=GMRDMtvSAxUQ7kNvwEyxUCB&amp;_nc_oc=Admn3n9CxM5NkSzIW-E8thI2Nu24uUcNOOR-nEPQ9s6dgC6vWhjs0WgOqwC-dFjxM_BM342kaNuBHvIoVg0Vq3yF&amp;_nc_ad=z-m&amp;_nc_cid=0&amp;_nc_zt=23&amp;_nc_ht=scontent-gru2-2.cdninstagram.com&amp;_nc_gid=832jxjWftkKYOGhz8kgttw&amp;oh=00_AfhilFawYGzydkEUziE-9tgkI92DZoKdDpVvG6T_65IoHw&amp;oe=691BCD7B,https://scontent-gru1-2.cdninstagram.com/v/t39.30808-6/547314614_122170840520477299_7775916126063918697_n.jpg?stp=dst-jpg_e35_tt6&amp;_nc_cat=108&amp;ig_cache_key=MzcyMTA1NTYwOTczMjU0NDg3NQ%3D%3D.3-ccb1-7&amp;ccb=1-7&amp;_nc_sid=58cdad&amp;efg=eyJ2ZW5jb2RlX3RhZyI6InhwaWRzLjEwODB4MTM1MC5zZHIuQzMifQ%3D%3D&amp;_nc_ohc=NWQEF-_srj8Q7kNvwHFc_t3&amp;_nc_oc=Adm6I9PJmKeTeZxJTV1toOkBhpCAhPHYRAtOW9Cmuh5K0FvGICex5qlFuOnV0zuRdN4QfIGYm4U6EdVXaSa9g0vm&amp;_nc_ad=z-m&amp;_nc_cid=0&amp;_nc_zt=23&amp;_nc_ht=scontent-gru1-2.cdninstagram.com&amp;_nc_gid=832jxjWftkKYOGhz8kgttw&amp;oh=00_AfiPDPxaQtr_7ZyZ_WXRErXFg9nDo3vhya0pCUZpuquCOg&amp;oe=691BF034,https://scontent-gru1-1.cdninstagram.com/v/t39.30808-6/546407763_122170840580477299_2569038701744941005_n.jpg?stp=dst-jpg_e35_tt6&amp;_nc_cat=104&amp;ig_cache_key=MzcyMTA1NTYwODQwNzE1MjUwNQ%3D%3D.3-ccb1-7&amp;ccb=1-7&amp;_nc_sid=58cdad&amp;efg=eyJ2ZW5jb2RlX3RhZyI6InhwaWRzLjEwODB4MTM1MC5zZHIuQzMifQ%3D%3D&amp;_nc_ohc=q5wxvw7HKU8Q7kNvwE_hKcd&amp;_nc_oc=AdloOawOdjfVLjn-H-pACUvPpPWAbREHOBorlSiefUgV9tJT1yxreT1rKxRzig4j879sjsGgcspsKjOOnMpGcPse&amp;_nc_ad=z-m&amp;_nc_cid=0&amp;_nc_zt=23&amp;_nc_ht=scontent-gru1-1.cdninstagram.com&amp;_nc_gid=832jxjWftkKYOGhz8kgttw&amp;oh=00_AfiJFWnKcSqFbsMk3dLkI1oY9p2qLsptVXODP3uSj76g5A&amp;oe=691BFCC7,https://scontent-gru1-2.cdninstagram.com/v/t39.30808-6/514272743_122170840622477299_6842484270116754867_n.jpg?stp=dst-jpg_e35_tt6&amp;_nc_cat=103&amp;ig_cache_key=MzcyMTA1NTYwODU2NjU3ODgzNA%3D%3D.3-ccb1-7&amp;ccb=1-7&amp;_nc_sid=58cdad&amp;efg=eyJ2ZW5jb2RlX3RhZyI6InhwaWRzLjEwODB4MTM1MC5zZHIuQzMifQ%3D%3D&amp;_nc_ohc=9-uYK-RHBc4Q7kNvwF03YsN&amp;_nc_oc=AdkeemN7NVeTLWCjbdJxyrzm5L1cyxEXdKXTvmCEWPClAdlv7E9EK3RNfSCNkZGAHsM9YbChgp05XtNFL4mG4feb&amp;_nc_ad=z-m&amp;_nc_cid=0&amp;_nc_zt=23&amp;_nc_ht=scontent-gru1-2.cdninstagram.com&amp;_nc_gid=832jxjWftkKYOGhz8kgttw&amp;oh=00_Afg6Wpqpr1O36SfnVuc8HfhmQW4I8hVtCZri7yP05hda7A&amp;oe=691BF9A6,https://scontent-gru1-1.cdninstagram.com/v/t39.30808-6/547336143_122170840694477299_2627312663035913864_n.jpg?stp=dst-jpg_e35_tt6&amp;_nc_cat=104&amp;ig_cache_key=MzcyMTA1NTYwOTE2MjE2OTQ4Nw%3D%3D.3-ccb1-7&amp;ccb=1-7&amp;_nc_sid=58cdad&amp;efg=eyJ2ZW5jb2RlX3RhZyI6InhwaWRzLjEwODB4MTM1MC5zZHIuQzMifQ%3D%3D&amp;_nc_ohc=YrICvw5YKrYQ7kNvwG8q7DE&amp;_nc_oc=Adlc0JZhg0Eu74XTPDcAn63BnAq4Luc8maxKsgObnibmWzOig76PlDKJ6j4UOSM81D51GfNng9nvFH8FZ89YCsY1&amp;_nc_ad=z-m&amp;_nc_cid=0&amp;_nc_zt=23&amp;_nc_ht=scontent-gru1-1.cdninstagram.com&amp;_nc_gid=832jxjWftkKYOGhz8kgttw&amp;oh=00_AfjMJZNCSWQbwTqvZJEk88hPKQGAmu_hQf7-CD8I0rmObQ&amp;oe=691BC9B1,https://scontent-gru2-1.cdninstagram.com/v/t39.30808-6/514260033_122170840748477299_2530349886988748322_n.jpg?stp=c0.128.1024.1280a_dst-jpg_e35_tt6&amp;_nc_cat=107&amp;ig_cache_key=MzcyMTA1NTYwODM4MjAwNzM2OA%3D%3D.3-ccb1-7&amp;ccb=1-7&amp;_nc_sid=58cdad&amp;efg=eyJ2ZW5jb2RlX3RhZyI6InhwaWRzLjEwMjR4MTUzNi5zZHIuQzMifQ%3D%3D&amp;_nc_ohc=QS3hcOjlEfIQ7kNvwHdROGQ&amp;_nc_oc=AdlxnSQf4scLjr07T7ly_hIPabXo7GjLRxapPg6JH11rmZVGVhtHS5wDqVAfJ_WlZg-wJ--E1Seh1BDfq3qr0ykC&amp;_nc_ad=z-m&amp;_nc_cid=0&amp;_nc_zt=23&amp;_nc_ht=scontent-gru2-1.cdninstagram.com&amp;_nc_gid=832jxjWftkKYOGhz8kgttw&amp;oh=00_Afhrmil1976cz6y2uuQuotckdIkpnzKgWczRGGccWrVhXA&amp;oe=691BF3C7</t>
  </si>
  <si>
    <t>DQ9x0DIj82v</t>
  </si>
  <si>
    <t>https://www.instagram.com/p/DQ9x0DIj82v</t>
  </si>
  <si>
    <t>https://instagram.fcgh9-1.fna.fbcdn.net/v/t51.2885-19/541301317_18066670676242904_229664044403058617_n.jpg?stp=dst-jpg_s150x150_tt6&amp;efg=eyJ2ZW5jb2RlX3RhZyI6InByb2ZpbGVfcGljLmRqYW5nby4xMDgwLmMyIn0&amp;_nc_ht=instagram.fcgh9-1.fna.fbcdn.net&amp;_nc_cat=108&amp;_nc_oc=Q6cZ2QFPov7R9KkJkRWPhoul_WHPqgeeCzwRjTZJfLUvhQ7Ahn-FmGOPACvW2uuxfW4XFm6i_ZZl8_zjX6ppwx6UG-Ds&amp;_nc_ohc=2C9f9UoL2zEQ7kNvwEWxdPt&amp;_nc_gid=Pc-yOprRxmpD2PcEEeKiuQ&amp;edm=AFlAz-oBAAAA&amp;ccb=7-5&amp;oh=00_AfgXqlX3plij6IkPJID1LNORPkFkNfg13IO_Zy4VFaHRTg&amp;oe=6930CD3C&amp;_nc_sid=76c0fc</t>
  </si>
  <si>
    <t>Remédios para tratamento do Transtorno de Déficit de Atenção e Hiperatividade (TDAH) podem aumentar a chance de doenças cardiovasculares (DCVs). A afirmação está baseada em vários estudos sobre o uso prolongado dessa classe de medicamentos (lisdexanfetamina). O aumento da pressão arterial e da frequência cardíaca - fatores que desencadeiam as DCVs - são as principais consequências.
Lembre-se: qualquer medicamento deve ser tomado solo orientação e acompanhamento médico! O tema foi debatido no último Congresso da SOCESP. 
#doençascardiovasculares #ecg #doencasdocoracao #tdahadulto #psiquiatra</t>
  </si>
  <si>
    <t>escolapraticamd</t>
  </si>
  <si>
    <t>Escola Prática MD</t>
  </si>
  <si>
    <t>https://scontent-gru1-1.cdninstagram.com/v/t51.2885-19/344358642_1225593754824508_3448724865917736299_n.jpg?stp=dst-jpg_s150x150_tt6&amp;efg=eyJ2ZW5jb2RlX3RhZyI6InByb2ZpbGVfcGljLmRqYW5nby45NjEuYzIifQ&amp;_nc_ht=scontent-gru1-1.cdninstagram.com&amp;_nc_cat=104&amp;_nc_oc=Q6cZ2QF_7ptarWIDxLQefAQP7jjZgjnL08KAuVm4XgP8894Q5wMko3rhS2q9wnBYbHhZfcBPUSFTNQVgLTyYpt_NADMy&amp;_nc_ohc=SuevEO91mmYQ7kNvwGuDm2B&amp;_nc_gid=832jxjWftkKYOGhz8kgttw&amp;edm=AFlAz-oBAAAA&amp;ccb=7-5&amp;oh=00_AfggsqyYrAIA71lHe8-NsizZPj7s9tfe-LokixsxZyGrZA&amp;oe=691BD503&amp;_nc_sid=76c0fc</t>
  </si>
  <si>
    <t>https://scontent.cdninstagram.com/v/t51.82787-15/541251011_18067170623242904_859517779203890615_n.jpg?stp=dst-jpg_e35_tt6&amp;_nc_cat=111&amp;ig_cache_key=MzcxMzc3Njk5MzcwMTAwNDk0MQ%3D%3D.3-ccb7-5&amp;ccb=7-5&amp;_nc_sid=58cdad&amp;efg=eyJ2ZW5jb2RlX3RhZyI6InhwaWRzLjEzMjB4MTc2MC5zZHIuQzMifQ%3D%3D&amp;_nc_ohc=4gxbboeRKXUQ7kNvwFRuvAz&amp;_nc_oc=Adk4usTrJjeHvVU3drLrwC8Xv1bbY7RpWvHS2wxI88CVwylgyTQEznufJK5QhqDj8qGcgOTXdOWD6eVKASp7iLpY&amp;_nc_ad=z-m&amp;_nc_cid=0&amp;_nc_zt=23&amp;_nc_ht=scontent.cdninstagram.com&amp;_nc_gid=Pc-yOprRxmpD2PcEEeKiuQ&amp;oh=00_AfjgVzGnFoTFZhaW-AxwwrpMjR1JnwkJQpSlN4Y9Wq3p5Q&amp;oe=6930DA89,https://scontent.cdninstagram.com/v/t51.82787-15/541849959_18067170632242904_7421732476072450315_n.jpg?stp=dst-jpg_e35_tt6&amp;_nc_cat=109&amp;ig_cache_key=MzcxMzc3Njk5MzcwOTQxODU0NQ%3D%3D.3-ccb7-5&amp;ccb=7-5&amp;_nc_sid=58cdad&amp;efg=eyJ2ZW5jb2RlX3RhZyI6InhwaWRzLjEzMjB4MTc2MC5zZHIuQzMifQ%3D%3D&amp;_nc_ohc=PB-xdxH-ZX8Q7kNvwFy5JKD&amp;_nc_oc=AdnP0Fcx9W85jbtEYXDa9aZ98HcwBXLq_39k78xf6xPm25zJsM8cmXE8GKZ8TkLqGuPQrHjfb2qwxUupbCbh9WNc&amp;_nc_ad=z-m&amp;_nc_cid=0&amp;_nc_zt=23&amp;_nc_ht=scontent.cdninstagram.com&amp;_nc_gid=Pc-yOprRxmpD2PcEEeKiuQ&amp;oh=00_AfiqWMT9Oa2guDJpFWtAPZQDCqQuAVlZkDHsguX_bym1lQ&amp;oe=6930DB8C,https://scontent.cdninstagram.com/v/t51.82787-15/541167012_18067170641242904_2956384469461914749_n.jpg?stp=dst-jpg_e35_tt6&amp;_nc_cat=105&amp;ig_cache_key=MzcxMzc3Njk5MzcwMTAzNzc3OQ%3D%3D.3-ccb7-5&amp;ccb=7-5&amp;_nc_sid=58cdad&amp;efg=eyJ2ZW5jb2RlX3RhZyI6InhwaWRzLjEzMjB4MTc2MC5zZHIuQzMifQ%3D%3D&amp;_nc_ohc=8ctmOr6zJf4Q7kNvwFOP_EE&amp;_nc_oc=Admyh3g-LMf4anhRkbOE8rZTixenNYxfnsDOrEobszx6wZjU05_g2YZwJBddyDrmXqsiJye2CY4yWEeOB6-CB9nX&amp;_nc_ad=z-m&amp;_nc_cid=0&amp;_nc_zt=23&amp;_nc_ht=scontent.cdninstagram.com&amp;_nc_gid=Pc-yOprRxmpD2PcEEeKiuQ&amp;oh=00_Afj21XRe2K52ZIotvwHTcq3EwG71CPzbAiFCU8v04l-EmQ&amp;oe=6930D4F9,https://scontent.cdninstagram.com/v/t51.82787-15/541523359_18067170650242904_8664919215432430453_n.jpg?stp=dst-jpg_e35_tt6&amp;_nc_cat=106&amp;ig_cache_key=MzcxMzc3Njk5MzcwMTA2MDU4MQ%3D%3D.3-ccb7-5&amp;ccb=7-5&amp;_nc_sid=58cdad&amp;efg=eyJ2ZW5jb2RlX3RhZyI6InhwaWRzLjEzMjB4MTc2MC5zZHIuQzMifQ%3D%3D&amp;_nc_ohc=5mCRbz7eH0IQ7kNvwHnHvGA&amp;_nc_oc=AdlTRWtabCnacdFjskQwEEvkhPgScHtKCb50ojrVJJB9bwokz91aqY1Xy6gxOssU043xE07Yxw7vuFLtqygJbfQk&amp;_nc_ad=z-m&amp;_nc_cid=0&amp;_nc_zt=23&amp;_nc_ht=scontent.cdninstagram.com&amp;_nc_gid=Pc-yOprRxmpD2PcEEeKiuQ&amp;oh=00_AfgZPpocsPnCX52vXYwDVfD1kMKAxO3DTowoJMyP6NmTXQ&amp;oe=6930E32F,https://scontent.cdninstagram.com/v/t51.82787-15/542058551_18067170659242904_8967768612504937989_n.jpg?stp=dst-jpg_e35_tt6&amp;_nc_cat=106&amp;ig_cache_key=MzcxMzc3Njk5MzcwMTAzOTI3Mg%3D%3D.3-ccb7-5&amp;ccb=7-5&amp;_nc_sid=58cdad&amp;efg=eyJ2ZW5jb2RlX3RhZyI6InhwaWRzLjEzMjB4MTc2MC5zZHIuQzMifQ%3D%3D&amp;_nc_ohc=LaxTXvYGH8EQ7kNvwEe18mc&amp;_nc_oc=Adn989cTyYsZ5S7txgy5MeOBVFKO8uslW38QwZsyHQ_atbv0ZIZBn5Lq6Q4k0ua6c-i_OXkvZYjy9hfkOpcW-SY4&amp;_nc_ad=z-m&amp;_nc_cid=0&amp;_nc_zt=23&amp;_nc_ht=scontent.cdninstagram.com&amp;_nc_gid=Pc-yOprRxmpD2PcEEeKiuQ&amp;oh=00_Afh4cMIAb5F4C7dJs4wrx13A7pW0LvesXADQOr1w1vBqiA&amp;oe=6930E8B1,https://scontent.cdninstagram.com/v/t51.82787-15/541160552_18067170668242904_1067727278576298459_n.jpg?stp=dst-jpg_e35_tt6&amp;_nc_cat=107&amp;ig_cache_key=MzcxMzc3Njk5MzY5MjY0Mzc1Mw%3D%3D.3-ccb7-5&amp;ccb=7-5&amp;_nc_sid=58cdad&amp;efg=eyJ2ZW5jb2RlX3RhZyI6InhwaWRzLjEzMjB4MTc1OS5zZHIuQzMifQ%3D%3D&amp;_nc_ohc=oYNg1Zja8CgQ7kNvwGr-OK9&amp;_nc_oc=AdkqGPguywpl6fMQDmdqQWni5OzlsuMX_1eqwBhdsIxR2I3nC6RS1dBVt4JmEY71DRgOJfNt5NIoGLWz2yFRIdNO&amp;_nc_ad=z-m&amp;_nc_cid=0&amp;_nc_zt=23&amp;_nc_ht=scontent.cdninstagram.com&amp;_nc_gid=Pc-yOprRxmpD2PcEEeKiuQ&amp;oh=00_AfizGWfYSTrIO53QPIGpPp8p9LqG4d8u9xeII04_Vt5zng&amp;oe=6930F204,https://scontent.cdninstagram.com/v/t51.82787-15/542453030_18067170677242904_1263203297999984276_n.jpg?stp=dst-jpg_e35_tt6&amp;_nc_cat=104&amp;ig_cache_key=MzcxMzc3Njk5MzcwMTAyOTQyMg%3D%3D.3-ccb7-5&amp;ccb=7-5&amp;_nc_sid=58cdad&amp;efg=eyJ2ZW5jb2RlX3RhZyI6InhwaWRzLjEzMjB4MTc2MC5zZHIuQzMifQ%3D%3D&amp;_nc_ohc=n1qJJYebGVUQ7kNvwHAR96S&amp;_nc_oc=AdnfNA5yHPJOr5UdEGYGprWzSR84chrAryLeDBzo2_1FCtvoVn_qTRMpBRJ1aZkWot9GzyErxZ6OnNQJueCe4-vm&amp;_nc_ad=z-m&amp;_nc_cid=0&amp;_nc_zt=23&amp;_nc_ht=scontent.cdninstagram.com&amp;_nc_gid=Pc-yOprRxmpD2PcEEeKiuQ&amp;oh=00_AfinQqTyQvPG7znWn-zxqwN-qYr1IVYwfVf2ftvDoi7O1w&amp;oe=6930C343,https://scontent.cdninstagram.com/v/t51.82787-15/543668808_18067170686242904_1367291329930231319_n.jpg?stp=dst-jpg_e35_tt6&amp;_nc_cat=105&amp;ig_cache_key=MzcxMzc3Njk5MzcwMTA0MjIyMg%3D%3D.3-ccb7-5&amp;ccb=7-5&amp;_nc_sid=58cdad&amp;efg=eyJ2ZW5jb2RlX3RhZyI6InhwaWRzLjEzMjB4MTc2MC5zZHIuQzMifQ%3D%3D&amp;_nc_ohc=_d-kbA-RU54Q7kNvwEF9y2j&amp;_nc_oc=AdmBn_ODiE5Y50atvx91UDTvn3zUXGnGpxerGHfr0OP2j95K5TbYv10tpF_miHzf0T62Dy38_urECBFzT84pOAha&amp;_nc_ad=z-m&amp;_nc_cid=0&amp;_nc_zt=23&amp;_nc_ht=scontent.cdninstagram.com&amp;_nc_gid=Pc-yOprRxmpD2PcEEeKiuQ&amp;oh=00_AfilblmiQqCED4XUFYnBdSSMshs-1_s6LVRa2rD2TngpVg&amp;oe=6930C8DA,https://scontent.cdninstagram.com/v/t51.82787-15/540495704_18067170695242904_5129172825562848010_n.jpg?stp=dst-jpg_e35_tt6&amp;_nc_cat=110&amp;ig_cache_key=MzcxMzc3Njk5MzcwMTAyMTc2Ng%3D%3D.3-ccb7-5&amp;ccb=7-5&amp;_nc_sid=58cdad&amp;efg=eyJ2ZW5jb2RlX3RhZyI6InhwaWRzLjEzMjB4MTc2MC5zZHIuQzMifQ%3D%3D&amp;_nc_ohc=ASZjLPG278YQ7kNvwEm7EL_&amp;_nc_oc=AdkUUDHcRaWcsfjrMgCo43l6LNgBLwqEcd7KfwxuzIPznC3tRQQB371qeTTwCMic1sZb8y-S22VKDwv4rXtTGwPm&amp;_nc_ad=z-m&amp;_nc_cid=0&amp;_nc_zt=23&amp;_nc_ht=scontent.cdninstagram.com&amp;_nc_gid=Pc-yOprRxmpD2PcEEeKiuQ&amp;oh=00_AfgIGCpUbk1_3vjz9O4mTSSdXSgmBj8DhdOq8tYEBlGV0w&amp;oe=6930EC52,https://scontent.cdninstagram.com/v/t51.82787-15/540279158_18067170704242904_4093587434330792239_n.jpg?stp=dst-jpg_e35_tt6&amp;_nc_cat=105&amp;ig_cache_key=MzcxMzc3Njk5MzcwMTAxOTQyMA%3D%3D.3-ccb7-5&amp;ccb=7-5&amp;_nc_sid=58cdad&amp;efg=eyJ2ZW5jb2RlX3RhZyI6InhwaWRzLjEzMjB4MTc2MC5zZHIuQzMifQ%3D%3D&amp;_nc_ohc=FD6FYgackYAQ7kNvwHg-ynd&amp;_nc_oc=AdmgYAs36D8jzsB8cuCWzD_R8wNdWdBkq_KUfa5mf8_kEVRAHdX_-a1-iOmsUE8Ym68GC20E8g-ILQS_CL-LlQBY&amp;_nc_ad=z-m&amp;_nc_cid=0&amp;_nc_zt=23&amp;_nc_ht=scontent.cdninstagram.com&amp;_nc_gid=Pc-yOprRxmpD2PcEEeKiuQ&amp;oh=00_AfiTw6Ms8ZApA5wGmFlzL3iAS9mQGFvAYNw3jyH3dOH15w&amp;oe=6930C4F3,https://scontent.cdninstagram.com/v/t51.82787-15/540412113_18067170713242904_7043634415758589713_n.jpg?stp=dst-jpg_e35_tt6&amp;_nc_cat=105&amp;ig_cache_key=MzcxMzc3Njk5MzcwMTA0MDMxNA%3D%3D.3-ccb7-5&amp;ccb=7-5&amp;_nc_sid=58cdad&amp;efg=eyJ2ZW5jb2RlX3RhZyI6InhwaWRzLjEzMjB4MTc2MC5zZHIuQzMifQ%3D%3D&amp;_nc_ohc=hRTNr2B757oQ7kNvwEwnv_2&amp;_nc_oc=AdltQWQeIRsndTz3F7wCM4RNQf559rCSpEYAt9X6pmXA3sYf4RhtgPYX6Wh_m5UH695OaNiJ7kxetTZK4psXzGKf&amp;_nc_ad=z-m&amp;_nc_cid=0&amp;_nc_zt=23&amp;_nc_ht=scontent.cdninstagram.com&amp;_nc_gid=Pc-yOprRxmpD2PcEEeKiuQ&amp;oh=00_AfiEtXs74gYPdQP3K5AbP_iUZU6tatv19WR8Vw2UY3HVwg&amp;oe=6930D252,https://scontent.cdninstagram.com/v/t51.82787-15/542395122_18067170725242904_5232248377574558651_n.jpg?stp=dst-jpg_e35_tt6&amp;_nc_cat=107&amp;ig_cache_key=MzcxMzc3Njk5MzcwMTA0MDU1Mg%3D%3D.3-ccb7-5&amp;ccb=7-5&amp;_nc_sid=58cdad&amp;efg=eyJ2ZW5jb2RlX3RhZyI6InhwaWRzLjEzMjB4MTc2MC5zZHIuQzMifQ%3D%3D&amp;_nc_ohc=Gv7iFbZMHYQQ7kNvwEDkSm1&amp;_nc_oc=AdmMNMcXo6LiRMDncWvxAyvuw_vttijpfpVboGTcj_i2luh-V8PBcZddNHtpCRpiFw584F6Mb-2Eamdb87gcS7TM&amp;_nc_ad=z-m&amp;_nc_cid=0&amp;_nc_zt=23&amp;_nc_ht=scontent.cdninstagram.com&amp;_nc_gid=Pc-yOprRxmpD2PcEEeKiuQ&amp;oh=00_AfisG_JMEeFpnMfBwZZA1xOfcHQU-qwT4LljSOtoRcgGcA&amp;oe=6930ECB3,https://scontent.cdninstagram.com/v/t51.82787-15/541088896_18067170737242904_7559865375470623802_n.jpg?stp=dst-jpg_e35_tt6&amp;_nc_cat=103&amp;ig_cache_key=MzcxMzc3Njk5MzcwMTAxOTMxMQ%3D%3D.3-ccb7-5&amp;ccb=7-5&amp;_nc_sid=58cdad&amp;efg=eyJ2ZW5jb2RlX3RhZyI6InhwaWRzLjEzMjB4MTc2MC5zZHIuQzMifQ%3D%3D&amp;_nc_ohc=2xxbwjwYdn0Q7kNvwE8OsS3&amp;_nc_oc=AdnOmy0UtZSa3P1rINy9FZpgYJGEBXKvdIshwlUI0AAYDL8fYq12gjsoA5F5q6MN9wNcz16mG5MRpKNxFSXRsoJo&amp;_nc_ad=z-m&amp;_nc_cid=0&amp;_nc_zt=23&amp;_nc_ht=scontent.cdninstagram.com&amp;_nc_gid=Pc-yOprRxmpD2PcEEeKiuQ&amp;oh=00_AfhdgDn3AqCqleMEkyeRhtJhgKJKYpR9NmmD6GonwP4EAw&amp;oe=6930F314</t>
  </si>
  <si>
    <t>https://scontent-gru1-2.cdninstagram.com/v/t51.82787-15/580886813_18006475976815735_811325006389868885_n.jpg?stp=dst-jpg_e35_tt6&amp;_nc_cat=110&amp;ig_cache_key=Mzc2NDM4Mzk0NDYwODMwNDU1OQ%3D%3D.3-ccb1-7&amp;ccb=1-7&amp;_nc_sid=58cdad&amp;efg=eyJ2ZW5jb2RlX3RhZyI6InhwaWRzLjE0NDB4MTc5Ni5zZHIuQzMifQ%3D%3D&amp;_nc_ohc=f81x-ENWQ_gQ7kNvwHAGKbX&amp;_nc_oc=Adn9fR3uPe1T1p1BDb6pcIqYPa4dTOZsQRWlxuANEoBDGocbTHgcjFoat9gpQ0rN23U3qLzMivSWwEz4L0O5c4Fe&amp;_nc_ad=z-m&amp;_nc_cid=0&amp;_nc_zt=23&amp;_nc_ht=scontent-gru1-2.cdninstagram.com&amp;_nc_gid=832jxjWftkKYOGhz8kgttw&amp;oh=00_AfhZrcvvOjsRn32rUT0xAQu3JUwdeABiA4oJpNqH4_xF6w&amp;oe=691BF52D</t>
  </si>
  <si>
    <t>https://instagram.fcgh9-1.fna.fbcdn.net/v/t51.2885-19/463306506_578019911247247_6027540863326158088_n.jpg?stp=dst-jpg_s150x150_tt6&amp;efg=eyJ2ZW5jb2RlX3RhZyI6InByb2ZpbGVfcGljLmRqYW5nby4zMjAuYzIifQ&amp;_nc_ht=instagram.fcgh9-1.fna.fbcdn.net&amp;_nc_cat=107&amp;_nc_oc=Q6cZ2QFPov7R9KkJkRWPhoul_WHPqgeeCzwRjTZJfLUvhQ7Ahn-FmGOPACvW2uuxfW4XFm6i_ZZl8_zjX6ppwx6UG-Ds&amp;_nc_ohc=O5mH1VKyKE8Q7kNvwF8NWun&amp;_nc_gid=Pc-yOprRxmpD2PcEEeKiuQ&amp;edm=AFlAz-oBAAAA&amp;ccb=7-5&amp;oh=00_AfgVASYQDGsWAs7MF6kp6QIvTdBiEw2iJq-L9nPEu8Xjlw&amp;oe=6930CB11&amp;_nc_sid=76c0fc</t>
  </si>
  <si>
    <t>doençascardiovasculares,ecg,doencasdocoracao,tdahadulto,psiquiatra</t>
  </si>
  <si>
    <t>DPC5QtRALiR</t>
  </si>
  <si>
    <t>https://www.instagram.com/p/DPC5QtRALiR</t>
  </si>
  <si>
    <t>🧠 Tecnologia e TDAH: um alerta importante!
Crianças com TDAH já enfrentam desafios naturais para manter o foco, controlar impulsos e organizar a rotina. Quando o uso de telas é excessivo, esses desafios podem se intensificar.
Impactos mais comuns:
- Estímulo em excesso → mais agitação e menos atenção.
- Dificuldade em parar → jogos e vídeos que atrapalham sono e tarefas.
- Impulsividade reforçada → recompensas rápidas que aumentam a ansiedade.
- Troca de hábitos saudáveis → menos brincadeiras e movimento.
- Isolamento social → menos contato e interação real.
📌 A tecnologia precisa de limites claros para não prejudicar o desenvolvimento da criança.
💬 Compartilhe esse post com outros pais e famílias que precisam refletir sobre o tema.
#TDAH #TDAHinfantil #TDAHadulto #tdahadolescente #criançascomTDAH #tecnologia #saúdementalinfantil #desenvolvimentoinfantil #neuropsicopedagogia #psicopedagogia #psicopedagogabrasilia #neuropsicopedagogabrasilia #psicopedagogaasasul</t>
  </si>
  <si>
    <t>stephanyporto_</t>
  </si>
  <si>
    <t>Neuropsicopedagoga | Educadora Parental</t>
  </si>
  <si>
    <t>https://scontent-gru1-2.cdninstagram.com/v/t51.2885-19/332994363_707471631055148_2966942488053252668_n.jpg?stp=dst-jpg_s150x150_tt6&amp;efg=eyJ2ZW5jb2RlX3RhZyI6InByb2ZpbGVfcGljLmRqYW5nby4xMDgwLmMyIn0&amp;_nc_ht=scontent-gru1-2.cdninstagram.com&amp;_nc_cat=108&amp;_nc_oc=Q6cZ2QF_7ptarWIDxLQefAQP7jjZgjnL08KAuVm4XgP8894Q5wMko3rhS2q9wnBYbHhZfcBPUSFTNQVgLTyYpt_NADMy&amp;_nc_ohc=n1utjL3gGzYQ7kNvwGEEOlD&amp;_nc_gid=832jxjWftkKYOGhz8kgttw&amp;edm=AFlAz-oBAAAA&amp;ccb=7-5&amp;oh=00_AfgirI0oEBicrrm7hpXWv8OQ9KKjGp9cCgKJ9iySJjLfFw&amp;oe=691BF88B&amp;_nc_sid=76c0fc</t>
  </si>
  <si>
    <t>https://scontent.cdninstagram.com/v/t51.75761-15/501427063_18509343841016235_7451810044767480491_n.webp?_nc_cat=108&amp;ig_cache_key=MzY0MTE5MzkwMjUzODg4ODM3Mw%3D%3D.3-ccb7-5&amp;ccb=7-5&amp;_nc_sid=58cdad&amp;efg=eyJ2ZW5jb2RlX3RhZyI6InhwaWRzLjEwODB4MTA4MC5zZHIuQzMifQ%3D%3D&amp;_nc_ohc=jbl8BZRE6K8Q7kNvwFLeax8&amp;_nc_oc=AdmFnQ2W2p73XDWgPd30cAVtyK1N8w3gW3vjTXUAfSddyv8Cr4I6eee_qr125sZe4Akph2IGmufi5n5DZJQc7eCh&amp;_nc_ad=z-m&amp;_nc_cid=0&amp;_nc_zt=23&amp;_nc_ht=scontent.cdninstagram.com&amp;_nc_gid=Pc-yOprRxmpD2PcEEeKiuQ&amp;oh=00_AfgQ3e-8P0pIt56FxLzAX2mZCL9JRLd-6Jv2Ce5RcP2crg&amp;oe=6930E531</t>
  </si>
  <si>
    <t>https://scontent-gru2-2.cdninstagram.com/v/t51.82787-15/554373193_18098227912643121_1666973880357804193_n.heic?stp=dst-jpg_e35_tt6&amp;_nc_cat=105&amp;ig_cache_key=MzcyOTc5NTI3ODE4MjU5NDcwNQ%3D%3D.3-ccb1-7&amp;ccb=1-7&amp;_nc_sid=58cdad&amp;efg=eyJ2ZW5jb2RlX3RhZyI6InhwaWRzLjExNTJ4MTQ0MC5zZHIuQzMifQ%3D%3D&amp;_nc_ohc=Vv05crW4WeAQ7kNvwHzHW08&amp;_nc_oc=AdnJE8zwJG2uzwSH3-pspeRy6l74VgaDWb567W5WrtXO7BVaqCiDiFtMTExPv15w2J7B6RIfFKvBWT7vh4q1Tknx&amp;_nc_ad=z-m&amp;_nc_cid=0&amp;_nc_zt=23&amp;_nc_ht=scontent-gru2-2.cdninstagram.com&amp;_nc_gid=832jxjWftkKYOGhz8kgttw&amp;oh=00_Afjhs9gUhQQQ4zik4Fww3GLgFey7dbYX2qSzIMZi4WjVaw&amp;oe=691BD9D4</t>
  </si>
  <si>
    <t>DQ4CKwpEVt1</t>
  </si>
  <si>
    <t>https://www.instagram.com/p/DQ4CKwpEVt1</t>
  </si>
  <si>
    <t>Nenhuma experiência é única e eu posso provar ☝️
#neurodivergência #tdah #tdahadulto #tea #autismo #teaadulto #psicologiamemes #psicologia #hiperfoco #monster</t>
  </si>
  <si>
    <t>neurodiverso_psi</t>
  </si>
  <si>
    <t>Daniella Poloni 🪐 Neurodivergência</t>
  </si>
  <si>
    <t>https://instagram.fcgh9-1.fna.fbcdn.net/v/t51.2885-19/464563669_1203077240771007_4761419916236182529_n.jpg?stp=dst-jpg_s150x150_tt6&amp;efg=eyJ2ZW5jb2RlX3RhZyI6InByb2ZpbGVfcGljLmRqYW5nby4xMDgwLmMyIn0&amp;_nc_ht=instagram.fcgh9-1.fna.fbcdn.net&amp;_nc_cat=103&amp;_nc_oc=Q6cZ2QFPov7R9KkJkRWPhoul_WHPqgeeCzwRjTZJfLUvhQ7Ahn-FmGOPACvW2uuxfW4XFm6i_ZZl8_zjX6ppwx6UG-Ds&amp;_nc_ohc=4iUGCCEou4QQ7kNvwFc0Ips&amp;_nc_gid=Pc-yOprRxmpD2PcEEeKiuQ&amp;edm=AFlAz-oBAAAA&amp;ccb=7-5&amp;oh=00_Afh6AlRXIW4eciHRKon7DE3p23KSlGkwqqOkDW0qhTishQ&amp;oe=6930EA7E&amp;_nc_sid=76c0fc</t>
  </si>
  <si>
    <t>TDAH,TDAHinfantil,TDAHadulto,tdahadolescente,criançascomTDAH,tecnologia,saúdementalinfantil,desenvolvimentoinfantil,neuropsicopedagogia,psicopedagogia,psicopedagogabrasilia,neuropsicopedagogabrasilia,psicopedagogaasasul</t>
  </si>
  <si>
    <t>Brasília, District Federal, Brazil</t>
  </si>
  <si>
    <t>-15.800651383515,-47.920435849679</t>
  </si>
  <si>
    <t>DOoGwlFiGwe</t>
  </si>
  <si>
    <t>https://www.instagram.com/p/DOoGwlFiGwe</t>
  </si>
  <si>
    <t>¿Alguna vez sientes que interpretas el papel de una persona «normal», con miedo a que alguien descubra que estás fingiendo? 🎭
Enmascarar el TDAH es un trabajo agotador a tiempo completo, fingir que escuchas cuando tu cerebro no ha registrado nada, pelear con cada impulso de interrumpir, actuar entusiasmo por tus amigos cuando tu batería social está en cero, verte impecable por fuera mientras por dentro todo es caos.
Esto no va de «ser falso», es un mecanismo de protección desarrollado con los años para evitar críticas y rechazo, el cerebro con TDAH trabaja horas extra para compensar los retos de la función ejecutiva y la máscara es el resultado de ese enorme esfuerzo.
#tda #tdah #tdahadulto #tdahespaña</t>
  </si>
  <si>
    <t>miaventuratdah</t>
  </si>
  <si>
    <t>MiAventuraTDAH</t>
  </si>
  <si>
    <t>https://scontent-gru2-2.cdninstagram.com/v/t51.2885-19/563603693_17867246910461738_3880063453732155811_n.jpg?stp=dst-jpg_s150x150_tt6&amp;efg=eyJ2ZW5jb2RlX3RhZyI6InByb2ZpbGVfcGljLmRqYW5nby4xMDA5LmMyIn0&amp;_nc_ht=scontent-gru2-2.cdninstagram.com&amp;_nc_cat=102&amp;_nc_oc=Q6cZ2QF_7ptarWIDxLQefAQP7jjZgjnL08KAuVm4XgP8894Q5wMko3rhS2q9wnBYbHhZfcBPUSFTNQVgLTyYpt_NADMy&amp;_nc_ohc=lO28XJPN8tQQ7kNvwF9mA_T&amp;_nc_gid=832jxjWftkKYOGhz8kgttw&amp;edm=AFlAz-oBAAAA&amp;ccb=7-5&amp;oh=00_AfhFuhxKdMp7Q0xnds2l435gmQdrJrdiEDcYzcZ0ywMUlw&amp;oe=691BF60F&amp;_nc_sid=76c0fc</t>
  </si>
  <si>
    <t>https://scontent.cdninstagram.com/v/t51.82787-15/576621261_17899566822300089_3628093431020536473_n.jpg?stp=dst-jpg_e35_tt6&amp;_nc_cat=100&amp;ig_cache_key=Mzc2Mjc2NzAxMDg4MDExNDY5Ng%3D%3D.3-ccb7-5&amp;ccb=7-5&amp;_nc_sid=58cdad&amp;efg=eyJ2ZW5jb2RlX3RhZyI6InhwaWRzLjEwODB4MTQ0MC5zZHIuQzMifQ%3D%3D&amp;_nc_ohc=BO9FXq7R3jIQ7kNvwHr7v7u&amp;_nc_oc=AdkzaySgPaBe0-QKYsVisCTLOUiGxkO_HWju2E02gMYZLYY2K0qQuHGOoVf0d4409p8mvKDpfyCxGzS460L3Wq9i&amp;_nc_ad=z-m&amp;_nc_cid=0&amp;_nc_zt=23&amp;_nc_ht=scontent.cdninstagram.com&amp;_nc_gid=Pc-yOprRxmpD2PcEEeKiuQ&amp;oh=00_AfjrEztzogVPMMaCG4mFs-OOQnBWAt7Leh3Z6r1fanOD-Q&amp;oe=6930DA8B,https://scontent.cdninstagram.com/v/t51.82787-15/580041749_17899566837300089_7821136281492081468_n.jpg?stp=dst-jpg_e35_tt6&amp;_nc_cat=106&amp;ig_cache_key=Mzc2Mjc2NzAxMDg4MDA5NTA3MA%3D%3D.3-ccb7-5&amp;ccb=7-5&amp;_nc_sid=58cdad&amp;efg=eyJ2ZW5jb2RlX3RhZyI6InhwaWRzLjEwODB4MTQ0MC5zZHIuQzMifQ%3D%3D&amp;_nc_ohc=PadoAJx55zEQ7kNvwH7o2r5&amp;_nc_oc=AdmS3X9gDbWfIXUenfvmER3X-6PJegs5UiDbtM8NNlw_o-JDdjBolr34JRxHzInyrcKKSV4wlD410W7lFTe9iHS-&amp;_nc_ad=z-m&amp;_nc_cid=0&amp;_nc_zt=23&amp;_nc_ht=scontent.cdninstagram.com&amp;_nc_gid=Pc-yOprRxmpD2PcEEeKiuQ&amp;oh=00_AfiRMHkO7NWanGTiK33Ro8XFvCHUj9gXJ0NjLZAktz5sxg&amp;oe=6930D484,https://scontent.cdninstagram.com/v/t51.82787-15/575684054_17899566846300089_6361091958852668837_n.jpg?stp=dst-jpg_e35_tt6&amp;_nc_cat=107&amp;ig_cache_key=Mzc2Mjc2NzAxMDg5Njg3NDEzMw%3D%3D.3-ccb7-5&amp;ccb=7-5&amp;_nc_sid=58cdad&amp;efg=eyJ2ZW5jb2RlX3RhZyI6InhwaWRzLjEwODB4MTQ0MC5zZHIuQzMifQ%3D%3D&amp;_nc_ohc=OlKI5qMaO-UQ7kNvwHnmkvV&amp;_nc_oc=Admhl6BOc9_Hug-frcso_iny45yIp5gP6TKjS8Knr1DPW--sBHb7xLngkh9qCGpeBwSx9lO3zGrX87E2JY40-FGI&amp;_nc_ad=z-m&amp;_nc_cid=0&amp;_nc_zt=23&amp;_nc_ht=scontent.cdninstagram.com&amp;_nc_gid=Pc-yOprRxmpD2PcEEeKiuQ&amp;oh=00_AfjzKyNQXUHgDZ9BxPZeLHsC-v5n4Qb_zbrvi6uPZ81dug&amp;oe=6930D332,https://scontent.cdninstagram.com/v/t51.82787-15/581829834_17899566855300089_3010861968520629930_n.jpg?stp=dst-jpg_e35_tt6&amp;_nc_cat=105&amp;ig_cache_key=Mzc2Mjc2NzAxMDg4MDA5NjU2Ng%3D%3D.3-ccb7-5&amp;ccb=7-5&amp;_nc_sid=58cdad&amp;efg=eyJ2ZW5jb2RlX3RhZyI6InhwaWRzLjEwODB4MTQ0MC5zZHIuQzMifQ%3D%3D&amp;_nc_ohc=ripj9LJO5J0Q7kNvwGdFR_Y&amp;_nc_oc=AdkC2cP9_S2f7nrDHzOFZaTTwXE1dUuWHh64Jvno3M7ZhW0_xNLKrRvhEU1TMS8RywLhN-Dhw1ZamD22GZXURw8z&amp;_nc_ad=z-m&amp;_nc_cid=0&amp;_nc_zt=23&amp;_nc_ht=scontent.cdninstagram.com&amp;_nc_gid=Pc-yOprRxmpD2PcEEeKiuQ&amp;oh=00_Afgj68mXqm8xWMVTMe7hwrONF3_YIpYb5HOIipvjYTN_ow&amp;oe=6930DBDE,https://scontent.cdninstagram.com/v/t51.82787-15/581082566_17899566867300089_792317558884585634_n.jpg?stp=dst-jpg_e35_tt6&amp;_nc_cat=103&amp;ig_cache_key=Mzc2Mjc2NzAxMDg3MTcyMzc2Mw%3D%3D.3-ccb7-5&amp;ccb=7-5&amp;_nc_sid=58cdad&amp;efg=eyJ2ZW5jb2RlX3RhZyI6InhwaWRzLjEwODB4MTQ0MC5zZHIuQzMifQ%3D%3D&amp;_nc_ohc=D283JorQVZsQ7kNvwFr5T7X&amp;_nc_oc=Adnr0mXZEfVOIbTf3rf-sfHua_O70n4Rf3iJP7zpuWbPyVPGvJS1E9XHb-LAYlmxep_arkrFcwuWIyDLKrQxqXaM&amp;_nc_ad=z-m&amp;_nc_cid=0&amp;_nc_zt=23&amp;_nc_ht=scontent.cdninstagram.com&amp;_nc_gid=Pc-yOprRxmpD2PcEEeKiuQ&amp;oh=00_AfjVAtOnevNNtoa67FV8s9xcok6gZOp7ZJmPDfQ3-XCpNg&amp;oe=6930DA30,https://scontent.cdninstagram.com/v/t51.82787-15/581208884_17899566864300089_8366410635764085881_n.jpg?stp=dst-jpg_e35_tt6&amp;_nc_cat=105&amp;ig_cache_key=Mzc2Mjc2NzAxMDg4MDEzNTE3NA%3D%3D.3-ccb7-5&amp;ccb=7-5&amp;_nc_sid=58cdad&amp;efg=eyJ2ZW5jb2RlX3RhZyI6InhwaWRzLjEwODB4MTQ0MC5zZHIuQzMifQ%3D%3D&amp;_nc_ohc=p-dolIa0C6IQ7kNvwH3ywk9&amp;_nc_oc=AdkrLGucLqWr0dM9ahAB5QL2jjaJf-yTIDaa3ozelU8bT7a0K54jtXl3bsOCtsROAROZ1RMATONrxC8dmjluz3CH&amp;_nc_ad=z-m&amp;_nc_cid=0&amp;_nc_zt=23&amp;_nc_ht=scontent.cdninstagram.com&amp;_nc_gid=Pc-yOprRxmpD2PcEEeKiuQ&amp;oh=00_AfhyROgrzhA1H17yjBELDzZu7uenD868oKeuDdZ5AXG7xw&amp;oe=6930C844,https://scontent.cdninstagram.com/v/t51.82787-15/580844075_17899566876300089_6777349735464107435_n.jpg?stp=dst-jpg_e35_tt6&amp;_nc_cat=111&amp;ig_cache_key=Mzc2Mjc2NzAxMDg3MTc2NDI3Ng%3D%3D.3-ccb7-5&amp;ccb=7-5&amp;_nc_sid=58cdad&amp;efg=eyJ2ZW5jb2RlX3RhZyI6InhwaWRzLjEwODB4MTQ0MC5zZHIuQzMifQ%3D%3D&amp;_nc_ohc=wtrXDgEU678Q7kNvwG2P6KO&amp;_nc_oc=AdkJPtTzft7mFlnsPlU3LI2QQYsZT8H4JXWGiLiWZnWQxXKQP0C7dRJNoNg0bezr-Kd36EVE2dfwFz0kD-yIsoQx&amp;_nc_ad=z-m&amp;_nc_cid=0&amp;_nc_zt=23&amp;_nc_ht=scontent.cdninstagram.com&amp;_nc_gid=Pc-yOprRxmpD2PcEEeKiuQ&amp;oh=00_Afi3JzoAijaPOglLSYsLw6UMkwiIkZCfEm2Wx7kFZIXIkg&amp;oe=6930E3AA</t>
  </si>
  <si>
    <t>neurodivergência,tdah,tdahadulto,tea,autismo,teaadulto,psicologiamemes,psicologia,hiperfoco,monster</t>
  </si>
  <si>
    <t>https://www.instagram.com/p/DOwCENwkZHz</t>
  </si>
  <si>
    <t>https://scontent-gru1-2.cdninstagram.com/v/t51.82787-15/548848565_17864481120461738_6457095521522921324_n.jpg?stp=dst-jpg_e35_tt6&amp;_nc_cat=103&amp;ig_cache_key=MzcyMjI1NDgwMDI4NTkwNjc4MA%3D%3D.3-ccb1-7&amp;ccb=1-7&amp;_nc_sid=58cdad&amp;efg=eyJ2ZW5jb2RlX3RhZyI6InhwaWRzLjEwODB4MTM1MC5zZHIuQzMifQ%3D%3D&amp;_nc_ohc=J4pida6IPp0Q7kNvwG2k2NR&amp;_nc_oc=AdmTkkNsZRMhSUNr7qNMRJLzPRFzo_pbawBrJqsCIp2yDy8yXCXAkAK0ttbUswokam00rS1HBLE_9v3hfKIXUQX7&amp;_nc_ad=z-m&amp;_nc_cid=0&amp;_nc_zt=23&amp;_nc_ht=scontent-gru1-2.cdninstagram.com&amp;_nc_gid=832jxjWftkKYOGhz8kgttw&amp;oh=00_Afhk8d-vYCJofrwyGW8K5d5y44OPHXp6phDkiHIrlItUxw&amp;oe=691BEDD9,https://scontent-gru2-2.cdninstagram.com/v/t51.82787-15/548886431_17864481129461738_1518795998412860239_n.jpg?stp=dst-jpg_e35_tt6&amp;_nc_cat=106&amp;ig_cache_key=MzcyMjI1NDc5OTk3NTQ5MTYzNw%3D%3D.3-ccb1-7&amp;ccb=1-7&amp;_nc_sid=58cdad&amp;efg=eyJ2ZW5jb2RlX3RhZyI6InhwaWRzLjEwODB4MTM1MC5zZHIuQzMifQ%3D%3D&amp;_nc_ohc=XXdJ9x4EU-kQ7kNvwGFieVl&amp;_nc_oc=AdlBr0LuB8GCiDf1eMSJVffGdYY1uxMM3RNUIl-KkdLEDrOTU49L7mdAb-pzXvDCm9Kq_xJv7Mm9SIfQNLqjdxNa&amp;_nc_ad=z-m&amp;_nc_cid=0&amp;_nc_zt=23&amp;_nc_ht=scontent-gru2-2.cdninstagram.com&amp;_nc_gid=832jxjWftkKYOGhz8kgttw&amp;oh=00_AfjupUnx9A86_TQhX1cf96WoeBnoD7UqYhhnfOyG9C430w&amp;oe=691BE836,https://scontent-gru1-1.cdninstagram.com/v/t51.82787-15/548893224_17864481147461738_3340664300035000439_n.jpg?stp=dst-jpg_e35_tt6&amp;_nc_cat=101&amp;ig_cache_key=MzcyMjI1NDc5OTk4MzkzMjYyNw%3D%3D.3-ccb1-7&amp;ccb=1-7&amp;_nc_sid=58cdad&amp;efg=eyJ2ZW5jb2RlX3RhZyI6InhwaWRzLjEwODB4MTM1MC5zZHIuQzMifQ%3D%3D&amp;_nc_ohc=V3O1cl8vFbYQ7kNvwHKwnEm&amp;_nc_oc=AdkUo4h-lST-MqNdnAfFhr4FHGbJ7uUPu-ZEykhzkby90_PQv-7dXmaYAgOl_cYU1YHUMh7Vlwas2BHnMDo9emkA&amp;_nc_ad=z-m&amp;_nc_cid=0&amp;_nc_zt=23&amp;_nc_ht=scontent-gru1-1.cdninstagram.com&amp;_nc_gid=832jxjWftkKYOGhz8kgttw&amp;oh=00_Afiw_Jsk7dl1Bm2QI3AIm--AYokI0nJ_QkM8_e1a4eoTPg&amp;oe=691BF2B0,https://scontent-gru1-2.cdninstagram.com/v/t51.82787-15/548087514_17864481144461738_5284119178687908695_n.jpg?stp=dst-jpg_e35_tt6&amp;_nc_cat=100&amp;ig_cache_key=MzcyMjI1NDc5OTk3NTU0NDAyMg%3D%3D.3-ccb1-7&amp;ccb=1-7&amp;_nc_sid=58cdad&amp;efg=eyJ2ZW5jb2RlX3RhZyI6InhwaWRzLjEwODB4MTM1MC5zZHIuQzMifQ%3D%3D&amp;_nc_ohc=Eukmb-CYd7sQ7kNvwG_HjD3&amp;_nc_oc=Adk0NQ8tUPxnAaXrV7ADcwm0HFPvTGMR2ZF4BDFwaC69OvAd6YF_orJ7vP8fkl0Ibwocmk5fI0aR601aIUMmqMl2&amp;_nc_ad=z-m&amp;_nc_cid=0&amp;_nc_zt=23&amp;_nc_ht=scontent-gru1-2.cdninstagram.com&amp;_nc_gid=832jxjWftkKYOGhz8kgttw&amp;oh=00_AfhDoSy-4j2hzw6X_LaqIV0jYxwJGRgl8SoaKU7mL_4PxQ&amp;oe=691BF695,https://scontent-gru2-1.cdninstagram.com/v/t51.82787-15/549246657_17864481159461738_6845890542233053807_n.jpg?stp=dst-jpg_e35_tt6&amp;_nc_cat=111&amp;ig_cache_key=MzcyMjI1NDc5OTk3NTQ4NDk3Mw%3D%3D.3-ccb1-7&amp;ccb=1-7&amp;_nc_sid=58cdad&amp;efg=eyJ2ZW5jb2RlX3RhZyI6InhwaWRzLjEwODB4MTM1MC5zZHIuQzMifQ%3D%3D&amp;_nc_ohc=qr1ctsmVEE8Q7kNvwG4P4ro&amp;_nc_oc=AdnrlyZNaECnwL7xyLfnyr03O13jC2aMg3NTqC75JQtevj5HpGnBQy5P98ABxAxeS_PLCM0AYp4NP2BzxJx7mFej&amp;_nc_ad=z-m&amp;_nc_cid=0&amp;_nc_zt=23&amp;_nc_ht=scontent-gru2-1.cdninstagram.com&amp;_nc_gid=832jxjWftkKYOGhz8kgttw&amp;oh=00_AfhQ0CaqZaVN5DU_zCI2lFsukzn6kE63GXrPnou9nxTQ-A&amp;oe=691BDD5D,https://scontent-gru2-1.cdninstagram.com/v/t51.82787-15/549247604_17864481168461738_4559338973868563785_n.jpg?stp=dst-jpg_e35_tt6&amp;_nc_cat=107&amp;ig_cache_key=MzcyMjI1NDgwMDAwOTA0NjUzNQ%3D%3D.3-ccb1-7&amp;ccb=1-7&amp;_nc_sid=58cdad&amp;efg=eyJ2ZW5jb2RlX3RhZyI6InhwaWRzLjEwODB4MTM1MC5zZHIuQzMifQ%3D%3D&amp;_nc_ohc=m-yFclRDTj8Q7kNvwFIQdfx&amp;_nc_oc=AdmBCXIS7OaxMCf4WvY6J_wp-Ok9H5yGR0Kb_Vs_paxIEuVBdQM_ZGs2BR90AJjsW7jZuuiOCE9SrTflnKnn_GSa&amp;_nc_ad=z-m&amp;_nc_cid=0&amp;_nc_zt=23&amp;_nc_ht=scontent-gru2-1.cdninstagram.com&amp;_nc_gid=832jxjWftkKYOGhz8kgttw&amp;oh=00_Afgg5Uv1iy6ZdXX1dgzWbIV1jt1DEpCtR0ksp1z2VaM_gQ&amp;oe=691BF219,https://scontent-gru2-1.cdninstagram.com/v/t51.82787-15/549170440_17864481180461738_5401243247550423816_n.jpg?stp=dst-jpg_e35_tt6&amp;_nc_cat=109&amp;ig_cache_key=MzcyMjI1NDc5OTk3NTUxNzMxMA%3D%3D.3-ccb1-7&amp;ccb=1-7&amp;_nc_sid=58cdad&amp;efg=eyJ2ZW5jb2RlX3RhZyI6InhwaWRzLjEwODB4MTM1MC5zZHIuQzMifQ%3D%3D&amp;_nc_ohc=7PO1srergtQQ7kNvwGfi4Aw&amp;_nc_oc=Adl-AXwqwrvf_qIbLX1KCeqIxWe3y9IUYfAczyJq7NJSuxxsWIxOG2bYClafeoAR4RFvWhiu8mdXTyK35c8BrLjh&amp;_nc_ad=z-m&amp;_nc_cid=0&amp;_nc_zt=23&amp;_nc_ht=scontent-gru2-1.cdninstagram.com&amp;_nc_gid=832jxjWftkKYOGhz8kgttw&amp;oh=00_AfjLdykM3VPcfXKL7WamRLLAkzo0M76XkqkYq_4vkALY1A&amp;oe=691BCC51</t>
  </si>
  <si>
    <t>tda,tdah,tdahadulto,tdahespaña</t>
  </si>
  <si>
    <t>DNWPOzJpr3Q</t>
  </si>
  <si>
    <t>https://instagram.fcgh9-1.fna.fbcdn.net/v/t51.2885-19/533955389_18072947732089832_1852310563428573706_n.jpg?stp=dst-jpg_s150x150_tt6&amp;efg=eyJ2ZW5jb2RlX3RhZyI6InByb2ZpbGVfcGljLmRqYW5nby4xMDgwLmMyIn0&amp;_nc_ht=instagram.fcgh9-1.fna.fbcdn.net&amp;_nc_cat=108&amp;_nc_oc=Q6cZ2QFPov7R9KkJkRWPhoul_WHPqgeeCzwRjTZJfLUvhQ7Ahn-FmGOPACvW2uuxfW4XFm6i_ZZl8_zjX6ppwx6UG-Ds&amp;_nc_ohc=XLWR_A_N7aQQ7kNvwGGdKk8&amp;_nc_gid=Pc-yOprRxmpD2PcEEeKiuQ&amp;edm=AFlAz-oBAAAA&amp;ccb=7-5&amp;oh=00_AfhpQpnx0IFV33UzqotWEr6eQkyuzH7WguIYaE5x_aLcuA&amp;oe=6930D248&amp;_nc_sid=76c0fc</t>
  </si>
  <si>
    <t>https://www.instagram.com/p/DNWPOzJpr3Q</t>
  </si>
  <si>
    <t>🧠 Desregulação emocional no TDAH adulto: comorbidade ou sintoma central?
Esta metanálise (BMC Psychiatry, 2020) avaliou 13 estudos (n = 2.561 participantes) para investigar o papel da desregulação emocional (DE) em adultos com TDAH.
📌 Conceito de DE:
Dificuldade persistente em modular a intensidade, duração e expressão de emoções — como raiva, frustração e excitação. Leva a explosões emocionais, impulsividade afetiva e baixa tolerância a estímulos estressantes.
📌 Principais resultados:
🔹 Adultos com TDAH apresentaram níveis significativamente mais altos de DE do que controles saudáveis (diferença média padronizada: d = 1.17, p &lt; 0.001)
🔹 A DE foi observada independentemente do subtipo de TDAH (combinado, desatento ou hiperativo/impulsivo)
🔹 A presença de DE se associou a pior funcionamento global, mais conflitos interpessoais e maior risco de comorbidades (como ansiedade e abuso de substâncias)
🔹 A variabilidade entre os estudos foi moderada, e a qualidade metodológica foi considerada boa
📍 Implicações clínicas:
A desregulação emocional deve ser avaliada sistematicamente em adultos com TDAH
Intervenções focadas em regulação emocional (ex: TCC adaptada, DBT, mindfulness) podem ser altamente benéficas
Medicamentos estimulantes e não-estimulantes também podem ter impacto positivo na DE, mas mais estudos são necessários
📌 Mensagem prática:
Instabilidade emocional não é apenas uma comorbidade no TDAH adulto — é uma dimensão clínica que precisa ser abordada diretamente para otimizar os resultados terapêuticos.
📚 Referência:
Beheshti S et al. BMC Psychiatry, 2020;20:323. doi:10.1186/s12888-020-2442-7
#TDAHAdulto #Emoções #PsicopatologiaAfetiva #RegulaçãoEmocional #Neurologia #Neurowiser</t>
  </si>
  <si>
    <t>neurowiser</t>
  </si>
  <si>
    <t>NeuroWiser</t>
  </si>
  <si>
    <t>https://scontent-gru1-2.cdninstagram.com/v/t51.2885-19/426458979_952955632911502_394692814858028166_n.jpg?stp=dst-jpg_s150x150_tt6&amp;efg=eyJ2ZW5jb2RlX3RhZyI6InByb2ZpbGVfcGljLmRqYW5nby4xMDgwLmMyIn0&amp;_nc_ht=scontent-gru1-2.cdninstagram.com&amp;_nc_cat=110&amp;_nc_oc=Q6cZ2QF_7ptarWIDxLQefAQP7jjZgjnL08KAuVm4XgP8894Q5wMko3rhS2q9wnBYbHhZfcBPUSFTNQVgLTyYpt_NADMy&amp;_nc_ohc=3Lc4tKa3QDIQ7kNvwHbSKrh&amp;_nc_gid=832jxjWftkKYOGhz8kgttw&amp;edm=AFlAz-oBAAAA&amp;ccb=7-5&amp;oh=00_AfgMHFip-VBN0KuPMruG6f6D5P0d2xJYl1gm-YVsl0_IJQ&amp;oe=691BF301&amp;_nc_sid=76c0fc</t>
  </si>
  <si>
    <t>dr.victorleao</t>
  </si>
  <si>
    <t>Victor Hugo Leão</t>
  </si>
  <si>
    <t>tdahsemtranstorno,casaltdah</t>
  </si>
  <si>
    <t>Psicóloga Jennifer | TDAH ADULTO,casaltdah</t>
  </si>
  <si>
    <t>34904371815,55833783825</t>
  </si>
  <si>
    <t>https://scontent-gru1-2.cdninstagram.com/v/t51.82787-15/532941289_17943575673037290_317824291640019916_n.jpg?stp=dst-jpg_e35_tt6&amp;_nc_cat=100&amp;ig_cache_key=MzY5OTIxMTEzMTYyNDUzNzU1Mg%3D%3D.3-ccb1-7&amp;ccb=1-7&amp;_nc_sid=58cdad&amp;efg=eyJ2ZW5jb2RlX3RhZyI6InhwaWRzLjEwODB4MTM1MC5zZHIuQzMifQ%3D%3D&amp;_nc_ohc=82cw0uXWsRMQ7kNvwHINUmr&amp;_nc_oc=Adnn7l6WCQpKboeoPjZE1njUDE43FShtr1pf2SdLrNOBQjeJ91jimc3jzcvI9NVAwdvVnWLUUkydHMzAfsRVlune&amp;_nc_ad=z-m&amp;_nc_cid=0&amp;_nc_zt=23&amp;_nc_ht=scontent-gru1-2.cdninstagram.com&amp;_nc_gid=832jxjWftkKYOGhz8kgttw&amp;oh=00_AfgcZY3ruHebrH9e0ySQzNygULmDbgPh4hlFAVAuDc4x-w&amp;oe=691BEF9D</t>
  </si>
  <si>
    <t>https://scontent.cdninstagram.com/v/t51.82787-15/550108539_18075785663089832_5468944411738898119_n.jpg?stp=dst-jpg_e35_tt6&amp;_nc_cat=105&amp;ig_cache_key=MzcyNDQ4NTk2NzI5NTM4MjYzNg%3D%3D.3-ccb7-5&amp;ccb=7-5&amp;_nc_sid=58cdad&amp;efg=eyJ2ZW5jb2RlX3RhZyI6InhwaWRzLjExNzB4MTU2MC5zZHIuQzMifQ%3D%3D&amp;_nc_ohc=57iTxgbgX2AQ7kNvwGe_FAN&amp;_nc_oc=Adnry7sm0xxmie6ETxJ25sKjQUuF4FWEpHCq08mKe3T8VuEQd4y3RX6PRDVhxZAv3NGznddcObhIcaWzeoF2tSa8&amp;_nc_ad=z-m&amp;_nc_cid=0&amp;_nc_zt=23&amp;_nc_ht=scontent.cdninstagram.com&amp;_nc_gid=Pc-yOprRxmpD2PcEEeKiuQ&amp;oh=00_Afhkjd7HsrLqNx3my02qjTNNPtBa212kZ4d4i_E4n_zXhQ&amp;oe=6930D8E9,https://scontent.cdninstagram.com/v/t51.82787-15/550796360_18075785672089832_7063178368193590092_n.jpg?stp=dst-jpg_e35_tt6&amp;_nc_cat=103&amp;ig_cache_key=MzcyNDQ4NTk2NzI3ODYyMjA1NA%3D%3D.3-ccb7-5&amp;ccb=7-5&amp;_nc_sid=58cdad&amp;efg=eyJ2ZW5jb2RlX3RhZyI6InhwaWRzLjExNzB4MTU2MC5zZHIuQzMifQ%3D%3D&amp;_nc_ohc=j2-MDwaC_QEQ7kNvwF4KKSi&amp;_nc_oc=AdmE8wyQj8FR1hno9TjxcDsKdXwQQmllmKOvOCmYfBZ6TgYdv2TKf5Ho-Prfr0f8T5DseCUiKW0U8An5LI5dkTbk&amp;_nc_ad=z-m&amp;_nc_cid=0&amp;_nc_zt=23&amp;_nc_ht=scontent.cdninstagram.com&amp;_nc_gid=Pc-yOprRxmpD2PcEEeKiuQ&amp;oh=00_AfjSztMpLi_afJfR68DOwAENZHts3hiwhzEcdgbYUwT1pA&amp;oe=6930CEB4,https://scontent.cdninstagram.com/v/t51.82787-15/551012997_18075785690089832_6839092996052338062_n.jpg?stp=dst-jpg_e35_tt6&amp;_nc_cat=111&amp;ig_cache_key=MzcyNDQ4NTk2NzI5NTM1NjgwNg%3D%3D.3-ccb7-5&amp;ccb=7-5&amp;_nc_sid=58cdad&amp;efg=eyJ2ZW5jb2RlX3RhZyI6InhwaWRzLjExNzB4MTU2MC5zZHIuQzMifQ%3D%3D&amp;_nc_ohc=taJ0Alqu_PQQ7kNvwHagTMv&amp;_nc_oc=AdmwG5Yc_mchw9j9ebAnzie65QnRoCJQo4bkKSxVGDGXLRIpD-ZqmLuTEWrHl1TnkfZfhgBxU5aT6KtQHJMrYa0_&amp;_nc_ad=z-m&amp;_nc_cid=0&amp;_nc_zt=23&amp;_nc_ht=scontent.cdninstagram.com&amp;_nc_gid=Pc-yOprRxmpD2PcEEeKiuQ&amp;oh=00_Afj_ZvMfsujkLsmKEVxWxPY3Q0uVgyixILt4EC1rCKlmNg&amp;oe=6930DCEC,https://scontent.cdninstagram.com/v/t51.82787-15/550436342_18075785687089832_4441719948810593182_n.jpg?stp=dst-jpg_e35_tt6&amp;_nc_cat=106&amp;ig_cache_key=MzcyNDQ4NTk2NzM0NTczMTE0Nw%3D%3D.3-ccb7-5&amp;ccb=7-5&amp;_nc_sid=58cdad&amp;efg=eyJ2ZW5jb2RlX3RhZyI6InhwaWRzLjExNzB4MTU2MC5zZHIuQzMifQ%3D%3D&amp;_nc_ohc=mlhnWgZszKcQ7kNvwGHPbwH&amp;_nc_oc=AdkXSA-SgRgNUB8G7sndQfRms0vXDR8f9p0-K_fB1y96v8HjCupdLYF4lLJazPul7ymEoZZegfFVa3XsV2FqFl6h&amp;_nc_ad=z-m&amp;_nc_cid=0&amp;_nc_zt=23&amp;_nc_ht=scontent.cdninstagram.com&amp;_nc_gid=Pc-yOprRxmpD2PcEEeKiuQ&amp;oh=00_Afgvv_KhW1vm2qhZGXS1PeZZaFomSayC4drjFgl00tp1HA&amp;oe=6930F8C5,https://scontent.cdninstagram.com/v/t51.82787-15/550724454_18075785699089832_4031545708307463250_n.jpg?stp=dst-jpg_e35_tt6&amp;_nc_cat=104&amp;ig_cache_key=MzcyNDQ4NTk2NzI5NTM2NjQ2NA%3D%3D.3-ccb7-5&amp;ccb=7-5&amp;_nc_sid=58cdad&amp;efg=eyJ2ZW5jb2RlX3RhZyI6InhwaWRzLjEwODB4MTQzMi5zZHIuQzMifQ%3D%3D&amp;_nc_ohc=YRutHflFEgIQ7kNvwFGceMs&amp;_nc_oc=Adm5MNY9Fu7PIv0IWJ1Ce_G7no78hQsPOl_AB0E8sHdlLE1yV0DiqJrRI9uUsp2K3dtxWImzfzC4rOPEm6yMXJjc&amp;_nc_ad=z-m&amp;_nc_cid=0&amp;_nc_zt=23&amp;_nc_ht=scontent.cdninstagram.com&amp;_nc_gid=Pc-yOprRxmpD2PcEEeKiuQ&amp;oh=00_AfiFMoPBsMUw34S2WXkRopk42-DHaOijthpx1KZLXK6YLw&amp;oe=6930DE4E</t>
  </si>
  <si>
    <t>Caxias Do Sul - Rio Grande Do Sul</t>
  </si>
  <si>
    <t>-29.161284628677,-51.188166862931</t>
  </si>
  <si>
    <t>DQMLtd2jQmo</t>
  </si>
  <si>
    <t>https://www.instagram.com/p/DQMLtd2jQmo</t>
  </si>
  <si>
    <t>O TDAH nas mulheres pode passar despercebido por anos. Isso porque os sintomas tendem a ser mais internalizados e menos “barulhentos” do que nos homens — especialmente na infância e adolescência.
Ao longo da vida, fatores hormonais como ciclo menstrual, gestação, pós-parto e menopausa impactam diretamente os sintomas. E muitas vezes, mulheres com TDAH são diagnosticadas erroneamente com ansiedade ou depressão.
É hora de mudar isso.
Na Znith Saúde, nossos profissionais são neurodivergentes e entendem como o TDAH pode se manifestar de forma única em cada fase da vida feminina. Aqui, você encontra acolhimento de verdade.
Fonte: “ADHD Symptoms in Females of Childhood, Adolescent, Reproductive and Menopause Period”, _Mater Sociomed_, 2021.
#tdahjuntos #tdah #tdahinfantil
#tdahmulheres #tdahmulher #tdahmeninas
#tdahadulto#tdahadultos #tdahcomamor
#hiperatividade #adhd
#tdaherelacionamento
#tdahnaoebrincadeira #organizacao #impulsividade #relatosdetdah
#saudemental #autoconhecimento
#autoconhecimentocura #ohtdah
#autoaceitação</t>
  </si>
  <si>
    <t>TDAHAdulto,Emoções,PsicopatologiaAfetiva,RegulaçãoEmocional,Neurologia,Neurowiser</t>
  </si>
  <si>
    <t>znith.saude</t>
  </si>
  <si>
    <t>Atendimento especializado em TDAH e TEA</t>
  </si>
  <si>
    <t>https://instagram.fcgh9-1.fna.fbcdn.net/v/t51.2885-19/561752671_17946541092047747_4685719665481876069_n.jpg?stp=dst-jpg_s150x150_tt6&amp;efg=eyJ2ZW5jb2RlX3RhZyI6InByb2ZpbGVfcGljLmRqYW5nby4xMDgwLmMyIn0&amp;_nc_ht=instagram.fcgh9-1.fna.fbcdn.net&amp;_nc_cat=111&amp;_nc_oc=Q6cZ2QFPov7R9KkJkRWPhoul_WHPqgeeCzwRjTZJfLUvhQ7Ahn-FmGOPACvW2uuxfW4XFm6i_ZZl8_zjX6ppwx6UG-Ds&amp;_nc_ohc=IM7c1wpWnd4Q7kNvwGrAdlY&amp;_nc_gid=Pc-yOprRxmpD2PcEEeKiuQ&amp;edm=AFlAz-oBAAAA&amp;ccb=7-5&amp;oh=00_AfiPT1kIevE9mL8oKVE_Bb26_csfJKkujSPI_s3KhAgi8g&amp;oe=6930ECBB&amp;_nc_sid=76c0fc</t>
  </si>
  <si>
    <t>https://www.instagram.com/p/DQWatMWDl3O</t>
  </si>
  <si>
    <t>https://scontent-gru2-2.cdninstagram.com/v/t51.2885-19/335795124_3548520618700910_5888096039141705614_n.jpg?stp=dst-jpg_s150x150_tt6&amp;efg=eyJ2ZW5jb2RlX3RhZyI6InByb2ZpbGVfcGljLmRqYW5nby4xMDQwLmMyIn0&amp;_nc_ht=scontent-gru2-2.cdninstagram.com&amp;_nc_cat=102&amp;_nc_oc=Q6cZ2QF_7ptarWIDxLQefAQP7jjZgjnL08KAuVm4XgP8894Q5wMko3rhS2q9wnBYbHhZfcBPUSFTNQVgLTyYpt_NADMy&amp;_nc_ohc=0s3FUOAdoP4Q7kNvwGsMLrP&amp;_nc_gid=832jxjWftkKYOGhz8kgttw&amp;edm=AFlAz-oBAAAA&amp;ccb=7-5&amp;oh=00_AfiCQ0D0h5xxSWo-Q6XHiqJS1zqL9dTAGgISVmDHR5XLKg&amp;oe=691BED99&amp;_nc_sid=76c0fc</t>
  </si>
  <si>
    <t>https://scontent.cdninstagram.com/v/t51.82787-15/568421130_17947466835047747_4706057463309081969_n.jpg?stp=dst-jpg_e35_tt6&amp;_nc_cat=111&amp;ig_cache_key=Mzc0Njk5NDQ3OTEwNzQ3NTU1OA%3D%3D.3-ccb7-5&amp;ccb=7-5&amp;_nc_sid=58cdad&amp;efg=eyJ2ZW5jb2RlX3RhZyI6InhwaWRzLjEwODB4MTM1MC5zZHIuQzMifQ%3D%3D&amp;_nc_ohc=tHj3MMISQRYQ7kNvwEUoBB_&amp;_nc_oc=AdnEUkyLPQ6AJRs59tTYJ7snqgHsmQIB3HH5ZX2pfnL6Gcy85Z7kQPqAbsH0UYR3UmSXHjdoPQXvTJmUt95r5Hg2&amp;_nc_ad=z-m&amp;_nc_cid=0&amp;_nc_zt=23&amp;_nc_ht=scontent.cdninstagram.com&amp;_nc_gid=Pc-yOprRxmpD2PcEEeKiuQ&amp;oh=00_AfiA2zN5aLdZJQcZw0Bx8eTzWl0spkVX3xIeJ2K74UzlSQ&amp;oe=6930C7E4,https://scontent.cdninstagram.com/v/t51.82787-15/567502362_17947466844047747_8984836610993254413_n.jpg?stp=dst-jpg_e35_tt6&amp;_nc_cat=109&amp;ig_cache_key=Mzc0Njk5NDQ3OTEwNzQ4NTUxNA%3D%3D.3-ccb7-5&amp;ccb=7-5&amp;_nc_sid=58cdad&amp;efg=eyJ2ZW5jb2RlX3RhZyI6InhwaWRzLjEwODB4MTM1MC5zZHIuQzMifQ%3D%3D&amp;_nc_ohc=1iVOcqJhwQYQ7kNvwGT7Omu&amp;_nc_oc=AdnmKgR4Hz9VBBuUcGi5-eMccPFyQjS3Yf-aMw8btonDSlXjKIFdK2wxOE_24o2U3fa5yfewzSYQby-OxmNQCXMp&amp;_nc_ad=z-m&amp;_nc_cid=0&amp;_nc_zt=23&amp;_nc_ht=scontent.cdninstagram.com&amp;_nc_gid=Pc-yOprRxmpD2PcEEeKiuQ&amp;oh=00_Afge0glUCCepytWIR82n-G9D6qd4raUf-OlkBr331LHnDw&amp;oe=6930FAE4,https://scontent.cdninstagram.com/v/t51.82787-15/568109964_17947466853047747_1246587417392468939_n.jpg?stp=dst-jpg_e35_tt6&amp;_nc_cat=111&amp;ig_cache_key=Mzc0Njk5NDQ3OTA5OTExMTA4Nw%3D%3D.3-ccb7-5&amp;ccb=7-5&amp;_nc_sid=58cdad&amp;efg=eyJ2ZW5jb2RlX3RhZyI6InhwaWRzLjEwODB4MTM1MC5zZHIuQzMifQ%3D%3D&amp;_nc_ohc=PBhTFazwrNYQ7kNvwHqtuAt&amp;_nc_oc=AdmYzVeFDUX7eSZF4ZUJkIe-9T8vAdbDQ9JIzp18Dv2x2_6nYDlSl5aG1iriLR72xKbOpmz5BZu6yFDdmOTzYPdn&amp;_nc_ad=z-m&amp;_nc_cid=0&amp;_nc_zt=23&amp;_nc_ht=scontent.cdninstagram.com&amp;_nc_gid=Pc-yOprRxmpD2PcEEeKiuQ&amp;oh=00_Afgobzr_BWbIKC03syNp282C5cp3JrSQuRbCvNirUwzp6A&amp;oe=6930C7E5,https://scontent.cdninstagram.com/v/t51.82787-15/567159344_17947466868047747_5644331512719379396_n.jpg?stp=dst-jpg_e35_tt6&amp;_nc_cat=111&amp;ig_cache_key=Mzc0Njk5NDQ3OTI2Njg3NjQ0NQ%3D%3D.3-ccb7-5&amp;ccb=7-5&amp;_nc_sid=58cdad&amp;efg=eyJ2ZW5jb2RlX3RhZyI6InhwaWRzLjEwODB4MTM1MC5zZHIuQzMifQ%3D%3D&amp;_nc_ohc=VdEBGeVYZqEQ7kNvwEi-gP0&amp;_nc_oc=AdmkMhSJ0A-UY4stWkwTW8CUSwW7Ph7t7dfeVqMozmq45k95mlyJHCHHud5gPyQ15YwsLhvUjw30LtCDVxw4PxoH&amp;_nc_ad=z-m&amp;_nc_cid=0&amp;_nc_zt=23&amp;_nc_ht=scontent.cdninstagram.com&amp;_nc_gid=Pc-yOprRxmpD2PcEEeKiuQ&amp;oh=00_Afg5zQ0hyFZgGkCQ4fzboq_rOchS7yX9hUuX4Rr2JTcQng&amp;oe=6930E40A,https://scontent.cdninstagram.com/v/t51.82787-15/567425313_17947466877047747_7086437663189898729_n.jpg?stp=dst-jpg_e35_tt6&amp;_nc_cat=108&amp;ig_cache_key=Mzc0Njk5NDQ3OTE4Mjk4NDk1NA%3D%3D.3-ccb7-5&amp;ccb=7-5&amp;_nc_sid=58cdad&amp;efg=eyJ2ZW5jb2RlX3RhZyI6InhwaWRzLjEwODB4MTM1MC5zZHIuQzMifQ%3D%3D&amp;_nc_ohc=yq9_eUm39hkQ7kNvwFGnAvj&amp;_nc_oc=Adl1Bw62Ar0gs1GKmEfet9kZKgxt1lPkiljPShFx6GDqF-_Go0sgaAboRO_NLttG38eaSurY1vr_1-nxvpVTFsBV&amp;_nc_ad=z-m&amp;_nc_cid=0&amp;_nc_zt=23&amp;_nc_ht=scontent.cdninstagram.com&amp;_nc_gid=Pc-yOprRxmpD2PcEEeKiuQ&amp;oh=00_AfgkWk8TmMgrsGleouZgIrFBBtHQiKGTMFGyq83FXfVTkQ&amp;oe=6930D6E8,https://scontent.cdninstagram.com/v/t51.82787-15/567179134_17947466886047747_4677290279684465725_n.jpg?stp=dst-jpg_e35_tt6&amp;_nc_cat=110&amp;ig_cache_key=Mzc0Njk5NDQ3OTE4MzAwNTg4OA%3D%3D.3-ccb7-5&amp;ccb=7-5&amp;_nc_sid=58cdad&amp;efg=eyJ2ZW5jb2RlX3RhZyI6InhwaWRzLjEwODB4MTM1MC5zZHIuQzMifQ%3D%3D&amp;_nc_ohc=S1qiDLEsplgQ7kNvwF97Utz&amp;_nc_oc=Adk53zEvdT_gapCke1NO4v3FWVHxgHmS0PxnzJQNKLWX8a_Hmf8orJ6cLeolw-E4Eoo6zXHOo4eiYoEDbHKyIDw2&amp;_nc_ad=z-m&amp;_nc_cid=0&amp;_nc_zt=23&amp;_nc_ht=scontent.cdninstagram.com&amp;_nc_gid=Pc-yOprRxmpD2PcEEeKiuQ&amp;oh=00_AfiXtNTlOScolSOQD1Eepci4DFWlp27e1-1f-5mPJoixlg&amp;oe=6930D121,https://scontent.cdninstagram.com/v/t51.82787-15/566842556_17947466895047747_893885055759181208_n.jpg?stp=dst-jpg_e35_tt6&amp;_nc_cat=106&amp;ig_cache_key=Mzc0Njk5NDQ3OTEwNzQ4Nzk3Ng%3D%3D.3-ccb7-5&amp;ccb=7-5&amp;_nc_sid=58cdad&amp;efg=eyJ2ZW5jb2RlX3RhZyI6InhwaWRzLjEwODB4MTM1MC5zZHIuQzMifQ%3D%3D&amp;_nc_ohc=5liwWLHmKEwQ7kNvwG_8fpW&amp;_nc_oc=Adn1BRkwXS7p2WtHeFw9fdo6EaIO6bTKwcprVzskdIdxxp4LvTvFG0XXrpZClKKKYGlFOv6tRDNDU7g73_-E_lgS&amp;_nc_ad=z-m&amp;_nc_cid=0&amp;_nc_zt=23&amp;_nc_ht=scontent.cdninstagram.com&amp;_nc_gid=Pc-yOprRxmpD2PcEEeKiuQ&amp;oh=00_Afi15G6ezHn2HWATOHq3dDBA8kCzfZuQJ47E3ae25Q_tiA&amp;oe=6930F4F9,https://scontent.cdninstagram.com/v/t51.82787-15/567004037_17947466904047747_3373727292387847215_n.jpg?stp=dst-jpg_e35_tt6&amp;_nc_cat=100&amp;ig_cache_key=Mzc0Njk5NDQ3OTMwODgwMDUzNQ%3D%3D.3-ccb7-5&amp;ccb=7-5&amp;_nc_sid=58cdad&amp;efg=eyJ2ZW5jb2RlX3RhZyI6InhwaWRzLjEwODB4MTM1MC5zZHIuQzMifQ%3D%3D&amp;_nc_ohc=Q-RjlzbwGjEQ7kNvwHNKfV5&amp;_nc_oc=AdkhRq-etpaagtHxTSS20XeBIvDpHF0Qmr5Z4wr8-sxl9Fu7aQ6xqJ11KvsHvXm61wByFS-XsePI7S1BupipGF0e&amp;_nc_ad=z-m&amp;_nc_cid=0&amp;_nc_zt=23&amp;_nc_ht=scontent.cdninstagram.com&amp;_nc_gid=Pc-yOprRxmpD2PcEEeKiuQ&amp;oh=00_AfjepppCvToXEVKtBEY_dfbB0TL7wdNJfcE2meXyfO2SHA&amp;oe=6930F732</t>
  </si>
  <si>
    <t>https://scontent-gru2-1.cdninstagram.com/v/t51.82787-15/571119358_18396970828193484_7895172543585255548_n.jpg?stp=dst-jpg_e35_tt6&amp;_nc_cat=107&amp;ig_cache_key=Mzc1MzMwNDc4MzIyNzYwODg4MA%3D%3D.3-ccb1-7&amp;ccb=1-7&amp;_nc_sid=58cdad&amp;efg=eyJ2ZW5jb2RlX3RhZyI6InhwaWRzLjE0Mzh4MTc5Ny5zZHIuQzMifQ%3D%3D&amp;_nc_ohc=wDN74JU1ZmwQ7kNvwF_4qfZ&amp;_nc_oc=AdkdHpk41Xb6Zm_pA_Xfk4Xlw6SCUQrLObMX4zg7-WR6R1-FbYknrkeCnu4FaOaiNHfsHiyGv-ReITkJnYAk3Zkv&amp;_nc_ad=z-m&amp;_nc_cid=0&amp;_nc_zt=23&amp;_nc_ht=scontent-gru2-1.cdninstagram.com&amp;_nc_gid=832jxjWftkKYOGhz8kgttw&amp;oh=00_AfhfzvvBhgKtdjGzbeah9-mvAdDSsWbozaBAHS91QYjzpg&amp;oe=691BF6B6,https://scontent-gru1-2.cdninstagram.com/v/t51.82787-15/569985865_18396970840193484_2110690801224511683_n.jpg?stp=dst-jpg_e35_tt6&amp;_nc_cat=110&amp;ig_cache_key=Mzc1MzMwNDc4Mjk5Mjc1NDExOA%3D%3D.3-ccb1-7&amp;ccb=1-7&amp;_nc_sid=58cdad&amp;efg=eyJ2ZW5jb2RlX3RhZyI6InhwaWRzLjE0Mzh4MTc5Ny5zZHIuQzMifQ%3D%3D&amp;_nc_ohc=AeaMiyzn7IIQ7kNvwHcSgUO&amp;_nc_oc=AdnRW9I_TNwhBXvYio5fg9GF9rSxaVtRVk23wk6q6OFRUgc_0yq9ti0G_bp3XGp_5U253uUUKjqHxUdC58b9CGXO&amp;_nc_ad=z-m&amp;_nc_cid=0&amp;_nc_zt=23&amp;_nc_ht=scontent-gru1-2.cdninstagram.com&amp;_nc_gid=832jxjWftkKYOGhz8kgttw&amp;oh=00_AfhiPUq7YXFEeMzSuhKZk-_jL-zAAeo-T9T6hrJKjqOGJQ&amp;oe=691BD4F3,https://scontent-gru1-1.cdninstagram.com/v/t51.82787-15/571782738_18396970849193484_2347193219775259869_n.jpg?stp=dst-jpg_e35_tt6&amp;_nc_cat=101&amp;ig_cache_key=Mzc1MzMwNDc4Mjk5Mjc1MDYxMQ%3D%3D.3-ccb1-7&amp;ccb=1-7&amp;_nc_sid=58cdad&amp;efg=eyJ2ZW5jb2RlX3RhZyI6InhwaWRzLjE0Mzh4MTc5Ny5zZHIuQzMifQ%3D%3D&amp;_nc_ohc=cWEzunwGTIUQ7kNvwHm44KU&amp;_nc_oc=Adk0TkdRZk9w2_kyORLNg-TTQuYI26nFCGjOn4ROjMcQAC7ijVlYuKMtk2AJjR24SGrGZKiqG_IPErAyRoepfkcq&amp;_nc_ad=z-m&amp;_nc_cid=0&amp;_nc_zt=23&amp;_nc_ht=scontent-gru1-1.cdninstagram.com&amp;_nc_gid=832jxjWftkKYOGhz8kgttw&amp;oh=00_AfjCy_lcKzdUx4Z5UyNwNseCYeKqLJCuf6EyeNuu_JdHcw&amp;oe=691BD06F,https://scontent-gru1-1.cdninstagram.com/v/t51.82787-15/570669172_18396970858193484_8316317742841888501_n.jpg?stp=dst-jpg_e35_tt6&amp;_nc_cat=101&amp;ig_cache_key=Mzc1MzMwNDc4MzAwOTQ5ODQ4OQ%3D%3D.3-ccb1-7&amp;ccb=1-7&amp;_nc_sid=58cdad&amp;efg=eyJ2ZW5jb2RlX3RhZyI6InhwaWRzLjE0Mzh4MTc5Ny5zZHIuQzMifQ%3D%3D&amp;_nc_ohc=vxkV72xCBFcQ7kNvwF57cFc&amp;_nc_oc=AdkdsutjBniAdBL6x4V61EF3mtvlMYoMEzCDLbW1AzJMSGDs4kJwZlqRAU7-4i5RYabnX0YODMIkQx6tDUv_bpu0&amp;_nc_ad=z-m&amp;_nc_cid=0&amp;_nc_zt=23&amp;_nc_ht=scontent-gru1-1.cdninstagram.com&amp;_nc_gid=832jxjWftkKYOGhz8kgttw&amp;oh=00_AfhIDXkhA5ifd5qthngWE06Anjx1hCfzl_CJ4wGlHJj1Aw&amp;oe=691C0080,https://scontent-gru2-2.cdninstagram.com/v/t51.82787-15/569966568_18396970867193484_1165646942573626615_n.jpg?stp=dst-jpg_e35_tt6&amp;_nc_cat=105&amp;ig_cache_key=Mzc1MzMwNDc4MzAwMTEyOTU2NQ%3D%3D.3-ccb1-7&amp;ccb=1-7&amp;_nc_sid=58cdad&amp;efg=eyJ2ZW5jb2RlX3RhZyI6InhwaWRzLjE0Mzh4MTc5Ny5zZHIuQzMifQ%3D%3D&amp;_nc_ohc=kEf5MSmcaasQ7kNvwFXlGkA&amp;_nc_oc=AdmwWh0gUSqcnRiTKhsOWbiY4cuMk7iRfofQs8ksuEjFITz0TGYS8lK3KhdmvXammEWyfn3Oh82-prtI7feCxv0I&amp;_nc_ad=z-m&amp;_nc_cid=0&amp;_nc_zt=23&amp;_nc_ht=scontent-gru2-2.cdninstagram.com&amp;_nc_gid=832jxjWftkKYOGhz8kgttw&amp;oh=00_AfjiAuEyVNfF4FXgkBvPXneE-H6dSSo2FDmELTYo4qilsQ&amp;oe=691BD63F,https://scontent-gru1-2.cdninstagram.com/v/t51.82787-15/569401914_18396970876193484_5927289413440261896_n.jpg?stp=dst-jpg_e35_tt6&amp;_nc_cat=108&amp;ig_cache_key=Mzc1MzMwNDc4Mjk5Mjc2MTA5Mw%3D%3D.3-ccb1-7&amp;ccb=1-7&amp;_nc_sid=58cdad&amp;efg=eyJ2ZW5jb2RlX3RhZyI6InhwaWRzLjE0Mzh4MTc5Ny5zZHIuQzMifQ%3D%3D&amp;_nc_ohc=KbUqeOaVM-kQ7kNvwH2wp7o&amp;_nc_oc=AdkvGg2SJaOcnILZnxXqufdVnP0taC9nzFdM4BFCGknj8qRhdvT_4t6CVnuYPOLSvCcGHSYIfmPT0L-gvF213LzC&amp;_nc_ad=z-m&amp;_nc_cid=0&amp;_nc_zt=23&amp;_nc_ht=scontent-gru1-2.cdninstagram.com&amp;_nc_gid=832jxjWftkKYOGhz8kgttw&amp;oh=00_AfivtmkN1OzfxlaUFK1CAf-bv4Y7ujEyMy611RdkYHxhwQ&amp;oe=691BFA52,https://scontent-gru1-2.cdninstagram.com/v/t51.82787-15/571330765_18396970885193484_258609858852925600_n.jpg?stp=dst-jpg_e35_tt6&amp;_nc_cat=110&amp;ig_cache_key=Mzc1MzMwNDc4MzIyNzY0ODY0Mg%3D%3D.3-ccb1-7&amp;ccb=1-7&amp;_nc_sid=58cdad&amp;efg=eyJ2ZW5jb2RlX3RhZyI6InhwaWRzLjE0Mzh4MTc5Ny5zZHIuQzMifQ%3D%3D&amp;_nc_ohc=rpwYZq1gIMIQ7kNvwH0rFkO&amp;_nc_oc=Adnc-sgNKwNYGeshhAl00PoxxGP2A5XSAfGd6XJAcP_vtyStEzKeATH_5s5ppd92CtGuPmGGZ5MFqx-yykg3orsR&amp;_nc_ad=z-m&amp;_nc_cid=0&amp;_nc_zt=23&amp;_nc_ht=scontent-gru1-2.cdninstagram.com&amp;_nc_gid=832jxjWftkKYOGhz8kgttw&amp;oh=00_Afgw3AnDYsJ-q7OTShEffOiqHeJ7Og8VwRt6gNT7AbiGkw&amp;oe=691BF5F2,https://scontent-gru2-2.cdninstagram.com/v/t51.82787-15/573124715_18396970894193484_6544176650989745015_n.jpg?stp=dst-jpg_e35_tt6&amp;_nc_cat=102&amp;ig_cache_key=Mzc1MzMwNDc4MzI0NDM5ODUzNg%3D%3D.3-ccb1-7&amp;ccb=1-7&amp;_nc_sid=58cdad&amp;efg=eyJ2ZW5jb2RlX3RhZyI6InhwaWRzLjE0Mzh4MTc5Ny5zZHIuQzMifQ%3D%3D&amp;_nc_ohc=NzhUaJTRrJMQ7kNvwGrbDjI&amp;_nc_oc=Adl9TNcmTmg40v1WmrWfmrSGfZC6qICkrPorSv81VsC0eRbdxCBPuJBlnPndE3G5NKy08QX0ouom1nkt3xyWKwvC&amp;_nc_ad=z-m&amp;_nc_cid=0&amp;_nc_zt=23&amp;_nc_ht=scontent-gru2-2.cdninstagram.com&amp;_nc_gid=832jxjWftkKYOGhz8kgttw&amp;oh=00_AfhT846nBe1X14IzkeRHpnnnAd0PQ5hq-zYHsJU--SKRTA&amp;oe=691BD5EA,https://scontent-gru1-2.cdninstagram.com/v/t51.82787-15/570062445_18396970903193484_7059325730292219749_n.jpg?stp=dst-jpg_e35_tt6&amp;_nc_cat=103&amp;ig_cache_key=Mzc1MzMwNDc4MzIyNzYwODA0OQ%3D%3D.3-ccb1-7&amp;ccb=1-7&amp;_nc_sid=58cdad&amp;efg=eyJ2ZW5jb2RlX3RhZyI6InhwaWRzLjE0Mzh4MTc5Ny5zZHIuQzMifQ%3D%3D&amp;_nc_ohc=yhRwoiSAhMkQ7kNvwFuJdBi&amp;_nc_oc=Adkgh8LY7XykOMeR0A99rQ7_ZS-7sNtx9V-Zfs2wPDZb1XlLagabIKAKBmBAjCbgWseavibCy8OfKYdIU7NlhJ5l&amp;_nc_ad=z-m&amp;_nc_cid=0&amp;_nc_zt=23&amp;_nc_ht=scontent-gru1-2.cdninstagram.com&amp;_nc_gid=832jxjWftkKYOGhz8kgttw&amp;oh=00_Afh6k_GceXh2rEt3jfogxrv1UBci12TR1CyLe-VT2_M7Eg&amp;oe=691BCE63</t>
  </si>
  <si>
    <t>https://www.instagram.com/p/DAqzHR3Nm8N</t>
  </si>
  <si>
    <t>https://www.instagram.com/p/DQmdkIvDuGI</t>
  </si>
  <si>
    <t>https://instagram.fcgh9-1.fna.fbcdn.net/v/t51.2885-19/419980358_289800883715767_6089219814531033544_n.jpg?stp=dst-jpg_s150x150_tt6&amp;efg=eyJ2ZW5jb2RlX3RhZyI6InByb2ZpbGVfcGljLmRqYW5nby40OTkuYzIifQ&amp;_nc_ht=instagram.fcgh9-1.fna.fbcdn.net&amp;_nc_cat=107&amp;_nc_oc=Q6cZ2QFPov7R9KkJkRWPhoul_WHPqgeeCzwRjTZJfLUvhQ7Ahn-FmGOPACvW2uuxfW4XFm6i_ZZl8_zjX6ppwx6UG-Ds&amp;_nc_ohc=6BxneSBPTboQ7kNvwH37We_&amp;_nc_gid=Pc-yOprRxmpD2PcEEeKiuQ&amp;edm=AFlAz-oBAAAA&amp;ccb=7-5&amp;oh=00_AfiMU1g2L1QIhNOyiHwqRrWCrrJ2-CVNIDZmkAZNxyzMxw&amp;oe=6930E809&amp;_nc_sid=76c0fc</t>
  </si>
  <si>
    <t>https://scontent-gru1-1.cdninstagram.com/v/t51.2885-19/419966317_2034897496883497_3859836952302701172_n.jpg?stp=dst-jpg_s150x150_tt6&amp;efg=eyJ2ZW5jb2RlX3RhZyI6InByb2ZpbGVfcGljLmRqYW5nby4xMDgwLmMyIn0&amp;_nc_ht=scontent-gru1-1.cdninstagram.com&amp;_nc_cat=101&amp;_nc_oc=Q6cZ2QF_7ptarWIDxLQefAQP7jjZgjnL08KAuVm4XgP8894Q5wMko3rhS2q9wnBYbHhZfcBPUSFTNQVgLTyYpt_NADMy&amp;_nc_ohc=EFZ2xaKkMogQ7kNvwHP7Els&amp;_nc_gid=832jxjWftkKYOGhz8kgttw&amp;edm=AFlAz-oBAAAA&amp;ccb=7-5&amp;oh=00_Afg7TqOs916QmDWn-mnOCB2_7zhZLqWTK0JDG99M2Z156Q&amp;oe=691BFE34&amp;_nc_sid=76c0fc</t>
  </si>
  <si>
    <t>soytdahadulto</t>
  </si>
  <si>
    <t>TDAH Adulto | Déficit de atención | Neurodivergente</t>
  </si>
  <si>
    <t>https://instagram.fcgh9-1.fna.fbcdn.net/v/t51.29350-15/461884717_839781637959800_7864711812929041605_n.jpg?stp=dst-jpg_e35_tt6&amp;efg=eyJ2ZW5jb2RlX3RhZyI6IkNBUk9VU0VMX0lURU0uaW1hZ2VfdXJsZ2VuLjE0NDB4MTc5NS5zZHIuZjI5MzUwLmRlZmF1bHRfaW1hZ2UuYzIifQ&amp;_nc_ht=instagram.fcgh9-1.fna.fbcdn.net&amp;_nc_cat=108&amp;_nc_oc=Q6cZ2QFPov7R9KkJkRWPhoul_WHPqgeeCzwRjTZJfLUvhQ7Ahn-FmGOPACvW2uuxfW4XFm6i_ZZl8_zjX6ppwx6UG-Ds&amp;_nc_ohc=YBjhIMhhXEgQ7kNvwFx0GJA&amp;_nc_gid=Pc-yOprRxmpD2PcEEeKiuQ&amp;edm=AFlAz-oBAAAA&amp;ccb=7-5&amp;ig_cache_key=MzQ3MDgxMTI1NDM2MjY1MTk3Mg%3D%3D.3-ccb7-5&amp;oh=00_AfgW3V3_sXUy426ED44LjxXP3n7fivYQSO9qfqB5pFnAtA&amp;oe=6930D999&amp;_nc_sid=76c0fc,https://instagram.fcgh9-1.fna.fbcdn.net/v/t51.29350-15/461894090_2269626330064893_8127965189483190927_n.jpg?stp=dst-jpg_e35_tt6&amp;efg=eyJ2ZW5jb2RlX3RhZyI6IkNBUk9VU0VMX0lURU0uaW1hZ2VfdXJsZ2VuLjE0NDB4MTc5NS5zZHIuZjI5MzUwLmRlZmF1bHRfaW1hZ2UuYzIifQ&amp;_nc_ht=instagram.fcgh9-1.fna.fbcdn.net&amp;_nc_cat=109&amp;_nc_oc=Q6cZ2QFPov7R9KkJkRWPhoul_WHPqgeeCzwRjTZJfLUvhQ7Ahn-FmGOPACvW2uuxfW4XFm6i_ZZl8_zjX6ppwx6UG-Ds&amp;_nc_ohc=8KvED_ig4PEQ7kNvwEr-BeT&amp;_nc_gid=Pc-yOprRxmpD2PcEEeKiuQ&amp;edm=AFlAz-oBAAAA&amp;ccb=7-5&amp;ig_cache_key=MzQ3MDgxMTI1NDE4NjU0NTQxNg%3D%3D.3-ccb7-5&amp;oh=00_AfiXZGzfAv0deeV5pb5IKuOvYVhx71mcvnb2yi0MDrFdCA&amp;oe=6930DC5B&amp;_nc_sid=76c0fc,https://instagram.fcgh9-1.fna.fbcdn.net/v/t51.29350-15/461854617_3429622820515073_5731990509730746420_n.jpg?stp=dst-jpg_e35_tt6&amp;efg=eyJ2ZW5jb2RlX3RhZyI6IkNBUk9VU0VMX0lURU0uaW1hZ2VfdXJsZ2VuLjE0NDB4MTc5NS5zZHIuZjI5MzUwLmRlZmF1bHRfaW1hZ2UuYzIifQ&amp;_nc_ht=instagram.fcgh9-1.fna.fbcdn.net&amp;_nc_cat=105&amp;_nc_oc=Q6cZ2QFPov7R9KkJkRWPhoul_WHPqgeeCzwRjTZJfLUvhQ7Ahn-FmGOPACvW2uuxfW4XFm6i_ZZl8_zjX6ppwx6UG-Ds&amp;_nc_ohc=1d-T0GDUzSAQ7kNvwHsvXyQ&amp;_nc_gid=Pc-yOprRxmpD2PcEEeKiuQ&amp;edm=AFlAz-oBAAAA&amp;ccb=7-5&amp;ig_cache_key=MzQ3MDgxMTI1NDE2OTU0NzQ0Ng%3D%3D.3-ccb7-5&amp;oh=00_AfhnJKij7krjcxkdV6uZPFbcKWofYZ3TPZ3-lfIdmSi3oQ&amp;oe=6930DF3E&amp;_nc_sid=76c0fc,https://instagram.fcgh9-1.fna.fbcdn.net/v/t51.29350-15/461906918_1947663609081979_5464247015408580393_n.jpg?stp=dst-jpg_e35_tt6&amp;efg=eyJ2ZW5jb2RlX3RhZyI6IkNBUk9VU0VMX0lURU0uaW1hZ2VfdXJsZ2VuLjE0NDB4MTc5NS5zZHIuZjI5MzUwLmRlZmF1bHRfaW1hZ2UuYzIifQ&amp;_nc_ht=instagram.fcgh9-1.fna.fbcdn.net&amp;_nc_cat=107&amp;_nc_oc=Q6cZ2QFPov7R9KkJkRWPhoul_WHPqgeeCzwRjTZJfLUvhQ7Ahn-FmGOPACvW2uuxfW4XFm6i_ZZl8_zjX6ppwx6UG-Ds&amp;_nc_ohc=0B5yz3a1H5IQ7kNvwFJYDWP&amp;_nc_gid=Pc-yOprRxmpD2PcEEeKiuQ&amp;edm=AFlAz-oBAAAA&amp;ccb=7-5&amp;ig_cache_key=MzQ3MDgxMTI1NDE2OTY3ODUwMQ%3D%3D.3-ccb7-5&amp;oh=00_AfhZuI0pY4NeJz0zNGjEl2qTnA_s7hh7cK0_fqVWku1VAw&amp;oe=6930D301&amp;_nc_sid=76c0fc,https://instagram.fcgh9-1.fna.fbcdn.net/v/t51.29350-15/461845851_896175878648975_8044699724066891426_n.jpg?stp=dst-jpg_e35_tt6&amp;efg=eyJ2ZW5jb2RlX3RhZyI6IkNBUk9VU0VMX0lURU0uaW1hZ2VfdXJsZ2VuLjE0NDB4MTc5NS5zZHIuZjI5MzUwLmRlZmF1bHRfaW1hZ2UuYzIifQ&amp;_nc_ht=instagram.fcgh9-1.fna.fbcdn.net&amp;_nc_cat=111&amp;_nc_oc=Q6cZ2QFPov7R9KkJkRWPhoul_WHPqgeeCzwRjTZJfLUvhQ7Ahn-FmGOPACvW2uuxfW4XFm6i_ZZl8_zjX6ppwx6UG-Ds&amp;_nc_ohc=gs7S6JqmRz8Q7kNvwE9E-ni&amp;_nc_gid=Pc-yOprRxmpD2PcEEeKiuQ&amp;edm=AFlAz-oBAAAA&amp;ccb=7-5&amp;ig_cache_key=MzQ3MDgxMTI1NDE4NjU3MTAyNg%3D%3D.3-ccb7-5&amp;oh=00_AfgTHCSLKTwxeUgSIxPErMi4AyAr517X66Y628ifos1ahQ&amp;oe=6930D84A&amp;_nc_sid=76c0fc,https://instagram.fcgh9-1.fna.fbcdn.net/v/t51.29350-15/462001202_837989115172164_8866958108771527331_n.jpg?stp=dst-jpg_e35_tt6&amp;efg=eyJ2ZW5jb2RlX3RhZyI6IkNBUk9VU0VMX0lURU0uaW1hZ2VfdXJsZ2VuLjE0NDB4MTc5NS5zZHIuZjI5MzUwLmRlZmF1bHRfaW1hZ2UuYzIifQ&amp;_nc_ht=instagram.fcgh9-1.fna.fbcdn.net&amp;_nc_cat=100&amp;_nc_oc=Q6cZ2QFPov7R9KkJkRWPhoul_WHPqgeeCzwRjTZJfLUvhQ7Ahn-FmGOPACvW2uuxfW4XFm6i_ZZl8_zjX6ppwx6UG-Ds&amp;_nc_ohc=kGu--CrHhOYQ7kNvwHyMiNe&amp;_nc_gid=Pc-yOprRxmpD2PcEEeKiuQ&amp;edm=AFlAz-oBAAAA&amp;ccb=7-5&amp;ig_cache_key=MzQ3MDgxMTI1NDE2OTY4NTEzMQ%3D%3D.3-ccb7-5&amp;oh=00_Afger5YZdUKU9ovL2xsj2ESkuRId6OlWcRuEFSqU_bbXUg&amp;oe=6930F31D&amp;_nc_sid=76c0fc,https://instagram.fcgh9-1.fna.fbcdn.net/v/t51.29350-15/461952794_900897228631034_6326759288213871388_n.jpg?stp=dst-jpg_e35_tt6&amp;efg=eyJ2ZW5jb2RlX3RhZyI6IkNBUk9VU0VMX0lURU0uaW1hZ2VfdXJsZ2VuLjE0NDB4MTc5NS5zZHIuZjI5MzUwLmRlZmF1bHRfaW1hZ2UuYzIifQ&amp;_nc_ht=instagram.fcgh9-1.fna.fbcdn.net&amp;_nc_cat=102&amp;_nc_oc=Q6cZ2QFPov7R9KkJkRWPhoul_WHPqgeeCzwRjTZJfLUvhQ7Ahn-FmGOPACvW2uuxfW4XFm6i_ZZl8_zjX6ppwx6UG-Ds&amp;_nc_ohc=Re5n6dOFT1YQ7kNvwHIChIv&amp;_nc_gid=Pc-yOprRxmpD2PcEEeKiuQ&amp;edm=AFlAz-oBAAAA&amp;ccb=7-5&amp;ig_cache_key=MzQ3MDgxMTI1NDE2OTU5MTMzNw%3D%3D.3-ccb7-5&amp;oh=00_AfhHjQ41XLkEnytuja4Xh0cFYQYsNtkF30eIneut7Dj6yQ&amp;oe=6930F4E7&amp;_nc_sid=76c0fc</t>
  </si>
  <si>
    <t>https://scontent-gru1-1.cdninstagram.com/v/t51.82787-15/573268592_18543629053025399_2822842910137704859_n.jpg?stp=dst-jpg_e35_tt6&amp;_nc_cat=104&amp;ig_cache_key=Mzc1NzgyMDk0NzEzNTg5Nzc1Mw%3D%3D.3-ccb1-7&amp;ccb=1-7&amp;_nc_sid=58cdad&amp;efg=eyJ2ZW5jb2RlX3RhZyI6InhwaWRzLjEwODB4MTM1MC5zZHIuQzMifQ%3D%3D&amp;_nc_ohc=93LTpKmUGacQ7kNvwHuYpc1&amp;_nc_oc=AdldIHhdDj8eWCM-LgavrJjGBIvfRHwcD2Zjn9irJhaZiSLJ8APBF8iR_lR0ziYESzRa__gTCzkdMC9pYe2moW_X&amp;_nc_ad=z-m&amp;_nc_cid=0&amp;_nc_zt=23&amp;_nc_ht=scontent-gru1-1.cdninstagram.com&amp;_nc_gid=832jxjWftkKYOGhz8kgttw&amp;oh=00_Afih83ZiYp0J0Im8QWdrwcS3mO0RNEDh165GqxQziX7l4Q&amp;oe=691BD1F7,https://scontent-gru2-1.cdninstagram.com/v/t51.82787-15/575261874_18543629065025399_492461243484550981_n.jpg?stp=dst-jpg_e35_tt6&amp;_nc_cat=111&amp;ig_cache_key=Mzc1NzgyMDk0NzEyNzUyNjg2MA%3D%3D.3-ccb1-7&amp;ccb=1-7&amp;_nc_sid=58cdad&amp;efg=eyJ2ZW5jb2RlX3RhZyI6InhwaWRzLjEwODB4MTM1MC5zZHIuQzMifQ%3D%3D&amp;_nc_ohc=5gL7x5L3eyIQ7kNvwHY4V6w&amp;_nc_oc=Adm5yW9nkxw6r_McSvLU4vaPX10zx4m15GqlyZnu948s2J7GQX_Cwz91hRrrDrWQ0A_uJdcLyOVH4ZFu47FJ-91N&amp;_nc_ad=z-m&amp;_nc_cid=0&amp;_nc_zt=23&amp;_nc_ht=scontent-gru2-1.cdninstagram.com&amp;_nc_gid=832jxjWftkKYOGhz8kgttw&amp;oh=00_AfiLNfwcssC5LRYIyJByKzxNnYJuMlPD3F8k0bsnzciWsA&amp;oe=691BF14A,https://scontent-gru2-1.cdninstagram.com/v/t51.82787-15/571579286_18543629074025399_7586427216740465308_n.jpg?stp=dst-jpg_e35_tt6&amp;_nc_cat=111&amp;ig_cache_key=Mzc1NzgyMDk0NzExOTA5NzM5MA%3D%3D.3-ccb1-7&amp;ccb=1-7&amp;_nc_sid=58cdad&amp;efg=eyJ2ZW5jb2RlX3RhZyI6InhwaWRzLjEwODB4MTM1MC5zZHIuQzMifQ%3D%3D&amp;_nc_ohc=PLydKzP_JcYQ7kNvwE861Ga&amp;_nc_oc=AdloO25d3la5-HGfQJYO_U6dJfhwHm3HEbY3N0o2octC5mqhRlK5CaFHM4zInFu5DHwewgHm025QKFwUTwR0NVq2&amp;_nc_ad=z-m&amp;_nc_cid=0&amp;_nc_zt=23&amp;_nc_ht=scontent-gru2-1.cdninstagram.com&amp;_nc_gid=832jxjWftkKYOGhz8kgttw&amp;oh=00_Afg-PfBsvjYcpVemQnhrYPK5n7LO9JfW-K-XnfCWRKoLGg&amp;oe=691BF49B,https://scontent-gru1-2.cdninstagram.com/v/t51.82787-15/572813594_18543629083025399_4393259794887036448_n.jpg?stp=dst-jpg_e35_tt6&amp;_nc_cat=100&amp;ig_cache_key=Mzc1NzgyMDk0NzExOTA5NTAzOA%3D%3D.3-ccb1-7&amp;ccb=1-7&amp;_nc_sid=58cdad&amp;efg=eyJ2ZW5jb2RlX3RhZyI6InhwaWRzLjEwODB4MTM1MC5zZHIuQzMifQ%3D%3D&amp;_nc_ohc=6zYE09ZUNCUQ7kNvwGY7QnQ&amp;_nc_oc=Admi6Dl45HjjKRHlIduh7qQ8WLtxD1eVzFtsyrkC_W1I1qjCHZFStsEO9-4m9RXnFNdogxgTKYdudJqMElZZQfcL&amp;_nc_ad=z-m&amp;_nc_cid=0&amp;_nc_zt=23&amp;_nc_ht=scontent-gru1-2.cdninstagram.com&amp;_nc_gid=832jxjWftkKYOGhz8kgttw&amp;oh=00_AfjGc1pSmCQCihHCvVR8DNzpOUhuAEl1lCec-2Szl4hbnQ&amp;oe=691BF2D7,https://scontent-gru1-2.cdninstagram.com/v/t51.82787-15/572179414_18543629095025399_1097211883779691560_n.jpg?stp=dst-jpg_e35_tt6&amp;_nc_cat=108&amp;ig_cache_key=Mzc1NzgyMDk0NzI5NTI0ODYzMg%3D%3D.3-ccb1-7&amp;ccb=1-7&amp;_nc_sid=58cdad&amp;efg=eyJ2ZW5jb2RlX3RhZyI6InhwaWRzLjEwODB4MTM1MC5zZHIuQzMifQ%3D%3D&amp;_nc_ohc=tuNmMH7XWMoQ7kNvwGa6nK_&amp;_nc_oc=AdknS7I9B1X9wWnKKcSrsMkaWMFsS9dYYjOunANMgdeWp9d6NKxAt-WYy0TCnguak2roi6Y4K2YscjDEvmIEcHcB&amp;_nc_ad=z-m&amp;_nc_cid=0&amp;_nc_zt=23&amp;_nc_ht=scontent-gru1-2.cdninstagram.com&amp;_nc_gid=832jxjWftkKYOGhz8kgttw&amp;oh=00_AfhJWdkVRBfDSNgo1mbrvRtrHLQOA7SZiRZ1_yg7-B5vuw&amp;oe=691BCCFC,https://scontent-gru1-2.cdninstagram.com/v/t51.82787-15/573532935_18543629107025399_9008769892910680849_n.jpg?stp=dst-jpg_e35_tt6&amp;_nc_cat=103&amp;ig_cache_key=Mzc1NzgyMDk0NzI5NTMwMDY3Nw%3D%3D.3-ccb1-7&amp;ccb=1-7&amp;_nc_sid=58cdad&amp;efg=eyJ2ZW5jb2RlX3RhZyI6InhwaWRzLjEwODB4MTM1MC5zZHIuQzMifQ%3D%3D&amp;_nc_ohc=GxKVn2rygdIQ7kNvwEU6ZGm&amp;_nc_oc=AdlOscweIkGhq19OGOGodMzIYD-uNg9fFPu58Kt_Han3FTt6Zcqt2WIoTLCSf0cAvBVypkd-nrGermPp2bB2eYwQ&amp;_nc_ad=z-m&amp;_nc_cid=0&amp;_nc_zt=23&amp;_nc_ht=scontent-gru1-2.cdninstagram.com&amp;_nc_gid=832jxjWftkKYOGhz8kgttw&amp;oh=00_AfiD5a3v8SMNJb8ZPXG2O9TTkcC7DvWxTSuMNG8-4ST8LQ&amp;oe=691BE935,https://scontent-gru1-1.cdninstagram.com/v/t51.82787-15/572894156_18543629125025399_3309134329877206469_n.jpg?stp=dst-jpg_e35_tt6&amp;_nc_cat=104&amp;ig_cache_key=Mzc1NzgyMDk0NzIyODE2MDcyNA%3D%3D.3-ccb1-7&amp;ccb=1-7&amp;_nc_sid=58cdad&amp;efg=eyJ2ZW5jb2RlX3RhZyI6InhwaWRzLjEwODB4MTM1MC5zZHIuQzMifQ%3D%3D&amp;_nc_ohc=KnFKlleGaIkQ7kNvwFuxVWT&amp;_nc_oc=Adn5pti-w164OkctLPNQbHj62J2KeGbJjCWhdqZ0VMEBwR_UGmAc8IasvAIdXS3tNN2mpLRtjU_CnYPvVRxvOqaq&amp;_nc_ad=z-m&amp;_nc_cid=0&amp;_nc_zt=23&amp;_nc_ht=scontent-gru1-1.cdninstagram.com&amp;_nc_gid=832jxjWftkKYOGhz8kgttw&amp;oh=00_AfhuJ1i2JXIma8m3FfH2ExEmhnDXiMqD5Hsf9mbfgcfcAw&amp;oe=691BF2D0,https://scontent-gru2-1.cdninstagram.com/v/t51.82787-15/573175425_18543629116025399_2409867615707138915_n.jpg?stp=dst-jpg_e35_tt6&amp;_nc_cat=107&amp;ig_cache_key=Mzc1NzgyMDk0NzI5NTI2MjEzMg%3D%3D.3-ccb1-7&amp;ccb=1-7&amp;_nc_sid=58cdad&amp;efg=eyJ2ZW5jb2RlX3RhZyI6InhwaWRzLjEwODB4MTM1MC5zZHIuQzMifQ%3D%3D&amp;_nc_ohc=-DTgIw0OEqIQ7kNvwFXe5rF&amp;_nc_oc=AdkghTgKiM3nZ8L8UJQRsoqDgYRu0Hn5oJcw1WtKlthvKoe4GMjMA9FM4tOD1lqIaplwipM1DFQSnzG31YNryupL&amp;_nc_ad=z-m&amp;_nc_cid=0&amp;_nc_zt=23&amp;_nc_ht=scontent-gru2-1.cdninstagram.com&amp;_nc_gid=832jxjWftkKYOGhz8kgttw&amp;oh=00_Afjn26kZ58msr4oIeNCNv4RJMDg9mwgFzBTO_d0U754bpw&amp;oe=691BCDF3,https://scontent-gru2-1.cdninstagram.com/v/t51.82787-15/572741819_18543629134025399_7846215483852651452_n.jpg?stp=dst-jpg_e35_tt6&amp;_nc_cat=111&amp;ig_cache_key=Mzc1NzgyMDk0NzExMDcyNTc5MQ%3D%3D.3-ccb1-7&amp;ccb=1-7&amp;_nc_sid=58cdad&amp;efg=eyJ2ZW5jb2RlX3RhZyI6InhwaWRzLjEwODB4MTM1MC5zZHIuQzMifQ%3D%3D&amp;_nc_ohc=_KAYOwFTYBcQ7kNvwEnrqI-&amp;_nc_oc=AdnG6wZRC8mlNbyeV0lQB4D5I6T3CaCE_cI_Mw98mjaZyBLpa_rV7NF4aV8-kLnp3vAJi3prHGA0Sbb9om3bjdhv&amp;_nc_ad=z-m&amp;_nc_cid=0&amp;_nc_zt=23&amp;_nc_ht=scontent-gru2-1.cdninstagram.com&amp;_nc_gid=832jxjWftkKYOGhz8kgttw&amp;oh=00_AfhObx1AV1SLJ3jMzt57tcMugg5l1Uq1uwqV8l7WLWx9kQ&amp;oe=691BE948,https://scontent-gru1-1.cdninstagram.com/v/t51.82787-15/573396809_18543629143025399_4958338267489210127_n.jpg?stp=dst-jpg_e35_tt6&amp;_nc_cat=104&amp;ig_cache_key=Mzc1NzgyMDk0NzI5NTI5MzIwMw%3D%3D.3-ccb1-7&amp;ccb=1-7&amp;_nc_sid=58cdad&amp;efg=eyJ2ZW5jb2RlX3RhZyI6InhwaWRzLjEwODB4MTM1MC5zZHIuQzMifQ%3D%3D&amp;_nc_ohc=Qq0VFueLn44Q7kNvwGZOqlM&amp;_nc_oc=AdkMCyG0l3A8TMFujdSOxPjaqhT-GU3llRwSYOot5BQv2ksXQ3rgkd_iEtIIeRfVcVzJVnH0i2RfigNwltQTO_7l&amp;_nc_ad=z-m&amp;_nc_cid=0&amp;_nc_zt=23&amp;_nc_ht=scontent-gru1-1.cdninstagram.com&amp;_nc_gid=832jxjWftkKYOGhz8kgttw&amp;oh=00_AfgIHz0XtXcvnek_meWJjCaGrF7PoXXxy4DQ7L0uiGembw&amp;oe=691BE13B,https://scontent-gru2-2.cdninstagram.com/v/t51.82787-15/571885877_18543629152025399_6924292363167674472_n.jpg?stp=dst-jpg_e35_tt6&amp;_nc_cat=102&amp;ig_cache_key=Mzc1NzgyMDk0NzEzNTg2ODA5Nw%3D%3D.3-ccb1-7&amp;ccb=1-7&amp;_nc_sid=58cdad&amp;efg=eyJ2ZW5jb2RlX3RhZyI6InhwaWRzLjEwODB4MTM1MC5zZHIuQzMifQ%3D%3D&amp;_nc_ohc=P7t6v0XWe0EQ7kNvwEPtu6y&amp;_nc_oc=AdltEVY8m_09Bc4VuSIknJr8mb0QgrjD7C1wnB2rtmwcy9PGhc6XpyGBjulGwaSWMw9uvg7oHIkdFvc8N7EWYGsP&amp;_nc_ad=z-m&amp;_nc_cid=0&amp;_nc_zt=23&amp;_nc_ht=scontent-gru2-2.cdninstagram.com&amp;_nc_gid=832jxjWftkKYOGhz8kgttw&amp;oh=00_Afig6gEyvUeZZG9_s9TzFLs-73HELNZW4ZsGNiotShs_pg&amp;oe=691BD977,https://scontent-gru1-2.cdninstagram.com/v/t51.82787-15/571889640_18543629161025399_3976630960007940311_n.jpg?stp=dst-jpg_e35_tt6&amp;_nc_cat=108&amp;ig_cache_key=Mzc1NzgyMDk0NzEyNzQ3OTkxMQ%3D%3D.3-ccb1-7&amp;ccb=1-7&amp;_nc_sid=58cdad&amp;efg=eyJ2ZW5jb2RlX3RhZyI6InhwaWRzLjEwODB4MTM1MC5zZHIuQzMifQ%3D%3D&amp;_nc_ohc=YFgHGqL3r8YQ7kNvwGxRuon&amp;_nc_oc=AdmenhcygYwA3WS-DcY7meMLcp5_J-32_S7XRnFHK9SBICJh_Pqf8vucDt9VELRKxKYP6gXTQXZJrn4MJVvPvTj0&amp;_nc_ad=z-m&amp;_nc_cid=0&amp;_nc_zt=23&amp;_nc_ht=scontent-gru1-2.cdninstagram.com&amp;_nc_gid=832jxjWftkKYOGhz8kgttw&amp;oh=00_AfhZYA56feXDCuhaatn62J89HxVP2P5zNPty0jkMvuOUbg&amp;oe=691BCA33,https://scontent-gru1-1.cdninstagram.com/v/t51.82787-15/573119249_18543629170025399_253655824147281515_n.jpg?stp=dst-jpg_e35_tt6&amp;_nc_cat=104&amp;ig_cache_key=Mzc1NzgyMDk0NzExOTExMjYxOQ%3D%3D.3-ccb1-7&amp;ccb=1-7&amp;_nc_sid=58cdad&amp;efg=eyJ2ZW5jb2RlX3RhZyI6InhwaWRzLjEwODB4MTM1MC5zZHIuQzMifQ%3D%3D&amp;_nc_ohc=l5aNyECPVkoQ7kNvwGWkUhK&amp;_nc_oc=AdmDMhY3aCVw1gwr5tSKYc04khxyHre1hnb9pA2Q8E64p4xkI1eG3tg9htvpzurG7r7jpupa0Mw4SJIhsd2dGo0C&amp;_nc_ad=z-m&amp;_nc_cid=0&amp;_nc_zt=23&amp;_nc_ht=scontent-gru1-1.cdninstagram.com&amp;_nc_gid=832jxjWftkKYOGhz8kgttw&amp;oh=00_Afj9GwIbTvjK6qxiw40-Z1E5ChVV8K7iHLbM9NSMl6U_zQ&amp;oe=691BE141</t>
  </si>
  <si>
    <t>https://www.instagram.com/p/DQemgHrDr6H</t>
  </si>
  <si>
    <t>https://scontent-gru1-1.cdninstagram.com/v/t51.2885-19/450502028_364227709756384_5207360741911199062_n.jpg?stp=dst-jpg_s150x150_tt6&amp;efg=eyJ2ZW5jb2RlX3RhZyI6InByb2ZpbGVfcGljLmRqYW5nby4xMDgwLmMyIn0&amp;_nc_ht=scontent-gru1-1.cdninstagram.com&amp;_nc_cat=104&amp;_nc_oc=Q6cZ2QETcPv2IlJjxvB1iy525qRPSPl0KC2zFEuXJ4UHfZbQ2xKiFdcNPvgNnrYq2_QM4fPgILW6Fa1wgoAqr8mVC6o2&amp;_nc_ohc=QE8KkbogRx4Q7kNvwGBtZF9&amp;_nc_gid=LQFygQynK17yJqjuqKMq3Q&amp;edm=AFlAz-oBAAAA&amp;ccb=7-5&amp;oh=00_Afgf-09gYNeWyHFyfXXnNglibDviznssrck3Astn8SmDMw&amp;oe=691BCB8C&amp;_nc_sid=76c0fc</t>
  </si>
  <si>
    <t>https://instagram.fcgh9-1.fna.fbcdn.net/v/t51.2885-19/401673128_678469827596659_4494033280894812917_n.jpg?stp=dst-jpg_s150x150_tt6&amp;efg=eyJ2ZW5jb2RlX3RhZyI6InByb2ZpbGVfcGljLmRqYW5nby4xMDgwLmMyIn0&amp;_nc_ht=instagram.fcgh9-1.fna.fbcdn.net&amp;_nc_cat=107&amp;_nc_oc=Q6cZ2QFPov7R9KkJkRWPhoul_WHPqgeeCzwRjTZJfLUvhQ7Ahn-FmGOPACvW2uuxfW4XFm6i_ZZl8_zjX6ppwx6UG-Ds&amp;_nc_ohc=cUxgIgYn9XMQ7kNvwHcSgTM&amp;_nc_gid=Pc-yOprRxmpD2PcEEeKiuQ&amp;edm=AFlAz-oBAAAA&amp;ccb=7-5&amp;oh=00_Afhtz0KT3r3n7emnKv95eUNSSOCTnpkQfEANjLCLUAmATg&amp;oe=6930EE96&amp;_nc_sid=76c0fc</t>
  </si>
  <si>
    <t>https://scontent-gru1-2.cdninstagram.com/v/t51.82787-15/573183869_18546510979056012_8445509204532759725_n.webp?_nc_cat=100&amp;ig_cache_key=Mzc1NTYwODQ3MjMwMjgyOTE5MQ%3D%3D.3-ccb1-7&amp;ccb=1-7&amp;_nc_sid=58cdad&amp;efg=eyJ2ZW5jb2RlX3RhZyI6InhwaWRzLjE0NDB4MTgwMC5zZHIuQzMifQ%3D%3D&amp;_nc_ohc=mpT-V5Hyv1kQ7kNvwHDqU-0&amp;_nc_oc=Adn9yotx7Mk6ipMBveCUkHOMEEqsAj8GhShTLcMuNa8zXzdGW7S2IIf7dd-mDizzg-e4yVBJ82Dxt2xL9Za_1M0M&amp;_nc_ad=z-m&amp;_nc_cid=0&amp;_nc_zt=23&amp;_nc_ht=scontent-gru1-2.cdninstagram.com&amp;_nc_gid=LQFygQynK17yJqjuqKMq3Q&amp;oh=00_Afge9kHmIP1OlRZNpcP-TeBa8DPl2ifiH9AaBI9bJ32kQg&amp;oe=691BD82B</t>
  </si>
  <si>
    <t>Dra. Julia Khoury</t>
  </si>
  <si>
    <t>-19.933149993089,-43.94869</t>
  </si>
  <si>
    <t>DQMsRZmjqs8</t>
  </si>
  <si>
    <t>https://www.instagram.com/p/DQMsRZmjqs8</t>
  </si>
  <si>
    <t>Muitas vezes, quem tem TDAH não precisa de cobrança — precisa de compreensão. 💛
As palavras que escolhemos podem ferir… ou acolher.
💬 Fale com empatia, e você vai transformar a forma como o outro se enxerga.
📌 Salve para lembrar de praticar uma comunicação mais gentil.
👥 Marque alguém que precisa ouvir isso hoje!
#TDAHComEmpatia #PsicopedagogiaComAmor #Neurodiversidade #SaúdeEmocional #TDAHAdulto #EducaçãoComAfeto #PsicopedagogiaQueTransforma #PalavrasCuram #TDAHNaEscola</t>
  </si>
  <si>
    <t>tiareludicidade</t>
  </si>
  <si>
    <t>https://scontent.cdninstagram.com/v/t51.82787-15/573324786_18324666469240163_570230804042894005_n.heic?stp=dst-jpg_e35_tt6&amp;_nc_cat=102&amp;ig_cache_key=Mzc1NzkwMDE5MDEzODIyNTIxNQ%3D%3D.3-ccb7-5&amp;ccb=7-5&amp;_nc_sid=58cdad&amp;efg=eyJ2ZW5jb2RlX3RhZyI6InhwaWRzLjE0NDB4MTgwMC5zZHIuQzMifQ%3D%3D&amp;_nc_ohc=ppHMDIwI4xsQ7kNvwH-Nd83&amp;_nc_oc=AdnXMnSbwaYSVpY2lf7dZrKtfCLr6S5wybPgMIj0jkhfhs-J_LMB0knUoRnQmUeZbgPbZanNiBwBDSfuXGWieP8n&amp;_nc_ad=z-m&amp;_nc_cid=0&amp;_nc_zt=23&amp;_nc_ht=scontent.cdninstagram.com&amp;_nc_gid=Pc-yOprRxmpD2PcEEeKiuQ&amp;oh=00_AfjBckGPZyeaMnmgibqmE8Ubx6_kXPLGS2HlDkiIGmNPNg&amp;oe=6930DC44,https://scontent.cdninstagram.com/v/t51.82787-15/573758134_18324666478240163_698689003008187131_n.heic?stp=dst-jpg_e35_tt6&amp;_nc_cat=108&amp;ig_cache_key=Mzc1NzkwMDE5MDEyOTc5OTQ3NA%3D%3D.3-ccb7-5&amp;ccb=7-5&amp;_nc_sid=58cdad&amp;efg=eyJ2ZW5jb2RlX3RhZyI6InhwaWRzLjE0NDB4MTgwMC5zZHIuQzMifQ%3D%3D&amp;_nc_ohc=q7Ydb3FiNgcQ7kNvwEfXpU_&amp;_nc_oc=Adm_rd5f19YZy5PL4RcPWRXWWTELCkA6H3pisnY0d-DDmJZ1SY8-pwNzZ-48n8zM2V6n_P4-XbYZNbgGtkEev4SW&amp;_nc_ad=z-m&amp;_nc_cid=0&amp;_nc_zt=23&amp;_nc_ht=scontent.cdninstagram.com&amp;_nc_gid=Pc-yOprRxmpD2PcEEeKiuQ&amp;oh=00_AfjHTABa4j8xXj7r-UWQ1yGvSokDz6zR9bjq2PMYQEB6Dg&amp;oe=6930D44A,https://scontent.cdninstagram.com/v/t51.82787-15/574394777_18324666487240163_519248367284024710_n.heic?stp=dst-jpg_e35_tt6&amp;_nc_cat=102&amp;ig_cache_key=Mzc1NzkwMDE5MDExMzA0MzYyNw%3D%3D.3-ccb7-5&amp;ccb=7-5&amp;_nc_sid=58cdad&amp;efg=eyJ2ZW5jb2RlX3RhZyI6InhwaWRzLjE0NDB4MTgwMC5zZHIuQzMifQ%3D%3D&amp;_nc_ohc=bz_9VHIAzwwQ7kNvwG1Et1s&amp;_nc_oc=Adm1Z8l4-X19jpkzfHIzlHXY5FXHPau1Dj8xSYbgwV66TPwxXd3SstvRFeoNIWhXlqe86Ykm69jCr6GtYHnuWqm9&amp;_nc_ad=z-m&amp;_nc_cid=0&amp;_nc_zt=23&amp;_nc_ht=scontent.cdninstagram.com&amp;_nc_gid=Pc-yOprRxmpD2PcEEeKiuQ&amp;oh=00_AfgdvyqCB83JHANr1YFFrx5Hb83c31nXhJYY5MKHgYvzZw&amp;oe=6930C5E3,https://scontent.cdninstagram.com/v/t51.82787-15/573115609_18324666499240163_9190482993463366220_n.heic?stp=dst-jpg_e35_tt6&amp;_nc_cat=111&amp;ig_cache_key=Mzc1NzkwMDE5MDA2MjcwNTk3MQ%3D%3D.3-ccb7-5&amp;ccb=7-5&amp;_nc_sid=58cdad&amp;efg=eyJ2ZW5jb2RlX3RhZyI6InhwaWRzLjE0NDB4MTgwMC5zZHIuQzMifQ%3D%3D&amp;_nc_ohc=I5aEvtybju4Q7kNvwG0Kh9C&amp;_nc_oc=AdkfTQc6mQiC-uG6e9xxx-7518VStc3f9g85nVAVkZD43h58aaN8x9wneVZK3HvtsvAhHyeCUfHQkby9zRD2GIYN&amp;_nc_ad=z-m&amp;_nc_cid=0&amp;_nc_zt=23&amp;_nc_ht=scontent.cdninstagram.com&amp;_nc_gid=Pc-yOprRxmpD2PcEEeKiuQ&amp;oh=00_Afh6ZOSRDIarjwwczOR3IIR_KE50xKF1mAL3NpvldVJ1dA&amp;oe=6930C500,https://scontent.cdninstagram.com/v/t51.82787-15/573076376_18324666508240163_7274864875883332092_n.heic?stp=dst-jpg_e35_tt6&amp;_nc_cat=107&amp;ig_cache_key=Mzc1NzkwMDE4OTkzNjg4MTYxMg%3D%3D.3-ccb7-5&amp;ccb=7-5&amp;_nc_sid=58cdad&amp;efg=eyJ2ZW5jb2RlX3RhZyI6InhwaWRzLjE0NDB4MTgwMC5zZHIuQzMifQ%3D%3D&amp;_nc_ohc=vaXBJozbhUAQ7kNvwFh9D6P&amp;_nc_oc=AdnJEqTGRl8plewRr_qCHiq9KhbRSHHCTWiUw0gzu2EdqkDQO6PRuJN2S431ZAVuHzCP-KihOzgLI6c_xF3OKH0V&amp;_nc_ad=z-m&amp;_nc_cid=0&amp;_nc_zt=23&amp;_nc_ht=scontent.cdninstagram.com&amp;_nc_gid=Pc-yOprRxmpD2PcEEeKiuQ&amp;oh=00_AfgyxL6BZQaZ9tNuh6CFzxkBKCc0KOFFlSp80Prs-1dHXw&amp;oe=6930DDCC,https://scontent.cdninstagram.com/v/t51.82787-15/572851446_18324666517240163_6662609966810336341_n.heic?stp=dst-jpg_e35_tt6&amp;_nc_cat=103&amp;ig_cache_key=Mzc1NzkwMDE4OTkzNjg0NTE1NA%3D%3D.3-ccb7-5&amp;ccb=7-5&amp;_nc_sid=58cdad&amp;efg=eyJ2ZW5jb2RlX3RhZyI6InhwaWRzLjE0NDB4MTgwMC5zZHIuQzMifQ%3D%3D&amp;_nc_ohc=0Wa52Yv69qMQ7kNvwF-qFCc&amp;_nc_oc=AdnciEFz_gyvl1BhdzskPA1etHu4ID9PeVDvwqwDabEkxzHnmvhMyzIIG89q4TeIBMJfrG8Be8d5EwK88MAw8qY4&amp;_nc_ad=z-m&amp;_nc_cid=0&amp;_nc_zt=23&amp;_nc_ht=scontent.cdninstagram.com&amp;_nc_gid=Pc-yOprRxmpD2PcEEeKiuQ&amp;oh=00_AfhCWASrUcmbi3wYmME7yGkGdM9e6UBHD_JH7OmijHXPpg&amp;oe=6930DEA6,https://scontent.cdninstagram.com/v/t51.82787-15/572271748_18324666526240163_7566299549790890586_n.heic?stp=dst-jpg_e35_tt6&amp;_nc_cat=103&amp;ig_cache_key=Mzc1NzkwMDE5MDEwNDY3NjkyNA%3D%3D.3-ccb7-5&amp;ccb=7-5&amp;_nc_sid=58cdad&amp;efg=eyJ2ZW5jb2RlX3RhZyI6InhwaWRzLjE0NDB4MTgwMC5zZHIuQzMifQ%3D%3D&amp;_nc_ohc=RW6rCWUeW1MQ7kNvwGbXEev&amp;_nc_oc=AdliQRJezU_b8sORLHebFPvrxkR-FmZsLaSMASWFb289FWrHnTZSzwIaMBST5fTrUc5Zxi8JkHIc9pJR1hu7gRB_&amp;_nc_ad=z-m&amp;_nc_cid=0&amp;_nc_zt=23&amp;_nc_ht=scontent.cdninstagram.com&amp;_nc_gid=Pc-yOprRxmpD2PcEEeKiuQ&amp;oh=00_Afg1Xzwm03xA5gJTTGUdKbDBqnW6BAWk3CwcKHJGQ9hi1A&amp;oe=6930F6FF,https://scontent.cdninstagram.com/v/t51.82787-15/572639954_18324666535240163_7600707318423698648_n.heic?stp=dst-jpg_e35_tt6&amp;_nc_cat=110&amp;ig_cache_key=Mzc1NzkwMDE5MDA2MjczMTMzMg%3D%3D.3-ccb7-5&amp;ccb=7-5&amp;_nc_sid=58cdad&amp;efg=eyJ2ZW5jb2RlX3RhZyI6InhwaWRzLjE0NDB4MTgwMC5zZHIuQzMifQ%3D%3D&amp;_nc_ohc=BbX79ly1xdUQ7kNvwF1HNGU&amp;_nc_oc=AdlNNCAn480wodO1kUA955WnvOOGhIejfS6mNTTXEn1yLBpUIn_GfKbZ1s-p4X89HlCoNwgdpSoBCxERfB_x8fRk&amp;_nc_ad=z-m&amp;_nc_cid=0&amp;_nc_zt=23&amp;_nc_ht=scontent.cdninstagram.com&amp;_nc_gid=Pc-yOprRxmpD2PcEEeKiuQ&amp;oh=00_AfgnHvT0JHclOCI_Aa7fdWUFYu0T09XF8blVBEus_WcpEw&amp;oe=6930CC27,https://scontent.cdninstagram.com/v/t51.82787-15/572111388_18324666544240163_727731346277926126_n.heic?stp=dst-jpg_e35_tt6&amp;_nc_cat=105&amp;ig_cache_key=Mzc1NzkwMDE5MDA1NDMxMjE5MQ%3D%3D.3-ccb7-5&amp;ccb=7-5&amp;_nc_sid=58cdad&amp;efg=eyJ2ZW5jb2RlX3RhZyI6InhwaWRzLjE0NDB4MTgwMC5zZHIuQzMifQ%3D%3D&amp;_nc_ohc=aydS334GEo4Q7kNvwGxj70h&amp;_nc_oc=Adlhvmwq6E6DxI8U_jFTrZ2_JoXGzNmbh5xtdzRcbXro2xLHixpcJ0QPODFskWkt6o1K1aDcErezmuq1lW_h-m2y&amp;_nc_ad=z-m&amp;_nc_cid=0&amp;_nc_zt=23&amp;_nc_ht=scontent.cdninstagram.com&amp;_nc_gid=Pc-yOprRxmpD2PcEEeKiuQ&amp;oh=00_Afg76aolFks8daGzFegnmbJ3Y6DOur2J6HZw24XqhziF8A&amp;oe=6930CBF8</t>
  </si>
  <si>
    <t>Renata Alves</t>
  </si>
  <si>
    <t>https://scontent-gru2-2.cdninstagram.com/v/t51.2885-19/499717188_17962293182924226_8051082587939779144_n.jpg?stp=dst-jpg_s150x150_tt6&amp;efg=eyJ2ZW5jb2RlX3RhZyI6InByb2ZpbGVfcGljLmRqYW5nby4xMDgwLmMyIn0&amp;_nc_ht=scontent-gru2-2.cdninstagram.com&amp;_nc_cat=106&amp;_nc_oc=Q6cZ2QETcPv2IlJjxvB1iy525qRPSPl0KC2zFEuXJ4UHfZbQ2xKiFdcNPvgNnrYq2_QM4fPgILW6Fa1wgoAqr8mVC6o2&amp;_nc_ohc=BXOA7x6bpfwQ7kNvwEkF3MX&amp;_nc_gid=LQFygQynK17yJqjuqKMq3Q&amp;edm=AFlAz-oBAAAA&amp;ccb=7-5&amp;oh=00_AfhlRah0TWlI5GnWM-A_FhuPJtRLmnBm0P-gqAPltBrokA&amp;oe=691BE0AE&amp;_nc_sid=76c0fc</t>
  </si>
  <si>
    <t>DOIdCCXDKd2</t>
  </si>
  <si>
    <t>https://www.instagram.com/p/DOIdCCXDKd2</t>
  </si>
  <si>
    <t>https://scontent-gru1-2.cdninstagram.com/v/t51.82787-15/570641213_17979923978924226_5071576094681920874_n.jpg?stp=dst-jpg_e35_tt6&amp;_nc_cat=108&amp;ig_cache_key=Mzc1MDU2NzI5OTQ2MDgwMzM4OA%3D%3D.3-ccb1-7&amp;ccb=1-7&amp;_nc_sid=58cdad&amp;efg=eyJ2ZW5jb2RlX3RhZyI6InhwaWRzLjEzNjV4MTgyMC5zZHIuQzMifQ%3D%3D&amp;_nc_ohc=JjV-sdAD7WcQ7kNvwHrLU_X&amp;_nc_oc=AdlC5UEWW7KzgHb73Xphc32xaydilAWSZy1IuweGCm2g_Wved8Cmzy7ZXJSuxt91fvN0jT4KfbfOEOiYYF3mqqj3&amp;_nc_ad=z-m&amp;_nc_cid=0&amp;_nc_zt=23&amp;_nc_ht=scontent-gru1-2.cdninstagram.com&amp;_nc_gid=LQFygQynK17yJqjuqKMq3Q&amp;oh=00_AfjIBr-Ui7bBtzQD6TxIHpDDjYt951JnhxLkxb8YNpH2og&amp;oe=691BF7F9</t>
  </si>
  <si>
    <t>📌Durante muito tempo não tive clareza da diferença entre as funções cognitivas e as funções executivas. Espero que esse post possa esclarecer um pouco sobre isso. 
📌Resumindo: as funções cognitivas são habilidades básicas de processamento de informações, enquanto as funções executivas são habilidades cognitivas superiores que permitem a regulação e controle do comportamento em situações complexas.
.
.
.
#psicopedagogas
#psicopedagoga 
#dislexia
#avaliacaopsicopedagogica 
#transtornosdeaprendizagem 
#tdah 
#tdahadulto 
#neurodesenvolvimento</t>
  </si>
  <si>
    <t>anaflaviaguida</t>
  </si>
  <si>
    <t>Psicopedagoga Ana Flávia Guida Teixeira</t>
  </si>
  <si>
    <t>https://instagram.fcgh9-1.fna.fbcdn.net/v/t51.2885-19/457494908_1027006752394675_3148156006850334450_n.jpg?stp=dst-jpg_s150x150_tt6&amp;efg=eyJ2ZW5jb2RlX3RhZyI6InByb2ZpbGVfcGljLmRqYW5nby4xMDgwLmMyIn0&amp;_nc_ht=instagram.fcgh9-1.fna.fbcdn.net&amp;_nc_cat=107&amp;_nc_oc=Q6cZ2QFPov7R9KkJkRWPhoul_WHPqgeeCzwRjTZJfLUvhQ7Ahn-FmGOPACvW2uuxfW4XFm6i_ZZl8_zjX6ppwx6UG-Ds&amp;_nc_ohc=dWDoDWdPsUMQ7kNvwHlc_Ae&amp;_nc_gid=Pc-yOprRxmpD2PcEEeKiuQ&amp;edm=AFlAz-oBAAAA&amp;ccb=7-5&amp;oh=00_Afg3HTxxrGBRKnyZ-5rYK2b4dwt4YQxHZ_XBmmTSrj4q_Q&amp;oe=6930FAF6&amp;_nc_sid=76c0fc</t>
  </si>
  <si>
    <t>TDAHComEmpatia,PsicopedagogiaComAmor,Neurodiversidade,SaúdeEmocional,TDAHAdulto,EducaçãoComAfeto,PsicopedagogiaQueTransforma,PalavrasCuram,TDAHNaEscola</t>
  </si>
  <si>
    <t>Camaragibe</t>
  </si>
  <si>
    <t>-8.0219,-34.9808</t>
  </si>
  <si>
    <t>https://scontent-gru1-2.cdninstagram.com/v/t51.2885-19/364276362_1017951822536379_2762309384634493842_n.jpg?stp=dst-jpg_s150x150_tt6&amp;efg=eyJ2ZW5jb2RlX3RhZyI6InByb2ZpbGVfcGljLmRqYW5nby43MjUuYzIifQ&amp;_nc_ht=scontent-gru1-2.cdninstagram.com&amp;_nc_cat=103&amp;_nc_oc=Q6cZ2QETcPv2IlJjxvB1iy525qRPSPl0KC2zFEuXJ4UHfZbQ2xKiFdcNPvgNnrYq2_QM4fPgILW6Fa1wgoAqr8mVC6o2&amp;_nc_ohc=3tVgQHeurBQQ7kNvwHeQkxM&amp;_nc_gid=LQFygQynK17yJqjuqKMq3Q&amp;edm=AFlAz-oBAAAA&amp;ccb=7-5&amp;oh=00_Afg-uCK1-ulwdN0kPCd1KF3iV2r8bQ2F2krC7UZY1LAvYQ&amp;oe=691BF990&amp;_nc_sid=76c0fc</t>
  </si>
  <si>
    <t>https://scontent-gru1-1.cdninstagram.com/v/t51.82787-15/546205617_18066856778213448_3602519716053271052_n.jpg?stp=dst-jpg_e35_tt6&amp;_nc_cat=101&amp;ig_cache_key=MzcyMDMzMTk2OTEyMjA4MzA1OQ%3D%3D.3-ccb1-7&amp;ccb=1-7&amp;_nc_sid=58cdad&amp;efg=eyJ2ZW5jb2RlX3RhZyI6InhwaWRzLjE0MDh4MTY5NC5zZHIuQzMifQ%3D%3D&amp;_nc_ohc=AsECaY0L4WoQ7kNvwHRcAtp&amp;_nc_oc=AdnxpMdg1XbjZAVOkVjm80ZA5XBcLYz9JPq80p13f0b6VxXL_4VB_lFaLLWtbCymumuDD2LFMNuf4oJKB0QM4rEc&amp;_nc_ad=z-m&amp;_nc_cid=0&amp;_nc_zt=23&amp;_nc_ht=scontent-gru1-1.cdninstagram.com&amp;_nc_gid=LQFygQynK17yJqjuqKMq3Q&amp;oh=00_AfiTnk7tMX4XtD_En51KTIyfyjixiWw7ta4SCtRL015yTA&amp;oe=691BEC3F</t>
  </si>
  <si>
    <t>https://www.instagram.com/p/DQsQyU9jhX3</t>
  </si>
  <si>
    <t>https://scontent-gru2-2.cdninstagram.com/v/t51.2885-19/450346823_737391045066002_1178007830183780591_n.jpg?stp=dst-jpg_s150x150_tt6&amp;efg=eyJ2ZW5jb2RlX3RhZyI6InByb2ZpbGVfcGljLmRqYW5nby43NTYuYzIifQ&amp;_nc_ht=scontent-gru2-2.cdninstagram.com&amp;_nc_cat=102&amp;_nc_oc=Q6cZ2QETcPv2IlJjxvB1iy525qRPSPl0KC2zFEuXJ4UHfZbQ2xKiFdcNPvgNnrYq2_QM4fPgILW6Fa1wgoAqr8mVC6o2&amp;_nc_ohc=tnpxKn7FRRMQ7kNvwH2_BD2&amp;_nc_gid=LQFygQynK17yJqjuqKMq3Q&amp;edm=AFlAz-oBAAAA&amp;ccb=7-5&amp;oh=00_AfgyClAqRvn5FoAOgkAiIhRHJKpu3k55_94gjAxsSp56Dg&amp;oe=691BD977&amp;_nc_sid=76c0fc</t>
  </si>
  <si>
    <t>https://scontent.cdninstagram.com/v/t51.82787-15/543679299_18369042544194854_7950416378460197396_n.jpg?stp=dst-jpg_e35_tt6&amp;_nc_cat=110&amp;ig_cache_key=MzcxMzM0NTU3NjA4ODkzODM1OA%3D%3D.3-ccb7-5&amp;ccb=7-5&amp;_nc_sid=58cdad&amp;efg=eyJ2ZW5jb2RlX3RhZyI6InhwaWRzLjEzNTB4MTY4Ny5zZHIuQzMifQ%3D%3D&amp;_nc_ohc=dQ0-peXSsZIQ7kNvwHBp-v8&amp;_nc_oc=AdliUrWZolFJ3DtdSVdsQMMApeuAHvhuMQVy-aj-EjP8qlJh0Z05-PeAjmT0j5TNAL2kkEUf8-XHILHwPPydWN6X&amp;_nc_ad=z-m&amp;_nc_cid=0&amp;_nc_zt=23&amp;_nc_ht=scontent.cdninstagram.com&amp;_nc_gid=Pc-yOprRxmpD2PcEEeKiuQ&amp;oh=00_AfgdvBfoD26P_5xUDy1P5qKf6ua1xeF_vF3qHryi6qTHSQ&amp;oe=6930F9CC</t>
  </si>
  <si>
    <t>https://scontent-gru2-2.cdninstagram.com/v/t39.30808-6/574581459_1651393732845816_744754258863844779_n.jpg?stp=dst-jpg_e35_tt6&amp;_nc_cat=106&amp;ig_cache_key=Mzc1OTQ1MzU5MDgxNDM0OTEwMg%3D%3D.3-ccb1-7&amp;ccb=1-7&amp;_nc_sid=58cdad&amp;efg=eyJ2ZW5jb2RlX3RhZyI6InhwaWRzLjEwODB4MTM1MC5zZHIuQzMifQ%3D%3D&amp;_nc_ohc=C86VicO9pEgQ7kNvwGxPidk&amp;_nc_oc=Adm_hg2mUhVFGAYw5Cv8tChxgjEN2_0tQjHPun9msc6elxOs6CHgFOCgrlkBb18d1tPBlaXcsGVe-8gay4TxOAOe&amp;_nc_ad=z-m&amp;_nc_cid=0&amp;_nc_zt=23&amp;_nc_ht=scontent-gru2-2.cdninstagram.com&amp;_nc_gid=LQFygQynK17yJqjuqKMq3Q&amp;oh=00_AfjuXlf-zXp2W4uDChsvFEiWOpTV87ekSo0rCORi6uJi1w&amp;oe=691BCEB1,https://scontent-gru2-2.cdninstagram.com/v/t39.30808-6/574035549_1651393742845815_799216361829876730_n.jpg?stp=dst-jpg_e35_tt6&amp;_nc_cat=105&amp;ig_cache_key=Mzc1OTQ1MzU4NzkyODY1NDc0OA%3D%3D.3-ccb1-7&amp;ccb=1-7&amp;_nc_sid=58cdad&amp;efg=eyJ2ZW5jb2RlX3RhZyI6InhwaWRzLjEwODB4MTM1MC5zZHIuQzMifQ%3D%3D&amp;_nc_ohc=QQl9sQPyFYMQ7kNvwFLx7zu&amp;_nc_oc=AdlsLAtszzYlsRsoG5oU_fUtUZ2R6-V-tdB2KbTi6VzNqWqIXEZ--Bf8GqTDAwH6rPUqcToroifb2nid9MEQhoSU&amp;_nc_ad=z-m&amp;_nc_cid=0&amp;_nc_zt=23&amp;_nc_ht=scontent-gru2-2.cdninstagram.com&amp;_nc_gid=LQFygQynK17yJqjuqKMq3Q&amp;oh=00_Afju2jUqNiT1k0lc90KKVS2T1qC5DIuydkjUvpVU1quChQ&amp;oe=691BE825,https://scontent-gru1-1.cdninstagram.com/v/t39.30808-6/574507635_1651393736179149_4317085012034159640_n.jpg?stp=dst-jpg_e35_tt6&amp;_nc_cat=104&amp;ig_cache_key=Mzc1OTQ1MzU4ODc2NzUyMDUxOA%3D%3D.3-ccb1-7&amp;ccb=1-7&amp;_nc_sid=58cdad&amp;efg=eyJ2ZW5jb2RlX3RhZyI6InhwaWRzLjEwODB4MTM1MC5zZHIuQzMifQ%3D%3D&amp;_nc_ohc=y-NYcM27XVUQ7kNvwHNngPl&amp;_nc_oc=AdmYYdnKt8uiozZq63JqxJ4We48I2QqGCe-y5kWMFTGY3uL6TLNWcpZ5d-VKLGBnlGMLmXBl71nmKkZidBduYVlY&amp;_nc_ad=z-m&amp;_nc_cid=0&amp;_nc_zt=23&amp;_nc_ht=scontent-gru1-1.cdninstagram.com&amp;_nc_gid=LQFygQynK17yJqjuqKMq3Q&amp;oh=00_Afhe0xeVulbywLVFkTRBdJPY2DiOTo15GET3TlkrmGeIoQ&amp;oe=691BD587,https://scontent-gru1-2.cdninstagram.com/v/t39.30808-6/575865626_1651393776179145_6469998136174661641_n.jpg?stp=dst-jpg_e35_tt6&amp;_nc_cat=100&amp;ig_cache_key=Mzc1OTQ1MzU4OTExMTQ0MzUyOQ%3D%3D.3-ccb1-7&amp;ccb=1-7&amp;_nc_sid=58cdad&amp;efg=eyJ2ZW5jb2RlX3RhZyI6InhwaWRzLjEwODB4MTM1MC5zZHIuQzMifQ%3D%3D&amp;_nc_ohc=wsxBrFDeup0Q7kNvwEnRoOE&amp;_nc_oc=AdnrLbMnIF1pfNQXzvlix4lAyJ_yjZTLExgCU2rfEQ_q_dhJ-1yXhtzyUhdQBt2KvUxqBXZAAjiuF9xCc_YB80EG&amp;_nc_ad=z-m&amp;_nc_cid=0&amp;_nc_zt=23&amp;_nc_ht=scontent-gru1-2.cdninstagram.com&amp;_nc_gid=LQFygQynK17yJqjuqKMq3Q&amp;oh=00_Afg0x0E2QkuyU02B96HyKKV23G3trOdUqJU8-AJWl4rq5g&amp;oe=691BCCC4,https://scontent-gru2-1.cdninstagram.com/v/t39.30808-6/574322232_1651393739512482_7091423414644555127_n.jpg?stp=dst-jpg_e35_tt6&amp;_nc_cat=107&amp;ig_cache_key=Mzc1OTQ1MzU4NzQ2NzMwNDkzMQ%3D%3D.3-ccb1-7&amp;ccb=1-7&amp;_nc_sid=58cdad&amp;efg=eyJ2ZW5jb2RlX3RhZyI6InhwaWRzLjEwODB4MTM1MC5zZHIuQzMifQ%3D%3D&amp;_nc_ohc=uaD2feH9xO8Q7kNvwH2JGZo&amp;_nc_oc=AdmmNduAuweaG4gMCAFPHhmZRfoFeAqWnve4ZR3myL-5NfLurtKP7l0b_Cjr1cxZ9-zxUxLW2BIXX51M0wk4dBRI&amp;_nc_ad=z-m&amp;_nc_cid=0&amp;_nc_zt=23&amp;_nc_ht=scontent-gru2-1.cdninstagram.com&amp;_nc_gid=LQFygQynK17yJqjuqKMq3Q&amp;oh=00_AfikuIV6Tn5SubRSB3q_WBz7DIq6-57HmJCFNAVlATzqqw&amp;oe=691BF55B,https://scontent-gru1-2.cdninstagram.com/v/t39.30808-6/574498832_1651393759512480_2303395544664184737_n.jpg?stp=dst-jpg_e35_tt6&amp;_nc_cat=103&amp;ig_cache_key=Mzc1OTQ1MzU4ODczMzk1OTcxOA%3D%3D.3-ccb1-7&amp;ccb=1-7&amp;_nc_sid=58cdad&amp;efg=eyJ2ZW5jb2RlX3RhZyI6InhwaWRzLjEwODB4MTM1MC5zZHIuQzMifQ%3D%3D&amp;_nc_ohc=fH0JgGIZxWUQ7kNvwEF03G_&amp;_nc_oc=Admo5y_LQladwv4sHWIvrFOqE0irBmB47YXpn_Gn6IuHhnpXSFP_aynh44vSAprut2Q0ryEgj1NiOY7x3NZAwtpN&amp;_nc_ad=z-m&amp;_nc_cid=0&amp;_nc_zt=23&amp;_nc_ht=scontent-gru1-2.cdninstagram.com&amp;_nc_gid=LQFygQynK17yJqjuqKMq3Q&amp;oh=00_AfiezyyoXZja_ULbWSk2Rg8HwuzgrFGZcn1iFilfRrHSFg&amp;oe=691BE801</t>
  </si>
  <si>
    <t>DOLXAe1AK7-</t>
  </si>
  <si>
    <t>https://www.instagram.com/p/DOLXAe1AK7-</t>
  </si>
  <si>
    <t>O ritmo circadiano dos adolescentes influencia significativamente seu desempenho acadêmico, atenção e regulação emocional. Um fator particularmente relevante é a preferência circadiana noturna (eveningness), ou tendência biológica de funcionar melhor à noite.
Um estudo publicado em 2025, no Journal of Child Psychology and Psychiatry, avaliou mais de 300 adolescentes, incluindo aqueles com e sem TDAH, para investigar como essa preferência circadiana afeta funções cognitivas e escolares.
Os resultados mostraram que adolescentes com preferência circadiana noturna apresentam pior desempenho acadêmico e dificuldades marcantes na regulação comportamental, emocional e cognitiva, comprometendo controle de impulsos, organização de tarefas e gerenciamento de emoções. A duração do sono ou qualidade do sono não explicam completamente esses prejuízos, reforçando que a tendência biológica de ser mais noturno interfere no desempenho. Esses efeitos surgem em grande parte devido ao desalinhamento entre o ritmo biológico do adolescente e os horários exigidos, como o início precoce das aulas. Funcionar melhor à noite não elimina os desafios; o problema ocorre quando o ritmo biológico não se alinha com demandas externas, criando um desalinhamento que prejudica aprendizado, atenção e bem-estar. Além disso, o impacto da preferência circadiana noturna aparece tanto em adolescentes com TDAH quanto naqueles sem o transtorno, demonstrando seu caráter independente e transdiagnóstico.
Esses achados têm implicações importantes para educação e clínica. Reconhecer o cronótipo circadiano do adolescente e adaptar rotinas, como horários regulares de sono e exposição à luz natural, contribui para otimizar desempenho escolar, atenção e regulação emocional, especialmente em jovens com TDAH, que enfrentam desafios cognitivos e comportamentais.
Andreia Turra
#tdah #tdahadulto#add</t>
  </si>
  <si>
    <t>andreiaturra.oficial</t>
  </si>
  <si>
    <t>Andreia Turra | Educadora | Instrutora e Orientadora parental</t>
  </si>
  <si>
    <t>https://scontent-gru2-2.cdninstagram.com/v/t51.2885-19/473779335_1347220839786230_2947239405250654078_n.jpg?stp=dst-jpg_s150x150_tt6&amp;efg=eyJ2ZW5jb2RlX3RhZyI6InByb2ZpbGVfcGljLmRqYW5nby4xMDgwLmMyIn0&amp;_nc_ht=scontent-gru2-2.cdninstagram.com&amp;_nc_cat=102&amp;_nc_oc=Q6cZ2QETcPv2IlJjxvB1iy525qRPSPl0KC2zFEuXJ4UHfZbQ2xKiFdcNPvgNnrYq2_QM4fPgILW6Fa1wgoAqr8mVC6o2&amp;_nc_ohc=MTAIyzNmdeoQ7kNvwFNRS5S&amp;_nc_gid=LQFygQynK17yJqjuqKMq3Q&amp;edm=AFlAz-oBAAAA&amp;ccb=7-5&amp;oh=00_AfjjxFzKwJDljrLsFfNQFgx5r2gegBONBmBPuWBt0EHN-Q&amp;oe=691BD498&amp;_nc_sid=76c0fc</t>
  </si>
  <si>
    <t>https://scontent-gru2-2.cdninstagram.com/v/t51.82787-15/542755198_18150124489396574_8245639017043959411_n.jpg?stp=dst-jpg_e35_tt6&amp;_nc_cat=102&amp;ig_cache_key=MzcxNDE2MzUwNTg2ODM1MzI3OA%3D%3D.3-ccb1-7&amp;ccb=1-7&amp;_nc_sid=58cdad&amp;efg=eyJ2ZW5jb2RlX3RhZyI6InhwaWRzLjExNDd4MTQ2Mi5zZHIuQzMifQ%3D%3D&amp;_nc_ohc=TZU3qtiAleEQ7kNvwEi_gNn&amp;_nc_oc=Admg_fKOayrg-6Vpsz0ybUQl_qWddXK0dIRLmsfQMlSFjeN-h1buqXbbB3EJktVIjLyo8CKXl1cMYg2bVHC2dHQF&amp;_nc_ad=z-m&amp;_nc_cid=0&amp;_nc_zt=23&amp;_nc_ht=scontent-gru2-2.cdninstagram.com&amp;_nc_gid=LQFygQynK17yJqjuqKMq3Q&amp;oh=00_Afjwtuksuu5-vX4g4Val2AvZV5Z3HvE-PnMSnD2AtutcDg&amp;oe=691BD22F</t>
  </si>
  <si>
    <t>psicopedagogas,psicopedagoga,dislexia,avaliacaopsicopedagogica,transtornosdeaprendizagem,tdah,tdahadulto,neurodesenvolvimento</t>
  </si>
  <si>
    <t>https://www.instagram.com/p/DPYvP8rABLy</t>
  </si>
  <si>
    <t>tdah,tdahadulto,add</t>
  </si>
  <si>
    <t>https://instagram.fcgh9-1.fna.fbcdn.net/v/t51.2885-19/350239533_216152491273993_5056076351766949515_n.jpg?stp=dst-jpg_s150x150_tt6&amp;efg=eyJ2ZW5jb2RlX3RhZyI6InByb2ZpbGVfcGljLmRqYW5nby4xMDgwLmMyIn0&amp;_nc_ht=instagram.fcgh9-1.fna.fbcdn.net&amp;_nc_cat=101&amp;_nc_oc=Q6cZ2QFPov7R9KkJkRWPhoul_WHPqgeeCzwRjTZJfLUvhQ7Ahn-FmGOPACvW2uuxfW4XFm6i_ZZl8_zjX6ppwx6UG-Ds&amp;_nc_ohc=4f_cdtm4sWEQ7kNvwHMVaU8&amp;_nc_gid=Pc-yOprRxmpD2PcEEeKiuQ&amp;edm=AFlAz-oBAAAA&amp;ccb=7-5&amp;oh=00_Afjya1qrsvD45vPy8E-rhx-xintkKxmyjxeBiukEOiJhew&amp;oe=6930F5BC&amp;_nc_sid=76c0fc</t>
  </si>
  <si>
    <t>https://scontent-gru1-2.cdninstagram.com/v/t51.2885-19/533955389_18072947732089832_1852310563428573706_n.jpg?stp=dst-jpg_s150x150_tt6&amp;efg=eyJ2ZW5jb2RlX3RhZyI6InByb2ZpbGVfcGljLmRqYW5nby4xMDgwLmMyIn0&amp;_nc_ht=scontent-gru1-2.cdninstagram.com&amp;_nc_cat=108&amp;_nc_oc=Q6cZ2QETcPv2IlJjxvB1iy525qRPSPl0KC2zFEuXJ4UHfZbQ2xKiFdcNPvgNnrYq2_QM4fPgILW6Fa1wgoAqr8mVC6o2&amp;_nc_ohc=WZXH1IMNx8YQ7kNvwF0Lcxw&amp;_nc_gid=LQFygQynK17yJqjuqKMq3Q&amp;edm=AFlAz-oBAAAA&amp;ccb=7-5&amp;oh=00_Afg5AV1VbgxG32T031JY4RNawahec_C37i8jjdIYhrBunA&amp;oe=691BF288&amp;_nc_sid=76c0fc</t>
  </si>
  <si>
    <t>https://scontent-gru2-2.cdninstagram.com/v/t51.82787-15/550108539_18075785663089832_5468944411738898119_n.jpg?stp=dst-jpg_e35_tt6&amp;_nc_cat=105&amp;ig_cache_key=MzcyNDQ4NTk2NzI5NTM4MjYzNg%3D%3D.3-ccb1-7&amp;ccb=1-7&amp;_nc_sid=58cdad&amp;efg=eyJ2ZW5jb2RlX3RhZyI6InhwaWRzLjExNzB4MTU2MC5zZHIuQzMifQ%3D%3D&amp;_nc_ohc=2icINOaeY60Q7kNvwEi13of&amp;_nc_oc=AdktN8sifuT3uhCIeW30X_m8Ij_FwYuGX73wOR6THfbxa9isOyLPqygjLmYnKV_vQ5vMThtKFtTZIn2oTn-diqp3&amp;_nc_ad=z-m&amp;_nc_cid=0&amp;_nc_zt=23&amp;_nc_ht=scontent-gru2-2.cdninstagram.com&amp;_nc_gid=LQFygQynK17yJqjuqKMq3Q&amp;oh=00_AfikuPZtbYzEILXNILWFTUm0b6LcaBW1idrwgwoBdWtENw&amp;oe=691BF929,https://scontent-gru1-2.cdninstagram.com/v/t51.82787-15/550796360_18075785672089832_7063178368193590092_n.jpg?stp=dst-jpg_e35_tt6&amp;_nc_cat=103&amp;ig_cache_key=MzcyNDQ4NTk2NzI3ODYyMjA1NA%3D%3D.3-ccb1-7&amp;ccb=1-7&amp;_nc_sid=58cdad&amp;efg=eyJ2ZW5jb2RlX3RhZyI6InhwaWRzLjExNzB4MTU2MC5zZHIuQzMifQ%3D%3D&amp;_nc_ohc=SYMPjRNn9fkQ7kNvwFlbJjy&amp;_nc_oc=AdkGryu7kQCNhtHZ007sjWSM5NklLMJbbX-IMK5j83WprlYWWvzHqJj571cmZMJW0TlY9x_4V426hPDuPWPgmQt6&amp;_nc_ad=z-m&amp;_nc_cid=0&amp;_nc_zt=23&amp;_nc_ht=scontent-gru1-2.cdninstagram.com&amp;_nc_gid=LQFygQynK17yJqjuqKMq3Q&amp;oh=00_AfjrfX2LvVP6lT7yZFygcs0OK8F1A_dm7nZ8ozGGXxfRLA&amp;oe=691BEEF4,https://scontent-gru2-1.cdninstagram.com/v/t51.82787-15/551012997_18075785690089832_6839092996052338062_n.jpg?stp=dst-jpg_e35_tt6&amp;_nc_cat=111&amp;ig_cache_key=MzcyNDQ4NTk2NzI5NTM1NjgwNg%3D%3D.3-ccb1-7&amp;ccb=1-7&amp;_nc_sid=58cdad&amp;efg=eyJ2ZW5jb2RlX3RhZyI6InhwaWRzLjExNzB4MTU2MC5zZHIuQzMifQ%3D%3D&amp;_nc_ohc=W4wLKhZTY0wQ7kNvwHIcLMf&amp;_nc_oc=AdksVvnRGgKk6tMkyFJBJI3XrO3CYunZHNvVjI2kHgxnBTmrhf8K22Zr-J2TR3zYSxFbhiIthgAQdOz8Wtuhnziy&amp;_nc_ad=z-m&amp;_nc_cid=0&amp;_nc_zt=23&amp;_nc_ht=scontent-gru2-1.cdninstagram.com&amp;_nc_gid=LQFygQynK17yJqjuqKMq3Q&amp;oh=00_AfinTCPF443LBNsGAlBi1fCDJxcEufQ-acJe-HKGqqSc9A&amp;oe=691BFD2C,https://scontent-gru2-2.cdninstagram.com/v/t51.82787-15/550436342_18075785687089832_4441719948810593182_n.jpg?stp=dst-jpg_e35_tt6&amp;_nc_cat=106&amp;ig_cache_key=MzcyNDQ4NTk2NzM0NTczMTE0Nw%3D%3D.3-ccb1-7&amp;ccb=1-7&amp;_nc_sid=58cdad&amp;efg=eyJ2ZW5jb2RlX3RhZyI6InhwaWRzLjExNzB4MTU2MC5zZHIuQzMifQ%3D%3D&amp;_nc_ohc=0P-KNhJahaIQ7kNvwHgLaPC&amp;_nc_oc=Adn7KFPG9E6zb3xvKgP8PFlrvI2jTm5iCddiXR6yVrBApA4J3Lxi1QYVZnUQu3IhLCGNPZr3r93IBOb6vO_Sze5g&amp;_nc_ad=z-m&amp;_nc_cid=0&amp;_nc_zt=23&amp;_nc_ht=scontent-gru2-2.cdninstagram.com&amp;_nc_gid=LQFygQynK17yJqjuqKMq3Q&amp;oh=00_AfhZWeHCcceXoLs8VlY_Ds0SMgCF4aHUNOVKKGXPjofEgQ&amp;oe=691BE0C5,https://scontent-gru1-1.cdninstagram.com/v/t51.82787-15/550724454_18075785699089832_4031545708307463250_n.jpg?stp=dst-jpg_e35_tt6&amp;_nc_cat=104&amp;ig_cache_key=MzcyNDQ4NTk2NzI5NTM2NjQ2NA%3D%3D.3-ccb1-7&amp;ccb=1-7&amp;_nc_sid=58cdad&amp;efg=eyJ2ZW5jb2RlX3RhZyI6InhwaWRzLjEwODB4MTQzMi5zZHIuQzMifQ%3D%3D&amp;_nc_ohc=PybWPeHPIrYQ7kNvwEwvpq2&amp;_nc_oc=AdnZD2UrD-WlkRxxyozVNZolGeMtKiJzp--3T7fIxfjfvUlhSve-vya7KACc2r6mUttUWXSGfzDRTkx6X_EYhl-H&amp;_nc_ad=z-m&amp;_nc_cid=0&amp;_nc_zt=23&amp;_nc_ht=scontent-gru1-1.cdninstagram.com&amp;_nc_gid=LQFygQynK17yJqjuqKMq3Q&amp;oh=00_AfhHvHpojlHKzV80Gi1m6s1_h7rOGNTPPh_nGwi4knYiiQ&amp;oe=691BFE8E</t>
  </si>
  <si>
    <t>DNlzlzaRN_u</t>
  </si>
  <si>
    <t>https://www.instagram.com/p/DNlzlzaRN_u</t>
  </si>
  <si>
    <t>https://scontent.cdninstagram.com/v/t51.82787-15/558032758_18078109121079446_3166967930874541337_n.jpg?stp=dst-jpg_e35_tt6&amp;_nc_cat=104&amp;ig_cache_key=MzczMzE2OTQwMjQwMTU1OTk3OQ%3D%3D.3-ccb7-5&amp;ccb=7-5&amp;_nc_sid=58cdad&amp;efg=eyJ2ZW5jb2RlX3RhZyI6InhwaWRzLjczNng5NzYuc2RyLkMzIn0%3D&amp;_nc_ohc=I3QvxcLPVEkQ7kNvwE9jFbq&amp;_nc_oc=AdmjRWWnOvN9yKT3bQm_vFPySNY6MfjnSDUXYnTD4ZhrFlQZljsJrwbpi7elSVUMeEuod4rJZ2DQ8ZK8i70IMRbl&amp;_nc_ad=z-m&amp;_nc_cid=0&amp;_nc_zt=23&amp;_nc_ht=scontent.cdninstagram.com&amp;_nc_gid=Pc-yOprRxmpD2PcEEeKiuQ&amp;oh=00_Afg-X14RS2X9et3lVbUhqsQIrpiazfA-AaqXeIY8KCc2Ug&amp;oe=6930EA2C,https://scontent.cdninstagram.com/v/t51.82787-15/557810891_18078109136079446_9058963845772715941_n.jpg?stp=dst-jpg_e35_tt6&amp;_nc_cat=103&amp;ig_cache_key=MzczMzE2OTQwMjIzMzgwNTQwNQ%3D%3D.3-ccb7-5&amp;ccb=7-5&amp;_nc_sid=58cdad&amp;efg=eyJ2ZW5jb2RlX3RhZyI6InhwaWRzLjczNng5NzYuc2RyLkMzIn0%3D&amp;_nc_ohc=tw3m3Ft9ZP4Q7kNvwFUl7c8&amp;_nc_oc=Adn-lF15lD8i7yW_6jKAajx9O2Y5NDDj_yMa4sXI9dIornTCtBJJavYfKUH0Rntar4-hy6ickJuhdfiA6aSi6Jz4&amp;_nc_ad=z-m&amp;_nc_cid=0&amp;_nc_zt=23&amp;_nc_ht=scontent.cdninstagram.com&amp;_nc_gid=Pc-yOprRxmpD2PcEEeKiuQ&amp;oh=00_AfgXfGCTiAhyQYEAOuD5KQ_SSTh1-lO_b-dvhITUA7SE5Q&amp;oe=6930E42B,https://scontent.cdninstagram.com/v/t51.82787-15/558380809_18078109139079446_3466225912445905048_n.jpg?stp=dst-jpg_e35_tt6&amp;_nc_cat=100&amp;ig_cache_key=MzczMzE2OTQwMjIyNTM3MjMwMg%3D%3D.3-ccb7-5&amp;ccb=7-5&amp;_nc_sid=58cdad&amp;efg=eyJ2ZW5jb2RlX3RhZyI6InhwaWRzLjczNng5NzMuc2RyLkMzIn0%3D&amp;_nc_ohc=ljOFf9JMwB4Q7kNvwFG94vV&amp;_nc_oc=AdkpR6r3lRyIYzFl1WI79f3Zt82nZijGJA3heGo7dV_n3AS4gCzjm9rvt29xDDAV4MRLqvzDtWj2tkuNJzJA8YeM&amp;_nc_ad=z-m&amp;_nc_cid=0&amp;_nc_zt=23&amp;_nc_ht=scontent.cdninstagram.com&amp;_nc_gid=Pc-yOprRxmpD2PcEEeKiuQ&amp;oh=00_AfjLXoPRRoVocjZjGhv5P0M8SNn85mvV3FHT64J2EZVspg&amp;oe=6930E512,https://scontent.cdninstagram.com/v/t51.82787-15/558170717_18078109154079446_5527854647698823224_n.jpg?stp=dst-jpg_e35_tt6&amp;_nc_cat=102&amp;ig_cache_key=MzczMzE2OTQwMjM5MzE2NTEyOQ%3D%3D.3-ccb7-5&amp;ccb=7-5&amp;_nc_sid=58cdad&amp;efg=eyJ2ZW5jb2RlX3RhZyI6InhwaWRzLjczNng5NzMuc2RyLkMzIn0%3D&amp;_nc_ohc=UMW3l5N15iIQ7kNvwGbJjyc&amp;_nc_oc=AdkjLdSzOrTYmP4PzW_dfKd5hpYRaHRdmqwMy13h7zmK43FeRIFQWr-a4IV19Jq7FGW8c6erzpMpSlfU9_RWWhxb&amp;_nc_ad=z-m&amp;_nc_cid=0&amp;_nc_zt=23&amp;_nc_ht=scontent.cdninstagram.com&amp;_nc_gid=Pc-yOprRxmpD2PcEEeKiuQ&amp;oh=00_AfgDfWZZ3bPkvidVV4AA9knd2_Gx2BNONp512JFQdU7k0A&amp;oe=6930E104,https://scontent.cdninstagram.com/v/t51.82787-15/556992061_18078109169079446_613602863489915487_n.jpg?stp=dst-jpg_e35_tt6&amp;_nc_cat=102&amp;ig_cache_key=MzczMzE2OTQwMjM1MTI1NDg1OA%3D%3D.3-ccb7-5&amp;ccb=7-5&amp;_nc_sid=58cdad&amp;efg=eyJ2ZW5jb2RlX3RhZyI6InhwaWRzLjczNng5NzYuc2RyLkMzIn0%3D&amp;_nc_ohc=pV4bqIr4iksQ7kNvwGenIDC&amp;_nc_oc=AdnrfdUaYunnxGzItguaB_rdgQmdBDxgfo_EEJcVf3-EJTjpL_o9Or8PEMODhWkpmp-F5DXloKZ7ljOvpmXq_IuR&amp;_nc_ad=z-m&amp;_nc_cid=0&amp;_nc_zt=23&amp;_nc_ht=scontent.cdninstagram.com&amp;_nc_gid=Pc-yOprRxmpD2PcEEeKiuQ&amp;oh=00_Afg0oX7s9cc5IGbIR46M9LVQoydFSQ1z7Yoz5J_ikVTpCw&amp;oe=6930C6F7,https://scontent.cdninstagram.com/v/t51.82787-15/556845708_18078109163079446_7598030909771667740_n.jpg?stp=dst-jpg_e35_tt6&amp;_nc_cat=101&amp;ig_cache_key=MzczMzE2OTQwMjMwMDg2NzY1OQ%3D%3D.3-ccb7-5&amp;ccb=7-5&amp;_nc_sid=58cdad&amp;efg=eyJ2ZW5jb2RlX3RhZyI6InhwaWRzLjcyMHg5NTIuc2RyLkMzIn0%3D&amp;_nc_ohc=MZ5TGxp6UTcQ7kNvwE0EI7F&amp;_nc_oc=AdlSWTuM5_FK9LApGUtkIcP1EL88n_OWTVkEGY1h5x3EQidt1GH_FBt4b0e9JP1p-O7CgGIiHRC3TtvPNyZeloMH&amp;_nc_ad=z-m&amp;_nc_cid=0&amp;_nc_zt=23&amp;_nc_ht=scontent.cdninstagram.com&amp;_nc_gid=Pc-yOprRxmpD2PcEEeKiuQ&amp;oh=00_AfjSwLs-s5eS1-tLiGfUaVDhi-Mij9fWg6SDPf7vy9ja9Q&amp;oe=6930D4F8,https://scontent.cdninstagram.com/v/t51.82787-15/556798915_18078109178079446_6571665472594768940_n.jpg?stp=dst-jpg_e35_tt6&amp;_nc_cat=101&amp;ig_cache_key=MzczMzE2OTQwMjIyNTM5MzI0Ng%3D%3D.3-ccb7-5&amp;ccb=7-5&amp;_nc_sid=58cdad&amp;efg=eyJ2ZW5jb2RlX3RhZyI6InhwaWRzLjczNng5NzYuc2RyLkMzIn0%3D&amp;_nc_ohc=Gfvs3gWKl-oQ7kNvwHJGCFB&amp;_nc_oc=AdmaL_Z7M8wkFMVnzFCxvDrWM15fTmcLtONG-RuRVF17lLHlDAJ3clMo1EO4KhcaAU5o7vOqH4sVuE6D9GQrJO7d&amp;_nc_ad=z-m&amp;_nc_cid=0&amp;_nc_zt=23&amp;_nc_ht=scontent.cdninstagram.com&amp;_nc_gid=Pc-yOprRxmpD2PcEEeKiuQ&amp;oh=00_Afhs3qqUERaJX7sSxJm-2kD2gWIB8aLYYKCBS8F_9SeOog&amp;oe=6930F03A</t>
  </si>
  <si>
    <t>❌ Castigos não funcionam para quem tem TDAH.
E não importa a idade.
Em vez de ensinar, eles geram culpa, frustração e ainda mais dificuldade.
O cérebro TDAH precisa de recompensas imediatas e reforço positivo para aprender de verdade. 🌟
Se você já tentou “punir” e nada mudou, agora entende o motivo.
💡 Quer descobrir estratégias que realmente funcionam no seu caso?
👉 Clique no link da bio e agende comigo.
📚 Referência: Barkley, R. A. (2015). Attention-Deficit Hyperactivity Disorder: A Handbook for Diagnosis and Treatment.
#TDAH #neurodivergente #neuropsicopedagogia #tdahadulto #tdahnaescola #autoconhecimento #saúdemental #adhd #diagnosticotardio</t>
  </si>
  <si>
    <t>https://scontent-gru1-2.cdninstagram.com/v/t51.2885-19/541301317_18066670676242904_229664044403058617_n.jpg?stp=dst-jpg_s150x150_tt6&amp;efg=eyJ2ZW5jb2RlX3RhZyI6InByb2ZpbGVfcGljLmRqYW5nby4xMDgwLmMyIn0&amp;_nc_ht=scontent-gru1-2.cdninstagram.com&amp;_nc_cat=108&amp;_nc_oc=Q6cZ2QETcPv2IlJjxvB1iy525qRPSPl0KC2zFEuXJ4UHfZbQ2xKiFdcNPvgNnrYq2_QM4fPgILW6Fa1wgoAqr8mVC6o2&amp;_nc_ohc=1kY-jtOq7F0Q7kNvwF4XX9O&amp;_nc_gid=LQFygQynK17yJqjuqKMq3Q&amp;edm=AFlAz-oBAAAA&amp;ccb=7-5&amp;oh=00_AfivuEZ8_iPpYL2ou5C_ipz-IkTfk4PVA4jTvVhygviwMw&amp;oe=691BED7C&amp;_nc_sid=76c0fc</t>
  </si>
  <si>
    <t>DP9pXOWlKBX</t>
  </si>
  <si>
    <t>https://www.instagram.com/p/DP9pXOWlKBX</t>
  </si>
  <si>
    <t>Você percebe algum desses sintomas? Infelizmente eles podem ser vistos como imaturidade em muitas situações! Mas já estou te explicando o que acontece em cada um, para que você saiba diferenciar 💕
POST: @kaisamelonitdah
#tdah #tdahadulto #tdahmulheres #sintomastdah #avaliaçãotdah #tdahemadultos</t>
  </si>
  <si>
    <t>https://scontent-gru2-2.cdninstagram.com/v/t51.82787-15/535907367_18065874845242904_286937935048503872_n.jpg?stp=dst-jpg_e35_tt6&amp;_nc_cat=106&amp;ig_cache_key=MzcwMzU5MzE1NDc0NzA0NzExMA%3D%3D.3-ccb1-7&amp;ccb=1-7&amp;_nc_sid=58cdad&amp;efg=eyJ2ZW5jb2RlX3RhZyI6InhwaWRzLjEwODB4MTM1MC5zZHIuQzMifQ%3D%3D&amp;_nc_ohc=YmtbeTnJH8QQ7kNvwEO5nhw&amp;_nc_oc=AdmEp3inlxNc7ug0AaMKVEMWi_DmW6OkAwYkcXulXfhjq0Bzmk2EEFfI3keWuFBzUsvlqYgLa9aYWyvPVZI67MCE&amp;_nc_ad=z-m&amp;_nc_cid=0&amp;_nc_zt=23&amp;_nc_ht=scontent-gru2-2.cdninstagram.com&amp;_nc_gid=LQFygQynK17yJqjuqKMq3Q&amp;oh=00_Afjb6AtEU5LPj4VBNhk-zzVQ3iTPUV--mnXN5xQTp_uFfA&amp;oe=691BCA61,https://scontent-gru1-1.cdninstagram.com/v/t51.82787-15/536244974_18065874860242904_7185436209352669504_n.jpg?stp=dst-jpg_e35_tt6&amp;_nc_cat=101&amp;ig_cache_key=MzcwMzU5MzE1NDc1NTU2MjIzMQ%3D%3D.3-ccb1-7&amp;ccb=1-7&amp;_nc_sid=58cdad&amp;efg=eyJ2ZW5jb2RlX3RhZyI6InhwaWRzLjEwODB4MTM1MC5zZHIuQzMifQ%3D%3D&amp;_nc_ohc=JwI3SfMT4mYQ7kNvwGg_eda&amp;_nc_oc=Adl0M2SM9KYWNMD666stdaeLnrhEQVw_6zHEoGzYF2I0pit5_0mpvAvU0fEMUb9TMpiTVLUzYCfPx95nrgLjbC5E&amp;_nc_ad=z-m&amp;_nc_cid=0&amp;_nc_zt=23&amp;_nc_ht=scontent-gru1-1.cdninstagram.com&amp;_nc_gid=LQFygQynK17yJqjuqKMq3Q&amp;oh=00_AfjYQR_RkG06q2ZhEFafTRnCyYfGBV1pliMwcYv7buRKAg&amp;oe=691BE461,https://scontent-gru2-2.cdninstagram.com/v/t51.82787-15/536513375_18065874863242904_2301008330738292474_n.jpg?stp=dst-jpg_e35_tt6&amp;_nc_cat=102&amp;ig_cache_key=MzcwMzU5MzE1NDc1NTUyMzc4Ng%3D%3D.3-ccb1-7&amp;ccb=1-7&amp;_nc_sid=58cdad&amp;efg=eyJ2ZW5jb2RlX3RhZyI6InhwaWRzLjEwODB4MTM1MC5zZHIuQzMifQ%3D%3D&amp;_nc_ohc=CpS1BSxcmFsQ7kNvwEoDI7R&amp;_nc_oc=AdnXKht-GtmLEyrszBnxDeQLPtqvaCXO8LVteIdZVYHHH-LfAmV7y1ndU-TPfZ8iXFcDmjQECeKs0iHAdDhTclSR&amp;_nc_ad=z-m&amp;_nc_cid=0&amp;_nc_zt=23&amp;_nc_ht=scontent-gru2-2.cdninstagram.com&amp;_nc_gid=LQFygQynK17yJqjuqKMq3Q&amp;oh=00_Afh4lerwhoR8ehuB7EirynxfduSMlw-433uxN9jOWEWElA&amp;oe=691BD824,https://scontent-gru1-2.cdninstagram.com/v/t51.82787-15/535362108_18065874872242904_4011477026220880727_n.jpg?stp=dst-jpg_e35_tt6&amp;_nc_cat=100&amp;ig_cache_key=MzcwMzU5MzE1NDc1NTU1NTIwMw%3D%3D.3-ccb1-7&amp;ccb=1-7&amp;_nc_sid=58cdad&amp;efg=eyJ2ZW5jb2RlX3RhZyI6InhwaWRzLjEwODB4MTM1MC5zZHIuQzMifQ%3D%3D&amp;_nc_ohc=eNHcf_SoswsQ7kNvwHbqnM2&amp;_nc_oc=Adk0ANmciaJiPo3nv3zvQHXZ1mTJKfe6UNLN4YnhteATJf_LwHlC4dG_5qi52fZiFPfU2SYb2vapCdnwnMa5jenP&amp;_nc_ad=z-m&amp;_nc_cid=0&amp;_nc_zt=23&amp;_nc_ht=scontent-gru1-2.cdninstagram.com&amp;_nc_gid=LQFygQynK17yJqjuqKMq3Q&amp;oh=00_Afjeh8SmrLP6UPfe9lBy_vQ3VHEwyrThBGO0SyyLdK9p8w&amp;oe=691BD4B3,https://scontent-gru2-1.cdninstagram.com/v/t51.82787-15/536145728_18065874899242904_3129385550415863442_n.jpg?stp=dst-jpg_e35_tt6&amp;_nc_cat=109&amp;ig_cache_key=MzcwMzU5MzE1NDc0NzA5OTU5MQ%3D%3D.3-ccb1-7&amp;ccb=1-7&amp;_nc_sid=58cdad&amp;efg=eyJ2ZW5jb2RlX3RhZyI6InhwaWRzLjEwODB4MTM1MC5zZHIuQzMifQ%3D%3D&amp;_nc_ohc=DxbBdZeotiUQ7kNvwEVC7jP&amp;_nc_oc=AdkRvnt8ThEMUNYL3z25pAap8OIyQlmh1iJtg_TtRiDsUllKnE0prfJv_k0ZiRT-hB01ehbg0QoxxRIznI03-W6S&amp;_nc_ad=z-m&amp;_nc_cid=0&amp;_nc_zt=23&amp;_nc_ht=scontent-gru2-1.cdninstagram.com&amp;_nc_gid=LQFygQynK17yJqjuqKMq3Q&amp;oh=00_AfhVtpqe4j3QZi9rFvwryr4u80zoRasGPnLwlwyGVKqX2A&amp;oe=691BF44F,https://scontent-gru2-2.cdninstagram.com/v/t51.82787-15/534373512_18065874890242904_1070034158554606337_n.jpg?stp=dst-jpg_e35_tt6&amp;_nc_cat=102&amp;ig_cache_key=MzcwMzU5MzE1NDc0NzEwNjAxNw%3D%3D.3-ccb1-7&amp;ccb=1-7&amp;_nc_sid=58cdad&amp;efg=eyJ2ZW5jb2RlX3RhZyI6InhwaWRzLjEwODB4MTM1MC5zZHIuQzMifQ%3D%3D&amp;_nc_ohc=NFsUyULfg2UQ7kNvwFyheyH&amp;_nc_oc=AdlMHfbDlVYkmB4G-yaS5DRVFSFMoPYWcgvC_lUde8TUwaRDZyIoFSjsPlFP-TIPd4cXANjvwPqo2NtYp5uHMR6E&amp;_nc_ad=z-m&amp;_nc_cid=0&amp;_nc_zt=23&amp;_nc_ht=scontent-gru2-2.cdninstagram.com&amp;_nc_gid=LQFygQynK17yJqjuqKMq3Q&amp;oh=00_Afj_3gfUXAYWE81mcCxej9_uho66V8LlciZHVv2hUqCkyA&amp;oe=691BF473,https://scontent-gru2-2.cdninstagram.com/v/t51.82787-15/537307447_18065874887242904_4923653265439225818_n.jpg?stp=dst-jpg_e35_tt6&amp;_nc_cat=105&amp;ig_cache_key=MzcwMzU5MzE1NDc1NTQyOTIzNQ%3D%3D.3-ccb1-7&amp;ccb=1-7&amp;_nc_sid=58cdad&amp;efg=eyJ2ZW5jb2RlX3RhZyI6InhwaWRzLjEwODB4MTM1MC5zZHIuQzMifQ%3D%3D&amp;_nc_ohc=gDrXo5jAg3EQ7kNvwEMduIG&amp;_nc_oc=AdljGl98TT4_GzQLTrQrchbcGevEekFdGKQL9uU4OWpb_xKZjaaIsGWBEvwJblfKEXvkrNgKaE6X1dHo5e_9WT74&amp;_nc_ad=z-m&amp;_nc_cid=0&amp;_nc_zt=23&amp;_nc_ht=scontent-gru2-2.cdninstagram.com&amp;_nc_gid=LQFygQynK17yJqjuqKMq3Q&amp;oh=00_Afg8GImL3lSLNnO2t8evyzgi8BSiLZ_Nim0OM1TjauYtMw&amp;oe=691BD4BF,https://scontent-gru2-1.cdninstagram.com/v/t51.82787-15/536478647_18065874917242904_1008698327833481042_n.jpg?stp=dst-jpg_e35_tt6&amp;_nc_cat=109&amp;ig_cache_key=MzcwMzU5MzE1NDc0NzI1NTg3MQ%3D%3D.3-ccb1-7&amp;ccb=1-7&amp;_nc_sid=58cdad&amp;efg=eyJ2ZW5jb2RlX3RhZyI6InhwaWRzLjEwODB4MTM1MC5zZHIuQzMifQ%3D%3D&amp;_nc_ohc=wICKz6uA1w4Q7kNvwGaeh-n&amp;_nc_oc=Admr1D81nH-Gguqy6HGgmhrDQwO1jGW-dDJ-XFuIxMKv7HEWWjbmfiVg8Opw7WQ-IpGTq8q7KF4fTywKCCMHB9iU&amp;_nc_ad=z-m&amp;_nc_cid=0&amp;_nc_zt=23&amp;_nc_ht=scontent-gru2-1.cdninstagram.com&amp;_nc_gid=LQFygQynK17yJqjuqKMq3Q&amp;oh=00_AfgANftVGsgfSYZ6Np2-FZw5tS8SDBlWRX8LjzjzZRNJBA&amp;oe=691BE013,https://scontent-gru1-1.cdninstagram.com/v/t51.82787-15/535004315_18065874908242904_4282886016316216712_n.jpg?stp=dst-jpg_e35_tt6&amp;_nc_cat=104&amp;ig_cache_key=MzcwMzU5MzE1NDc1NTQ2OTM4Mg%3D%3D.3-ccb1-7&amp;ccb=1-7&amp;_nc_sid=58cdad&amp;efg=eyJ2ZW5jb2RlX3RhZyI6InhwaWRzLjEwODB4MTM1MC5zZHIuQzMifQ%3D%3D&amp;_nc_ohc=gK9o-DHN1uIQ7kNvwG0jz28&amp;_nc_oc=AdlatY5EsouGkdP_U-k4X-ZIFzHO8YwQSpczGcujqj_siyqes-cTf1icbEHDqEG6NKIketUMxraGXYpyqe8A-qvq&amp;_nc_ad=z-m&amp;_nc_cid=0&amp;_nc_zt=23&amp;_nc_ht=scontent-gru1-1.cdninstagram.com&amp;_nc_gid=LQFygQynK17yJqjuqKMq3Q&amp;oh=00_AfhoIDuAinQFo3JQwZw4Q6F3vqDxBykwx3MGLtoS3CtINw&amp;oe=691BF631</t>
  </si>
  <si>
    <t>https://instagram.fcgh9-1.fna.fbcdn.net/v/t51.2885-19/556796088_17965445144963777_7387558014503794404_n.jpg?stp=dst-jpg_s150x150_tt6&amp;efg=eyJ2ZW5jb2RlX3RhZyI6InByb2ZpbGVfcGljLmRqYW5nby4xMDI0LmMyIn0&amp;_nc_ht=instagram.fcgh9-1.fna.fbcdn.net&amp;_nc_cat=105&amp;_nc_oc=Q6cZ2QFPov7R9KkJkRWPhoul_WHPqgeeCzwRjTZJfLUvhQ7Ahn-FmGOPACvW2uuxfW4XFm6i_ZZl8_zjX6ppwx6UG-Ds&amp;_nc_ohc=N3_7k1z3i2MQ7kNvwEPyJqm&amp;_nc_gid=Pc-yOprRxmpD2PcEEeKiuQ&amp;edm=AFlAz-oBAAAA&amp;ccb=7-5&amp;oh=00_Afg7mI5w87qjOOTfzsaL2xR8lI7QpN0VFfgb2dXFG-xH0A&amp;oe=6930D9DC&amp;_nc_sid=76c0fc</t>
  </si>
  <si>
    <t>TDAH,neurodivergente,neuropsicopedagogia,tdahadulto,tdahnaescola,autoconhecimento,saúdemental,adhd,diagnosticotardio</t>
  </si>
  <si>
    <t>DO3U7-WDLTW</t>
  </si>
  <si>
    <t>https://www.instagram.com/p/DO3U7-WDLTW</t>
  </si>
  <si>
    <t>Muita gente acha que o TDAH é só distração ou “esquecer coisas”, mas a verdade é bem mais dura.
O TDAH adulto coloca você em extremos.
Ou você mergulha em um hiperfoco que consome toda a sua energia.
Ou trava na procrastinação, sem conseguir dar o primeiro passo.
Ou vive dias de energia explosiva, começando mil projetos de uma vez.
Ou desmorona em esgotamento, sem forças nem para o básico.
Com o diagnóstico certo, acompanhamento e estratégias adequadas, é possível encontrar mais equilíbrio e menos culpa.
CRM BA 32440 RQE 21716⁣
👨🏻‍⚕️ Médico Psiquiatra
🧠 Especialista no Diagnóstico e Tratamento TDAH e TEA no Adulto
#psiquiatria #psiquiatra #medicopsiquiatra #TDAH #tdahemadultos #tdahadulto #tdahnainfancia #dopamina #tratamentotdah #venvase #ritalina #testedetdah #testeparatdah #atentah #psiquiatraemsalvador #concerta</t>
  </si>
  <si>
    <t>dr.lennon</t>
  </si>
  <si>
    <t>Dr. Lennon Assunção | Psiquiatra com TDAH e AH/SD</t>
  </si>
  <si>
    <t>https://scontent-gru2-1.cdninstagram.com/v/t51.2885-19/344807136_490778286508415_6395815474439191749_n.jpg?stp=dst-jpg_s150x150_tt6&amp;efg=eyJ2ZW5jb2RlX3RhZyI6InByb2ZpbGVfcGljLmRqYW5nby42MTIuYzIifQ&amp;_nc_ht=scontent-gru2-1.cdninstagram.com&amp;_nc_cat=111&amp;_nc_oc=Q6cZ2QETcPv2IlJjxvB1iy525qRPSPl0KC2zFEuXJ4UHfZbQ2xKiFdcNPvgNnrYq2_QM4fPgILW6Fa1wgoAqr8mVC6o2&amp;_nc_ohc=hHV60nbMirwQ7kNvwErjBCW&amp;_nc_gid=LQFygQynK17yJqjuqKMq3Q&amp;edm=AFlAz-oBAAAA&amp;ccb=7-5&amp;oh=00_Afg2TboKzENuU8ZeGG2hhwaLGYhZkc9Q2dQ1N2DpRstdQw&amp;oe=691BFECB&amp;_nc_sid=76c0fc</t>
  </si>
  <si>
    <t>https://scontent.cdninstagram.com/v/t39.30808-6/566215509_122176486868477299_313996628156587249_n.jpg?stp=c0.0.1078.1346a_dst-jpg_e35_tt6&amp;_nc_cat=105&amp;ig_cache_key=Mzc0NjMzMjM2MzI3NTM4Nzg5MQ%3D%3D.3-ccb7-5&amp;ccb=7-5&amp;_nc_sid=58cdad&amp;efg=eyJ2ZW5jb2RlX3RhZyI6InhwaWRzLjEwNzl4MTM0Ni5zZHIuQzMifQ%3D%3D&amp;_nc_ohc=7L06W1JjNVEQ7kNvwFGEcim&amp;_nc_oc=Adn6-BiymOEZ-xSGOehhwLBlUzgW0-obhGshm4RI9Bh_ndB5aL-_abeKvVnwwZsFq2JPHN6l4VWesBezfJC2o7LQ&amp;_nc_ad=z-m&amp;_nc_cid=0&amp;_nc_zt=23&amp;_nc_ht=scontent.cdninstagram.com&amp;_nc_gid=Pc-yOprRxmpD2PcEEeKiuQ&amp;oh=00_AfghJmMkhwEtxu94OVxfglFfKMpDV9hRKoheYq42j6R3cQ&amp;oe=6930F311,https://scontent.cdninstagram.com/v/t39.30808-6/565755901_122176486928477299_3249931711430817462_n.jpg?stp=c0.0.1080.1348a_dst-jpg_e35_tt6&amp;_nc_cat=102&amp;ig_cache_key=Mzc0NjMzMjM2MzQwOTU5MDk3Mg%3D%3D.3-ccb7-5&amp;ccb=7-5&amp;_nc_sid=58cdad&amp;efg=eyJ2ZW5jb2RlX3RhZyI6InhwaWRzLjEwODF4MTM0OC5zZHIuQzMifQ%3D%3D&amp;_nc_ohc=-gPsZPck0scQ7kNvwFpd_lh&amp;_nc_oc=AdnBS2HUyGAxnGzsAlpdCROdsR648oSByATJ9LLmrzUjFEtnOeVikIfvUI4_TVy_VioyzfVT_Gl1xLSLYVvGp8rf&amp;_nc_ad=z-m&amp;_nc_cid=0&amp;_nc_zt=23&amp;_nc_ht=scontent.cdninstagram.com&amp;_nc_gid=Pc-yOprRxmpD2PcEEeKiuQ&amp;oh=00_AfisCs1adDpWmEFg5Z0UsjqrXNOevf5-72FGrxPRAEH2tA&amp;oe=6930C375,https://scontent.cdninstagram.com/v/t39.30808-6/565693251_122176486982477299_5391786703570999310_n.jpg?stp=c0.0.1077.1343a_dst-jpg_e35_tt6&amp;_nc_cat=111&amp;ig_cache_key=Mzc0NjMzMjM2Mjc2MzcyOTk1Mg%3D%3D.3-ccb7-5&amp;ccb=7-5&amp;_nc_sid=58cdad&amp;efg=eyJ2ZW5jb2RlX3RhZyI6InhwaWRzLjEwNzd4MTM0NC5zZHIuQzMifQ%3D%3D&amp;_nc_ohc=FoXNk8WixBsQ7kNvwGu0s4B&amp;_nc_oc=AdmFEs4P5LgWGJ-rVyxU-2UW55t6ZEqzsJ7K3RbSgdo2oa8_AJmmD6SoiYZjSs2PBLjElr6oX7Ze_H767Ravsi53&amp;_nc_ad=z-m&amp;_nc_cid=0&amp;_nc_zt=23&amp;_nc_ht=scontent.cdninstagram.com&amp;_nc_gid=Pc-yOprRxmpD2PcEEeKiuQ&amp;oh=00_AfhlCzYMhlENH4aJVGFSR9E5p5KBIvu_yooVbzYITwF1XA&amp;oe=6930F302,https://scontent.cdninstagram.com/v/t39.30808-6/565821430_122176487036477299_2521218433264541255_n.jpg?stp=c0.0.1078.1346a_dst-jpg_e35_tt6&amp;_nc_cat=106&amp;ig_cache_key=Mzc0NjMzMjM2MjIxODQyMjcyNQ%3D%3D.3-ccb7-5&amp;ccb=7-5&amp;_nc_sid=58cdad&amp;efg=eyJ2ZW5jb2RlX3RhZyI6InhwaWRzLjEwNzl4MTM0Ni5zZHIuQzMifQ%3D%3D&amp;_nc_ohc=T5dSlu4T7-MQ7kNvwFPHJGj&amp;_nc_oc=Adm0UrQeT6N6sMkCgb75oOd5ehJtQHdfjMrTcdbStYV75b-wOC0z5hhjN-jTiZxIo-P7LYSmzUHjr_TEJPpB3JZQ&amp;_nc_ad=z-m&amp;_nc_cid=0&amp;_nc_zt=23&amp;_nc_ht=scontent.cdninstagram.com&amp;_nc_gid=Pc-yOprRxmpD2PcEEeKiuQ&amp;oh=00_AfiimlPD74B8TWHsaSJRU4lzNW9p9Bo3m2JdRQOiW-78mQ&amp;oe=6930EC62,https://scontent.cdninstagram.com/v/t39.30808-6/565637236_122176487096477299_6643358926486842834_n.jpg?stp=c0.0.1078.1346a_dst-jpg_e35_tt6&amp;_nc_cat=102&amp;ig_cache_key=Mzc0NjMzMjM2MjE5MzI1MzY1Mw%3D%3D.3-ccb7-5&amp;ccb=7-5&amp;_nc_sid=58cdad&amp;efg=eyJ2ZW5jb2RlX3RhZyI6InhwaWRzLjEwNzl4MTM0Ni5zZHIuQzMifQ%3D%3D&amp;_nc_ohc=yMpocYv7gtYQ7kNvwHEuj6H&amp;_nc_oc=Admen1bd98WgHCkiUY2iVcFTMGTwNg9oH-gJSxw38ZApSN8k7UVCe1fwevsfXk194KNNewsGskOfTsN7VZNpRExE&amp;_nc_ad=z-m&amp;_nc_cid=0&amp;_nc_zt=23&amp;_nc_ht=scontent.cdninstagram.com&amp;_nc_gid=Pc-yOprRxmpD2PcEEeKiuQ&amp;oh=00_AfgpA9FjQc-FDJ7TXjwYGvYH3ekTqjBCYMHf0kKSdPSmJQ&amp;oe=6930C41C,https://scontent.cdninstagram.com/v/t39.30808-6/565834497_122176487150477299_8867573335315985476_n.jpg?stp=c0.0.1078.1344a_dst-jpg_e35_tt6&amp;_nc_cat=109&amp;ig_cache_key=Mzc0NjMzMjM2MzY0NDQ3MTczNA%3D%3D.3-ccb7-5&amp;ccb=7-5&amp;_nc_sid=58cdad&amp;efg=eyJ2ZW5jb2RlX3RhZyI6InhwaWRzLjEwNzh4MTM0NS5zZHIuQzMifQ%3D%3D&amp;_nc_ohc=-8Ec4mJq4QQQ7kNvwEcV1gh&amp;_nc_oc=AdlEr20_U66Bnk2aEGv_LUabko3pX84EUrWpLcFE14k4MBFpnci2A3n8KMa1nMX_cG2dZ_U_URGHN6YTQYwyB37G&amp;_nc_ad=z-m&amp;_nc_cid=0&amp;_nc_zt=23&amp;_nc_ht=scontent.cdninstagram.com&amp;_nc_gid=Pc-yOprRxmpD2PcEEeKiuQ&amp;oh=00_AfgzESEaoyuwDmBOJvCy2WeXRf-fWcMDLpGObD3Zey5nhg&amp;oe=6930C728,https://scontent.cdninstagram.com/v/t39.30808-6/565698643_122176487198477299_2601462453662508196_n.jpg?stp=c0.0.1078.1346a_dst-jpg_e35_tt6&amp;_nc_cat=100&amp;ig_cache_key=Mzc0NjMzMjM2Mjk3MzQyNzkyNw%3D%3D.3-ccb7-5&amp;ccb=7-5&amp;_nc_sid=58cdad&amp;efg=eyJ2ZW5jb2RlX3RhZyI6InhwaWRzLjEwNzl4MTM0Ni5zZHIuQzMifQ%3D%3D&amp;_nc_ohc=Dsp5ZnypaCwQ7kNvwGg4w44&amp;_nc_oc=AdmGAq9xgHWCnroZEpGkpIAxlfPx444jz1EooIvoCZItkdMhqxom5WOx6j3RmJodrJigAL0rSd-7ptjJjA4iKQck&amp;_nc_ad=z-m&amp;_nc_cid=0&amp;_nc_zt=23&amp;_nc_ht=scontent.cdninstagram.com&amp;_nc_gid=Pc-yOprRxmpD2PcEEeKiuQ&amp;oh=00_AfiimYCcasgsphQugeTJ4ssrr-fbQ8kKGDhBocNslWtTEg&amp;oe=6930D6DD,https://scontent.cdninstagram.com/v/t39.30808-6/567687025_122176487300477299_3942810152236673452_n.jpg?stp=c0.0.1078.1346a_dst-jpg_e35_tt6&amp;_nc_cat=111&amp;ig_cache_key=Mzc0NjMzMjM2MTg2NjEwMzI1Mg%3D%3D.3-ccb7-5&amp;ccb=7-5&amp;_nc_sid=58cdad&amp;efg=eyJ2ZW5jb2RlX3RhZyI6InhwaWRzLjEwNzl4MTM0Ni5zZHIuQzMifQ%3D%3D&amp;_nc_ohc=0orxdQIt9GIQ7kNvwH9ZUW8&amp;_nc_oc=AdlEV196sCO4RBzmBkm-l8SIDRQ0mpVYMZgohiwiVkWeABf9d0jKxskfuPwgD-wDzvDtXM_NPnhye_hDzg7Gf4CD&amp;_nc_ad=z-m&amp;_nc_cid=0&amp;_nc_zt=23&amp;_nc_ht=scontent.cdninstagram.com&amp;_nc_gid=Pc-yOprRxmpD2PcEEeKiuQ&amp;oh=00_AfjLj4dQcWSCLGDLMP3XxeOGSEO1meffufs6AOBLPeqT7Q&amp;oe=6930E564,https://scontent.cdninstagram.com/v/t39.30808-6/565709596_122176487360477299_2254696037510401829_n.jpg?stp=c0.0.1078.1346a_dst-jpg_e35_tt6&amp;_nc_cat=102&amp;ig_cache_key=Mzc0NjMzMjM2MTg0OTMxNDUxMQ%3D%3D.3-ccb7-5&amp;ccb=7-5&amp;_nc_sid=58cdad&amp;efg=eyJ2ZW5jb2RlX3RhZyI6InhwaWRzLjEwNzl4MTM0Ni5zZHIuQzMifQ%3D%3D&amp;_nc_ohc=x72sBRwDFQwQ7kNvwF86uee&amp;_nc_oc=Adn5lwEAPxYN_PtNZbdra7Y0TbHP9bTxU3LYP593k0G-rot1PgHLWqxQRutVe2Jj2gulpRpbUme8eYY1eLe61X8n&amp;_nc_ad=z-m&amp;_nc_cid=0&amp;_nc_zt=23&amp;_nc_ht=scontent.cdninstagram.com&amp;_nc_gid=Pc-yOprRxmpD2PcEEeKiuQ&amp;oh=00_AfgPy_svmDW9bVjJb3NRkheCSaABjBdaPZNSMy5AbJogdQ&amp;oe=6930E865</t>
  </si>
  <si>
    <t>tdah,tdahadulto,tdahmulheres,sintomastdah,avaliaçãotdah,tdahemadultos</t>
  </si>
  <si>
    <t>https://scontent-gru1-1.cdninstagram.com/v/t51.82787-15/551631172_18053660801635002_7550538369498273122_n.jpg?stp=dst-jpg_e35_tt6&amp;_nc_cat=104&amp;ig_cache_key=MzcyNjIyNjIyNzUxOTU1NDc5NQ%3D%3D.3-ccb1-7&amp;ccb=1-7&amp;_nc_sid=58cdad&amp;efg=eyJ2ZW5jb2RlX3RhZyI6InhwaWRzLjEwODB4MTM1MC5zZHIuQzMifQ%3D%3D&amp;_nc_ohc=VL0rvyZG1WwQ7kNvwFT9k8g&amp;_nc_oc=Adlca7AnWGIBIVSHav3pHUry1a-ADpnGjPdHJMUbi2Q958sZuX-ucEo3B4fNb9ozivQ5v2J3ZOARd1Oo-6wrtdhK&amp;_nc_ad=z-m&amp;_nc_cid=0&amp;_nc_zt=23&amp;_nc_ht=scontent-gru1-1.cdninstagram.com&amp;_nc_gid=LQFygQynK17yJqjuqKMq3Q&amp;oh=00_Afh3mQG5Hd8faj4Cwsd2p2GToslcAWtdeUexq879Opf41Q&amp;oe=691BEDDB,https://scontent-gru2-2.cdninstagram.com/v/t51.82787-15/551397676_18053660828635002_2432904167578055392_n.jpg?stp=dst-jpg_e35_tt6&amp;_nc_cat=106&amp;ig_cache_key=MzcyNjIyNjIyNzUyNzk5OTYyNQ%3D%3D.3-ccb1-7&amp;ccb=1-7&amp;_nc_sid=58cdad&amp;efg=eyJ2ZW5jb2RlX3RhZyI6InhwaWRzLjEwODB4MTM0OS5zZHIuQzMifQ%3D%3D&amp;_nc_ohc=gqmwyk1H-lcQ7kNvwFTHeY5&amp;_nc_oc=Admrt78rlXaCoZ_a3ItopvNnehXt7KcQ6EomNYIJ5D9H61ASMAwu94eGQoy9lIFZuBdURxuoHSdOXpLDCZwWXMVE&amp;_nc_ad=z-m&amp;_nc_cid=0&amp;_nc_zt=23&amp;_nc_ht=scontent-gru2-2.cdninstagram.com&amp;_nc_gid=LQFygQynK17yJqjuqKMq3Q&amp;oh=00_AfgUVRGpVHHmJqIAzjYXrx8Kg7acMiM3aEhtVLt6apeyXw&amp;oe=691BCDD4,https://scontent-gru1-2.cdninstagram.com/v/t51.82787-15/550846850_18053660810635002_8582541744873132641_n.jpg?stp=dst-jpg_e35_tt6&amp;_nc_cat=108&amp;ig_cache_key=MzcyNjIyNjIyNzUxOTU2NDA5OA%3D%3D.3-ccb1-7&amp;ccb=1-7&amp;_nc_sid=58cdad&amp;efg=eyJ2ZW5jb2RlX3RhZyI6InhwaWRzLjEwODB4MTM0OS5zZHIuQzMifQ%3D%3D&amp;_nc_ohc=KXT5b7Wu61AQ7kNvwGSqc_E&amp;_nc_oc=AdmgCVzNh0Bbghu-l3qbolFFcF2savPAxlipkNugnABKg4z2hI3yb1FmLYi2Ti_87NTF7z8bG28UDyWnI_i-5e1w&amp;_nc_ad=z-m&amp;_nc_cid=0&amp;_nc_zt=23&amp;_nc_ht=scontent-gru1-2.cdninstagram.com&amp;_nc_gid=LQFygQynK17yJqjuqKMq3Q&amp;oh=00_Afj9Qo9P76Mdpt1sSQiKj918wn_RAqIQ_CGMn__L_q0DnQ&amp;oe=691BFF8A,https://scontent-gru1-2.cdninstagram.com/v/t51.82787-15/551796161_18053660819635002_3503792584501897959_n.jpg?stp=dst-jpg_e35_tt6&amp;_nc_cat=110&amp;ig_cache_key=MzcyNjIyNjIyNzUxOTU1NDA5NA%3D%3D.3-ccb1-7&amp;ccb=1-7&amp;_nc_sid=58cdad&amp;efg=eyJ2ZW5jb2RlX3RhZyI6InhwaWRzLjEwODB4MTM0OS5zZHIuQzMifQ%3D%3D&amp;_nc_ohc=6ucE4_IIk80Q7kNvwHl2sDM&amp;_nc_oc=AdlguYPB2-0olFqGmTXkgxbUxjnbHypJ1QalHirzqY9cQUpZR2m0X139uuQbKI3TGMCXpWVhpllMlpb96Z2q0TcD&amp;_nc_ad=z-m&amp;_nc_cid=0&amp;_nc_zt=23&amp;_nc_ht=scontent-gru1-2.cdninstagram.com&amp;_nc_gid=LQFygQynK17yJqjuqKMq3Q&amp;oh=00_AfjF6mZSsWGwOzofyU6D24NHqnI8F3YEVwjCJQCKRNzuvw&amp;oe=691BE609,https://scontent-gru2-2.cdninstagram.com/v/t51.82787-15/552526354_18053660837635002_4490052103757471942_n.jpg?stp=dst-jpg_e35_tt6&amp;_nc_cat=106&amp;ig_cache_key=MzcyNjIyNjIyNzcyMDg4NzI3Mw%3D%3D.3-ccb1-7&amp;ccb=1-7&amp;_nc_sid=58cdad&amp;efg=eyJ2ZW5jb2RlX3RhZyI6InhwaWRzLjEwODB4MTM0OS5zZHIuQzMifQ%3D%3D&amp;_nc_ohc=PTN8dn0zN40Q7kNvwF505hF&amp;_nc_oc=AdlTJ9l3UpFDK-w4f-Yi6emO1EhC3TUCxNzCs8WFxHIaUsNkxHs90x_PCCrQuHPBvTvIDp51f2SSyarbTIUrjBQd&amp;_nc_ad=z-m&amp;_nc_cid=0&amp;_nc_zt=23&amp;_nc_ht=scontent-gru2-2.cdninstagram.com&amp;_nc_gid=LQFygQynK17yJqjuqKMq3Q&amp;oh=00_AfhJLDn1V0KhICrpap3kPSo8_AsVbdSsudYEpupSi9PVpw&amp;oe=691BD9CD</t>
  </si>
  <si>
    <t>psiquiatria,psiquiatra,medicopsiquiatra,TDAH,tdahemadultos,tdahadulto,tdahnainfancia,dopamina,tratamentotdah,venvase,ritalina,testedetdah,testeparatdah,atentah,psiquiatraemsalvador,concerta</t>
  </si>
  <si>
    <t>DQzrtEZkTAB</t>
  </si>
  <si>
    <t>https://www.instagram.com/p/DQzrtEZkTAB</t>
  </si>
  <si>
    <t>Me conta aqui nos comentários uma frase social que você descobriu o que significa tarde demais 😅
#neurodivergência #tdah #autismo #teaadulto #psicologia #comunicacao #tdahadulto</t>
  </si>
  <si>
    <t>https://scontent-gru1-2.cdninstagram.com/v/t51.2885-19/464563669_1203077240771007_4761419916236182529_n.jpg?stp=dst-jpg_s150x150_tt6&amp;efg=eyJ2ZW5jb2RlX3RhZyI6InByb2ZpbGVfcGljLmRqYW5nby4xMDgwLmMyIn0&amp;_nc_ht=scontent-gru1-2.cdninstagram.com&amp;_nc_cat=103&amp;_nc_oc=Q6cZ2QHNKF_hOoZMP3TGSdiWLT5mzz8T_eiI9bEOll362VdVyGSxQkVmqBnjz58WQBOkPWwsHyEWaxNkqigVNgzUBLh1&amp;_nc_ohc=-oHfAoTv0H4Q7kNvwH4Qk6a&amp;_nc_gid=1AjyOG3i1vJelwrTcZxakA&amp;edm=AFlAz-oBAAAA&amp;ccb=7-5&amp;oh=00_Afg2wBTXvy8-PrARK7Hl1riT4xUubj8HgaTQJhZUpmtZNg&amp;oe=691BD27E&amp;_nc_sid=76c0fc</t>
  </si>
  <si>
    <t>https://instagram.fcgh9-1.fna.fbcdn.net/v/t51.2885-19/494665101_18074979502868396_5149972479216782979_n.jpg?stp=dst-jpg_s150x150_tt6&amp;efg=eyJ2ZW5jb2RlX3RhZyI6InByb2ZpbGVfcGljLmRqYW5nby41NTMuYzIifQ&amp;_nc_ht=instagram.fcgh9-1.fna.fbcdn.net&amp;_nc_cat=108&amp;_nc_oc=Q6cZ2QFPov7R9KkJkRWPhoul_WHPqgeeCzwRjTZJfLUvhQ7Ahn-FmGOPACvW2uuxfW4XFm6i_ZZl8_zjX6ppwx6UG-Ds&amp;_nc_ohc=Wd5EqmUU6y8Q7kNvwGjOxeJ&amp;_nc_gid=Pc-yOprRxmpD2PcEEeKiuQ&amp;edm=AFlAz-oBAAAA&amp;ccb=7-5&amp;oh=00_AfjM0SM5C4nZv-emtIOBTod13ySuK_tV3sdx8W4SWfrdyA&amp;oe=6930DFBB&amp;_nc_sid=76c0fc</t>
  </si>
  <si>
    <t>https://scontent-gru2-2.cdninstagram.com/v/t51.82787-15/575217797_17899389744300089_3266558658059695959_n.jpg?stp=dst-jpg_e35_tt6&amp;_nc_cat=102&amp;ig_cache_key=Mzc2MTU0MjMxODg0MDE2NDYxMg%3D%3D.3-ccb1-7&amp;ccb=1-7&amp;_nc_sid=58cdad&amp;efg=eyJ2ZW5jb2RlX3RhZyI6InhwaWRzLjEwNjZ4MTQyMS5zZHIuQzMifQ%3D%3D&amp;_nc_ohc=_OGIjg8P940Q7kNvwHNKtIF&amp;_nc_oc=AdmzBinq_RKn-C87n49_4YsQCSE_IbPM86j31Mcvda8X62Jswt0b_29ttFnX4397vNnajYWyGS7XgpnFG6_HCRUQ&amp;_nc_ad=z-m&amp;_nc_cid=0&amp;_nc_zt=23&amp;_nc_ht=scontent-gru2-2.cdninstagram.com&amp;_nc_gid=1AjyOG3i1vJelwrTcZxakA&amp;oh=00_AfjJPdNjGbEZOHjOnyR8ptaUr3-FfqweYuSPF52ElHWJxw&amp;oe=691BEEAB,https://scontent-gru2-1.cdninstagram.com/v/t51.82787-15/574239201_17899389699300089_3549534156664070145_n.jpg?stp=dst-jpg_e35_tt6&amp;_nc_cat=111&amp;ig_cache_key=Mzc2MTU0MjMxODg0MDE3OTc0OQ%3D%3D.3-ccb1-7&amp;ccb=1-7&amp;_nc_sid=58cdad&amp;efg=eyJ2ZW5jb2RlX3RhZyI6InhwaWRzLjEwNzJ4MTQyOS5zZHIuQzMifQ%3D%3D&amp;_nc_ohc=y4s1408fms0Q7kNvwFmcNXW&amp;_nc_oc=AdkARmb3O2JRo16r1YTgVF8SK2KhHzCVGkQdzrf4kInuPYxgoYonpHRv64I1fzocDDY8NRwjCuBA9nqsm1CJUAfV&amp;_nc_ad=z-m&amp;_nc_cid=0&amp;_nc_zt=23&amp;_nc_ht=scontent-gru2-1.cdninstagram.com&amp;_nc_gid=1AjyOG3i1vJelwrTcZxakA&amp;oh=00_Afg_1heKsbbwslmqu1Uj3hegf_1zAvRJ8W3P9fBynoynTg&amp;oe=691BEDF2,https://scontent-gru1-1.cdninstagram.com/v/t51.82787-15/575201256_17899389714300089_6088035275439178373_n.jpg?stp=dst-jpg_e35_tt6&amp;_nc_cat=104&amp;ig_cache_key=Mzc2MTU0MjMxODgyMzM5MzgwOQ%3D%3D.3-ccb1-7&amp;ccb=1-7&amp;_nc_sid=58cdad&amp;efg=eyJ2ZW5jb2RlX3RhZyI6InhwaWRzLjEwNjh4MTQyNC5zZHIuQzMifQ%3D%3D&amp;_nc_ohc=kclc-NTqFO8Q7kNvwE2TE_P&amp;_nc_oc=Admz9P7pZK47-b2G_9XuDkdn-2vwZbUUPSBsdHo3Vx3KDsJYu1xlkT62eEw9jGS7lNN5YNGfA5BUxSTq3AJJ648C&amp;_nc_ad=z-m&amp;_nc_cid=0&amp;_nc_zt=23&amp;_nc_ht=scontent-gru1-1.cdninstagram.com&amp;_nc_gid=1AjyOG3i1vJelwrTcZxakA&amp;oh=00_AfiZWm2vkILaHHnCPqlgtXfwO6qilO6SDeP1PJza0IFQLQ&amp;oe=691BFFC5,https://scontent-gru2-1.cdninstagram.com/v/t51.82787-15/575272591_17899389717300089_8658767648217522759_n.jpg?stp=dst-jpg_e35_tt6&amp;_nc_cat=111&amp;ig_cache_key=Mzc2MTU0MjMxODg0MDE4NzQxMA%3D%3D.3-ccb1-7&amp;ccb=1-7&amp;_nc_sid=58cdad&amp;efg=eyJ2ZW5jb2RlX3RhZyI6InhwaWRzLjEwNjR4MTQxOC5zZHIuQzMifQ%3D%3D&amp;_nc_ohc=pjhWEB959gEQ7kNvwF2VkcW&amp;_nc_oc=AdmGzq5sOiKtOn__XwnKwgPb8P364C4QVV2z_Q3-CZLIvwy6osJGyE8n8VLDmd1UYsveG2OcNVpP7uJYx-wnfXQ4&amp;_nc_ad=z-m&amp;_nc_cid=0&amp;_nc_zt=23&amp;_nc_ht=scontent-gru2-1.cdninstagram.com&amp;_nc_gid=1AjyOG3i1vJelwrTcZxakA&amp;oh=00_AfhCE50_ign3QIN1W6AwZARUhUR6WcI4pefZ1xPzrhmcdQ&amp;oe=691BCB6D,https://scontent-gru1-1.cdninstagram.com/v/t51.82787-15/565511694_17899389732300089_6941551728188928558_n.jpg?stp=dst-jpg_e35_tt6&amp;_nc_cat=104&amp;ig_cache_key=Mzc2MTU0MjMxODg1Njk4Njg5NA%3D%3D.3-ccb1-7&amp;ccb=1-7&amp;_nc_sid=58cdad&amp;efg=eyJ2ZW5jb2RlX3RhZyI6InhwaWRzLjEwNzN4MTQzMC5zZHIuQzMifQ%3D%3D&amp;_nc_ohc=BELF4hXXIaAQ7kNvwFw5bDS&amp;_nc_oc=AdlZrAOiv4bNvEN7HAlzHWD-o52iBu8dMWy1Rqb6L7r5gJmFEhYdEQ36HDLCpQk7oJcnq_M1dHOI__OO_CBNRNuv&amp;_nc_ad=z-m&amp;_nc_cid=0&amp;_nc_zt=23&amp;_nc_ht=scontent-gru1-1.cdninstagram.com&amp;_nc_gid=1AjyOG3i1vJelwrTcZxakA&amp;oh=00_AfhjM-xE2wVgNaH2QARA-sG3fKdIta1heW7jJcBf8ptD6Q&amp;oe=691BE0CD,https://scontent-gru2-2.cdninstagram.com/v/t51.82787-15/575298370_17899389735300089_8757199222776015073_n.jpg?stp=dst-jpg_e35_tt6&amp;_nc_cat=102&amp;ig_cache_key=Mzc2MTU0MjMxODgzMTc5NTIyMQ%3D%3D.3-ccb1-7&amp;ccb=1-7&amp;_nc_sid=58cdad&amp;efg=eyJ2ZW5jb2RlX3RhZyI6InhwaWRzLjEwNzV4MTQzMy5zZHIuQzMifQ%3D%3D&amp;_nc_ohc=QI_b4OZOxssQ7kNvwGDprrT&amp;_nc_oc=AdmdNYLGRMURFFhi1_XxwMnaF5shiA06uBOGwEv_fSWXyBnk1k4Mh7jlnV0z9_7_a6SqDbWTuY7-WSR3QYB7v0iY&amp;_nc_ad=z-m&amp;_nc_cid=0&amp;_nc_zt=23&amp;_nc_ht=scontent-gru2-2.cdninstagram.com&amp;_nc_gid=1AjyOG3i1vJelwrTcZxakA&amp;oh=00_Afj14E-sDFCAHgxvKFuFwy975iBEVn03qNPlqMu41EJK-Q&amp;oe=691BE676</t>
  </si>
  <si>
    <t>neurodivergência,tdah,autismo,teaadulto,psicologia,comunicacao,tdahadulto</t>
  </si>
  <si>
    <t>DOdo5sUjeif</t>
  </si>
  <si>
    <t>https://www.instagram.com/p/DOdo5sUjeif</t>
  </si>
  <si>
    <t>Se você tem TDAH (ou conhece alguém que têm), eu queroo te dizer algo importante: não é preguiça, é o cérebro funcionando de um jeito diferente.
O córtex pré-frontal, responsável por atenção, organização e controle de impulsos, trabalha de forma diferente no TDAH. Além disso, a dopamina, um neurotransmissor ligado à motivação e recompensa, também age de maneira diferente. É por isso que tarefas “chatas ou até mesmo sem graça” parecem tão difíceis de começar…
➡️ Maaaass, com estratégias da Terapia Cognitivo Comportamental (TCC) é possível desenvolver habilidades para lidar com os sintomas, organizar melhor a rotina, melhorar a autoestima e conquistar mais autonomia.
O objetivo não é “eliminar o TDAH”, mas aprender a viver de forma saudável com ele, aproveitando também os pontos fortes!!
- Aproveita e já salva esse post pra você lembrar algumas coisas do TDAH ✨
.
.
#psicologia #tdahadulto #tdah #tdahmulher</t>
  </si>
  <si>
    <t>rosemoreirapsi</t>
  </si>
  <si>
    <t>Rose Moreira | Supervisora e Mentora</t>
  </si>
  <si>
    <t>https://scontent-gru2-2.cdninstagram.com/v/t51.2885-19/472290144_1175088774045206_5896511368956600051_n.jpg?stp=dst-jpg_s150x150_tt6&amp;efg=eyJ2ZW5jb2RlX3RhZyI6InByb2ZpbGVfcGljLmRqYW5nby4xMDgwLmMyIn0&amp;_nc_ht=scontent-gru2-2.cdninstagram.com&amp;_nc_cat=102&amp;_nc_oc=Q6cZ2QHNKF_hOoZMP3TGSdiWLT5mzz8T_eiI9bEOll362VdVyGSxQkVmqBnjz58WQBOkPWwsHyEWaxNkqigVNgzUBLh1&amp;_nc_ohc=7Nsp4hwTedsQ7kNvwG6izLo&amp;_nc_gid=1AjyOG3i1vJelwrTcZxakA&amp;edm=AFlAz-oBAAAA&amp;ccb=7-5&amp;oh=00_AfgU-JzM1YXz7bZEBzIYkjZeMEiHOEptG1B4_FYZ5fz61w&amp;oe=691BE654&amp;_nc_sid=76c0fc</t>
  </si>
  <si>
    <t>https://scontent.cdninstagram.com/v/t51.82787-15/541650107_18086782036868396_8426698766086834933_n.jpg?stp=dst-jpg_e35_tt6&amp;_nc_cat=103&amp;ig_cache_key=MzcxNDI5MDkyNDEyNzM2ODk1NA%3D%3D.3-ccb7-5&amp;ccb=7-5&amp;_nc_sid=58cdad&amp;efg=eyJ2ZW5jb2RlX3RhZyI6InhwaWRzLjE0NDB4MTgwMS5zZHIuQzMifQ%3D%3D&amp;_nc_ohc=bDn6QLVFdAYQ7kNvwGefG90&amp;_nc_oc=AdnWNhA5-E0MDuWxKiHq_EiK8F8yRb1If-CcbIhAa_ItS57CzJuMynmwPBeRwZPuPi6Gz-WecB4YoGzzNC-eGteS&amp;_nc_ad=z-m&amp;_nc_cid=0&amp;_nc_zt=23&amp;_nc_ht=scontent.cdninstagram.com&amp;_nc_gid=Pc-yOprRxmpD2PcEEeKiuQ&amp;oh=00_Afjps2pyUX_RMIQNr5r5_l6GYbrwxDirvBRCJdH-4NSSsw&amp;oe=6930EDD0,https://scontent.cdninstagram.com/v/t51.82787-15/540566442_18086782051868396_5263347542687915198_n.jpg?stp=dst-jpg_e35_tt6&amp;_nc_cat=103&amp;ig_cache_key=MzcxNDI5MDkyNDA2MDIzOTA0OQ%3D%3D.3-ccb7-5&amp;ccb=7-5&amp;_nc_sid=58cdad&amp;efg=eyJ2ZW5jb2RlX3RhZyI6InhwaWRzLjE0NDB4MTgwMS5zZHIuQzMifQ%3D%3D&amp;_nc_ohc=228SYpRs6zkQ7kNvwG5lJwC&amp;_nc_oc=Admvjenyo3lMK84A58CZfIxGujcf_aHpP95NnCRzSQ6hYn1Qfb4vJ6Sh9YJWIx3-9qLlqxaHJeZdihCRuLo1U7di&amp;_nc_ad=z-m&amp;_nc_cid=0&amp;_nc_zt=23&amp;_nc_ht=scontent.cdninstagram.com&amp;_nc_gid=Pc-yOprRxmpD2PcEEeKiuQ&amp;oh=00_AfjP53thWy8o2voFgc1znfhY8wItPHVownljGzrMa6wX2Q&amp;oe=6930D795,https://scontent.cdninstagram.com/v/t51.82787-15/541667358_18086782060868396_2902299089316692106_n.jpg?stp=dst-jpg_e35_tt6&amp;_nc_cat=107&amp;ig_cache_key=MzcxNDI5MDkyNDA2MDI2NDAwOA%3D%3D.3-ccb7-5&amp;ccb=7-5&amp;_nc_sid=58cdad&amp;efg=eyJ2ZW5jb2RlX3RhZyI6InhwaWRzLjE0NDB4MTgwMS5zZHIuQzMifQ%3D%3D&amp;_nc_ohc=xA4heiDtkVYQ7kNvwHDgN5f&amp;_nc_oc=AdndOKqeRDPuyNyRwzsHANHFbk82iVMJmrr88WAfVorbN5Evbs82Uj9xvH7dUhloZHpheVixz2qlP1UhxXssMwYx&amp;_nc_ad=z-m&amp;_nc_cid=0&amp;_nc_zt=23&amp;_nc_ht=scontent.cdninstagram.com&amp;_nc_gid=Pc-yOprRxmpD2PcEEeKiuQ&amp;oh=00_AfjL_axrTmJ1NOJYzZWhvNyruS3q812gEnIMXFgWhiQPJQ&amp;oe=6930F3E9,https://scontent.cdninstagram.com/v/t51.82787-15/541165557_18086782069868396_6085015680710613323_n.jpg?stp=dst-jpg_e35_tt6&amp;_nc_cat=100&amp;ig_cache_key=MzcxNDI5MDkyNDA2MDIxNTEwMQ%3D%3D.3-ccb7-5&amp;ccb=7-5&amp;_nc_sid=58cdad&amp;efg=eyJ2ZW5jb2RlX3RhZyI6InhwaWRzLjE0NDB4MTgwMS5zZHIuQzMifQ%3D%3D&amp;_nc_ohc=mTokFWRNjDYQ7kNvwGrIBg-&amp;_nc_oc=Adk-P82qzrRicsdCMHbUKEM0uWEu5FvU6UYRi6vsDNPKhkEGCprygJ3ogKChvCA_5dVR2D0ISsVfw3fXO5mCsRfa&amp;_nc_ad=z-m&amp;_nc_cid=0&amp;_nc_zt=23&amp;_nc_ht=scontent.cdninstagram.com&amp;_nc_gid=Pc-yOprRxmpD2PcEEeKiuQ&amp;oh=00_AfjdYLCZ-obq5wJj_RPpgF3Un8liGBjX17UwbYriWEGQxA&amp;oe=6930C7A0,https://scontent.cdninstagram.com/v/t51.82787-15/541956075_18086782078868396_4879489262791010418_n.jpg?stp=dst-jpg_e35_tt6&amp;_nc_cat=106&amp;ig_cache_key=MzcxNDI5MDkyNDA2MDIxODk3Ng%3D%3D.3-ccb7-5&amp;ccb=7-5&amp;_nc_sid=58cdad&amp;efg=eyJ2ZW5jb2RlX3RhZyI6InhwaWRzLjE0NDB4MTgwMS5zZHIuQzMifQ%3D%3D&amp;_nc_ohc=bnl7plk7CxgQ7kNvwFFUXHd&amp;_nc_oc=AdljFj4lkXCfsas-oqGqn26PFLiEBMx9MtYV1dA3M1MaXO0Gahf_I7iVwVVUm8uq1qQqbSmvQjx-K7C1xixnqyOf&amp;_nc_ad=z-m&amp;_nc_cid=0&amp;_nc_zt=23&amp;_nc_ht=scontent.cdninstagram.com&amp;_nc_gid=Pc-yOprRxmpD2PcEEeKiuQ&amp;oh=00_AfjrSs8Qgk-shrTVtEAnMT93rV6EIGY8FmrTmejg3Gmy2Q&amp;oe=6930D1BC,https://scontent.cdninstagram.com/v/t51.82787-15/541740391_18086782087868396_8557093931090475729_n.jpg?stp=dst-jpg_e35_tt6&amp;_nc_cat=109&amp;ig_cache_key=MzcxNDI5MDkyNDA2MDI3MDE2OQ%3D%3D.3-ccb7-5&amp;ccb=7-5&amp;_nc_sid=58cdad&amp;efg=eyJ2ZW5jb2RlX3RhZyI6InhwaWRzLjE0NDB4MTgwMS5zZHIuQzMifQ%3D%3D&amp;_nc_ohc=6WyHu8-ef-kQ7kNvwHoNRJ8&amp;_nc_oc=AdlXTPfMQzpQhRmZduznnJP0V47aDvI-1BV_y5r19I2MjrZosexcRHZbECb300wejAWaA1baLbMrbS1D5KEKECpq&amp;_nc_ad=z-m&amp;_nc_cid=0&amp;_nc_zt=23&amp;_nc_ht=scontent.cdninstagram.com&amp;_nc_gid=Pc-yOprRxmpD2PcEEeKiuQ&amp;oh=00_Afgoz2rupxx3hroVfUxno6dWxQZ_8DcjidxqAGcVqLUUIw&amp;oe=6930CD9C,https://scontent.cdninstagram.com/v/t51.82787-15/541652513_18086782096868396_4236069153176884821_n.jpg?stp=dst-jpg_e35_tt6&amp;_nc_cat=107&amp;ig_cache_key=MzcxNDI5MDkyNDA1MTg1MzI0Mw%3D%3D.3-ccb7-5&amp;ccb=7-5&amp;_nc_sid=58cdad&amp;efg=eyJ2ZW5jb2RlX3RhZyI6InhwaWRzLjE0NDB4MTgwMS5zZHIuQzMifQ%3D%3D&amp;_nc_ohc=gwR76MB1Q18Q7kNvwG3n2kQ&amp;_nc_oc=AdmDgSbvr9MqZtqJp66BZI5zdvop4VWbYo1C9x3CrgXu3QeETvC8PYNlCQsnS7vB2E9WFsKH6TCTEIDF6TUwqyZN&amp;_nc_ad=z-m&amp;_nc_cid=0&amp;_nc_zt=23&amp;_nc_ht=scontent.cdninstagram.com&amp;_nc_gid=Pc-yOprRxmpD2PcEEeKiuQ&amp;oh=00_AfgNu8DAB1w-ImBeXYJ5PJfX62PivC3JcXlCOnvnAvqPdQ&amp;oe=6930F0D2,https://scontent.cdninstagram.com/v/t51.82787-15/542848865_18086782105868396_8747545050665887980_n.jpg?stp=dst-jpg_e35_tt6&amp;_nc_cat=105&amp;ig_cache_key=MzcxNDI5MDkyNDA2ODY2MDMyMw%3D%3D.3-ccb7-5&amp;ccb=7-5&amp;_nc_sid=58cdad&amp;efg=eyJ2ZW5jb2RlX3RhZyI6InhwaWRzLjE0NDB4MTgwMS5zZHIuQzMifQ%3D%3D&amp;_nc_ohc=cZHEV8C1YIoQ7kNvwGjhzba&amp;_nc_oc=AdmoH5yfxDnQyJAvVvYjABVYzQBBepw3ryBK89zddtIsF7TQ3IdWtGr1XZ4JhVYcqLd7eTT1ocL00d02svhCb9ws&amp;_nc_ad=z-m&amp;_nc_cid=0&amp;_nc_zt=23&amp;_nc_ht=scontent.cdninstagram.com&amp;_nc_gid=Pc-yOprRxmpD2PcEEeKiuQ&amp;oh=00_AfiqoN5oEpxmt1N7Y-t7Ob6TD4buBMUqhdJhjbOGqhjWqA&amp;oe=6930C60F,https://scontent.cdninstagram.com/v/t51.82787-15/542548435_18086782114868396_1192411364767092494_n.jpg?stp=dst-jpg_e35_tt6&amp;_nc_cat=108&amp;ig_cache_key=MzcxNDI5MDkyNDA2MDI3MzU5Ng%3D%3D.3-ccb7-5&amp;ccb=7-5&amp;_nc_sid=58cdad&amp;efg=eyJ2ZW5jb2RlX3RhZyI6InhwaWRzLjE0NDB4MTgwMS5zZHIuQzMifQ%3D%3D&amp;_nc_ohc=0uwxCVNW-L0Q7kNvwE0M3n5&amp;_nc_oc=Adn3vaAq31VlSXquydr4mprHAwnfkczZy3mnjYhOUPrYc7arjMhDbU6iaANFsIRIvXGz4Qs2SAtf-NiNOJyK4KvP&amp;_nc_ad=z-m&amp;_nc_cid=0&amp;_nc_zt=23&amp;_nc_ht=scontent.cdninstagram.com&amp;_nc_gid=Pc-yOprRxmpD2PcEEeKiuQ&amp;oh=00_AfjRwv-NHC9W-jVcFvjKGZ7KdJqf8KGMljh37hovUQUlsw&amp;oe=6930CF5C</t>
  </si>
  <si>
    <t>https://scontent-gru2-2.cdninstagram.com/v/t51.82787-15/544796769_18078554269954116_2252330513532893329_n.jpg?stp=dst-jpg_e35_tt6&amp;_nc_cat=106&amp;ig_cache_key=MzcxOTMwODc0MTcxNzA5ODY5NA%3D%3D.3-ccb1-7&amp;ccb=1-7&amp;_nc_sid=58cdad&amp;efg=eyJ2ZW5jb2RlX3RhZyI6InhwaWRzLjE0NDB4MTgwMC5zZHIuQzMifQ%3D%3D&amp;_nc_ohc=ZpI7xZkAsNkQ7kNvwGh1eNw&amp;_nc_oc=AdkgXccjwENG9QiZ0Mmm7Y-wADO8SMHcJlezBc-rkJ7RiCo7CC-aslkE9fxUAXCtrEgKDmhWx34etATKtUQvmElX&amp;_nc_ad=z-m&amp;_nc_cid=0&amp;_nc_zt=23&amp;_nc_ht=scontent-gru2-2.cdninstagram.com&amp;_nc_gid=1AjyOG3i1vJelwrTcZxakA&amp;oh=00_AfgSoGEdcjdk5T2-tlD1ApZkH-74BhuJ89igwF8lQjO4kg&amp;oe=691BE581,https://scontent-gru1-2.cdninstagram.com/v/t51.82787-15/544909362_18078554278954116_3860017679715946297_n.jpg?stp=dst-jpg_e35_tt6&amp;_nc_cat=110&amp;ig_cache_key=MzcxOTMwODc0MTcxNzA5MzQxMg%3D%3D.3-ccb1-7&amp;ccb=1-7&amp;_nc_sid=58cdad&amp;efg=eyJ2ZW5jb2RlX3RhZyI6InhwaWRzLjE0NDB4MTgwMC5zZHIuQzMifQ%3D%3D&amp;_nc_ohc=SF3YvhYdIwEQ7kNvwHMyqL0&amp;_nc_oc=AdkLkj7HDJnxvrF5uGfi3g94il2nwLwJVVMRs3ujD0Um7YwD72oDIPebi3IQY1rx1wF6bq0FAv42tNSJzj9EHgtp&amp;_nc_ad=z-m&amp;_nc_cid=0&amp;_nc_zt=23&amp;_nc_ht=scontent-gru1-2.cdninstagram.com&amp;_nc_gid=1AjyOG3i1vJelwrTcZxakA&amp;oh=00_AfiqHObnySf2QhGX_PArfRAzKv2b84-xHEatlSrUVYbyxQ&amp;oe=691BD091,https://scontent-gru1-2.cdninstagram.com/v/t51.82787-15/544492663_18078554287954116_2566978881783599990_n.jpg?stp=dst-jpg_e35_tt6&amp;_nc_cat=100&amp;ig_cache_key=MzcxOTMwODc0MTcxNzEwNDYyNw%3D%3D.3-ccb1-7&amp;ccb=1-7&amp;_nc_sid=58cdad&amp;efg=eyJ2ZW5jb2RlX3RhZyI6InhwaWRzLjE0NDB4MTgwMC5zZHIuQzMifQ%3D%3D&amp;_nc_ohc=0jCsRkEteOIQ7kNvwGbphi6&amp;_nc_oc=Adl_LOcIq9yQGVihss5bKFz2qvQVLEtZ_IkmUDAus17r70saPqq88OsAU6L9SsrtOx1Nqunzaw4_KDDe0q_Txjlm&amp;_nc_ad=z-m&amp;_nc_cid=0&amp;_nc_zt=23&amp;_nc_ht=scontent-gru1-2.cdninstagram.com&amp;_nc_gid=1AjyOG3i1vJelwrTcZxakA&amp;oh=00_AfgzZ8mxYU_YQppl1QAIeztWX7CMZ8WCin04EVFU-3vooA&amp;oe=691BF203,https://scontent-gru2-2.cdninstagram.com/v/t51.82787-15/547890454_18078554299954116_815253560985214019_n.jpg?stp=dst-jpg_e35_tt6&amp;_nc_cat=102&amp;ig_cache_key=MzcxOTMwODc0MTcwMDMzOTQwNA%3D%3D.3-ccb1-7&amp;ccb=1-7&amp;_nc_sid=58cdad&amp;efg=eyJ2ZW5jb2RlX3RhZyI6InhwaWRzLjE0NDB4MTgwMC5zZHIuQzMifQ%3D%3D&amp;_nc_ohc=3c8-VLPDCCAQ7kNvwFYYQPj&amp;_nc_oc=Adnz-iAijOIsuP9ruHWmuwDnOPh-OBPfmk6k8zka4sFYyLYK_m3m6yORcNK41O2zobZw9d17nG-ArsU_DzrmhIaM&amp;_nc_ad=z-m&amp;_nc_cid=0&amp;_nc_zt=23&amp;_nc_ht=scontent-gru2-2.cdninstagram.com&amp;_nc_gid=1AjyOG3i1vJelwrTcZxakA&amp;oh=00_AfiMFhIiGLdnnnnXL6rG-Y68UfaiMQWxwD8lldMeN36Qiw&amp;oe=691BDA33,https://scontent-gru1-2.cdninstagram.com/v/t51.82787-15/544933939_18078554308954116_524266640739938521_n.jpg?stp=dst-jpg_e35_tt6&amp;_nc_cat=103&amp;ig_cache_key=MzcxOTMwODc0MTc3NTgzNjc0Nw%3D%3D.3-ccb1-7&amp;ccb=1-7&amp;_nc_sid=58cdad&amp;efg=eyJ2ZW5jb2RlX3RhZyI6InhwaWRzLjE0NDB4MTgwMC5zZHIuQzMifQ%3D%3D&amp;_nc_ohc=JLNW0PA83mgQ7kNvwEYlCil&amp;_nc_oc=AdkMYDcaNp4xbTDQi4MHKDGxfClPtzheUzW7rdxFEkZqn4mtdg9F3F6ceHwqB8FBJUJAPlYH4XCt5F6VdkDGaaIU&amp;_nc_ad=z-m&amp;_nc_cid=0&amp;_nc_zt=23&amp;_nc_ht=scontent-gru1-2.cdninstagram.com&amp;_nc_gid=1AjyOG3i1vJelwrTcZxakA&amp;oh=00_Afix8iQ3StAoZV-yPmmjYBN4XuqUrUO5eZ80CKGdox0Z-A&amp;oe=691BCCE2,https://scontent-gru1-1.cdninstagram.com/v/t51.82787-15/546703503_18078554317954116_1596260436376133272_n.jpg?stp=dst-jpg_e35_tt6&amp;_nc_cat=101&amp;ig_cache_key=MzcxOTMwODc0MTcxNzA2NjQ4NA%3D%3D.3-ccb1-7&amp;ccb=1-7&amp;_nc_sid=58cdad&amp;efg=eyJ2ZW5jb2RlX3RhZyI6InhwaWRzLjE0NDB4MTgwMC5zZHIuQzMifQ%3D%3D&amp;_nc_ohc=BJ0j4wMoYyAQ7kNvwGfhjK2&amp;_nc_oc=AdmF0AKMhjZtfThVKV06XViJvcQakwOGAlcGjKLGLkLvGLdEJbjk-Xqlo7qzjx7OTv__HCKIykxRU7XdlfOM07ry&amp;_nc_ad=z-m&amp;_nc_cid=0&amp;_nc_zt=23&amp;_nc_ht=scontent-gru1-1.cdninstagram.com&amp;_nc_gid=1AjyOG3i1vJelwrTcZxakA&amp;oh=00_Afhm3fA2lDXiaYfgP-boHsceG4P4taZ1makXdVwzBKhuBw&amp;oe=691BD8B8</t>
  </si>
  <si>
    <t>DRk-1LOkktg</t>
  </si>
  <si>
    <t>psicologia,tdahadulto,tdah,tdahmulher</t>
  </si>
  <si>
    <t>https://www.instagram.com/p/DRk-1LOkktg</t>
  </si>
  <si>
    <t>https://scontent-gru2-1.cdninstagram.com/v/t51.2885-19/419980358_289800883715767_6089219814531033544_n.jpg?stp=dst-jpg_s150x150_tt6&amp;efg=eyJ2ZW5jb2RlX3RhZyI6InByb2ZpbGVfcGljLmRqYW5nby40OTkuYzIifQ&amp;_nc_ht=scontent-gru2-1.cdninstagram.com&amp;_nc_cat=107&amp;_nc_oc=Q6cZ2QHNKF_hOoZMP3TGSdiWLT5mzz8T_eiI9bEOll362VdVyGSxQkVmqBnjz58WQBOkPWwsHyEWaxNkqigVNgzUBLh1&amp;_nc_ohc=p0CdCVomZawQ7kNvwGDHyFM&amp;_nc_gid=1AjyOG3i1vJelwrTcZxakA&amp;edm=AFlAz-oBAAAA&amp;ccb=7-5&amp;oh=00_Afg03rDMYcHch85caAxOlMSwStmwVh-HY2XA5Jr2vGR2cg&amp;oe=691BD009&amp;_nc_sid=76c0fc</t>
  </si>
  <si>
    <t>Algumas especificidades do TDAH na mulher que já sabemos hoje em dia. Ser mulher não é fácil. Ser mulher com TDAH, menos ainda!
.
.
.
 #tdahadulto #tdahadultos #tdahmulher #saudementaldamulher #psiquiatriaonline #psiquiatrapelotas</t>
  </si>
  <si>
    <t>https://instagram.fcgh9-1.fna.fbcdn.net/v/t51.2885-19/450346823_737391045066002_1178007830183780591_n.jpg?stp=dst-jpg_s150x150_tt6&amp;efg=eyJ2ZW5jb2RlX3RhZyI6InByb2ZpbGVfcGljLmRqYW5nby43NTYuYzIifQ&amp;_nc_ht=instagram.fcgh9-1.fna.fbcdn.net&amp;_nc_cat=102&amp;_nc_oc=Q6cZ2QEX0voY9harPU9QGVM6cZMZJyLfRPHdPHv81xplv5CH_btfJUrEGoqJPfiGOmXcDTLYORGbHd0FVxdxmnj934lc&amp;_nc_ohc=7BBDKiSRR5AQ7kNvwEPwGQe&amp;_nc_gid=i7XvFrG1tAxDq8sSzpjFtg&amp;edm=AFlAz-oBAAAA&amp;ccb=7-5&amp;oh=00_AfjtLUj7JOcQCgn9uRnrLx2cpnbUaAImsBvDL0HY4_VVrQ&amp;oe=6930F177&amp;_nc_sid=76c0fc</t>
  </si>
  <si>
    <t>https://scontent-gru1-2.cdninstagram.com/v/t51.29350-15/461884717_839781637959800_7864711812929041605_n.jpg?stp=dst-jpg_e35_tt6&amp;efg=eyJ2ZW5jb2RlX3RhZyI6IkNBUk9VU0VMX0lURU0uaW1hZ2VfdXJsZ2VuLjE0NDB4MTc5NS5zZHIuZjI5MzUwLmRlZmF1bHRfaW1hZ2UuYzIifQ&amp;_nc_ht=scontent-gru1-2.cdninstagram.com&amp;_nc_cat=108&amp;_nc_oc=Q6cZ2QHNKF_hOoZMP3TGSdiWLT5mzz8T_eiI9bEOll362VdVyGSxQkVmqBnjz58WQBOkPWwsHyEWaxNkqigVNgzUBLh1&amp;_nc_ohc=8AS6lIk21kMQ7kNvwF87I7O&amp;_nc_gid=1AjyOG3i1vJelwrTcZxakA&amp;edm=AFlAz-oBAAAA&amp;ccb=7-5&amp;ig_cache_key=MzQ3MDgxMTI1NDM2MjY1MTk3Mg%3D%3D.3-ccb7-5&amp;oh=00_AfgqNfhssA7YJjjWf_aqDDDgrRIT0PhE8dJULKoka1uPsw&amp;oe=691BF9D9&amp;_nc_sid=76c0fc,https://scontent-gru2-1.cdninstagram.com/v/t51.29350-15/461894090_2269626330064893_8127965189483190927_n.jpg?stp=dst-jpg_e35_tt6&amp;efg=eyJ2ZW5jb2RlX3RhZyI6IkNBUk9VU0VMX0lURU0uaW1hZ2VfdXJsZ2VuLjE0NDB4MTc5NS5zZHIuZjI5MzUwLmRlZmF1bHRfaW1hZ2UuYzIifQ&amp;_nc_ht=scontent-gru2-1.cdninstagram.com&amp;_nc_cat=109&amp;_nc_oc=Q6cZ2QHNKF_hOoZMP3TGSdiWLT5mzz8T_eiI9bEOll362VdVyGSxQkVmqBnjz58WQBOkPWwsHyEWaxNkqigVNgzUBLh1&amp;_nc_ohc=zPGgfePZApAQ7kNvwHjmnq4&amp;_nc_gid=1AjyOG3i1vJelwrTcZxakA&amp;edm=AFlAz-oBAAAA&amp;ccb=7-5&amp;ig_cache_key=MzQ3MDgxMTI1NDE4NjU0NTQxNg%3D%3D.3-ccb7-5&amp;oh=00_AfgeILxZ89r_5yW62e-u1wgxlxPgDlyIt5FESMPAeyMIQA&amp;oe=691BFC9B&amp;_nc_sid=76c0fc,https://scontent-gru2-2.cdninstagram.com/v/t51.29350-15/461854617_3429622820515073_5731990509730746420_n.jpg?stp=dst-jpg_e35_tt6&amp;efg=eyJ2ZW5jb2RlX3RhZyI6IkNBUk9VU0VMX0lURU0uaW1hZ2VfdXJsZ2VuLjE0NDB4MTc5NS5zZHIuZjI5MzUwLmRlZmF1bHRfaW1hZ2UuYzIifQ&amp;_nc_ht=scontent-gru2-2.cdninstagram.com&amp;_nc_cat=105&amp;_nc_oc=Q6cZ2QHNKF_hOoZMP3TGSdiWLT5mzz8T_eiI9bEOll362VdVyGSxQkVmqBnjz58WQBOkPWwsHyEWaxNkqigVNgzUBLh1&amp;_nc_ohc=il5IvG4cILUQ7kNvwEr2VBb&amp;_nc_gid=1AjyOG3i1vJelwrTcZxakA&amp;edm=AFlAz-oBAAAA&amp;ccb=7-5&amp;ig_cache_key=MzQ3MDgxMTI1NDE2OTU0NzQ0Ng%3D%3D.3-ccb7-5&amp;oh=00_Afjxvroi6qqmEZO0rcVgcl4ibPPw5EbNpEhj-_9WIH0j7w&amp;oe=691BFF7E&amp;_nc_sid=76c0fc,https://scontent-gru2-1.cdninstagram.com/v/t51.29350-15/461906918_1947663609081979_5464247015408580393_n.jpg?stp=dst-jpg_e35_tt6&amp;efg=eyJ2ZW5jb2RlX3RhZyI6IkNBUk9VU0VMX0lURU0uaW1hZ2VfdXJsZ2VuLjE0NDB4MTc5NS5zZHIuZjI5MzUwLmRlZmF1bHRfaW1hZ2UuYzIifQ&amp;_nc_ht=scontent-gru2-1.cdninstagram.com&amp;_nc_cat=107&amp;_nc_oc=Q6cZ2QHNKF_hOoZMP3TGSdiWLT5mzz8T_eiI9bEOll362VdVyGSxQkVmqBnjz58WQBOkPWwsHyEWaxNkqigVNgzUBLh1&amp;_nc_ohc=SG2-jJhG3g8Q7kNvwGNdIf8&amp;_nc_gid=1AjyOG3i1vJelwrTcZxakA&amp;edm=AFlAz-oBAAAA&amp;ccb=7-5&amp;ig_cache_key=MzQ3MDgxMTI1NDE2OTY3ODUwMQ%3D%3D.3-ccb7-5&amp;oh=00_AfjPSKKGPRQpRqq3eAcLz-S-haCpv5iFN1SsdHIxVu6tYQ&amp;oe=691BF341&amp;_nc_sid=76c0fc,https://scontent-gru2-1.cdninstagram.com/v/t51.29350-15/461845851_896175878648975_8044699724066891426_n.jpg?stp=dst-jpg_e35_tt6&amp;efg=eyJ2ZW5jb2RlX3RhZyI6IkNBUk9VU0VMX0lURU0uaW1hZ2VfdXJsZ2VuLjE0NDB4MTc5NS5zZHIuZjI5MzUwLmRlZmF1bHRfaW1hZ2UuYzIifQ&amp;_nc_ht=scontent-gru2-1.cdninstagram.com&amp;_nc_cat=111&amp;_nc_oc=Q6cZ2QHNKF_hOoZMP3TGSdiWLT5mzz8T_eiI9bEOll362VdVyGSxQkVmqBnjz58WQBOkPWwsHyEWaxNkqigVNgzUBLh1&amp;_nc_ohc=pU7t4lONNGEQ7kNvwG4uEu2&amp;_nc_gid=1AjyOG3i1vJelwrTcZxakA&amp;edm=AFlAz-oBAAAA&amp;ccb=7-5&amp;ig_cache_key=MzQ3MDgxMTI1NDE4NjU3MTAyNg%3D%3D.3-ccb7-5&amp;oh=00_Afg2B-qZpISk3BR_ekzL1YQ7bi6xobWLzBqsbsMtI7c66w&amp;oe=691BF88A&amp;_nc_sid=76c0fc,https://scontent-gru1-2.cdninstagram.com/v/t51.29350-15/462001202_837989115172164_8866958108771527331_n.jpg?stp=dst-jpg_e35_tt6&amp;efg=eyJ2ZW5jb2RlX3RhZyI6IkNBUk9VU0VMX0lURU0uaW1hZ2VfdXJsZ2VuLjE0NDB4MTc5NS5zZHIuZjI5MzUwLmRlZmF1bHRfaW1hZ2UuYzIifQ&amp;_nc_ht=scontent-gru1-2.cdninstagram.com&amp;_nc_cat=100&amp;_nc_oc=Q6cZ2QHNKF_hOoZMP3TGSdiWLT5mzz8T_eiI9bEOll362VdVyGSxQkVmqBnjz58WQBOkPWwsHyEWaxNkqigVNgzUBLh1&amp;_nc_ohc=ZELD_Ps086IQ7kNvwGRNv7g&amp;_nc_gid=1AjyOG3i1vJelwrTcZxakA&amp;edm=AFlAz-oBAAAA&amp;ccb=7-5&amp;ig_cache_key=MzQ3MDgxMTI1NDE2OTY4NTEzMQ%3D%3D.3-ccb7-5&amp;oh=00_AfgfGNIfJP8VpQGmYLOCzIPHcBv-mPgR3naBjamIotRycA&amp;oe=691BDB1D&amp;_nc_sid=76c0fc,https://scontent-gru2-2.cdninstagram.com/v/t51.29350-15/461952794_900897228631034_6326759288213871388_n.jpg?stp=dst-jpg_e35_tt6&amp;efg=eyJ2ZW5jb2RlX3RhZyI6IkNBUk9VU0VMX0lURU0uaW1hZ2VfdXJsZ2VuLjE0NDB4MTc5NS5zZHIuZjI5MzUwLmRlZmF1bHRfaW1hZ2UuYzIifQ&amp;_nc_ht=scontent-gru2-2.cdninstagram.com&amp;_nc_cat=102&amp;_nc_oc=Q6cZ2QHNKF_hOoZMP3TGSdiWLT5mzz8T_eiI9bEOll362VdVyGSxQkVmqBnjz58WQBOkPWwsHyEWaxNkqigVNgzUBLh1&amp;_nc_ohc=cSjGgd2hjNYQ7kNvwFEIfiU&amp;_nc_gid=1AjyOG3i1vJelwrTcZxakA&amp;edm=AFlAz-oBAAAA&amp;ccb=7-5&amp;ig_cache_key=MzQ3MDgxMTI1NDE2OTU5MTMzNw%3D%3D.3-ccb7-5&amp;oh=00_AfhNlsAdz9wiV4trtm8EP-C5Xl3gItGXAO6QUEhvnwTSPA&amp;oe=691BDCE7&amp;_nc_sid=76c0fc</t>
  </si>
  <si>
    <t>https://scontent.cdninstagram.com/v/t39.30808-6/590570428_1672873360697853_3957748371944399196_n.jpg?stp=dst-jpg_e35_tt6&amp;_nc_cat=101&amp;ig_cache_key=Mzc3NTQxODcyMDcxNDkwMjM2OA%3D%3D.3-ccb7-5&amp;ccb=7-5&amp;_nc_sid=58cdad&amp;efg=eyJ2ZW5jb2RlX3RhZyI6InhwaWRzLjEwODB4MTM1MC5zZHIuQzMifQ%3D%3D&amp;_nc_ohc=WMg6_64kNiQQ7kNvwHiBcYK&amp;_nc_oc=AdmnAZxv1fO3dEr9qP4odhcV_uohesrhw33NDH6zVvJ5XlykNpJl4OI5hKMPrpERdA1jo0zSgyA0_NvN4xf6CBJ9&amp;_nc_ad=z-m&amp;_nc_cid=0&amp;_nc_zt=23&amp;_nc_ht=scontent.cdninstagram.com&amp;_nc_gid=i7XvFrG1tAxDq8sSzpjFtg&amp;oh=00_AfgX_2wkT1zp9nG76g2V1CcTfxmn4vIMAaRTttobLLhP-g&amp;oe=6930CB46</t>
  </si>
  <si>
    <t>https://scontent-gru1-1.cdninstagram.com/v/t51.2885-19/350239533_216152491273993_5056076351766949515_n.jpg?stp=dst-jpg_s150x150_tt6&amp;efg=eyJ2ZW5jb2RlX3RhZyI6InByb2ZpbGVfcGljLmRqYW5nby4xMDgwLmMyIn0&amp;_nc_ht=scontent-gru1-1.cdninstagram.com&amp;_nc_cat=101&amp;_nc_oc=Q6cZ2QHNKF_hOoZMP3TGSdiWLT5mzz8T_eiI9bEOll362VdVyGSxQkVmqBnjz58WQBOkPWwsHyEWaxNkqigVNgzUBLh1&amp;_nc_ohc=azF8bpdgsmYQ7kNvwE52COM&amp;_nc_gid=1AjyOG3i1vJelwrTcZxakA&amp;edm=AFlAz-oBAAAA&amp;ccb=7-5&amp;oh=00_AfgG0BpxAXQe7785qC_eVrzKReJJ8kMzIGZZd1ZZxaNApg&amp;oe=691BDDBC&amp;_nc_sid=76c0fc</t>
  </si>
  <si>
    <t>https://scontent-gru1-1.cdninstagram.com/v/t51.82787-15/558032758_18078109121079446_3166967930874541337_n.jpg?stp=dst-jpg_e35_tt6&amp;_nc_cat=104&amp;ig_cache_key=MzczMzE2OTQwMjQwMTU1OTk3OQ%3D%3D.3-ccb1-7&amp;ccb=1-7&amp;_nc_sid=58cdad&amp;efg=eyJ2ZW5jb2RlX3RhZyI6InhwaWRzLjczNng5NzYuc2RyLkMzIn0%3D&amp;_nc_ohc=bvh4cm2P5ocQ7kNvwGQF6pe&amp;_nc_oc=AdkBrGPUHsf5wLMiPqRJFOVh7PBRvu3VAnwsd1QSpWbo8M6lTQuZW6Cqh4_C3ni4pbsjKreYt9qQwe_etIDdAG1P&amp;_nc_ad=z-m&amp;_nc_cid=0&amp;_nc_zt=23&amp;_nc_ht=scontent-gru1-1.cdninstagram.com&amp;_nc_gid=1AjyOG3i1vJelwrTcZxakA&amp;oh=00_Afhi-yqHpnqNrWynDeGCqwZywJ_UYc79boByYVgYQ__S4Q&amp;oe=691BD22C,https://scontent-gru1-2.cdninstagram.com/v/t51.82787-15/557810891_18078109136079446_9058963845772715941_n.jpg?stp=dst-jpg_e35_tt6&amp;_nc_cat=103&amp;ig_cache_key=MzczMzE2OTQwMjIzMzgwNTQwNQ%3D%3D.3-ccb1-7&amp;ccb=1-7&amp;_nc_sid=58cdad&amp;efg=eyJ2ZW5jb2RlX3RhZyI6InhwaWRzLjczNng5NzYuc2RyLkMzIn0%3D&amp;_nc_ohc=qzRih2tH2P0Q7kNvwEymak5&amp;_nc_oc=AdkiQkpyAkdmYRJrpMNhCaCyfcy2ONEErzO1w9QMVvrgn6hDiUd_wxiKeRk3onlxRVrmeoUe666c3fzmB9J5Fwsl&amp;_nc_ad=z-m&amp;_nc_cid=0&amp;_nc_zt=23&amp;_nc_ht=scontent-gru1-2.cdninstagram.com&amp;_nc_gid=1AjyOG3i1vJelwrTcZxakA&amp;oh=00_Afh9cnpF2kZKhjxhnO9PHVH5oI1TZwx6ei0jj7PZIPjscQ&amp;oe=691BCC2B,https://scontent-gru1-2.cdninstagram.com/v/t51.82787-15/558380809_18078109139079446_3466225912445905048_n.jpg?stp=dst-jpg_e35_tt6&amp;_nc_cat=100&amp;ig_cache_key=MzczMzE2OTQwMjIyNTM3MjMwMg%3D%3D.3-ccb1-7&amp;ccb=1-7&amp;_nc_sid=58cdad&amp;efg=eyJ2ZW5jb2RlX3RhZyI6InhwaWRzLjczNng5NzMuc2RyLkMzIn0%3D&amp;_nc_ohc=4WBJ4T9fPiYQ7kNvwHOVeOB&amp;_nc_oc=Adl4qVUJAyyNuAc1sTMKCiLAkYPhSxMR5vT002ZItYM7MSYtP_Xy2TCFigc50g2J4ATUY3gnaWECb0VOgT5K25Q3&amp;_nc_ad=z-m&amp;_nc_cid=0&amp;_nc_zt=23&amp;_nc_ht=scontent-gru1-2.cdninstagram.com&amp;_nc_gid=1AjyOG3i1vJelwrTcZxakA&amp;oh=00_AfjVmyccUb0Vs02xk11f9vZKMxllOb-W-BIRTmplxHwi5w&amp;oe=691BCD12,https://scontent-gru2-2.cdninstagram.com/v/t51.82787-15/558170717_18078109154079446_5527854647698823224_n.jpg?stp=dst-jpg_e35_tt6&amp;_nc_cat=102&amp;ig_cache_key=MzczMzE2OTQwMjM5MzE2NTEyOQ%3D%3D.3-ccb1-7&amp;ccb=1-7&amp;_nc_sid=58cdad&amp;efg=eyJ2ZW5jb2RlX3RhZyI6InhwaWRzLjczNng5NzMuc2RyLkMzIn0%3D&amp;_nc_ohc=wKaL90lhtiUQ7kNvwFTKbuL&amp;_nc_oc=Admaz6vcN3a4xG7AMDxCEhu4oxE1G4N0WdIFiuk_o0njF8cMliKmgA5mIC-sfb3SsMD8Idd6sIS3ZFWJ6qNtX4lk&amp;_nc_ad=z-m&amp;_nc_cid=0&amp;_nc_zt=23&amp;_nc_ht=scontent-gru2-2.cdninstagram.com&amp;_nc_gid=1AjyOG3i1vJelwrTcZxakA&amp;oh=00_AfgO0V8UCYYebz5kJOit-8U9UePagMNUa6cPdtSSUNbafg&amp;oe=691BC904,https://scontent-gru2-2.cdninstagram.com/v/t51.82787-15/556992061_18078109169079446_613602863489915487_n.jpg?stp=dst-jpg_e35_tt6&amp;_nc_cat=102&amp;ig_cache_key=MzczMzE2OTQwMjM1MTI1NDg1OA%3D%3D.3-ccb1-7&amp;ccb=1-7&amp;_nc_sid=58cdad&amp;efg=eyJ2ZW5jb2RlX3RhZyI6InhwaWRzLjczNng5NzYuc2RyLkMzIn0%3D&amp;_nc_ohc=spYGObXX20AQ7kNvwEmRdv6&amp;_nc_oc=AdmOL3pT8xoy4_VpyapYxwzHr3WDrEQ0fXyrTNgnkLEOZMK8BfWsAYmAn_ndNULX3no8rXO4V2Gsa8faRWJ2yKsN&amp;_nc_ad=z-m&amp;_nc_cid=0&amp;_nc_zt=23&amp;_nc_ht=scontent-gru2-2.cdninstagram.com&amp;_nc_gid=1AjyOG3i1vJelwrTcZxakA&amp;oh=00_AfitSWVSSxIl4AWudX_odnsKtZxK4xZPhydWyDWUl_DQzA&amp;oe=691BE737,https://scontent-gru1-1.cdninstagram.com/v/t51.82787-15/556845708_18078109163079446_7598030909771667740_n.jpg?stp=dst-jpg_e35_tt6&amp;_nc_cat=101&amp;ig_cache_key=MzczMzE2OTQwMjMwMDg2NzY1OQ%3D%3D.3-ccb1-7&amp;ccb=1-7&amp;_nc_sid=58cdad&amp;efg=eyJ2ZW5jb2RlX3RhZyI6InhwaWRzLjcyMHg5NTIuc2RyLkMzIn0%3D&amp;_nc_ohc=CsWUHeS8AjMQ7kNvwEOPdNG&amp;_nc_oc=AdmK26dNS42mdlPO2ZhX85aIW0ezsWvcykqXMNfjYIQtw_IygW98zlwSyD5qNMew3RWrgpUJKQyG-TuywesDHDtg&amp;_nc_ad=z-m&amp;_nc_cid=0&amp;_nc_zt=23&amp;_nc_ht=scontent-gru1-1.cdninstagram.com&amp;_nc_gid=1AjyOG3i1vJelwrTcZxakA&amp;oh=00_Afg-0VGbmmtQ1-GQDD7qkXisZGLPk0xgLK04DMuNjjsI7w&amp;oe=691BF538,https://scontent-gru1-1.cdninstagram.com/v/t51.82787-15/556798915_18078109178079446_6571665472594768940_n.jpg?stp=dst-jpg_e35_tt6&amp;_nc_cat=101&amp;ig_cache_key=MzczMzE2OTQwMjIyNTM5MzI0Ng%3D%3D.3-ccb1-7&amp;ccb=1-7&amp;_nc_sid=58cdad&amp;efg=eyJ2ZW5jb2RlX3RhZyI6InhwaWRzLjczNng5NzYuc2RyLkMzIn0%3D&amp;_nc_ohc=7_IlDJgJ-BMQ7kNvwEW5wHA&amp;_nc_oc=Adlr6gD-i1yNzpRAjpGHSbAA4TKqgCetMBdAMzQm9Z-OhLxjF8q45Y7vT_FRf4mabBOdT09hkquRcenubXC9PD_v&amp;_nc_ad=z-m&amp;_nc_cid=0&amp;_nc_zt=23&amp;_nc_ht=scontent-gru1-1.cdninstagram.com&amp;_nc_gid=1AjyOG3i1vJelwrTcZxakA&amp;oh=00_Afg6hpI2y7T9laol2jB6Ggmj88vEFidq7gI2YSmD5stnug&amp;oe=691BD83A</t>
  </si>
  <si>
    <t>DQu9UjSEXKC</t>
  </si>
  <si>
    <t>https://www.instagram.com/p/DQu9UjSEXKC</t>
  </si>
  <si>
    <t>Fala feia</t>
  </si>
  <si>
    <t>tataoliiver_</t>
  </si>
  <si>
    <t>Thaynara Oliveira</t>
  </si>
  <si>
    <t>https://scontent-gru1-1.cdninstagram.com/v/t51.2885-19/538337076_18053289023550333_7445201092659838679_n.jpg?stp=dst-jpg_s150x150_tt6&amp;efg=eyJ2ZW5jb2RlX3RhZyI6InByb2ZpbGVfcGljLmRqYW5nby4xMDgwLmMyIn0&amp;_nc_ht=scontent-gru1-1.cdninstagram.com&amp;_nc_cat=1&amp;_nc_oc=Q6cZ2QHIM57Vkz8sP2bRWgbQeBxsrbb3FfDicJ4c-cZaFeYqbOZ7_WPKh1iZVn8wmdvntjJe6L9TLGj2hkxB-TtCwsjC&amp;_nc_ohc=VJL8oHfcZKQQ7kNvwE9HDaf&amp;_nc_gid=mECJj3bvLNFJ797yZUcNFw&amp;edm=AI8qBrIBAAAA&amp;ccb=7-5&amp;oh=00_Afg0ZgIsW41Y7Y8mz1CZQryF3voP5NFesdg_UzScRo-xvw&amp;oe=691BCEF3&amp;_nc_sid=469e9a</t>
  </si>
  <si>
    <t>tdahadulto,tdahadultos,tdahmulher,saudementaldamulher,psiquiatriaonline,psiquiatrapelotas</t>
  </si>
  <si>
    <t>DQnLykRD0qU</t>
  </si>
  <si>
    <t>https://www.instagram.com/p/DQnLykRD0qU</t>
  </si>
  <si>
    <t>Você sabia que um dos principais sintomas do TDAH é a procrastinação? 
O Transtorno de Déficit de Atenção e Hiperatividade (TDAH) é um transtorno do neurodesenvolvimento caracterizado por desatenção, impulsividade e hiperatividade. 
No entanto, um dos pontos centrais que explica muitos dos desafios do TDAH é a regulação da motivação.
O cérebro de pessoas com TDAH apresenta alterações nos circuitos dopaminérgicos, ligados à recompensa e ao prazer. 
Isso faz com que tarefas que não geram interesse imediato ou não tenham um senso de urgência pareçam quase impossíveis de serem iniciadas ou concluídas. 
Nessas situações, há uma tendência à procrastinação ou à falta de engajamento, não por preguiça ou desorganização, mas por um funcionamento cerebral diferente.
#tdah #tdahadulto #tdahadultos #tdahdescomplicado #tdahinfantil #tdahmulher #tdahmemes #psiquiatra #psiquiatrabh #psiquiatratdah</t>
  </si>
  <si>
    <t>https://instagram.fcgh9-1.fna.fbcdn.net/v/t51.2885-19/342896576_197390316393171_6767736904209467616_n.jpg?stp=dst-jpg_s150x150_tt6&amp;efg=eyJ2ZW5jb2RlX3RhZyI6InByb2ZpbGVfcGljLmRqYW5nby4xMDgwLmMyIn0&amp;_nc_ht=instagram.fcgh9-1.fna.fbcdn.net&amp;_nc_cat=103&amp;_nc_oc=Q6cZ2QEX0voY9harPU9QGVM6cZMZJyLfRPHdPHv81xplv5CH_btfJUrEGoqJPfiGOmXcDTLYORGbHd0FVxdxmnj934lc&amp;_nc_ohc=wGwHqzpeXyMQ7kNvwF0ropW&amp;_nc_gid=i7XvFrG1tAxDq8sSzpjFtg&amp;edm=AFlAz-oBAAAA&amp;ccb=7-5&amp;oh=00_AfhA1MB3_etwczmyjI0-nsOeFEGce7saF71IBoI9GiNJzA&amp;oe=6930C7E4&amp;_nc_sid=76c0fc</t>
  </si>
  <si>
    <t>https://scontent-gru1-1.cdninstagram.com/v/t51.82787-15/576527818_18061448204550333_8720818119827287739_n.jpg?stp=dst-jpg_e35_tt6&amp;_nc_cat=1&amp;ig_cache_key=Mzc2MDIxMjQzMjAxMTc1MjA2Ng%3D%3D.3-ccb1-7&amp;ccb=1-7&amp;_nc_sid=58cdad&amp;efg=eyJ2ZW5jb2RlX3RhZyI6InhwaWRzLjEwODB4MTA4MC5zZHIuQzMifQ%3D%3D&amp;_nc_ohc=CPrkLU8EPgEQ7kNvwHAOX9b&amp;_nc_oc=AdkvG8A7go-oOTJ4C1lo27jQncJbIYFgvmNz5tNafeCb7XdjG8DrhjtINR4geIl33LtaxuETgx7Qey5PmL3HlaZW&amp;_nc_ad=z-m&amp;_nc_cid=0&amp;_nc_zt=23&amp;_nc_ht=scontent-gru1-1.cdninstagram.com&amp;_nc_gid=mECJj3bvLNFJ797yZUcNFw&amp;oh=00_AfgB0gGMlfCI2-EgKwVUE-flVluirEhAybarHS7Xs47xRg&amp;oe=691BFD71</t>
  </si>
  <si>
    <t>DQ2dpz3EZvH</t>
  </si>
  <si>
    <t>https://www.instagram.com/p/DQ2dpz3EZvH</t>
  </si>
  <si>
    <t>https://scontent.cdninstagram.com/v/t51.82787-15/570694495_18331920751232330_3354523922651692177_n.jpg?stp=dst-jpg_e35_tt6&amp;_nc_cat=108&amp;ig_cache_key=Mzc1ODAyNDI2NzQ5MDM0NzY2OA%3D%3D.3-ccb7-5&amp;ccb=7-5&amp;_nc_sid=58cdad&amp;efg=eyJ2ZW5jb2RlX3RhZyI6InhwaWRzLjE0NDB4MTc5Ni5zZHIuQzMifQ%3D%3D&amp;_nc_ohc=yxt4Bm3xoZkQ7kNvwEdhgY9&amp;_nc_oc=Adlr-qnAF5glkM3HTz60fFT2o_VhwXGUyxE8g_yzGOJ0d0A44qnrXr6ITrzmJeq0NPKMFC09uI4VFmR3wEYSguan&amp;_nc_ad=z-m&amp;_nc_cid=0&amp;_nc_zt=23&amp;_nc_ht=scontent.cdninstagram.com&amp;_nc_gid=i7XvFrG1tAxDq8sSzpjFtg&amp;oh=00_Afhyx-B70s0_b2gc5O5tkFK3qqS7h1F8lhJAGvQRQj02_A&amp;oe=6930F7A4</t>
  </si>
  <si>
    <t>Red Flags ou Green Flags? ⬇️
Me seguir te ajuda a ter uma relação saudável @nataliadadaltopsi ❤️‍🩹
para conhecer terapia com psicólogas de qualidade especialmente para questões amorosas e valores variados clica no link da bio!
#relacionamentosaudavel #relacionamento #terapiadecasal #casamento #termino #ciumes #traicao #inseguranca #casal</t>
  </si>
  <si>
    <t>nataliadadaltopsi</t>
  </si>
  <si>
    <t>Natalia Dadalto | Psicóloga de Relacionamento</t>
  </si>
  <si>
    <t>https://scontent-gru1-1.cdninstagram.com/v/t51.2885-19/475445362_2433447037014588_7117052640392700551_n.jpg?stp=dst-jpg_s150x150_tt6&amp;efg=eyJ2ZW5jb2RlX3RhZyI6InByb2ZpbGVfcGljLmRqYW5nby4xMDgwLmMyIn0&amp;_nc_ht=scontent-gru1-1.cdninstagram.com&amp;_nc_cat=1&amp;_nc_oc=Q6cZ2QHIM57Vkz8sP2bRWgbQeBxsrbb3FfDicJ4c-cZaFeYqbOZ7_WPKh1iZVn8wmdvntjJe6L9TLGj2hkxB-TtCwsjC&amp;_nc_ohc=STpJ7BfpPIsQ7kNvwF-xzrq&amp;_nc_gid=mECJj3bvLNFJ797yZUcNFw&amp;edm=AI8qBrIBAAAA&amp;ccb=7-5&amp;oh=00_AfjnATgL09Xoep2ITVvrzlsoizE8RnO-5p3YTs7eiYrxLQ&amp;oe=691BEE78&amp;_nc_sid=469e9a</t>
  </si>
  <si>
    <t>https://scontent-gru1-1.cdninstagram.com/v/t51.82787-15/581256081_18536888107044455_4360040876654093833_n.jpg?stp=dst-jpg_e35_tt6&amp;_nc_cat=1&amp;ig_cache_key=Mzc2MjMyNDk0MDYxNjk1ODcxMA%3D%3D.3-ccb1-7&amp;ccb=1-7&amp;_nc_sid=58cdad&amp;efg=eyJ2ZW5jb2RlX3RhZyI6InhwaWRzLjE0NDB4MTkyMC5zZHIuQzMifQ%3D%3D&amp;_nc_ohc=D1OqiTzXH98Q7kNvwGDQLmr&amp;_nc_oc=AdnovEy3UqpXK-lTA8XcwThq7sWVPGU_gPv5TKt_EhezAgAUhurUmF0LcmRgU7Jc9gUOUnXjLyAIN5sMPXAYqWsI&amp;_nc_ad=z-m&amp;_nc_cid=0&amp;_nc_zt=23&amp;_nc_ht=scontent-gru1-1.cdninstagram.com&amp;_nc_gid=mECJj3bvLNFJ797yZUcNFw&amp;oh=00_Afi6NYLMkGOhr3WGSXYpoH_Dh9PC_WlrGcAcABBzqP7YIA&amp;oe=691BEA3F,https://scontent-gru2-2.cdninstagram.com/v/t51.82787-15/575729911_18536888125044455_5710820857723878499_n.jpg?stp=dst-jpg_e35_tt6&amp;_nc_cat=105&amp;ig_cache_key=Mzc2MjMyNDk0MDYyNTM1NDAxOQ%3D%3D.3-ccb1-7&amp;ccb=1-7&amp;_nc_sid=58cdad&amp;efg=eyJ2ZW5jb2RlX3RhZyI6InhwaWRzLjE0NDB4MTkyMC5zZHIuQzMifQ%3D%3D&amp;_nc_ohc=9zE4VZttnhMQ7kNvwHTA0wy&amp;_nc_oc=Adk1gwysFH6hJIP6q3YNSEjd62LfPb-zShTJsyA749nT1P6R_TafBt5Vts9I4eBwT4NSiG6Qdp8gBgRUum18Tl_R&amp;_nc_ad=z-m&amp;_nc_cid=0&amp;_nc_zt=23&amp;_nc_ht=scontent-gru2-2.cdninstagram.com&amp;_nc_gid=mECJj3bvLNFJ797yZUcNFw&amp;oh=00_AfjT-ZOYXVQju1YEHDPiantXm4JctdRukRH4agKGEluhMA&amp;oe=691BEEEC,https://scontent-gru2-2.cdninstagram.com/v/t51.82787-15/576122928_18536888116044455_839110510884576512_n.jpg?stp=dst-jpg_e35_tt6&amp;_nc_cat=106&amp;ig_cache_key=Mzc2MjMyNDk0MDYyNTM4ODI5NA%3D%3D.3-ccb1-7&amp;ccb=1-7&amp;_nc_sid=58cdad&amp;efg=eyJ2ZW5jb2RlX3RhZyI6InhwaWRzLjEwODB4MTQ0MC5zZHIuQzMifQ%3D%3D&amp;_nc_ohc=RVqsxixcmYIQ7kNvwFE2yor&amp;_nc_oc=Adk-cG9IEZmmP2bOos-nHLWVRzqzAOrhxyQ43jWKOyIB-C4qasgdaVHgB2LJnej-4UH6uRR9P1upU1w5b-4W1kle&amp;_nc_ad=z-m&amp;_nc_cid=0&amp;_nc_zt=23&amp;_nc_ht=scontent-gru2-2.cdninstagram.com&amp;_nc_gid=mECJj3bvLNFJ797yZUcNFw&amp;oh=00_AfiDXFKyVl5IsqMaD_QrG-JbWspbpKq2QmnabpEC26i2Mw&amp;oe=691BFEE2,https://scontent-gru2-1.cdninstagram.com/v/t51.82787-15/579387037_18536888134044455_9065704804592171960_n.jpg?stp=dst-jpg_e35_tt6&amp;_nc_cat=107&amp;ig_cache_key=Mzc2MjMyNDk0MDYxNjk3NTE3MQ%3D%3D.3-ccb1-7&amp;ccb=1-7&amp;_nc_sid=58cdad&amp;efg=eyJ2ZW5jb2RlX3RhZyI6InhwaWRzLjE0NDB4MTkyMC5zZHIuQzMifQ%3D%3D&amp;_nc_ohc=lHFeRHIOinkQ7kNvwG38YOn&amp;_nc_oc=AdkWXbuAnrkfNArldxOam3TI1XC1qRjDJCebtQrXQ4Rcva6K4U2atVBm2DBZXD94qpw2jb0zHWBC5NEefjpRGNXS&amp;_nc_ad=z-m&amp;_nc_cid=0&amp;_nc_zt=23&amp;_nc_ht=scontent-gru2-1.cdninstagram.com&amp;_nc_gid=mECJj3bvLNFJ797yZUcNFw&amp;oh=00_Afgz700xNlIrVxYqHwByiIOpR-Ggv_jWiqpyM7D7RQcibQ&amp;oe=691BE5C9,https://scontent-gru2-2.cdninstagram.com/v/t51.82787-15/576604522_18536888143044455_57016304261591235_n.jpg?stp=dst-jpg_e35_tt6&amp;_nc_cat=105&amp;ig_cache_key=Mzc2MjMyNDk0MDYyNTQwMTI1Mg%3D%3D.3-ccb1-7&amp;ccb=1-7&amp;_nc_sid=58cdad&amp;efg=eyJ2ZW5jb2RlX3RhZyI6InhwaWRzLjE0NDB4MTkyMC5zZHIuQzMifQ%3D%3D&amp;_nc_ohc=lgQXKZasNL4Q7kNvwEhBxI-&amp;_nc_oc=AdlFSApZlBy-1EiTMcq7MmiP1DZ37KxRvkpH-uMp8CXa5y8Zx66Igg_HUf8hwPAy74vTwH2bYr8Jg4hwUIYcOOUb&amp;_nc_ad=z-m&amp;_nc_cid=0&amp;_nc_zt=23&amp;_nc_ht=scontent-gru2-2.cdninstagram.com&amp;_nc_gid=mECJj3bvLNFJ797yZUcNFw&amp;oh=00_Afge_tMN6-CfIgErw-A0RavDjST6ktKfH-g8kmET36qyvA&amp;oe=691BCA6C,https://scontent-gru2-2.cdninstagram.com/v/t51.82787-15/575612171_18536888152044455_427003875196019826_n.jpg?stp=dst-jpg_e35_tt6&amp;_nc_cat=105&amp;ig_cache_key=Mzc2MjMyNDk0MDYxNjk4MzIyMA%3D%3D.3-ccb1-7&amp;ccb=1-7&amp;_nc_sid=58cdad&amp;efg=eyJ2ZW5jb2RlX3RhZyI6InhwaWRzLjE0NDB4MTkyMC5zZHIuQzMifQ%3D%3D&amp;_nc_ohc=R2-8wZY9hUoQ7kNvwE2bQOI&amp;_nc_oc=AdkQ3DbWmUdhs-zLZuMvlA05rp3TyIv1SDNumT_R-2w5C3jQ10N7M1w1iPsA-h_i2fvLaPVtW0fFENf6fOAO1aDk&amp;_nc_ad=z-m&amp;_nc_cid=0&amp;_nc_zt=23&amp;_nc_ht=scontent-gru2-2.cdninstagram.com&amp;_nc_gid=mECJj3bvLNFJ797yZUcNFw&amp;oh=00_AfhvCdVxpVo-QNWKooBXOnoHi5t-h6S8YulExrgYVNUYGw&amp;oe=691BF6C7,https://scontent-gru2-1.cdninstagram.com/v/t51.82787-15/580982567_18536888161044455_2271514322125672389_n.jpg?stp=dst-jpg_e35_tt6&amp;_nc_cat=109&amp;ig_cache_key=Mzc2MjMyNDk0MDYyNTM5MDQwMA%3D%3D.3-ccb1-7&amp;ccb=1-7&amp;_nc_sid=58cdad&amp;efg=eyJ2ZW5jb2RlX3RhZyI6InhwaWRzLjE0NDB4MTkyMC5zZHIuQzMifQ%3D%3D&amp;_nc_ohc=0WO5ONCHcKIQ7kNvwHhp3DF&amp;_nc_oc=Admxe7rrlylbBFPKyeLI80KJGFQB5KLDX0RtZpiBq2VtVCp6_XbcViGR27Yw6MW4Ys0ydt1xpkZuT3icwYkvaG1Q&amp;_nc_ad=z-m&amp;_nc_cid=0&amp;_nc_zt=23&amp;_nc_ht=scontent-gru2-1.cdninstagram.com&amp;_nc_gid=mECJj3bvLNFJ797yZUcNFw&amp;oh=00_AfiM1iWlvmvC7LZmhBR8sDu1KxIhNsYIEWcB26dovJmO6g&amp;oe=691BE2DD</t>
  </si>
  <si>
    <t>relacionamentosaudavel,relacionamento,terapiadecasal,casamento,termino,ciumes,traicao,inseguranca,casal</t>
  </si>
  <si>
    <t>DQ1kKPnDqMq</t>
  </si>
  <si>
    <t>https://www.instagram.com/p/DQ1kKPnDqMq</t>
  </si>
  <si>
    <t>🔥
@start.160.clube🥇
.
.
.
.
.
.
.
.
.
.
.
.
.
.
.
.
.
.
.
.
.
Tags:
#start160clube#start#start160#start160🚀💨#start160cc#grau#grauderua#graunaoecrime#graudemoto#osascorte#244#244naoecrime#moto#milgrau#graudixava#quebradacampolimpo#59d❤️#grausp</t>
  </si>
  <si>
    <t>start.160.clube</t>
  </si>
  <si>
    <t>𝐒𝐭𝐚𝐫𝐭 𝟏𝟔𝟎 𝐜𝐥𝐮𝐛𝐞 🎮</t>
  </si>
  <si>
    <t>tdah,tdahadulto,tdahadultos,tdahdescomplicado,tdahinfantil,tdahmulher,tdahmemes,psiquiatra,psiquiatrabh,psiquiatratdah</t>
  </si>
  <si>
    <t>mariliapessoamarketing</t>
  </si>
  <si>
    <t>https://scontent-gru1-1.cdninstagram.com/v/t51.2885-19/530505410_17912675997179320_389768113664793802_n.jpg?stp=dst-jpg_s150x150_tt6&amp;efg=eyJ2ZW5jb2RlX3RhZyI6InByb2ZpbGVfcGljLmRqYW5nby41NzYuYzIifQ&amp;_nc_ht=scontent-gru1-1.cdninstagram.com&amp;_nc_cat=104&amp;_nc_oc=Q6cZ2QHIM57Vkz8sP2bRWgbQeBxsrbb3FfDicJ4c-cZaFeYqbOZ7_WPKh1iZVn8wmdvntjJe6L9TLGj2hkxB-TtCwsjC&amp;_nc_ohc=_0ljhdnhIQQQ7kNvwGOpDQJ&amp;_nc_gid=mECJj3bvLNFJ797yZUcNFw&amp;edm=AI8qBrIBAAAA&amp;ccb=7-5&amp;oh=00_AfjkruVVXE5MukwyUHmmE3WTNU13b6UAvrOF1rGQhTPlIg&amp;oe=691BD358&amp;_nc_sid=469e9a</t>
  </si>
  <si>
    <t>Cq8HaScMgqQ</t>
  </si>
  <si>
    <t>https://www.instagram.com/p/Cq8HaScMgqQ</t>
  </si>
  <si>
    <t>Enfim, gente, pode até ser que o meu diagnóstico não se confirme mas que o mercado pede por mais pesquisas na área do TDAH Adulto, isso é fato! Então eu senti o chamado e vou realizar um sonho antigo: VOU FAZER UM MESTRADO EM PSICOLOGIA ORGANIZACIONAL NA ➡️ @must.education E O TDAH ADULTO SERÁ MEU FOCO DE PESQUISA. E você tem 15% off se quiser fazer também! https://conteudo.mustedu.com/cadastro-isa-minatel
O que você sabe sobre isso?
Esse post falou com você de alguma forma?
Deixe aqui suas dúvidas e...
Vamos juntos? ♥️
#tdah #tdahadulto #mestrado #mestradoead #psicologia</t>
  </si>
  <si>
    <t>isa.minatel</t>
  </si>
  <si>
    <t>Isa | Disciplina do Equilíbrio®️</t>
  </si>
  <si>
    <t>https://instagram.fcgh9-1.fna.fbcdn.net/v/t51.2885-19/431964426_1180889359987842_3264316669986268732_n.jpg?stp=dst-jpg_s150x150_tt6&amp;efg=eyJ2ZW5jb2RlX3RhZyI6InByb2ZpbGVfcGljLmRqYW5nby4xMDgwLmMyIn0&amp;_nc_ht=instagram.fcgh9-1.fna.fbcdn.net&amp;_nc_cat=106&amp;_nc_oc=Q6cZ2QEX0voY9harPU9QGVM6cZMZJyLfRPHdPHv81xplv5CH_btfJUrEGoqJPfiGOmXcDTLYORGbHd0FVxdxmnj934lc&amp;_nc_ohc=cdGTRgfoD98Q7kNvwGl_opG&amp;_nc_gid=i7XvFrG1tAxDq8sSzpjFtg&amp;edm=AFlAz-oBAAAA&amp;ccb=7-5&amp;oh=00_AfgTnlsT01aJIV7AmOIxGletIFu4HT_Af1ds85x5j2V6LQ&amp;oe=6930C428&amp;_nc_sid=76c0fc</t>
  </si>
  <si>
    <t>https://scontent-gru1-1.cdninstagram.com/v/t51.82787-15/575593022_17922599244179320_8212870150491008410_n.webp?_nc_cat=1&amp;ig_cache_key=Mzc2MjA3MjA5NzM2ODQ4MjYwMg%3D%3D.3-ccb1-7&amp;ccb=1-7&amp;_nc_sid=58cdad&amp;efg=eyJ2ZW5jb2RlX3RhZyI6InhwaWRzLjgxNHgxMDgwLnNkci5DMyJ9&amp;_nc_ohc=f9h4om1DNx0Q7kNvwFAL1T-&amp;_nc_oc=AdlSLUwRIFuKJrY_NONmML5QrvZzO_MrRiepX72bm3Vao6zd8gGSQuMt5Vz9cFjyGranHI_OW9B-tC26kS1kB8Pw&amp;_nc_ad=z-m&amp;_nc_cid=0&amp;_nc_zt=23&amp;_nc_ht=scontent-gru1-1.cdninstagram.com&amp;_nc_gid=mECJj3bvLNFJ797yZUcNFw&amp;oh=00_AfhChi5Lu6IN-OI0fkiCwPPTYG1suLlJKwbafA7qtVwQaA&amp;oe=691BEBD2</t>
  </si>
  <si>
    <t>start160clube,start,start160,start160🚀💨,start160cc,grau,grauderua,graunaoecrime,graudemoto,osascorte,244,244naoecrime,moto,milgrau,graudixava,quebradacampolimpo,59d❤️,grausp</t>
  </si>
  <si>
    <t>DQzBUsiDt5u</t>
  </si>
  <si>
    <t>https://www.instagram.com/p/DQzBUsiDt5u</t>
  </si>
  <si>
    <t>👊🏻👊🏻👊🏻</t>
  </si>
  <si>
    <t>mente_billionariaa</t>
  </si>
  <si>
    <t>Mente Bilionaria | Gabriel Arruda</t>
  </si>
  <si>
    <t>https://scontent-gru1-2.cdninstagram.com/v/t51.2885-19/506332670_17881175961323112_3964075448913420440_n.jpg?stp=dst-jpg_s150x150_tt6&amp;efg=eyJ2ZW5jb2RlX3RhZyI6InByb2ZpbGVfcGljLmRqYW5nby44MzguYzIifQ&amp;_nc_ht=scontent-gru1-2.cdninstagram.com&amp;_nc_cat=100&amp;_nc_oc=Q6cZ2QHIM57Vkz8sP2bRWgbQeBxsrbb3FfDicJ4c-cZaFeYqbOZ7_WPKh1iZVn8wmdvntjJe6L9TLGj2hkxB-TtCwsjC&amp;_nc_ohc=FGBVNV2HXtUQ7kNvwEnsM5A&amp;_nc_gid=mECJj3bvLNFJ797yZUcNFw&amp;edm=AI8qBrIBAAAA&amp;ccb=7-5&amp;oh=00_AfiVd4pcmHXjSTAQljW0uL_iHtYI-oELmc3cCyJtdGN_hg&amp;oe=691BCC23&amp;_nc_sid=469e9a</t>
  </si>
  <si>
    <t>https://instagram.fcgh9-1.fna.fbcdn.net/v/t51.29350-15/340825771_1262506034656704_5002172211751802981_n.jpg?stp=dst-jpg_e35_tt6&amp;efg=eyJ2ZW5jb2RlX3RhZyI6IkNBUk9VU0VMX0lURU0uaW1hZ2VfdXJsZ2VuLjE0NDB4MTY0My5zZHIuZjI5MzUwLmRlZmF1bHRfaW1hZ2UuYzIifQ&amp;_nc_ht=instagram.fcgh9-1.fna.fbcdn.net&amp;_nc_cat=100&amp;_nc_oc=Q6cZ2QEX0voY9harPU9QGVM6cZMZJyLfRPHdPHv81xplv5CH_btfJUrEGoqJPfiGOmXcDTLYORGbHd0FVxdxmnj934lc&amp;_nc_ohc=-3288mt7p7wQ7kNvwEMMZwi&amp;_nc_gid=i7XvFrG1tAxDq8sSzpjFtg&amp;edm=AFlAz-oBAAAA&amp;ccb=7-5&amp;ig_cache_key=MzA3OTM2ODgzMjIyNTM2MzkzOA%3D%3D.3-ccb7-5&amp;oh=00_Afgl8Eohrk0OuDQCGZ2pgheYEKm95nFAlv07rjWp19uTlg&amp;oe=6930E153&amp;_nc_sid=76c0fc,https://instagram.fcgh9-1.fna.fbcdn.net/v/t51.29350-15/340657483_613616537307050_5097400392988779557_n.jpg?stp=dst-jpg_e35_tt6&amp;efg=eyJ2ZW5jb2RlX3RhZyI6IkNBUk9VU0VMX0lURU0uaW1hZ2VfdXJsZ2VuLjE0NDB4MTYzNy5zZHIuZjI5MzUwLmRlZmF1bHRfaW1hZ2UuYzIifQ&amp;_nc_ht=instagram.fcgh9-1.fna.fbcdn.net&amp;_nc_cat=102&amp;_nc_oc=Q6cZ2QEX0voY9harPU9QGVM6cZMZJyLfRPHdPHv81xplv5CH_btfJUrEGoqJPfiGOmXcDTLYORGbHd0FVxdxmnj934lc&amp;_nc_ohc=2SLBHY8WfPsQ7kNvwF9aZx2&amp;_nc_gid=i7XvFrG1tAxDq8sSzpjFtg&amp;edm=AFlAz-oBAAAA&amp;ccb=7-5&amp;ig_cache_key=MzA3OTM2ODgzMjI0MjEzOTE1NA%3D%3D.3-ccb7-5&amp;oh=00_AfgpnnyUOR6QNYzqzp6jU5Xfyh-zT0ac-ohXiOV9Q2L6Hw&amp;oe=6930E498&amp;_nc_sid=76c0fc,https://instagram.fcgh9-1.fna.fbcdn.net/v/t51.29350-15/340496053_988334952147456_5450011929969823171_n.jpg?stp=dst-jpg_e35_tt6&amp;efg=eyJ2ZW5jb2RlX3RhZyI6IkNBUk9VU0VMX0lURU0uaW1hZ2VfdXJsZ2VuLjE0NDB4MTY0MC5zZHIuZjI5MzUwLmRlZmF1bHRfaW1hZ2UuYzIifQ&amp;_nc_ht=instagram.fcgh9-1.fna.fbcdn.net&amp;_nc_cat=100&amp;_nc_oc=Q6cZ2QEX0voY9harPU9QGVM6cZMZJyLfRPHdPHv81xplv5CH_btfJUrEGoqJPfiGOmXcDTLYORGbHd0FVxdxmnj934lc&amp;_nc_ohc=LFJ8p8qhD38Q7kNvwE4bTWY&amp;_nc_gid=i7XvFrG1tAxDq8sSzpjFtg&amp;edm=AFlAz-oBAAAA&amp;ccb=7-5&amp;ig_cache_key=MzA3OTM2ODgzMjI0MjA5MjQ4Mg%3D%3D.3-ccb7-5&amp;oh=00_AfgzR7a1OsILLos6KZTGt5X5Wzc24bD9xAXQy3pjyuLFog&amp;oe=6930F7EF&amp;_nc_sid=76c0fc,https://instagram.fcgh9-1.fna.fbcdn.net/v/t51.29350-15/340807836_601682905205899_7210465547187195940_n.jpg?stp=dst-jpg_e35_tt6&amp;efg=eyJ2ZW5jb2RlX3RhZyI6IkNBUk9VU0VMX0lURU0uaW1hZ2VfdXJsZ2VuLjE0NDB4MTYzNy5zZHIuZjI5MzUwLmRlZmF1bHRfaW1hZ2UuYzIifQ&amp;_nc_ht=instagram.fcgh9-1.fna.fbcdn.net&amp;_nc_cat=107&amp;_nc_oc=Q6cZ2QEX0voY9harPU9QGVM6cZMZJyLfRPHdPHv81xplv5CH_btfJUrEGoqJPfiGOmXcDTLYORGbHd0FVxdxmnj934lc&amp;_nc_ohc=2OV2e0Y9DpcQ7kNvwGnQi5X&amp;_nc_gid=i7XvFrG1tAxDq8sSzpjFtg&amp;edm=AFlAz-oBAAAA&amp;ccb=7-5&amp;ig_cache_key=MzA3OTM2ODgzMjQ0MzMxOTY4NQ%3D%3D.3-ccb7-5&amp;oh=00_AfjbaDARvr5yshZKfCbLxdaySL6mJ27ohHQbHLtvZqPO5w&amp;oe=6930C509&amp;_nc_sid=76c0fc,https://instagram.fcgh9-1.fna.fbcdn.net/v/t51.29350-15/340812696_679392050620910_6799946714870264814_n.jpg?stp=dst-jpg_e35_tt6&amp;efg=eyJ2ZW5jb2RlX3RhZyI6IkNBUk9VU0VMX0lURU0uaW1hZ2VfdXJsZ2VuLjE0NDB4MTYzNy5zZHIuZjI5MzUwLmRlZmF1bHRfaW1hZ2UuYzIifQ&amp;_nc_ht=instagram.fcgh9-1.fna.fbcdn.net&amp;_nc_cat=102&amp;_nc_oc=Q6cZ2QEX0voY9harPU9QGVM6cZMZJyLfRPHdPHv81xplv5CH_btfJUrEGoqJPfiGOmXcDTLYORGbHd0FVxdxmnj934lc&amp;_nc_ohc=mayddlLJuo8Q7kNvwGbQs79&amp;_nc_gid=i7XvFrG1tAxDq8sSzpjFtg&amp;edm=AFlAz-oBAAAA&amp;ccb=7-5&amp;ig_cache_key=MzA3OTM2ODgzMjIzMzY5NjQzOQ%3D%3D.3-ccb7-5&amp;oh=00_AfjX_Za7-VDcqoba898IQ4k_qSHj9fk8YyOvf7xgetkqzQ&amp;oe=6930FB5D&amp;_nc_sid=76c0fc,https://instagram.fcgh9-1.fna.fbcdn.net/v/t51.29350-15/340652114_1248001812481294_2064288560526866226_n.jpg?stp=dst-jpg_e35_tt6&amp;efg=eyJ2ZW5jb2RlX3RhZyI6IkNBUk9VU0VMX0lURU0uaW1hZ2VfdXJsZ2VuLjE0NDB4MTYzOC5zZHIuZjI5MzUwLmRlZmF1bHRfaW1hZ2UuYzIifQ&amp;_nc_ht=instagram.fcgh9-1.fna.fbcdn.net&amp;_nc_cat=110&amp;_nc_oc=Q6cZ2QEX0voY9harPU9QGVM6cZMZJyLfRPHdPHv81xplv5CH_btfJUrEGoqJPfiGOmXcDTLYORGbHd0FVxdxmnj934lc&amp;_nc_ohc=BaSNqtiTH8IQ7kNvwHHJ91U&amp;_nc_gid=i7XvFrG1tAxDq8sSzpjFtg&amp;edm=AFlAz-oBAAAA&amp;ccb=7-5&amp;ig_cache_key=MzA3OTM2ODgzMjIzMzUzMTczNA%3D%3D.3-ccb7-5&amp;oh=00_AfhWSJlPYhisx9JdjP_FZBK5JUPi261NwRGYlyQ-M8zFRg&amp;oe=6930D6B6&amp;_nc_sid=76c0fc,https://instagram.fcgh9-1.fna.fbcdn.net/v/t51.29350-15/340818812_1013754456256765_2176886251071792915_n.jpg?stp=dst-jpg_e35_tt6&amp;efg=eyJ2ZW5jb2RlX3RhZyI6IkNBUk9VU0VMX0lURU0uaW1hZ2VfdXJsZ2VuLjE0NDB4MTY0My5zZHIuZjI5MzUwLmRlZmF1bHRfaW1hZ2UuYzIifQ&amp;_nc_ht=instagram.fcgh9-1.fna.fbcdn.net&amp;_nc_cat=101&amp;_nc_oc=Q6cZ2QEX0voY9harPU9QGVM6cZMZJyLfRPHdPHv81xplv5CH_btfJUrEGoqJPfiGOmXcDTLYORGbHd0FVxdxmnj934lc&amp;_nc_ohc=wNaHVcyORfQQ7kNvwF-j6uc&amp;_nc_gid=i7XvFrG1tAxDq8sSzpjFtg&amp;edm=AFlAz-oBAAAA&amp;ccb=7-5&amp;ig_cache_key=MzA3OTM2ODgzMjIzMzUxNDk4Nw%3D%3D.3-ccb7-5&amp;oh=00_AfgeAZSxhs_Gl0OcRPh5JgDHA9lgbOhuEQ8h23gr9TKyqg&amp;oe=6930E6DB&amp;_nc_sid=76c0fc,https://instagram.fcgh9-1.fna.fbcdn.net/v/t51.29350-15/340805342_208080055192649_7237911531808886213_n.jpg?stp=dst-jpg_e35_tt6&amp;efg=eyJ2ZW5jb2RlX3RhZyI6IkNBUk9VU0VMX0lURU0uaW1hZ2VfdXJsZ2VuLjE0NDB4MTY0My5zZHIuZjI5MzUwLmRlZmF1bHRfaW1hZ2UuYzIifQ&amp;_nc_ht=instagram.fcgh9-1.fna.fbcdn.net&amp;_nc_cat=105&amp;_nc_oc=Q6cZ2QEX0voY9harPU9QGVM6cZMZJyLfRPHdPHv81xplv5CH_btfJUrEGoqJPfiGOmXcDTLYORGbHd0FVxdxmnj934lc&amp;_nc_ohc=ZCSiwZQg_nsQ7kNvwE8H6wD&amp;_nc_gid=i7XvFrG1tAxDq8sSzpjFtg&amp;edm=AFlAz-oBAAAA&amp;ccb=7-5&amp;ig_cache_key=MzA3OTM2ODgzMjI0MjE0NDA4Nw%3D%3D.3-ccb7-5&amp;oh=00_Afhf6fjxau_by3Xa6fzI9BHdNxnOk8kBo8ZKIeWFl7xjlA&amp;oe=6930F068&amp;_nc_sid=76c0fc,https://instagram.fcgh9-1.fna.fbcdn.net/v/t51.29350-15/340480155_1661048640998146_6069385521069744586_n.jpg?stp=dst-jpg_e35_tt6&amp;efg=eyJ2ZW5jb2RlX3RhZyI6IkNBUk9VU0VMX0lURU0uaW1hZ2VfdXJsZ2VuLjE0NDB4MTY0My5zZHIuZjI5MzUwLmRlZmF1bHRfaW1hZ2UuYzIifQ&amp;_nc_ht=instagram.fcgh9-1.fna.fbcdn.net&amp;_nc_cat=110&amp;_nc_oc=Q6cZ2QEX0voY9harPU9QGVM6cZMZJyLfRPHdPHv81xplv5CH_btfJUrEGoqJPfiGOmXcDTLYORGbHd0FVxdxmnj934lc&amp;_nc_ohc=MbetIaLjxmkQ7kNvwFWcHGs&amp;_nc_gid=i7XvFrG1tAxDq8sSzpjFtg&amp;edm=AFlAz-oBAAAA&amp;ccb=7-5&amp;ig_cache_key=MzA3OTM2ODgzMjI0MTkzNTIyMQ%3D%3D.3-ccb7-5&amp;oh=00_AfjWz7fxQqSidT_t2pfBN39g-AXl-uJh2jMaz_idUI-NVw&amp;oe=6930CE5C&amp;_nc_sid=76c0fc,https://instagram.fcgh9-1.fna.fbcdn.net/v/t51.29350-15/340516796_1270874933849950_4450664279173508137_n.jpg?stp=dst-jpg_e35_tt6&amp;efg=eyJ2ZW5jb2RlX3RhZyI6IkNBUk9VU0VMX0lURU0uaW1hZ2VfdXJsZ2VuLjE0NDB4MTY0My5zZHIuZjI5MzUwLmRlZmF1bHRfaW1hZ2UuYzIifQ&amp;_nc_ht=instagram.fcgh9-1.fna.fbcdn.net&amp;_nc_cat=110&amp;_nc_oc=Q6cZ2QEX0voY9harPU9QGVM6cZMZJyLfRPHdPHv81xplv5CH_btfJUrEGoqJPfiGOmXcDTLYORGbHd0FVxdxmnj934lc&amp;_nc_ohc=TCfeUTInC78Q7kNvwG0Ht2W&amp;_nc_gid=i7XvFrG1tAxDq8sSzpjFtg&amp;edm=AFlAz-oBAAAA&amp;ccb=7-5&amp;ig_cache_key=MzA3OTM2ODgzMjQ1MTc5Njk2MQ%3D%3D.3-ccb7-5&amp;oh=00_Afhwh3Ib4Xp9bq8aiXXqM9pf5TawKG7NOuhkiMPprObtvA&amp;oe=6930CCBE&amp;_nc_sid=76c0fc</t>
  </si>
  <si>
    <t>tdah,tdahadulto,mestrado,mestradoead,psicologia</t>
  </si>
  <si>
    <t>must.education</t>
  </si>
  <si>
    <t>https://scontent-gru1-1.cdninstagram.com/v/t51.82787-15/575293244_17898951225323112_8932570535418033335_n.jpg?stp=dst-jpg_e35_tt6&amp;_nc_cat=101&amp;ig_cache_key=Mzc2MTM1NTkyNDAwMzc1MDQ4Mw%3D%3D.3-ccb1-7&amp;ccb=1-7&amp;_nc_sid=58cdad&amp;efg=eyJ2ZW5jb2RlX3RhZyI6InhwaWRzLjEwODB4MTM1MC5zZHIuQzMifQ%3D%3D&amp;_nc_ohc=hNNsM3pMwzEQ7kNvwEz7AaW&amp;_nc_oc=Adn5QKmLW_fQMJLxSgUrPBIYsa2fqNWkNGQsFS_JQPZQecr0NS_KXc-aRB7pwAxuZSoWaDrVWCmRJ5aOy83h8UJN&amp;_nc_ad=z-m&amp;_nc_cid=0&amp;_nc_zt=23&amp;_nc_ht=scontent-gru1-1.cdninstagram.com&amp;_nc_gid=mECJj3bvLNFJ797yZUcNFw&amp;oh=00_AfiXGRxIYafT-xiDuJUHEPj3c0860PCnihe9lIBm82ssmA&amp;oe=691BFADD,https://scontent-gru1-1.cdninstagram.com/v/t51.82787-15/573297304_17898951234323112_1202138564077753851_n.jpg?stp=dst-jpg_e35_tt6&amp;_nc_cat=101&amp;ig_cache_key=Mzc2MTM1NTkyNDAwMzgxMjUxMg%3D%3D.3-ccb1-7&amp;ccb=1-7&amp;_nc_sid=58cdad&amp;efg=eyJ2ZW5jb2RlX3RhZyI6InhwaWRzLjEwODB4MTM1MC5zZHIuQzMifQ%3D%3D&amp;_nc_ohc=XE-81IvhDEkQ7kNvwEGXBf1&amp;_nc_oc=Adn_faWHsHxXr1tIIRUw4zxnhceoc6fesNBLbjC50gJuqdC9m47560R9l81gxfzIi5RkuM5CwsMo8geQeSMzgmeJ&amp;_nc_ad=z-m&amp;_nc_cid=0&amp;_nc_zt=23&amp;_nc_ht=scontent-gru1-1.cdninstagram.com&amp;_nc_gid=mECJj3bvLNFJ797yZUcNFw&amp;oh=00_Afh-QnkXm53QrDvyn8CLqGSQ8mxbQPS4WSMyLrPOYmSA1w&amp;oe=691BC966,https://scontent-gru2-2.cdninstagram.com/v/t51.82787-15/575689890_17898951243323112_4048151761984019154_n.jpg?stp=dst-jpg_e35_tt6&amp;_nc_cat=106&amp;ig_cache_key=Mzc2MTM1NTkyNDAwMzc4MzI2Ng%3D%3D.3-ccb1-7&amp;ccb=1-7&amp;_nc_sid=58cdad&amp;efg=eyJ2ZW5jb2RlX3RhZyI6InhwaWRzLjEwODB4MTM1MC5zZHIuQzMifQ%3D%3D&amp;_nc_ohc=PzJJSTMXjagQ7kNvwGlPtLG&amp;_nc_oc=Adl3uFlDb-ZQRrR3eq4KkpMKdM6WbBBohQ7KrOZH93DPvlFnDwfYa11gcJ4Pzc-KpxPR8UDD3Cj5OM3NYMIbU_kK&amp;_nc_ad=z-m&amp;_nc_cid=0&amp;_nc_zt=23&amp;_nc_ht=scontent-gru2-2.cdninstagram.com&amp;_nc_gid=mECJj3bvLNFJ797yZUcNFw&amp;oh=00_AfjbCL_FSMVXVq45vlgieaCZuC3QySyHh3oKSm_TYRkfVQ&amp;oe=691BF54F,https://scontent-gru1-2.cdninstagram.com/v/t51.82787-15/575313751_17898951252323112_7239275971339801745_n.jpg?stp=dst-jpg_e35_tt6&amp;_nc_cat=100&amp;ig_cache_key=Mzc2MTM1NTkyMzk5NTQwMzE3Ng%3D%3D.3-ccb1-7&amp;ccb=1-7&amp;_nc_sid=58cdad&amp;efg=eyJ2ZW5jb2RlX3RhZyI6InhwaWRzLjEwODB4MTM1MC5zZHIuQzMifQ%3D%3D&amp;_nc_ohc=cy-zwWH9o38Q7kNvwHTWXgZ&amp;_nc_oc=AdlSZ12KrCe_g53dW36Cq1T-q-3OohaD80wzCF4yqRpk_jPBa7znedRwy5eGrfE20KtAx7zyc771WezqZEvPah0R&amp;_nc_ad=z-m&amp;_nc_cid=0&amp;_nc_zt=23&amp;_nc_ht=scontent-gru1-2.cdninstagram.com&amp;_nc_gid=mECJj3bvLNFJ797yZUcNFw&amp;oh=00_Afi4SWzq3gs3DVkcB-UkwarDHy1H68gEl1squIDR4Vj_wQ&amp;oe=691BD539</t>
  </si>
  <si>
    <t>DQ0yLbUDWVz</t>
  </si>
  <si>
    <t>https://www.instagram.com/p/DQ0yLbUDWVz</t>
  </si>
  <si>
    <t>https://instagram.fcgh9-1.fna.fbcdn.net/v/t51.2885-19/419966317_2034897496883497_3859836952302701172_n.jpg?stp=dst-jpg_s150x150_tt6&amp;efg=eyJ2ZW5jb2RlX3RhZyI6InByb2ZpbGVfcGljLmRqYW5nby4xMDgwLmMyIn0&amp;_nc_ht=instagram.fcgh9-1.fna.fbcdn.net&amp;_nc_cat=101&amp;_nc_oc=Q6cZ2QEX0voY9harPU9QGVM6cZMZJyLfRPHdPHv81xplv5CH_btfJUrEGoqJPfiGOmXcDTLYORGbHd0FVxdxmnj934lc&amp;_nc_ohc=oQt62kcyI2oQ7kNvwHuMkU4&amp;_nc_gid=i7XvFrG1tAxDq8sSzpjFtg&amp;edm=AFlAz-oBAAAA&amp;ccb=7-5&amp;oh=00_AfjQKdcfBXNBibFznHRtVRRrJii9NQCis24hIAnR15y65g&amp;oe=6930DDF4&amp;_nc_sid=76c0fc</t>
  </si>
  <si>
    <t>💗</t>
  </si>
  <si>
    <t>skzmiii</t>
  </si>
  <si>
    <t>𝖒𝖎𝖗𝖊𝖑𝖆</t>
  </si>
  <si>
    <t>https://scontent-gru2-2.cdninstagram.com/v/t51.2885-19/491466744_653181534166337_3489187258337396588_n.jpg?stp=dst-jpg_s150x150_tt6&amp;efg=eyJ2ZW5jb2RlX3RhZyI6InByb2ZpbGVfcGljLmRqYW5nby4xMDgwLmMyIn0&amp;_nc_ht=scontent-gru2-2.cdninstagram.com&amp;_nc_cat=105&amp;_nc_oc=Q6cZ2QHIM57Vkz8sP2bRWgbQeBxsrbb3FfDicJ4c-cZaFeYqbOZ7_WPKh1iZVn8wmdvntjJe6L9TLGj2hkxB-TtCwsjC&amp;_nc_ohc=m-xeGGNmoxgQ7kNvwH4aK0J&amp;_nc_gid=mECJj3bvLNFJ797yZUcNFw&amp;edm=AI8qBrIBAAAA&amp;ccb=7-5&amp;oh=00_AfhL5hjSvej8-xVxHczAR-9AQ2vqXZ8KVEnw0G0LZ3K3MA&amp;oe=691BE27A&amp;_nc_sid=469e9a</t>
  </si>
  <si>
    <t>blackbrazilianskins</t>
  </si>
  <si>
    <t>𝕭𝖑𝖆𝖈𝖐𝖇𝖗𝖆𝖟𝖎𝖑𝖎𝖆𝖓🤎</t>
  </si>
  <si>
    <t>https://scontent-gru1-2.cdninstagram.com/v/t51.82787-15/575977481_18142231021445812_7273129620307797771_n.jpg?stp=dst-jpg_e35_tt6&amp;_nc_cat=100&amp;ig_cache_key=Mzc2MTg1MjI2Nzk1NjYyODcyMA%3D%3D.3-ccb1-7&amp;ccb=1-7&amp;_nc_sid=58cdad&amp;efg=eyJ2ZW5jb2RlX3RhZyI6InhwaWRzLjEwODB4ODEwLnNkci5DMyJ9&amp;_nc_ohc=B5D2IDm8nRgQ7kNvwHNEW0S&amp;_nc_oc=AdkLniSWoW6hd4py2EcTuwqkSoXm2hL1AliMRDWMjQ36kXsZ8wIcxUHrGJ7996fYTCHA9Nxg858CI_TBWiBUNQKZ&amp;_nc_ad=z-m&amp;_nc_cid=0&amp;_nc_zt=23&amp;_nc_ht=scontent-gru1-2.cdninstagram.com&amp;_nc_gid=mECJj3bvLNFJ797yZUcNFw&amp;oh=00_AfhohKZo52DrmvAR2Aduh_4y9pmQ2BjxFsCZ3p7cKH2hYA&amp;oe=691BE2EE,https://scontent-gru2-2.cdninstagram.com/v/t51.82787-15/574247904_18142231030445812_5362194796077610592_n.jpg?stp=dst-jpg_e35_tt6&amp;_nc_cat=105&amp;ig_cache_key=Mzc2MTg1MjI2Nzk3MzM4ODI5Mw%3D%3D.3-ccb1-7&amp;ccb=1-7&amp;_nc_sid=58cdad&amp;efg=eyJ2ZW5jb2RlX3RhZyI6InhwaWRzLjEwODB4ODEwLnNkci5DMyJ9&amp;_nc_ohc=u_OBZnmPtq4Q7kNvwFyFsp1&amp;_nc_oc=AdnMNckNZlbocGm-40_x7wXGj8PZbN0XFQW5Ae0X2VabP_HR3fPqh8tHzumNfZmcaQMHTm_7HMCFjgkE2yF2wDZ9&amp;_nc_ad=z-m&amp;_nc_cid=0&amp;_nc_zt=23&amp;_nc_ht=scontent-gru2-2.cdninstagram.com&amp;_nc_gid=mECJj3bvLNFJ797yZUcNFw&amp;oh=00_AfhmS4Q7SzzqVciRnCvP2DG-23GqPFiejl9t6npW7CKnhw&amp;oe=691BEC5A,https://scontent-gru1-2.cdninstagram.com/v/t51.82787-15/579856546_18142231039445812_1894280454689217352_n.jpg?stp=dst-jpg_e35_tt6&amp;_nc_cat=110&amp;ig_cache_key=Mzc2MTg1MjI2Nzk5ODU4NDkzMQ%3D%3D.3-ccb1-7&amp;ccb=1-7&amp;_nc_sid=58cdad&amp;efg=eyJ2ZW5jb2RlX3RhZyI6InhwaWRzLjEwODB4ODEwLnNkci5DMyJ9&amp;_nc_ohc=VI52HK-yT2kQ7kNvwHtCwV3&amp;_nc_oc=Adnh25DCbZR5WicH4qEKpjxkuR82gxra_Jb7qghZvANnE0NDzIAcZtlTaeYrUbbllVd7kOh5dTLWRh5Slc0iK2mG&amp;_nc_ad=z-m&amp;_nc_cid=0&amp;_nc_zt=23&amp;_nc_ht=scontent-gru1-2.cdninstagram.com&amp;_nc_gid=mECJj3bvLNFJ797yZUcNFw&amp;oh=00_AfjfP_LExQVDXFCg7su_7omg8TFgvucoNYKyOi_-N7YAfg&amp;oe=691BE8C0,https://scontent-gru1-2.cdninstagram.com/v/t51.82787-15/576649382_18142231048445812_7648763966150636499_n.jpg?stp=dst-jpg_e35_tt6&amp;_nc_cat=100&amp;ig_cache_key=Mzc2MTg1MjI2Nzk1NjY2NTUxOQ%3D%3D.3-ccb1-7&amp;ccb=1-7&amp;_nc_sid=58cdad&amp;efg=eyJ2ZW5jb2RlX3RhZyI6InhwaWRzLjgxMHg2MDcuc2RyLkMzIn0%3D&amp;_nc_ohc=YJYGH3nbdEwQ7kNvwFu5m-K&amp;_nc_oc=AdkD_Jgg4cwonvRobLhedofKWvQ_Kr3lA4k-crrYPWWqVeM2Z1w8tjLCWd9iwhElLFccndpMwWUPX-cxYKwOkhys&amp;_nc_ad=z-m&amp;_nc_cid=0&amp;_nc_zt=23&amp;_nc_ht=scontent-gru1-2.cdninstagram.com&amp;_nc_gid=mECJj3bvLNFJ797yZUcNFw&amp;oh=00_Afj8sKdP2-Uq6iXUftHXzodVFv17lywumwIVA2yvBLByJA&amp;oe=691BCB06,https://scontent-gru1-1.cdninstagram.com/v/t51.82787-15/575339034_18142231057445812_3121369010547642146_n.jpg?stp=dst-jpg_e35_tt6&amp;_nc_cat=104&amp;ig_cache_key=Mzc2MTg1MjI2Nzk1NjY2MTgxNA%3D%3D.3-ccb1-7&amp;ccb=1-7&amp;_nc_sid=58cdad&amp;efg=eyJ2ZW5jb2RlX3RhZyI6InhwaWRzLjEwODB4ODEwLnNkci5DMyJ9&amp;_nc_ohc=O507JMUfOMIQ7kNvwEMmiqs&amp;_nc_oc=Adnc_K_VVUlwuIUGeRc-UCE2xlCY5_roTdffFdvqdhffIdsppcEqq2ev2duYHtxCNrs7uuNLvGjgoxmHfJdPGU1r&amp;_nc_ad=z-m&amp;_nc_cid=0&amp;_nc_zt=23&amp;_nc_ht=scontent-gru1-1.cdninstagram.com&amp;_nc_gid=mECJj3bvLNFJ797yZUcNFw&amp;oh=00_Afi0Frb3UqxB1Rvvy-9WnSW1nVP16Gh6dbozwBSpYFaEog&amp;oe=691BD1D9,https://scontent-gru2-2.cdninstagram.com/v/t51.82787-15/575665625_18142231066445812_4899993726126799655_n.jpg?stp=dst-jpg_e35_tt6&amp;_nc_cat=105&amp;ig_cache_key=Mzc2MTg1MjI2Nzk2NTAxNTA5Ng%3D%3D.3-ccb1-7&amp;ccb=1-7&amp;_nc_sid=58cdad&amp;efg=eyJ2ZW5jb2RlX3RhZyI6InhwaWRzLjEwODB4ODEwLnNkci5DMyJ9&amp;_nc_ohc=7jteNViD4AoQ7kNvwHjitAO&amp;_nc_oc=AdnU6mQgalOx5-pKfeLTY1d0ug419-Zu-YdOOnRcK1N3fAzNCvm8zrKsmIOgxL2TFEtWHTuGDfxDf2wrhZN1vRi-&amp;_nc_ad=z-m&amp;_nc_cid=0&amp;_nc_zt=23&amp;_nc_ht=scontent-gru2-2.cdninstagram.com&amp;_nc_gid=mECJj3bvLNFJ797yZUcNFw&amp;oh=00_Afhh_aJkRzrTNsTotHYNNqCr0L5kMDcMXrayXV_iurZ6RA&amp;oe=691BCD40</t>
  </si>
  <si>
    <t>DQ7nmO5EgTR</t>
  </si>
  <si>
    <t>https://www.instagram.com/p/DQ7nmO5EgTR</t>
  </si>
  <si>
    <t>que isso sirva de inspiração pra vocês</t>
  </si>
  <si>
    <t>ocastrin</t>
  </si>
  <si>
    <t>oCastrin</t>
  </si>
  <si>
    <t>https://scontent-gru1-1.cdninstagram.com/v/t51.2885-19/326414131_1237309043561760_2979005901455088838_n.jpg?stp=dst-jpg_s150x150_tt6&amp;efg=eyJ2ZW5jb2RlX3RhZyI6InByb2ZpbGVfcGljLmRqYW5nby4xMDgwLmMyIn0&amp;_nc_ht=scontent-gru1-1.cdninstagram.com&amp;_nc_cat=1&amp;_nc_oc=Q6cZ2QHIM57Vkz8sP2bRWgbQeBxsrbb3FfDicJ4c-cZaFeYqbOZ7_WPKh1iZVn8wmdvntjJe6L9TLGj2hkxB-TtCwsjC&amp;_nc_ohc=R_wD3gCPvd8Q7kNvwHLnDQ6&amp;_nc_gid=mECJj3bvLNFJ797yZUcNFw&amp;edm=AI8qBrIBAAAA&amp;ccb=7-5&amp;oh=00_AfgFIWUcp2p9ruJ0PdAwvib0PcThpLwiWB4MEjQoyJmqCA&amp;oe=691BD08B&amp;_nc_sid=469e9a</t>
  </si>
  <si>
    <t>https://scontent.cdninstagram.com/v/t51.82787-15/573268592_18543629053025399_2822842910137704859_n.jpg?stp=dst-jpg_e35_tt6&amp;_nc_cat=104&amp;ig_cache_key=Mzc1NzgyMDk0NzEzNTg5Nzc1Mw%3D%3D.3-ccb7-5&amp;ccb=7-5&amp;_nc_sid=58cdad&amp;efg=eyJ2ZW5jb2RlX3RhZyI6InhwaWRzLjEwODB4MTM1MC5zZHIuQzMifQ%3D%3D&amp;_nc_ohc=hYdkUtyOroYQ7kNvwGAYWIs&amp;_nc_oc=AdlYsGD2ZtpUlvxMZJsvuum8xVOUoZSRPFZnNYwkdMHjQhbEDLGoSitBf_Te4cVHwMOoCMxJ5QWw018O0aEGwDv8&amp;_nc_ad=z-m&amp;_nc_cid=0&amp;_nc_zt=23&amp;_nc_ht=scontent.cdninstagram.com&amp;_nc_gid=i7XvFrG1tAxDq8sSzpjFtg&amp;oh=00_Afh_LwSmaP474qI85T-V1OdUT7BPT4Jml_QJuc9WLBMgEg&amp;oe=6930E9F7,https://scontent.cdninstagram.com/v/t51.82787-15/575261874_18543629065025399_492461243484550981_n.jpg?stp=dst-jpg_e35_tt6&amp;_nc_cat=111&amp;ig_cache_key=Mzc1NzgyMDk0NzEyNzUyNjg2MA%3D%3D.3-ccb7-5&amp;ccb=7-5&amp;_nc_sid=58cdad&amp;efg=eyJ2ZW5jb2RlX3RhZyI6InhwaWRzLjEwODB4MTM1MC5zZHIuQzMifQ%3D%3D&amp;_nc_ohc=JJdFMM2Bi_8Q7kNvwHw13wI&amp;_nc_oc=AdlGC2RnlMPY_WtPgTbktQeyNBdYh0s4nF-FdQ41VR3-gxO_tEQ4Xsd9_UTxL8VIdtm1RtPAvf5rfIpGXSSdxC-7&amp;_nc_ad=z-m&amp;_nc_cid=0&amp;_nc_zt=23&amp;_nc_ht=scontent.cdninstagram.com&amp;_nc_gid=i7XvFrG1tAxDq8sSzpjFtg&amp;oh=00_AfhFNMQFcqv5oXPGqQhHKbG6clPRhQUtDiy1GDpCZVB7sg&amp;oe=6930D10A,https://scontent.cdninstagram.com/v/t51.82787-15/571579286_18543629074025399_7586427216740465308_n.jpg?stp=dst-jpg_e35_tt6&amp;_nc_cat=111&amp;ig_cache_key=Mzc1NzgyMDk0NzExOTA5NzM5MA%3D%3D.3-ccb7-5&amp;ccb=7-5&amp;_nc_sid=58cdad&amp;efg=eyJ2ZW5jb2RlX3RhZyI6InhwaWRzLjEwODB4MTM1MC5zZHIuQzMifQ%3D%3D&amp;_nc_ohc=0x7jFshi-jMQ7kNvwGFMwIz&amp;_nc_oc=AdmYebXrHGVBqqOixzxVcmslcLOelIHvI5USJvqnLrC2BbZM1xH1uILnQffLsDmR4o_-fg9OMj9M2GFDdHFg0PPa&amp;_nc_ad=z-m&amp;_nc_cid=0&amp;_nc_zt=23&amp;_nc_ht=scontent.cdninstagram.com&amp;_nc_gid=i7XvFrG1tAxDq8sSzpjFtg&amp;oh=00_AfhOjBDK_kKDaha_qZHpeSwuDnOJoZpTsfzp8Nhj9iPw1g&amp;oe=6930D45B,https://scontent.cdninstagram.com/v/t51.82787-15/572813594_18543629083025399_4393259794887036448_n.jpg?stp=dst-jpg_e35_tt6&amp;_nc_cat=100&amp;ig_cache_key=Mzc1NzgyMDk0NzExOTA5NTAzOA%3D%3D.3-ccb7-5&amp;ccb=7-5&amp;_nc_sid=58cdad&amp;efg=eyJ2ZW5jb2RlX3RhZyI6InhwaWRzLjEwODB4MTM1MC5zZHIuQzMifQ%3D%3D&amp;_nc_ohc=uwPdKEFLg4IQ7kNvwELTIpB&amp;_nc_oc=AdlDx1mUaKXYnxgNeVlLeIg53eqDUEsMxnKz6cUWQxWrcp5YTqt3mwwL_0MbP-p28hp5QzgW5II4AePrGOkhzrdz&amp;_nc_ad=z-m&amp;_nc_cid=0&amp;_nc_zt=23&amp;_nc_ht=scontent.cdninstagram.com&amp;_nc_gid=i7XvFrG1tAxDq8sSzpjFtg&amp;oh=00_AfhCIuir34n8cLTtMZcq9a2mLWEyOTvF9P-7dRecL5a2FQ&amp;oe=6930D297,https://scontent.cdninstagram.com/v/t51.82787-15/572179414_18543629095025399_1097211883779691560_n.jpg?stp=dst-jpg_e35_tt6&amp;_nc_cat=108&amp;ig_cache_key=Mzc1NzgyMDk0NzI5NTI0ODYzMg%3D%3D.3-ccb7-5&amp;ccb=7-5&amp;_nc_sid=58cdad&amp;efg=eyJ2ZW5jb2RlX3RhZyI6InhwaWRzLjEwODB4MTM1MC5zZHIuQzMifQ%3D%3D&amp;_nc_ohc=jc3UEU4kL6cQ7kNvwHPZT2H&amp;_nc_oc=AdnLgwpfQBjbvTYQUMC35Gfi7Wi9G15d_3-8Es420Zpps9rg-iid3V0FmIlH-_9s-aF4tskqKpIg2EACUDi0QzbW&amp;_nc_ad=z-m&amp;_nc_cid=0&amp;_nc_zt=23&amp;_nc_ht=scontent.cdninstagram.com&amp;_nc_gid=i7XvFrG1tAxDq8sSzpjFtg&amp;oh=00_Afi8R1tUJe-XDH0NjcikZHC2PMKu_VCAJKadAShnvoP5_Q&amp;oe=6930E4FC,https://scontent.cdninstagram.com/v/t51.82787-15/573532935_18543629107025399_9008769892910680849_n.jpg?stp=dst-jpg_e35_tt6&amp;_nc_cat=103&amp;ig_cache_key=Mzc1NzgyMDk0NzI5NTMwMDY3Nw%3D%3D.3-ccb7-5&amp;ccb=7-5&amp;_nc_sid=58cdad&amp;efg=eyJ2ZW5jb2RlX3RhZyI6InhwaWRzLjEwODB4MTM1MC5zZHIuQzMifQ%3D%3D&amp;_nc_ohc=rzfShgz10tUQ7kNvwGKBJpB&amp;_nc_oc=Adm2pys2g187UbalY476etJHZzpgE9HgcHIU1C1KnALA6jAwIsezq_VggfOtU6JJaZ26zvsDfQBZ0j_rqvmwkahk&amp;_nc_ad=z-m&amp;_nc_cid=0&amp;_nc_zt=23&amp;_nc_ht=scontent.cdninstagram.com&amp;_nc_gid=i7XvFrG1tAxDq8sSzpjFtg&amp;oh=00_Afjj2hHpCsUdfgG4doy8nThdcpqLkJhcJGWWqYHkhJmAEA&amp;oe=6930C8F5,https://scontent.cdninstagram.com/v/t51.82787-15/572894156_18543629125025399_3309134329877206469_n.jpg?stp=dst-jpg_e35_tt6&amp;_nc_cat=104&amp;ig_cache_key=Mzc1NzgyMDk0NzIyODE2MDcyNA%3D%3D.3-ccb7-5&amp;ccb=7-5&amp;_nc_sid=58cdad&amp;efg=eyJ2ZW5jb2RlX3RhZyI6InhwaWRzLjEwODB4MTM1MC5zZHIuQzMifQ%3D%3D&amp;_nc_ohc=SsemMbDcPG4Q7kNvwH30y56&amp;_nc_oc=Adk2sHXVVDGNcNb8MkhrZtZjIjrgyzKLIC3rbZL81JpZhtZnLnwthT0yxq79htQOOKrGFa_v81zEXdrvxvryL-Q4&amp;_nc_ad=z-m&amp;_nc_cid=0&amp;_nc_zt=23&amp;_nc_ht=scontent.cdninstagram.com&amp;_nc_gid=i7XvFrG1tAxDq8sSzpjFtg&amp;oh=00_AfhhGOzQNYR4wk5ClrWPPWJ6ki6A0nI7YJLZNzK7L-uxhA&amp;oe=6930D290,https://scontent.cdninstagram.com/v/t51.82787-15/573175425_18543629116025399_2409867615707138915_n.jpg?stp=dst-jpg_e35_tt6&amp;_nc_cat=107&amp;ig_cache_key=Mzc1NzgyMDk0NzI5NTI2MjEzMg%3D%3D.3-ccb7-5&amp;ccb=7-5&amp;_nc_sid=58cdad&amp;efg=eyJ2ZW5jb2RlX3RhZyI6InhwaWRzLjEwODB4MTM1MC5zZHIuQzMifQ%3D%3D&amp;_nc_ohc=eDHBzNVJERMQ7kNvwESvqWr&amp;_nc_oc=AdnI-xzaRy3vTXatbaCYXRDqTSWYfflIsTEfuclvMaIzKNsJRIsD2CJygKjwrRiP_b508ciG9jnihW20BpSRjeE1&amp;_nc_ad=z-m&amp;_nc_cid=0&amp;_nc_zt=23&amp;_nc_ht=scontent.cdninstagram.com&amp;_nc_gid=i7XvFrG1tAxDq8sSzpjFtg&amp;oh=00_AfjfN_MiZdK4huAn_JImQZxQU7tYKOo7chgXkaZzDKeXcA&amp;oe=6930E5F3,https://scontent.cdninstagram.com/v/t51.82787-15/572741819_18543629134025399_7846215483852651452_n.jpg?stp=dst-jpg_e35_tt6&amp;_nc_cat=111&amp;ig_cache_key=Mzc1NzgyMDk0NzExMDcyNTc5MQ%3D%3D.3-ccb7-5&amp;ccb=7-5&amp;_nc_sid=58cdad&amp;efg=eyJ2ZW5jb2RlX3RhZyI6InhwaWRzLjEwODB4MTM1MC5zZHIuQzMifQ%3D%3D&amp;_nc_ohc=AnZ4UyFjC3wQ7kNvwErutA4&amp;_nc_oc=AdnYQUwXjmc8bUcKSKizKY4v0KIPS1Hwidkv4tGEGlxe7LwG_fjn8H3enBNGHKywwSUoduvYh6zgyapgz0Syifp3&amp;_nc_ad=z-m&amp;_nc_cid=0&amp;_nc_zt=23&amp;_nc_ht=scontent.cdninstagram.com&amp;_nc_gid=i7XvFrG1tAxDq8sSzpjFtg&amp;oh=00_Afj5nYS3Z2Fu3nmOH37Rs9MWsVvepw2AB9XRUZAyNdArVA&amp;oe=6930C908,https://scontent.cdninstagram.com/v/t51.82787-15/573396809_18543629143025399_4958338267489210127_n.jpg?stp=dst-jpg_e35_tt6&amp;_nc_cat=104&amp;ig_cache_key=Mzc1NzgyMDk0NzI5NTI5MzIwMw%3D%3D.3-ccb7-5&amp;ccb=7-5&amp;_nc_sid=58cdad&amp;efg=eyJ2ZW5jb2RlX3RhZyI6InhwaWRzLjEwODB4MTM1MC5zZHIuQzMifQ%3D%3D&amp;_nc_ohc=zx1_AH7xFtAQ7kNvwGl3wCS&amp;_nc_oc=AdnSnHdfQ8qmBkCISfZgvy4S5aMT3qJZldYQmrtT6AxzEuwCYh2pm-4OmUv06oDuz_K4qartmYAaGbEnVsbBwQtK&amp;_nc_ad=z-m&amp;_nc_cid=0&amp;_nc_zt=23&amp;_nc_ht=scontent.cdninstagram.com&amp;_nc_gid=i7XvFrG1tAxDq8sSzpjFtg&amp;oh=00_AfjWbtZh4Ejl0Mhx1KKoaZy_FCXLki08JbdGAcFJNcPL5w&amp;oe=6930F93B,https://scontent.cdninstagram.com/v/t51.82787-15/571885877_18543629152025399_6924292363167674472_n.jpg?stp=dst-jpg_e35_tt6&amp;_nc_cat=102&amp;ig_cache_key=Mzc1NzgyMDk0NzEzNTg2ODA5Nw%3D%3D.3-ccb7-5&amp;ccb=7-5&amp;_nc_sid=58cdad&amp;efg=eyJ2ZW5jb2RlX3RhZyI6InhwaWRzLjEwODB4MTM1MC5zZHIuQzMifQ%3D%3D&amp;_nc_ohc=5X5Dj66KMYIQ7kNvwF_0HE0&amp;_nc_oc=AdnIgAqI0GMOd4PfOQzj3alpAGK5uVXZ8Ims5YjlKaGcl99h6ayqOj0KUDtaUM7_sKKOFx2p-8jL9TGUh7eFHrb0&amp;_nc_ad=z-m&amp;_nc_cid=0&amp;_nc_zt=23&amp;_nc_ht=scontent.cdninstagram.com&amp;_nc_gid=i7XvFrG1tAxDq8sSzpjFtg&amp;oh=00_AfiNOvzCVDosMCRm6ErX1bFnpby3gIGxr7M0GypvArLhsA&amp;oe=6930F177,https://scontent.cdninstagram.com/v/t51.82787-15/571889640_18543629161025399_3976630960007940311_n.jpg?stp=dst-jpg_e35_tt6&amp;_nc_cat=108&amp;ig_cache_key=Mzc1NzgyMDk0NzEyNzQ3OTkxMQ%3D%3D.3-ccb7-5&amp;ccb=7-5&amp;_nc_sid=58cdad&amp;efg=eyJ2ZW5jb2RlX3RhZyI6InhwaWRzLjEwODB4MTM1MC5zZHIuQzMifQ%3D%3D&amp;_nc_ohc=p9s7NbPuEY8Q7kNvwEDZAGT&amp;_nc_oc=AdmyufQoa2quOrf1i7CEVm7UlTy-CH6qqK0AXrz4X8U7ay4L8pvcCXoWRHy13O66_V1gDSiqZCgnRtkAQIUTQCs5&amp;_nc_ad=z-m&amp;_nc_cid=0&amp;_nc_zt=23&amp;_nc_ht=scontent.cdninstagram.com&amp;_nc_gid=i7XvFrG1tAxDq8sSzpjFtg&amp;oh=00_AfjDZNlcbTVM34FQClCM4YrX4Mt-xar-pirwnwmK03ZYWw&amp;oe=6930E233,https://scontent.cdninstagram.com/v/t51.82787-15/573119249_18543629170025399_253655824147281515_n.jpg?stp=dst-jpg_e35_tt6&amp;_nc_cat=104&amp;ig_cache_key=Mzc1NzgyMDk0NzExOTExMjYxOQ%3D%3D.3-ccb7-5&amp;ccb=7-5&amp;_nc_sid=58cdad&amp;efg=eyJ2ZW5jb2RlX3RhZyI6InhwaWRzLjEwODB4MTM1MC5zZHIuQzMifQ%3D%3D&amp;_nc_ohc=JXuLSPbon2wQ7kNvwGK0Jho&amp;_nc_oc=AdnozGmwbFONlPDvT8t9VfT859RvHPGF366kyUWwDgD7iwwRdcVDZbm1cjOoq_A60dNCIk4cZmOtgv4Q-HW-H1dm&amp;_nc_ad=z-m&amp;_nc_cid=0&amp;_nc_zt=23&amp;_nc_ht=scontent.cdninstagram.com&amp;_nc_gid=i7XvFrG1tAxDq8sSzpjFtg&amp;oh=00_AfgjcGImscnxSV8vpkHtpRwny05eySNjZqE_WVZ2tCpiIA&amp;oe=6930F941</t>
  </si>
  <si>
    <t>DO9W2D6kYCJ</t>
  </si>
  <si>
    <t>https://www.instagram.com/p/DO9W2D6kYCJ</t>
  </si>
  <si>
    <t>https://scontent-gru1-1.cdninstagram.com/v/t51.82787-15/575733183_18296444194280727_2566136728732024107_n.jpg?stp=dst-jpg_e35_tt6&amp;_nc_cat=1&amp;ig_cache_key=Mzc2Mzc3NjA1NzgwNDc3OTM5Ng%3D%3D.3-ccb1-7&amp;ccb=1-7&amp;_nc_sid=58cdad&amp;efg=eyJ2ZW5jb2RlX3RhZyI6InhwaWRzLjgwNXgxMDczLnNkci5DMyJ9&amp;_nc_ohc=JP34vcoZ8O4Q7kNvwEvWrV1&amp;_nc_oc=Adl75ATKeen-q-nxFVw62pgyiX1aMfY0Prc3xEt62yoPOpZz5GD2DHOLKybltVURccx6oWRX05Yd0AnZOLQHuHLf&amp;_nc_ad=z-m&amp;_nc_cid=0&amp;_nc_zt=23&amp;_nc_ht=scontent-gru1-1.cdninstagram.com&amp;_nc_gid=mECJj3bvLNFJ797yZUcNFw&amp;oh=00_AfgmJr1T_bXLLQ3jN7MZ4QElinvtsXFo-SZA5XMdAZiDRA&amp;oe=691BEF24,https://scontent-gru1-1.cdninstagram.com/v/t51.82787-15/581060176_18296444206280727_5678496842556113460_n.jpg?stp=dst-jpg_e35_tt6&amp;_nc_cat=1&amp;ig_cache_key=Mzc2Mzc3NjA1NzgxMzE0NDQyOQ%3D%3D.3-ccb1-7&amp;ccb=1-7&amp;_nc_sid=58cdad&amp;efg=eyJ2ZW5jb2RlX3RhZyI6InhwaWRzLjEzMTl4MTc1OC5zZHIuQzMifQ%3D%3D&amp;_nc_ohc=I7SbqZlcfDkQ7kNvwEa_dbJ&amp;_nc_oc=AdkF9pgSxeMZL4Xzz3pmQn--VDVJ61XIHPuHFuQTg9diZ8jczkQmwG4jFoIRI1J1czAQc5zo2xN8ZFdQuTbwOfDL&amp;_nc_ad=z-m&amp;_nc_cid=0&amp;_nc_zt=23&amp;_nc_ht=scontent-gru1-1.cdninstagram.com&amp;_nc_gid=mECJj3bvLNFJ797yZUcNFw&amp;oh=00_AfjyAyJMnGy89PlooBlAwulKG62OHcxtZw-GUHYv1ItRBQ&amp;oe=691BD00F</t>
  </si>
  <si>
    <t>DQ363UjEZLE</t>
  </si>
  <si>
    <t>https://www.instagram.com/p/DQ363UjEZLE</t>
  </si>
  <si>
    <t>Siga: @neuropsicopedagogiaaa 
#tdah #adhd #tdahadulto #neurodivergente #avaliacaodetdah #setembroamarelo #tdahemmulheres</t>
  </si>
  <si>
    <t>Hornet 600 carburada ou Hornet 600 injetada, qual você prefere?</t>
  </si>
  <si>
    <t>isaacmoreirayt</t>
  </si>
  <si>
    <t>Isaac Moreira</t>
  </si>
  <si>
    <t>https://scontent-gru2-1.cdninstagram.com/v/t51.2885-19/527278772_18017214581748911_8002905120553186326_n.jpg?stp=dst-jpg_s150x150_tt6&amp;efg=eyJ2ZW5jb2RlX3RhZyI6InByb2ZpbGVfcGljLmRqYW5nby4xMDgwLmMyIn0&amp;_nc_ht=scontent-gru2-1.cdninstagram.com&amp;_nc_cat=111&amp;_nc_oc=Q6cZ2QHIM57Vkz8sP2bRWgbQeBxsrbb3FfDicJ4c-cZaFeYqbOZ7_WPKh1iZVn8wmdvntjJe6L9TLGj2hkxB-TtCwsjC&amp;_nc_ohc=ZKgXXR4KO54Q7kNvwHMxC06&amp;_nc_gid=mECJj3bvLNFJ797yZUcNFw&amp;edm=AI8qBrIBAAAA&amp;ccb=7-5&amp;oh=00_AfjgRPEWFdPDddFA8XwmMznZfVk6qSLkrWvV8zDs5MKdSw&amp;oe=691C012D&amp;_nc_sid=469e9a</t>
  </si>
  <si>
    <t>https://instagram.fcgh9-1.fna.fbcdn.net/v/t51.2885-19/541301317_18066670676242904_229664044403058617_n.jpg?stp=dst-jpg_s150x150_tt6&amp;efg=eyJ2ZW5jb2RlX3RhZyI6InByb2ZpbGVfcGljLmRqYW5nby4xMDgwLmMyIn0&amp;_nc_ht=instagram.fcgh9-1.fna.fbcdn.net&amp;_nc_cat=108&amp;_nc_oc=Q6cZ2QEX0voY9harPU9QGVM6cZMZJyLfRPHdPHv81xplv5CH_btfJUrEGoqJPfiGOmXcDTLYORGbHd0FVxdxmnj934lc&amp;_nc_ohc=2C9f9UoL2zEQ7kNvwEWxdPt&amp;_nc_gid=i7XvFrG1tAxDq8sSzpjFtg&amp;edm=AFlAz-oBAAAA&amp;ccb=7-5&amp;oh=00_AfhKUZJ3xrhXZbdAeXxqMJ0iTeDVpEOI4MYLeVhed875Zw&amp;oe=6930CD3C&amp;_nc_sid=76c0fc</t>
  </si>
  <si>
    <t>https://scontent-gru1-1.cdninstagram.com/v/t51.82787-15/581048191_18028970588748911_1793629798906755366_n.jpg?stp=dst-jpg_e35_tt6&amp;_nc_cat=1&amp;ig_cache_key=Mzc2MjczNDg5NDAyOTAxNzY4Ng%3D%3D.3-ccb1-7&amp;ccb=1-7&amp;_nc_sid=58cdad&amp;efg=eyJ2ZW5jb2RlX3RhZyI6InhwaWRzLjEwODB4MTQzMy5zZHIuQzMifQ%3D%3D&amp;_nc_ohc=heAWlwKLrDsQ7kNvwH1SdFh&amp;_nc_oc=AdmsqNkxKwSoJc_YiAHC1nSb7HR4F6vKUWCjFN_7jpJSHQhWrosQh-qVGBZpnJ8_wBXEe0xhI1v4SOvdBqMvUDEb&amp;_nc_ad=z-m&amp;_nc_cid=0&amp;_nc_zt=23&amp;_nc_ht=scontent-gru1-1.cdninstagram.com&amp;_nc_gid=mECJj3bvLNFJ797yZUcNFw&amp;oh=00_Afjd-11GiTcBndDDtp1NPsLCqXkSkg_7gu5GJX27zqXwQw&amp;oe=691BEB33,https://scontent-gru1-2.cdninstagram.com/v/t51.82787-15/575297493_18028970600748911_475529971541108503_n.jpg?stp=dst-jpg_e35_tt6&amp;_nc_cat=110&amp;ig_cache_key=Mzc2MjczNDg5NDA2MjU2OTQxNA%3D%3D.3-ccb1-7&amp;ccb=1-7&amp;_nc_sid=58cdad&amp;efg=eyJ2ZW5jb2RlX3RhZyI6InhwaWRzLjEwODB4MTQzMy5zZHIuQzMifQ%3D%3D&amp;_nc_ohc=6KXWjIpMuScQ7kNvwFIDoV5&amp;_nc_oc=AdmjJCPOCT2NGE21K9YTW5P5etmz6Af-LsrNHDwZTuEGY3AbKlG0FeHV6u-VdY1zMA7CCjc1iIeU5d2S2FMPENtr&amp;_nc_ad=z-m&amp;_nc_cid=0&amp;_nc_zt=23&amp;_nc_ht=scontent-gru1-2.cdninstagram.com&amp;_nc_gid=mECJj3bvLNFJ797yZUcNFw&amp;oh=00_Afjcp5ruAkpDLRNkr5gRswXJIG5TQruP5t2nX7bK7FA6-w&amp;oe=691BE14E,https://scontent-gru2-2.cdninstagram.com/v/t51.82787-15/580047601_18028970609748911_6215885328750721992_n.jpg?stp=dst-jpg_e35_tt6&amp;_nc_cat=106&amp;ig_cache_key=Mzc2MjczNDg5NDAyOTA0OTE1OQ%3D%3D.3-ccb1-7&amp;ccb=1-7&amp;_nc_sid=58cdad&amp;efg=eyJ2ZW5jb2RlX3RhZyI6InhwaWRzLjEwODB4MTQzMy5zZHIuQzMifQ%3D%3D&amp;_nc_ohc=ClXFkR_L4CUQ7kNvwHQLQf1&amp;_nc_oc=Adn84_lR3nRGVt4EykN7bsAF35jPrmwRiCvGpg685nCHrYQIRBF0SRGzfpYUsf_KyllN53ONbmFPgXzF0LP1rpwD&amp;_nc_ad=z-m&amp;_nc_cid=0&amp;_nc_zt=23&amp;_nc_ht=scontent-gru2-2.cdninstagram.com&amp;_nc_gid=mECJj3bvLNFJ797yZUcNFw&amp;oh=00_AfjutPGlBvYlP7Ha8QG5Sh3OBlE1x3ORT49iKEYlPWDrTg&amp;oe=691BE7A3,https://scontent-gru2-1.cdninstagram.com/v/t51.82787-15/581804954_18028970621748911_6336753280256914706_n.jpg?stp=dst-jpg_e35_tt6&amp;_nc_cat=107&amp;ig_cache_key=Mzc2MjczNDg5NDAyMDY0ODU5Ng%3D%3D.3-ccb1-7&amp;ccb=1-7&amp;_nc_sid=58cdad&amp;efg=eyJ2ZW5jb2RlX3RhZyI6InhwaWRzLjEwODB4MTQzMy5zZHIuQzMifQ%3D%3D&amp;_nc_ohc=sS7PIEB9dcAQ7kNvwHANDMd&amp;_nc_oc=AdnXABdCtejZes55X6_jkKklzUrRYvRTpw1fYmJMYkE3w6IJ22TsMFO31sfwHv_3he4p9soo7R6SSySHcwbwAl2e&amp;_nc_ad=z-m&amp;_nc_cid=0&amp;_nc_zt=23&amp;_nc_ht=scontent-gru2-1.cdninstagram.com&amp;_nc_gid=mECJj3bvLNFJ797yZUcNFw&amp;oh=00_AfjT8BKHcnP9fI4GzznMFjjbtM4UpXMH50EkcaFPU1ehBg&amp;oe=691BD25F,https://scontent-gru1-1.cdninstagram.com/v/t51.82787-15/581852970_18028970630748911_1301657869743617490_n.jpg?stp=dst-jpg_e35_tt6&amp;_nc_cat=104&amp;ig_cache_key=Mzc2MjczNDg5NDAwMzg5ODY3NA%3D%3D.3-ccb1-7&amp;ccb=1-7&amp;_nc_sid=58cdad&amp;efg=eyJ2ZW5jb2RlX3RhZyI6InhwaWRzLjEwODB4MTQzMy5zZHIuQzMifQ%3D%3D&amp;_nc_ohc=M0n4lHdayHkQ7kNvwHW1Kx5&amp;_nc_oc=Adkja0JLvLGenTZcxd-TnldLPi0oNGGpM6AGj-5U1OEnKFC_SfG76v3L76LtIiTU8fSxbcNd4yKQQ9JWgRspe_sF&amp;_nc_ad=z-m&amp;_nc_cid=0&amp;_nc_zt=23&amp;_nc_ht=scontent-gru1-1.cdninstagram.com&amp;_nc_gid=mECJj3bvLNFJ797yZUcNFw&amp;oh=00_AfjrS7nG1JddA-7vk8WEKGa9ZKvqSkQi_pbuciFkvYPBrg&amp;oe=691BD67D</t>
  </si>
  <si>
    <t>Maceió</t>
  </si>
  <si>
    <t>-9.6232,-35.7248</t>
  </si>
  <si>
    <t>DQznzY6AT2o</t>
  </si>
  <si>
    <t>https://www.instagram.com/p/DQznzY6AT2o</t>
  </si>
  <si>
    <t>Na última terça-feira (4), o IBGE lançou uma nova edição da plataforma Nomes no Brasil, com base nos dados do Censo de 2022. Nela, é possível consultar quais são os nomes e sobrenomes mais comuns no país, por região e ao longo do tempo. Entre os resultados curiosos está o sobrenome Faker, presente em 59 pessoas no Brasil.
Embora alguns dos nomes “Faker” no Brasil até possam ser em homenagem ao jogador sul-coreano, o provável é que boa parte deles (ou todos) seja de origem síria. Um dos pioneiros com esse nome no Brasil foi Hayel Bon Faker, nascido em Damasco, em 1913. Ele imigrou para o país em 1937, estabelecendo-se em Dourados (MS).
Matéria completa no nosso site!
#leagueoflegends #leagueoflegendsbr #leagueoflegendsbrasil #lolesports #maisesports #LTASul #CBLOL #Worlds2025</t>
  </si>
  <si>
    <t>maisesportsbr</t>
  </si>
  <si>
    <t>Mais Esports</t>
  </si>
  <si>
    <t>https://scontent-gru2-2.cdninstagram.com/v/t51.2885-19/557449031_18504270217070730_4734194898123411102_n.jpg?stp=dst-jpg_s150x150_tt6&amp;efg=eyJ2ZW5jb2RlX3RhZyI6InByb2ZpbGVfcGljLmRqYW5nby40MDAuYzIifQ&amp;_nc_ht=scontent-gru2-2.cdninstagram.com&amp;_nc_cat=106&amp;_nc_oc=Q6cZ2QHIM57Vkz8sP2bRWgbQeBxsrbb3FfDicJ4c-cZaFeYqbOZ7_WPKh1iZVn8wmdvntjJe6L9TLGj2hkxB-TtCwsjC&amp;_nc_ohc=_NpZbG9NDA8Q7kNvwEQTXwK&amp;_nc_gid=mECJj3bvLNFJ797yZUcNFw&amp;edm=AI8qBrIBAAAA&amp;ccb=7-5&amp;oh=00_AfgQ0uDfdwVK5PtFAB0mes0urrrTaFw-a1m9rUUZcyey2A&amp;oe=691BD0DF&amp;_nc_sid=469e9a</t>
  </si>
  <si>
    <t>https://scontent.cdninstagram.com/v/t51.82787-15/551285636_18069339539242904_7239594683082025478_n.jpg?stp=dst-jpg_e35_tt6&amp;_nc_cat=106&amp;ig_cache_key=MzcyODIzNjUyNjI2MzQxMDMzMQ%3D%3D.3-ccb7-5&amp;ccb=7-5&amp;_nc_sid=58cdad&amp;efg=eyJ2ZW5jb2RlX3RhZyI6InhwaWRzLjEwODB4MTM1MC5zZHIuQzMifQ%3D%3D&amp;_nc_ohc=94jDmvD4dqIQ7kNvwGg6Txw&amp;_nc_oc=Adl6iBSIo4A5zbptDrEU96qxUocuR4Q5b_W1DabEnC2HIy53xsjdEhsXTg52vOJsR2SaRfoYmaJiQepZCIkSOlpr&amp;_nc_ad=z-m&amp;_nc_cid=0&amp;_nc_zt=23&amp;_nc_ht=scontent.cdninstagram.com&amp;_nc_gid=i7XvFrG1tAxDq8sSzpjFtg&amp;oh=00_AfhvQgP66lWqreRFLymleKvWguuKlFBuXbP_p569t4VG_w&amp;oe=6930CBAE,https://scontent.cdninstagram.com/v/t51.82787-15/552701223_18069339527242904_5821891762096852252_n.jpg?stp=dst-jpg_e35_tt6&amp;_nc_cat=108&amp;ig_cache_key=MzcyODIzNjUyNjI3MTgyNDE2Mw%3D%3D.3-ccb7-5&amp;ccb=7-5&amp;_nc_sid=58cdad&amp;efg=eyJ2ZW5jb2RlX3RhZyI6InhwaWRzLjEwODB4MTM1MC5zZHIuQzMifQ%3D%3D&amp;_nc_ohc=r-sEZ6QTOKwQ7kNvwGqiU9o&amp;_nc_oc=AdmTSvj2aWJInmuKu5bY4agIjGLv6DhHIgtCtozUJCXZTTpFX8L2RH908uQNnqWeHRuaO4oDiVf4dFdIAW9VxpR2&amp;_nc_ad=z-m&amp;_nc_cid=0&amp;_nc_zt=23&amp;_nc_ht=scontent.cdninstagram.com&amp;_nc_gid=i7XvFrG1tAxDq8sSzpjFtg&amp;oh=00_Afjlqq2XwUfSWJF_TNhafYEQ4UI089HzjTMFnGhWM1F1aQ&amp;oe=6930D618,https://scontent.cdninstagram.com/v/t51.82787-15/551339273_18069339530242904_8353684894862006274_n.jpg?stp=dst-jpg_e35_tt6&amp;_nc_cat=105&amp;ig_cache_key=MzcyODIzNjUyNjMxMzc4NzkwOA%3D%3D.3-ccb7-5&amp;ccb=7-5&amp;_nc_sid=58cdad&amp;efg=eyJ2ZW5jb2RlX3RhZyI6InhwaWRzLjEwODB4MTM1MC5zZHIuQzMifQ%3D%3D&amp;_nc_ohc=6FxtWNBrt0EQ7kNvwFl2uKZ&amp;_nc_oc=Adm-YYb3Mm69rjmNhAJKHQEbl4nf6BqRE-WbKI-yxjUpyl-uN_jML2mbOvTLrKpJWqM9P0em66AlniETTss4wGaY&amp;_nc_ad=z-m&amp;_nc_cid=0&amp;_nc_zt=23&amp;_nc_ht=scontent.cdninstagram.com&amp;_nc_gid=i7XvFrG1tAxDq8sSzpjFtg&amp;oh=00_AfhQ57VovehP7QIXaXF_BfjuBNMCUwvmnRVORAbqvR-TDw&amp;oe=6930CC8A,https://scontent.cdninstagram.com/v/t51.82787-15/551420384_18069339548242904_567721849563895613_n.jpg?stp=dst-jpg_e35_tt6&amp;_nc_cat=106&amp;ig_cache_key=MzcyODIzNjUyNjI2MzQxNjUwNA%3D%3D.3-ccb7-5&amp;ccb=7-5&amp;_nc_sid=58cdad&amp;efg=eyJ2ZW5jb2RlX3RhZyI6InhwaWRzLjEwODB4MTM1MC5zZHIuQzMifQ%3D%3D&amp;_nc_ohc=ICdSq3eKXz8Q7kNvwHssDPO&amp;_nc_oc=AdnGqbzk_ECE0x4pucX50mO2iPKJMWM5yXIM86YrNy47OESoTAeMliExG2P2loe7vyjplzXow30UClponJGCvaZn&amp;_nc_ad=z-m&amp;_nc_cid=0&amp;_nc_zt=23&amp;_nc_ht=scontent.cdninstagram.com&amp;_nc_gid=i7XvFrG1tAxDq8sSzpjFtg&amp;oh=00_Afge_sopcW0v_BtFmZI5Dz-NdUjG7273dKfWcktj6hn8UQ&amp;oe=6930D3F2,https://scontent.cdninstagram.com/v/t51.82787-15/552576091_18069339566242904_8805816262047742862_n.jpg?stp=dst-jpg_e35_tt6&amp;_nc_cat=103&amp;ig_cache_key=MzcyODIzNjUyNjI1NTA1MzEzNQ%3D%3D.3-ccb7-5&amp;ccb=7-5&amp;_nc_sid=58cdad&amp;efg=eyJ2ZW5jb2RlX3RhZyI6InhwaWRzLjEwODB4MTM1MC5zZHIuQzMifQ%3D%3D&amp;_nc_ohc=tc2IJiSnP-sQ7kNvwHNCnOC&amp;_nc_oc=AdnXrpTh9QWbEbuWJ0jitQuS02mvp0NumUpDlsdd_-4RdWCRMMFf7_SG-Y1EBQm7OahYwqaD9uiQ1JYBzFZS_jJ1&amp;_nc_ad=z-m&amp;_nc_cid=0&amp;_nc_zt=23&amp;_nc_ht=scontent.cdninstagram.com&amp;_nc_gid=i7XvFrG1tAxDq8sSzpjFtg&amp;oh=00_AfjFzjAjiS0qdbcLpxPaEMNb81wJht1WvqVP75Iq8xHtJQ&amp;oe=6930DB6C,https://scontent.cdninstagram.com/v/t51.82787-15/551879493_18069339557242904_6399524421949037242_n.jpg?stp=dst-jpg_e35_tt6&amp;_nc_cat=105&amp;ig_cache_key=MzcyODIzNjUyNjI1NTA0MzAyMw%3D%3D.3-ccb7-5&amp;ccb=7-5&amp;_nc_sid=58cdad&amp;efg=eyJ2ZW5jb2RlX3RhZyI6InhwaWRzLjEwODB4MTM1MC5zZHIuQzMifQ%3D%3D&amp;_nc_ohc=hZuxkN68ZK4Q7kNvwFuUxbb&amp;_nc_oc=AdlQ42Pz8_0yOWPxGlozrK2K1DukJIG0zzJOOTyWhyHiSbjihojiXsGz2SQ_M8EThinRjr9Oo9DgLIa2bpVbS64B&amp;_nc_ad=z-m&amp;_nc_cid=0&amp;_nc_zt=23&amp;_nc_ht=scontent.cdninstagram.com&amp;_nc_gid=i7XvFrG1tAxDq8sSzpjFtg&amp;oh=00_Afj1_ofmKyu-uoYm-oUgqZZBhiEyEKwBmMDUJsP4FiFYjA&amp;oe=6930E0A7,https://scontent.cdninstagram.com/v/t51.82787-15/553325693_18069339575242904_4997457780558577977_n.jpg?stp=dst-jpg_e35_tt6&amp;_nc_cat=102&amp;ig_cache_key=MzcyODIzNjUyNjI2MzQyMzI2NQ%3D%3D.3-ccb7-5&amp;ccb=7-5&amp;_nc_sid=58cdad&amp;efg=eyJ2ZW5jb2RlX3RhZyI6InhwaWRzLjEwODB4MTM1MC5zZHIuQzMifQ%3D%3D&amp;_nc_ohc=DWbphE3hVqYQ7kNvwEhP8fc&amp;_nc_oc=AdnwMFiNRYQTeMPHbjSSee_c_yHgM6HHdYPr7sKfjMjp_TQC7Cyv_DLafLi2W9n-nX9GxUJ2QXHtzYLE2yuiTP03&amp;_nc_ad=z-m&amp;_nc_cid=0&amp;_nc_zt=23&amp;_nc_ht=scontent.cdninstagram.com&amp;_nc_gid=i7XvFrG1tAxDq8sSzpjFtg&amp;oh=00_Afht8Ayks0YR49KYWuKGj8QhYbLTGTAr5eNNB0wt8rer0A&amp;oe=6930DA6F,https://scontent.cdninstagram.com/v/t51.82787-15/552717818_18069339584242904_3896284110785376004_n.jpg?stp=dst-jpg_e35_tt6&amp;_nc_cat=111&amp;ig_cache_key=MzcyODIzNjUyNjI1NTA1NTcwOQ%3D%3D.3-ccb7-5&amp;ccb=7-5&amp;_nc_sid=58cdad&amp;efg=eyJ2ZW5jb2RlX3RhZyI6InhwaWRzLjEwODB4MTM1MC5zZHIuQzMifQ%3D%3D&amp;_nc_ohc=9ilsOt268-oQ7kNvwFG6cSO&amp;_nc_oc=Adm4tQJuJHEiuXNadxNzJv1AFabU1ijewml9RaIi5jL1J3m9zj3QB7QDOr7rNpwDAQQwP4OL-2kixDw5HzC4o-11&amp;_nc_ad=z-m&amp;_nc_cid=0&amp;_nc_zt=23&amp;_nc_ht=scontent.cdninstagram.com&amp;_nc_gid=i7XvFrG1tAxDq8sSzpjFtg&amp;oh=00_AfhxmS9Udm6IgfsAXUksSSQtVv0hq7YQ01Sq3elZByQkSA&amp;oe=6930C74C,https://scontent.cdninstagram.com/v/t51.82787-15/553835541_18069339593242904_7254537444247646398_n.jpg?stp=dst-jpg_e35_tt6&amp;_nc_cat=101&amp;ig_cache_key=MzcyODIzNjUyNjI1NTA2MTA2Mg%3D%3D.3-ccb7-5&amp;ccb=7-5&amp;_nc_sid=58cdad&amp;efg=eyJ2ZW5jb2RlX3RhZyI6InhwaWRzLjEwODB4MTM1MC5zZHIuQzMifQ%3D%3D&amp;_nc_ohc=K64mgF7Okw0Q7kNvwHFxjZI&amp;_nc_oc=AdmUO1Fl8nTGgowWqLOgg5MGK0NhZDrusDQXuOLdwh2X1GhIKaTjIb2XI8UbqFjl0PgFkbJBczlhR1oyu--u39e_&amp;_nc_ad=z-m&amp;_nc_cid=0&amp;_nc_zt=23&amp;_nc_ht=scontent.cdninstagram.com&amp;_nc_gid=i7XvFrG1tAxDq8sSzpjFtg&amp;oh=00_AfjRoz3a7ICFemvcB-07MrGphBp2DpsWOYhoTAgqDfwFSQ&amp;oe=6930E521</t>
  </si>
  <si>
    <t>tdah,adhd,tdahadulto,neurodivergente,avaliacaodetdah,setembroamarelo,tdahemmulheres</t>
  </si>
  <si>
    <t>https://scontent-gru1-1.cdninstagram.com/v/t51.82787-15/574167579_18510503161070730_3309368592885817842_n.jpg?stp=dst-jpg_e35_tt6&amp;_nc_cat=1&amp;ig_cache_key=Mzc2MTUyNTE1ODU0ODkzODY5MA%3D%3D.3-ccb1-7&amp;ccb=1-7&amp;_nc_sid=58cdad&amp;efg=eyJ2ZW5jb2RlX3RhZyI6InhwaWRzLjEyMDB4MTUwMC5zZHIuQzMifQ%3D%3D&amp;_nc_ohc=gwKcOKPl2PkQ7kNvwFvgzgN&amp;_nc_oc=AdnkolSjWMd_VtOcCEWnKXTPnNizcBECwIJktcGM-bzL7NFgnsG7e_Wno8aKGf4J6ETOh9cFE1Q-fu_qnFE3YWwc&amp;_nc_ad=z-m&amp;_nc_cid=0&amp;_nc_zt=23&amp;_nc_ht=scontent-gru1-1.cdninstagram.com&amp;_nc_gid=mECJj3bvLNFJ797yZUcNFw&amp;oh=00_Afg-TkfnT3mRSXgZ-VZR7yciaMDuqZvfpzpX_qOEN_q98A&amp;oe=691BE9A4,https://scontent-gru2-1.cdninstagram.com/v/t51.82787-15/575222462_18510503170070730_1884876362466879683_n.jpg?stp=dst-jpg_e35_tt6&amp;_nc_cat=111&amp;ig_cache_key=Mzc2MTUyNTE1ODIzMDIwODUzOA%3D%3D.3-ccb1-7&amp;ccb=1-7&amp;_nc_sid=58cdad&amp;efg=eyJ2ZW5jb2RlX3RhZyI6InhwaWRzLjEwODB4MTM1MC5zZHIuQzMifQ%3D%3D&amp;_nc_ohc=Gku5fPyZDZYQ7kNvwEqJb9u&amp;_nc_oc=Adl0iwo0rMaoYc67RCKTOm6bLgbVSLvUpoF8r1qYqC-YogV2AJrNUCe6sUi8_E0Kru22bGKsp6MbhyrQ4x9SvpzO&amp;_nc_ad=z-m&amp;_nc_cid=0&amp;_nc_zt=23&amp;_nc_ht=scontent-gru2-1.cdninstagram.com&amp;_nc_gid=mECJj3bvLNFJ797yZUcNFw&amp;oh=00_AfiBF5u-HYvDt6dgpDsZw8xI8Gl7NMkoQGXqsN8irPGapA&amp;oe=691BD2CC,https://scontent-gru1-1.cdninstagram.com/v/t51.82787-15/573707999_18510503179070730_2388099744568044465_n.jpg?stp=dst-jpg_e35_tt6&amp;_nc_cat=101&amp;ig_cache_key=Mzc2MTUyNTE1ODM1NjAxMTQ0OQ%3D%3D.3-ccb1-7&amp;ccb=1-7&amp;_nc_sid=58cdad&amp;efg=eyJ2ZW5jb2RlX3RhZyI6InhwaWRzLjEwODB4MTM1MC5zZHIuQzMifQ%3D%3D&amp;_nc_ohc=w42mMWIscf0Q7kNvwFqiBwb&amp;_nc_oc=AdmtGa6aqHdW31ZVccOln0LYpDQHFi25Qk2MMY1SvkHQXTE0BkaIQM-exec0QWOnB8yKfQ24mwCKLjeLTdDc8Zxj&amp;_nc_ad=z-m&amp;_nc_cid=0&amp;_nc_zt=23&amp;_nc_ht=scontent-gru1-1.cdninstagram.com&amp;_nc_gid=mECJj3bvLNFJ797yZUcNFw&amp;oh=00_AfhnXwYLQXqBNkIh4XBf4Jb9v1OU5uQoruh7E6m8KOCyIQ&amp;oe=691BEE5A</t>
  </si>
  <si>
    <t>leagueoflegends,leagueoflegendsbr,leagueoflegendsbrasil,lolesports,maisesports,LTASul,CBLOL,Worlds2025</t>
  </si>
  <si>
    <t>DQ4OXkXjYjQ</t>
  </si>
  <si>
    <t>https://www.instagram.com/p/DQ4OXkXjYjQ</t>
  </si>
  <si>
    <t>https://instagram.fcgh9-1.fna.fbcdn.net/v/t51.2885-19/450346823_737391045066002_1178007830183780591_n.jpg?stp=dst-jpg_s150x150_tt6&amp;efg=eyJ2ZW5jb2RlX3RhZyI6InByb2ZpbGVfcGljLmRqYW5nby43NTYuYzIifQ&amp;_nc_ht=instagram.fcgh9-1.fna.fbcdn.net&amp;_nc_cat=102&amp;_nc_oc=Q6cZ2QElEyj1RJuHC4XNRGJvxURGi0_teIXmsC7OadDD4iSa9mNqpOSPHlUrpefs9doggwW3V1ONorpquop1BOTLN5he&amp;_nc_ohc=7BBDKiSRR5AQ7kNvwEPwGQe&amp;_nc_gid=jewD4_Dtudyf0ZkgOhb44Q&amp;edm=AFlAz-oBAAAA&amp;ccb=7-5&amp;oh=00_Afjs2l9_hnwQvnfIpMoWOk9PMdQM846hLMxOLzlj8AkLSQ&amp;oe=6930F177&amp;_nc_sid=76c0fc</t>
  </si>
  <si>
    <t>✨️ 
•
•
•
SIGA @mulheresquesonham__ 
#viral #explorar #fyp #explorepage #afirmações #leidaatração</t>
  </si>
  <si>
    <t>mulheresquesonham__</t>
  </si>
  <si>
    <t>Ju | Faceless Marketing | Estrategista digital</t>
  </si>
  <si>
    <t>https://scontent-gru1-2.cdninstagram.com/v/t51.2885-19/540090623_18009247319792787_3785707235754503625_n.jpg?stp=dst-jpg_s150x150_tt6&amp;efg=eyJ2ZW5jb2RlX3RhZyI6InByb2ZpbGVfcGljLmRqYW5nby4xMDgwLmMyIn0&amp;_nc_ht=scontent-gru1-2.cdninstagram.com&amp;_nc_cat=103&amp;_nc_oc=Q6cZ2QHIM57Vkz8sP2bRWgbQeBxsrbb3FfDicJ4c-cZaFeYqbOZ7_WPKh1iZVn8wmdvntjJe6L9TLGj2hkxB-TtCwsjC&amp;_nc_ohc=KVbBFhHX3REQ7kNvwHAF44p&amp;_nc_gid=mECJj3bvLNFJ797yZUcNFw&amp;edm=AI8qBrIBAAAA&amp;ccb=7-5&amp;oh=00_Afi-JJCd5domF8sW3c4g_cVHBqfZEWTsqCrQHrb_AOuk2g&amp;oe=691BD7D2&amp;_nc_sid=469e9a</t>
  </si>
  <si>
    <t>https://scontent.cdninstagram.com/v/t39.30808-6/574581459_1651393732845816_744754258863844779_n.jpg?stp=dst-jpg_e35_tt6&amp;_nc_cat=106&amp;ig_cache_key=Mzc1OTQ1MzU5MDgxNDM0OTEwMg%3D%3D.3-ccb7-5&amp;ccb=7-5&amp;_nc_sid=58cdad&amp;efg=eyJ2ZW5jb2RlX3RhZyI6InhwaWRzLjEwODB4MTM1MC5zZHIuQzMifQ%3D%3D&amp;_nc_ohc=jL0uF--E4MgQ7kNvwGBTs6_&amp;_nc_oc=AdmZL4XXYQ4c-ki6DQ_ANHH4I1ypavzsCuQHj4CD7FUsmDv3JK06wKk97udyCJS-y40VHZjr_3wGcMC38d8WfdeU&amp;_nc_ad=z-m&amp;_nc_cid=0&amp;_nc_zt=23&amp;_nc_ht=scontent.cdninstagram.com&amp;_nc_gid=jewD4_Dtudyf0ZkgOhb44Q&amp;oh=00_Afj3G6hZb4fzsZ9gMrzkzJAL-taMhVNVRHXQayPCIrPUiA&amp;oe=6930E6B1,https://scontent.cdninstagram.com/v/t39.30808-6/574035549_1651393742845815_799216361829876730_n.jpg?stp=dst-jpg_e35_tt6&amp;_nc_cat=105&amp;ig_cache_key=Mzc1OTQ1MzU4NzkyODY1NDc0OA%3D%3D.3-ccb7-5&amp;ccb=7-5&amp;_nc_sid=58cdad&amp;efg=eyJ2ZW5jb2RlX3RhZyI6InhwaWRzLjEwODB4MTM1MC5zZHIuQzMifQ%3D%3D&amp;_nc_ohc=5cjNjb6FXWYQ7kNvwHzX0yq&amp;_nc_oc=AdnLmDGXQBDIAJP_-eoHvKP4UjsEXsWEo77M_vsTb1ln2H8nif5IeCsWP5dGUnCDKllSsPdKxti2h1Vcjqqz6g5t&amp;_nc_ad=z-m&amp;_nc_cid=0&amp;_nc_zt=23&amp;_nc_ht=scontent.cdninstagram.com&amp;_nc_gid=jewD4_Dtudyf0ZkgOhb44Q&amp;oh=00_Afguha-NMQKjif8vS86-XH5IcH5-hExUTQghErJS6XgZsQ&amp;oe=6930C7E5,https://scontent.cdninstagram.com/v/t39.30808-6/574507635_1651393736179149_4317085012034159640_n.jpg?stp=dst-jpg_e35_tt6&amp;_nc_cat=104&amp;ig_cache_key=Mzc1OTQ1MzU4ODc2NzUyMDUxOA%3D%3D.3-ccb7-5&amp;ccb=7-5&amp;_nc_sid=58cdad&amp;efg=eyJ2ZW5jb2RlX3RhZyI6InhwaWRzLjEwODB4MTM1MC5zZHIuQzMifQ%3D%3D&amp;_nc_ohc=NdqIowpeE_kQ7kNvwETUenu&amp;_nc_oc=AdkrF0d5olUf-QqrjXqydc9SF7QogPkURMsOI_nyYE-T5e695AJWH3Jow3VD_MvTDryFpvN8cJXr-3dM6OdfHViB&amp;_nc_ad=z-m&amp;_nc_cid=0&amp;_nc_zt=23&amp;_nc_ht=scontent.cdninstagram.com&amp;_nc_gid=jewD4_Dtudyf0ZkgOhb44Q&amp;oh=00_Afhft6ewB-MAPG4UnQ4D3joPaRxgzwGVZLut_5Cmo5vaqw&amp;oe=6930ED87,https://scontent.cdninstagram.com/v/t39.30808-6/575865626_1651393776179145_6469998136174661641_n.jpg?stp=dst-jpg_e35_tt6&amp;_nc_cat=100&amp;ig_cache_key=Mzc1OTQ1MzU4OTExMTQ0MzUyOQ%3D%3D.3-ccb7-5&amp;ccb=7-5&amp;_nc_sid=58cdad&amp;efg=eyJ2ZW5jb2RlX3RhZyI6InhwaWRzLjEwODB4MTM1MC5zZHIuQzMifQ%3D%3D&amp;_nc_ohc=k7REWFD51H4Q7kNvwHTFUC5&amp;_nc_oc=Adke4IAgqmboJFcwEyJhgNkw7jiVZSzbPFIrcsr1OM1GyLIUnZhlnCiRyZXMBV0qbJpoKp-de5FHwQhNS8Id9wEa&amp;_nc_ad=z-m&amp;_nc_cid=0&amp;_nc_zt=23&amp;_nc_ht=scontent.cdninstagram.com&amp;_nc_gid=jewD4_Dtudyf0ZkgOhb44Q&amp;oh=00_AfhssagAgc0K0SA4zEW3hzl6_KMdAyh_jbKdpDBmI-jNAg&amp;oe=6930E4C4,https://scontent.cdninstagram.com/v/t39.30808-6/574322232_1651393739512482_7091423414644555127_n.jpg?stp=dst-jpg_e35_tt6&amp;_nc_cat=107&amp;ig_cache_key=Mzc1OTQ1MzU4NzQ2NzMwNDkzMQ%3D%3D.3-ccb7-5&amp;ccb=7-5&amp;_nc_sid=58cdad&amp;efg=eyJ2ZW5jb2RlX3RhZyI6InhwaWRzLjEwODB4MTM1MC5zZHIuQzMifQ%3D%3D&amp;_nc_ohc=ApG5AqPXSBEQ7kNvwFJkIA5&amp;_nc_oc=Adnld88tlIzicAfIykuHx4LeCaofqVSjFAWYvVZ1qp6v0s4KwqxkyTjcCMOd00Hv72R9md-P39eA-QfEB2POmlwc&amp;_nc_ad=z-m&amp;_nc_cid=0&amp;_nc_zt=23&amp;_nc_ht=scontent.cdninstagram.com&amp;_nc_gid=jewD4_Dtudyf0ZkgOhb44Q&amp;oh=00_AfgngqWZ0KjtXBy73clZaz7_fTIm8sdXm92tMjmII9oGGQ&amp;oe=6930D51B,https://scontent.cdninstagram.com/v/t39.30808-6/574498832_1651393759512480_2303395544664184737_n.jpg?stp=dst-jpg_e35_tt6&amp;_nc_cat=103&amp;ig_cache_key=Mzc1OTQ1MzU4ODczMzk1OTcxOA%3D%3D.3-ccb7-5&amp;ccb=7-5&amp;_nc_sid=58cdad&amp;efg=eyJ2ZW5jb2RlX3RhZyI6InhwaWRzLjEwODB4MTM1MC5zZHIuQzMifQ%3D%3D&amp;_nc_ohc=rei0HxiAlJEQ7kNvwGyuTbZ&amp;_nc_oc=AdnXCgLs-VaxGrk63_rp9f-zeciGao2GANI51rNOmnuTmfHTGUoExP4nPHzD8dSQ6Bc3GElAlpjQ19Jba0iHKS01&amp;_nc_ad=z-m&amp;_nc_cid=0&amp;_nc_zt=23&amp;_nc_ht=scontent.cdninstagram.com&amp;_nc_gid=jewD4_Dtudyf0ZkgOhb44Q&amp;oh=00_Afj0dpn9f6H1m8ueSxsKDur94PY6a4s0GFGEj8enI4cr6w&amp;oe=6930C7C1</t>
  </si>
  <si>
    <t>DOgZnB3iLB0</t>
  </si>
  <si>
    <t>https://www.instagram.com/p/DOgZnB3iLB0</t>
  </si>
  <si>
    <t>https://scontent-gru1-1.cdninstagram.com/v/t51.82787-15/575997227_18017864651792787_7705909552929285555_n.webp?_nc_cat=1&amp;ig_cache_key=Mzc2MjQ0NjIwMzA3MDc4NDI5OA%3D%3D.3-ccb1-7&amp;ccb=1-7&amp;_nc_sid=58cdad&amp;efg=eyJ2ZW5jb2RlX3RhZyI6InhwaWRzLjE0NDB4MTQ0MC5zZHIuQzMifQ%3D%3D&amp;_nc_ohc=DA7GYu1L3H0Q7kNvwE5Xx6r&amp;_nc_oc=Adml-pBlB6CmqYTqAkopVvbviJC358wOfSl7d8N2h_0lovLRm3Lw8wyHrn3BRd_ft2NY6AbxBMH7CrbRqN1lqiva&amp;_nc_ad=z-m&amp;_nc_cid=0&amp;_nc_zt=23&amp;_nc_ht=scontent-gru1-1.cdninstagram.com&amp;_nc_gid=mECJj3bvLNFJ797yZUcNFw&amp;oh=00_Afjn39J76Uvt7wEnIqvGSa_H-C4DcUduI55tGBQWVzz9Eg&amp;oe=691BD019,https://scontent-gru1-2.cdninstagram.com/v/t51.82787-15/575965950_18017864660792787_61414485623675313_n.webp?_nc_cat=103&amp;ig_cache_key=Mzc2MjQ0NjIwMzA3OTE4OTA1OA%3D%3D.3-ccb1-7&amp;ccb=1-7&amp;_nc_sid=58cdad&amp;efg=eyJ2ZW5jb2RlX3RhZyI6InhwaWRzLjE0NDB4MTQ0MC5zZHIuQzMifQ%3D%3D&amp;_nc_ohc=ipPbO0J4O7cQ7kNvwGSzqf9&amp;_nc_oc=Adk7cw8Z63ucbQuwigyNXaLmjJ4uZYWOPJlx9NVrmj853zqSNomHI30HKVxM-B0YV4XEgJvZJuLbePGYSfAGMzTe&amp;_nc_ad=z-m&amp;_nc_cid=0&amp;_nc_zt=23&amp;_nc_ht=scontent-gru1-2.cdninstagram.com&amp;_nc_gid=mECJj3bvLNFJ797yZUcNFw&amp;oh=00_Afi7EyZd3vZJE7yWrv4-DdD7H1QLtk6DI4XvU_A2KUiUbw&amp;oe=691BF8ED,https://scontent-gru2-2.cdninstagram.com/v/t51.82787-15/576643101_18017864669792787_7693270313840401405_n.webp?_nc_cat=106&amp;ig_cache_key=Mzc2MjQ0NjIwMzA3OTE3MDU1Ng%3D%3D.3-ccb1-7&amp;ccb=1-7&amp;_nc_sid=58cdad&amp;efg=eyJ2ZW5jb2RlX3RhZyI6InhwaWRzLjE0NDB4MTQ0MC5zZHIuQzMifQ%3D%3D&amp;_nc_ohc=6wi7uM-RNocQ7kNvwG6jv3z&amp;_nc_oc=Adn7MJEwKHAfQZ_2id2kR2OPbybWFoE_h5hXHvt012eT487_TISLrFumQtZkdCDS2tQ5VVJPsQsa0JBzevDkVPDT&amp;_nc_ad=z-m&amp;_nc_cid=0&amp;_nc_zt=23&amp;_nc_ht=scontent-gru2-2.cdninstagram.com&amp;_nc_gid=mECJj3bvLNFJ797yZUcNFw&amp;oh=00_AfiUOVR6D9xxJ3NhGbKJe9J2-HznY9suhy-n1i6hsbo8bw&amp;oe=691BDF17,https://scontent-gru2-2.cdninstagram.com/v/t51.82787-15/580509397_18017864678792787_8736565985665378380_n.webp?_nc_cat=106&amp;ig_cache_key=Mzc2MjQ0NjIwMzE0NjMwMTQzOQ%3D%3D.3-ccb1-7&amp;ccb=1-7&amp;_nc_sid=58cdad&amp;efg=eyJ2ZW5jb2RlX3RhZyI6InhwaWRzLjE0NDB4MTQ0MC5zZHIuQzMifQ%3D%3D&amp;_nc_ohc=tZvk7YUumP0Q7kNvwEW0DOV&amp;_nc_oc=AdksBbYFU3aP88VBzMeZ8-B0LmbbT5blEwZXuMqsyXy4EZi7F3R3pxLibbg4B_7V0hWojt9wVOG7zUzGUR6J79FN&amp;_nc_ad=z-m&amp;_nc_cid=0&amp;_nc_zt=23&amp;_nc_ht=scontent-gru2-2.cdninstagram.com&amp;_nc_gid=mECJj3bvLNFJ797yZUcNFw&amp;oh=00_AfgZQrogh-u9qqH4EPjreYgkIc-hKfzH4WEjFNFU5NgqzA&amp;oe=691C0070,https://scontent-gru2-1.cdninstagram.com/v/t51.82787-15/576102226_18017864687792787_2010197453862137028_n.webp?_nc_cat=107&amp;ig_cache_key=Mzc2MjQ0NjIwMzI4MDUxNjc3NQ%3D%3D.3-ccb1-7&amp;ccb=1-7&amp;_nc_sid=58cdad&amp;efg=eyJ2ZW5jb2RlX3RhZyI6InhwaWRzLjE0NDB4MTQ0MC5zZHIuQzMifQ%3D%3D&amp;_nc_ohc=er--nK6CReUQ7kNvwGpfNQz&amp;_nc_oc=AdnVBXYd_vn87gRdc74ysixqUqZKRyylTSBeX3J636-jvTu-2rrjGSbTfH8DxDD6pqUclvSZyJPM5_OZ3nB3E51W&amp;_nc_ad=z-m&amp;_nc_cid=0&amp;_nc_zt=23&amp;_nc_ht=scontent-gru2-1.cdninstagram.com&amp;_nc_gid=mECJj3bvLNFJ797yZUcNFw&amp;oh=00_AfgPN2jfAzr5ZYQpuCWfSn8gXBJkLPnGpntikmrNdxjpWg&amp;oe=691BE96F,https://scontent-gru1-1.cdninstagram.com/v/t51.82787-15/580636815_18017864696792787_4271972727030918294_n.webp?_nc_cat=104&amp;ig_cache_key=Mzc2MjQ0NjIwMzA3OTE4NTA0MQ%3D%3D.3-ccb1-7&amp;ccb=1-7&amp;_nc_sid=58cdad&amp;efg=eyJ2ZW5jb2RlX3RhZyI6InhwaWRzLjE0NDB4MTQ0MC5zZHIuQzMifQ%3D%3D&amp;_nc_ohc=NFwXxFFRFiMQ7kNvwEatF0g&amp;_nc_oc=AdmncD8uJj9rfO07tSY01xZX8LTJlJ04Dd_AFcKTSHK8uMPulbQY37HYe2LbpBwKzDiRzsAZmwQ0eb3g4Qbnqsjs&amp;_nc_ad=z-m&amp;_nc_cid=0&amp;_nc_zt=23&amp;_nc_ht=scontent-gru1-1.cdninstagram.com&amp;_nc_gid=mECJj3bvLNFJ797yZUcNFw&amp;oh=00_AfgUpUJVKT98mr5J1eBnBQ0oFaGa8Q8UhdA-74GmYXMKaQ&amp;oe=691BE1A1</t>
  </si>
  <si>
    <t>viral,explorar,fyp,explorepage,afirmações,leidaatração</t>
  </si>
  <si>
    <t>DQ49J5SERVe</t>
  </si>
  <si>
    <t>https://www.instagram.com/p/DQ49J5SERVe</t>
  </si>
  <si>
    <t>¿Tú también demuestras amor así? 💛 Los cerebros como los nuestros no siempre dicen “te quiero” de la forma tradicional. En cambio, se nos escapa en los pequeños detalles: mandar un artículo que pensamos que te gustaría, sentarnos en silencio contigo sin necesidad de hablar, o aparecer con algo al azar que encontramos y que creímos que te sacaría una sonrisa 🍂✨
#tda #tdah #tdahadulto #tdahespaña</t>
  </si>
  <si>
    <t>https://instagram.fcgh9-1.fna.fbcdn.net/v/t51.2885-19/563603693_17867246910461738_3880063453732155811_n.jpg?stp=dst-jpg_s150x150_tt6&amp;efg=eyJ2ZW5jb2RlX3RhZyI6InByb2ZpbGVfcGljLmRqYW5nby4xMDA5LmMyIn0&amp;_nc_ht=instagram.fcgh9-1.fna.fbcdn.net&amp;_nc_cat=102&amp;_nc_oc=Q6cZ2QElEyj1RJuHC4XNRGJvxURGi0_teIXmsC7OadDD4iSa9mNqpOSPHlUrpefs9doggwW3V1ONorpquop1BOTLN5he&amp;_nc_ohc=D_mLDFiJbdEQ7kNvwHzgRRW&amp;_nc_gid=jewD4_Dtudyf0ZkgOhb44Q&amp;edm=AFlAz-oBAAAA&amp;ccb=7-5&amp;oh=00_Afiyeow5wutq3oTPkQDLXu3LAvTbNfbJ9lAiJOyaNnYyvQ&amp;oe=6930D5CF&amp;_nc_sid=76c0fc</t>
  </si>
  <si>
    <t>Pastel de carne com açúcar! 
#pastel #asmr #cooking #asmrfood #carne</t>
  </si>
  <si>
    <t>_thesabor</t>
  </si>
  <si>
    <t>Jr. Santos | TheSabor</t>
  </si>
  <si>
    <t>https://scontent-gru1-1.cdninstagram.com/v/t51.2885-19/334630727_234248949022773_2160482808844695187_n.jpg?stp=dst-jpg_s150x150_tt6&amp;efg=eyJ2ZW5jb2RlX3RhZyI6InByb2ZpbGVfcGljLmRqYW5nby4xMDgwLmMyIn0&amp;_nc_ht=scontent-gru1-1.cdninstagram.com&amp;_nc_cat=1&amp;_nc_oc=Q6cZ2QHIM57Vkz8sP2bRWgbQeBxsrbb3FfDicJ4c-cZaFeYqbOZ7_WPKh1iZVn8wmdvntjJe6L9TLGj2hkxB-TtCwsjC&amp;_nc_ohc=uZRprakq6IoQ7kNvwHk9Yjl&amp;_nc_gid=mECJj3bvLNFJ797yZUcNFw&amp;edm=AI8qBrIBAAAA&amp;ccb=7-5&amp;oh=00_Afh7SVKonSG9Uwo6C8vpwSlFmwkqM-MKlz1gaerNbl75lg&amp;oe=691BD419&amp;_nc_sid=469e9a</t>
  </si>
  <si>
    <t>https://scontent.cdninstagram.com/v/t51.82787-15/547623651_17864128950461738_7245927873960600877_n.jpg?stp=dst-jpg_e35_tt6&amp;_nc_cat=105&amp;ig_cache_key=MzcyMDA4NTkyNTQzNTg0Njc3Mg%3D%3D.3-ccb7-5&amp;ccb=7-5&amp;_nc_sid=58cdad&amp;efg=eyJ2ZW5jb2RlX3RhZyI6InhwaWRzLjExMjV4MTQwNi5zZHIuQzMifQ%3D%3D&amp;_nc_ohc=Z5gMFN12itUQ7kNvwEEXRim&amp;_nc_oc=AdnnX7r0SvzHa5hkf0O7-o7Q7Q-4BRo-CLwV-HTnLN3jYvGN5MCeSZR1pDnbM4kHotenRYFLnQulZjoAQGuBz9Wa&amp;_nc_ad=z-m&amp;_nc_cid=0&amp;_nc_zt=23&amp;_nc_ht=scontent.cdninstagram.com&amp;_nc_gid=jewD4_Dtudyf0ZkgOhb44Q&amp;oh=00_AfhW-Y0TRlUM277Ca_ioReERJ9gou1mmwFncMPf2wwQ1qA&amp;oe=6930D3F5</t>
  </si>
  <si>
    <t>video</t>
  </si>
  <si>
    <t>https://scontent-gru1-1.cdninstagram.com/v/t51.71878-15/581119859_2614212365643440_981613885414339718_n.jpg?stp=dst-jpg_e15_tt6&amp;_nc_cat=1&amp;ig_cache_key=Mzc2MzAyNjQ0OTQ4NjkxMDgxNA%3D%3D.3-ccb1-7&amp;ccb=1-7&amp;_nc_sid=58cdad&amp;efg=eyJ2ZW5jb2RlX3RhZyI6InhwaWRzLjY0MHgxMTM2LnNkci5DMyJ9&amp;_nc_ohc=x24Ht9c-7VoQ7kNvwFtatrk&amp;_nc_oc=Adl0vZorZzeMne3UWJwCosb_qHwbnR_u2ZtXhy07drvshIfZAVwMD26Eq4bQHguJ-UpZfZ6ts66uNyEx1oam5GE0&amp;_nc_ad=z-m&amp;_nc_cid=0&amp;_nc_zt=23&amp;_nc_ht=scontent-gru1-1.cdninstagram.com&amp;_nc_gid=mECJj3bvLNFJ797yZUcNFw&amp;oh=00_AfhUVBa2XBagZofdRfNh4Pwu7kLLeCjPI9X05HQxyZdm8w&amp;oe=691BE3DF</t>
  </si>
  <si>
    <t>DOV6J_TDTdY</t>
  </si>
  <si>
    <t>https://www.instagram.com/p/DOV6J_TDTdY</t>
  </si>
  <si>
    <t>https://scontent-gru1-2.cdninstagram.com/o1/v/t2/f2/m86/AQOEzudyGh1aMWdO_Kk1mtp8L5Tv1nJ0uFlZ1r82HCbmAZU9Ce6d6P9oqAsWe5wUoWzuUoI4riWilrEc4vYHjNlSWHqZ9c-OFjD9Svc.mp4?_nc_cat=110&amp;_nc_sid=5e9851&amp;_nc_ht=scontent-gru1-2.cdninstagram.com&amp;_nc_ohc=l9_fCq5Pc2sQ7kNvwEuQpCE&amp;efg=eyJ2ZW5jb2RlX3RhZyI6Inhwdl9wcm9ncmVzc2l2ZS5JTlNUQUdSQU0uQ0xJUFMuQzMuNzIwLmRhc2hfYmFzZWxpbmVfMV92MSIsInhwdl9hc3NldF9pZCI6ODM2NDI3NDEyMjEwMTc0LCJhc3NldF9hZ2VfZGF5cyI6MiwidmlfdXNlY2FzZV9pZCI6MTAwOTksImR1cmF0aW9uX3MiOjE1LCJ1cmxnZW5fc291cmNlIjoid3d3In0%3D&amp;ccb=17-1&amp;vs=3a60b687f7acabeb&amp;_nc_vs=HBksFQIYUmlnX3hwdl9yZWVsc19wZXJtYW5lbnRfc3JfcHJvZC80NjRBQUJDREFEQjVBOUU2QUU1QkQ0MzU1NEMwMjI4MF92aWRlb19kYXNoaW5pdC5tcDQVAALIARIAFQIYOnBhc3N0aHJvdWdoX2V2ZXJzdG9yZS9HQkkyYUNLUXhESVdEYjBFQU9DTXNyWnh5UllHYnN0VEFRQUYVAgLIARIAKAAYABsCiAd1c2Vfb2lsATEScHJvZ3Jlc3NpdmVfcmVjaXBlATEVAAAm_IfI7L2u_AIVAigCQzMsF0Aud0vGp--eGBJkYXNoX2Jhc2VsaW5lXzFfdjERAHX-B2XmnQEA&amp;_nc_gid=mECJj3bvLNFJ797yZUcNFw&amp;_nc_zt=28&amp;oh=00_AfgNITygN572lpghCZr2xMACh58YJfxb4RpuMSZx9dTROQ&amp;oe=6917F783</t>
  </si>
  <si>
    <t>pastel,asmr,cooking,asmrfood,carne</t>
  </si>
  <si>
    <t>DQzYtJxjlqH</t>
  </si>
  <si>
    <t>https://www.instagram.com/p/DQzYtJxjlqH</t>
  </si>
  <si>
    <t>Ter TDAH pode ser desafiador, mas também pode revelar talentos que muitas vezes ficam escondidos.
A questão é: como você escolhe enxergar a si mesmo?
A ideia não é romantizar, mas reconhecer que, junto com as dificuldades, existem forças únicas que podem ser direcionadas a seu favor.
E aí, qual é a habilidade do TDAH que mais aparece no seu dia a dia?
Conta nos comentários, vou adorar saber.💬
#tdah #vidacomtdah #tdahdiagnosticotardio #tdahbrasil #tdahadulto #psisandravillela</t>
  </si>
  <si>
    <t>https://instagram.fcgh9-1.fna.fbcdn.net/v/t51.2885-19/332467891_870732753989791_7019283026228548322_n.jpg?stp=dst-jpg_s150x150_tt6&amp;efg=eyJ2ZW5jb2RlX3RhZyI6InByb2ZpbGVfcGljLmRqYW5nby44OTkuYzIifQ&amp;_nc_ht=instagram.fcgh9-1.fna.fbcdn.net&amp;_nc_cat=107&amp;_nc_oc=Q6cZ2QFZ-c0UuJlcwHPDIA2BdjJKmgNn4CeWSWMUIxVZk2AoKlE_37K-5VrwydkDYJn2hE8McrVkR5bi5lX5qFMsuGNl&amp;_nc_ohc=a9Ac8DJluv8Q7kNvwE3k6rX&amp;_nc_gid=ygfcAI-yWoRnVAIWTLIPJw&amp;edm=AFlAz-oBAAAA&amp;ccb=7-5&amp;oh=00_AfiAoNQXh4FhHGVnDDC7gIidET8Q0TSIHo7z5yKLa-LLGA&amp;oe=6930F78B&amp;_nc_sid=76c0fc</t>
  </si>
  <si>
    <t>Sigam @renan_milgrau015 ❤️🙇🏽‍♂️💭</t>
  </si>
  <si>
    <t>renan_milgrau015</t>
  </si>
  <si>
    <t>Renan Mil Grau</t>
  </si>
  <si>
    <t>https://scontent-gru2-2.cdninstagram.com/v/t51.2885-19/387710294_3574892202757238_9141831358733539172_n.jpg?stp=dst-jpg_s150x150_tt6&amp;efg=eyJ2ZW5jb2RlX3RhZyI6InByb2ZpbGVfcGljLmRqYW5nby4xMDgwLmMyIn0&amp;_nc_ht=scontent-gru2-2.cdninstagram.com&amp;_nc_cat=102&amp;_nc_oc=Q6cZ2QHIM57Vkz8sP2bRWgbQeBxsrbb3FfDicJ4c-cZaFeYqbOZ7_WPKh1iZVn8wmdvntjJe6L9TLGj2hkxB-TtCwsjC&amp;_nc_ohc=FFvPFu5yWF8Q7kNvwGknXFC&amp;_nc_gid=mECJj3bvLNFJ797yZUcNFw&amp;edm=AI8qBrIBAAAA&amp;ccb=7-5&amp;oh=00_Afg_iZdafIu2Ey7iFSzwsFSQj4QgdKJlPdQN-eKnV9BCcw&amp;oe=691BD596&amp;_nc_sid=469e9a</t>
  </si>
  <si>
    <t>https://scontent.cdninstagram.com/v/t51.82787-15/542759697_18500913562065764_7175787137158803150_n.webp?_nc_cat=101&amp;ig_cache_key=MzcxNzEzMjgyODc4Mjk4ODAyMQ%3D%3D.3-ccb7-5&amp;ccb=7-5&amp;_nc_sid=58cdad&amp;efg=eyJ2ZW5jb2RlX3RhZyI6InhwaWRzLjE0NDB4MTgwMC5zZHIuQzMifQ%3D%3D&amp;_nc_ohc=Yb4D2-XJWT4Q7kNvwGPD9Nq&amp;_nc_oc=AdkJEUnQkxWIGJBr7v9DCgk9EMX5R4gejfsdK1cKfLWYFI70-BTu_0WdVfrH9aF8wOyTtrogoLyATQBl2XbW2cZc&amp;_nc_ad=z-m&amp;_nc_cid=0&amp;_nc_zt=23&amp;_nc_ht=scontent.cdninstagram.com&amp;_nc_gid=ygfcAI-yWoRnVAIWTLIPJw&amp;oh=00_AfhGhQyeugZXbaRdqneTAMfkEkQcxFGwTqzl7_LYMRYhlQ&amp;oe=6930D2FE,https://scontent.cdninstagram.com/v/t51.82787-15/543649023_18500913571065764_6961772757785984170_n.webp?_nc_cat=103&amp;ig_cache_key=MzcxNzEzMjgyODc5MTM3MjE4Nw%3D%3D.3-ccb7-5&amp;ccb=7-5&amp;_nc_sid=58cdad&amp;efg=eyJ2ZW5jb2RlX3RhZyI6InhwaWRzLjE0NDB4MTgwMC5zZHIuQzMifQ%3D%3D&amp;_nc_ohc=CnTI-nwUjGkQ7kNvwE7H1jl&amp;_nc_oc=AdkDxIiAUCNYtgK2gJXXapIpdS3ZQFYcfGqry7oCEVA_iq0VKD1DLtS8s7YJ3Uh_0gZMRI2pOD9pj55M2FNV49Io&amp;_nc_ad=z-m&amp;_nc_cid=0&amp;_nc_zt=23&amp;_nc_ht=scontent.cdninstagram.com&amp;_nc_gid=ygfcAI-yWoRnVAIWTLIPJw&amp;oh=00_Afhrv5RKpNUGWBt7W4aWsE_dxxvVNsI74Fu9sY6Vkxk_Ig&amp;oe=6930D87F,https://scontent.cdninstagram.com/v/t51.82787-15/542451834_18500913580065764_6004402407047144053_n.webp?_nc_cat=109&amp;ig_cache_key=MzcxNzEzMjgyODk3NTkyODQ0NA%3D%3D.3-ccb7-5&amp;ccb=7-5&amp;_nc_sid=58cdad&amp;efg=eyJ2ZW5jb2RlX3RhZyI6InhwaWRzLjE0NDB4MTgwMC5zZHIuQzMifQ%3D%3D&amp;_nc_ohc=aa8QuKYCz4IQ7kNvwEM16KX&amp;_nc_oc=Adkbk0bp1RhKbRaVqCI3cORULKEsAraAuMYOgAFtMfJqaiHradDP2lHSAWWtp3Oznn56kuTByFb2eZ4twZbokjJY&amp;_nc_ad=z-m&amp;_nc_cid=0&amp;_nc_zt=23&amp;_nc_ht=scontent.cdninstagram.com&amp;_nc_gid=ygfcAI-yWoRnVAIWTLIPJw&amp;oh=00_Afj7-piNI72YowxJQQMf78yfVZQ9YEHl6aJf65eCzZLf3A&amp;oe=6930CEBD,https://scontent.cdninstagram.com/v/t51.82787-15/543663993_18500913589065764_3046706869014023137_n.webp?_nc_cat=104&amp;ig_cache_key=MzcxNzEzMjgyODc4MzAwNTAxNw%3D%3D.3-ccb7-5&amp;ccb=7-5&amp;_nc_sid=58cdad&amp;efg=eyJ2ZW5jb2RlX3RhZyI6InhwaWRzLjE0NDB4MTgwMC5zZHIuQzMifQ%3D%3D&amp;_nc_ohc=2ywxqA6Z97kQ7kNvwH7qURU&amp;_nc_oc=AdlfqeqVhD4fxSrjgQQPxjsi33qmG37Ogbpn3dja5JBxuOKXEg5E5qfCfh-NNJklwfhhmOh4neTf7FQZ4T9gpDhM&amp;_nc_ad=z-m&amp;_nc_cid=0&amp;_nc_zt=23&amp;_nc_ht=scontent.cdninstagram.com&amp;_nc_gid=ygfcAI-yWoRnVAIWTLIPJw&amp;oh=00_AfgOp_xLIkeWoG_tjiOPncnF5F05bb-JnNQ-6mqfTN2GEA&amp;oe=6930DB0B,https://scontent.cdninstagram.com/v/t51.82787-15/542892813_18500913601065764_280092592245423244_n.webp?_nc_cat=100&amp;ig_cache_key=MzcxNzEzMjgyODc4Mjk3OTQ2MQ%3D%3D.3-ccb7-5&amp;ccb=7-5&amp;_nc_sid=58cdad&amp;efg=eyJ2ZW5jb2RlX3RhZyI6InhwaWRzLjE0NDB4MTgwMC5zZHIuQzMifQ%3D%3D&amp;_nc_ohc=Y_aQKZys7yYQ7kNvwHCguIR&amp;_nc_oc=Adn87rrAv07oeQz2sxjcgGACrUz2Fc2ZNLXJB8UNTopDMCG0JRP38R6vXmFuh4BltufR2T825oj6mfPViP40VUs_&amp;_nc_ad=z-m&amp;_nc_cid=0&amp;_nc_zt=23&amp;_nc_ht=scontent.cdninstagram.com&amp;_nc_gid=ygfcAI-yWoRnVAIWTLIPJw&amp;oh=00_Afh-kwDgQ6hey2D2dcxWE8BJVHYyqJhBavYQd4vA-HUptg&amp;oe=6930DB32,https://scontent.cdninstagram.com/v/t51.82787-15/542851038_18500913613065764_8029960702159157682_n.webp?_nc_cat=107&amp;ig_cache_key=MzcxNzEzMjgyODc4MzAwMzk3NQ%3D%3D.3-ccb7-5&amp;ccb=7-5&amp;_nc_sid=58cdad&amp;efg=eyJ2ZW5jb2RlX3RhZyI6InhwaWRzLjE0NDB4MTgwMC5zZHIuQzMifQ%3D%3D&amp;_nc_ohc=hbrqF8HMSWMQ7kNvwEC6HTw&amp;_nc_oc=Adn88vhxf9FHxc3PAb9CRjnwAKsDJkFBjHHLNr4GFtyMmKzJ-KrTo-ZjFleFTgh5isi1GaS8Xxyd5MBbCM_c-koH&amp;_nc_ad=z-m&amp;_nc_cid=0&amp;_nc_zt=23&amp;_nc_ht=scontent.cdninstagram.com&amp;_nc_gid=ygfcAI-yWoRnVAIWTLIPJw&amp;oh=00_AfhytliyJBJKJQ0UKnCywLwHUd2tNioRZGRg4YqSxGpO5w&amp;oe=6930E9A6,https://scontent.cdninstagram.com/v/t51.82787-15/542735667_18500913622065764_7607147634272831102_n.webp?_nc_cat=109&amp;ig_cache_key=MzcxNzEzMjgyODc4MzAwMjc3OQ%3D%3D.3-ccb7-5&amp;ccb=7-5&amp;_nc_sid=58cdad&amp;efg=eyJ2ZW5jb2RlX3RhZyI6InhwaWRzLjE0NDB4MTgwMC5zZHIuQzMifQ%3D%3D&amp;_nc_ohc=M7-JsWmQejUQ7kNvwFcXWJj&amp;_nc_oc=AdkRnNmcNjI7O_TPIPhuWxbAyZKprfJsztWmW68sBqOKSXKGy-OMcuY7jbYG19Yg1AKQtkWk4c7T66RHRNIVAwzd&amp;_nc_ad=z-m&amp;_nc_cid=0&amp;_nc_zt=23&amp;_nc_ht=scontent.cdninstagram.com&amp;_nc_gid=ygfcAI-yWoRnVAIWTLIPJw&amp;oh=00_AfjjIka2ZCSDf2WUjfBBZtvsH0lMUxnj3VptC5dbkl084g&amp;oe=6930E04C</t>
  </si>
  <si>
    <t>https://scontent-gru2-1.cdninstagram.com/v/t51.82787-15/579716608_18059078813557570_8559193454694366825_n.jpg?stp=dst-jpg_e35_tt6&amp;_nc_cat=107&amp;ig_cache_key=Mzc2MTQ1ODc2MDIzNDQ0OTQ2Mw%3D%3D.3-ccb1-7&amp;ccb=1-7&amp;_nc_sid=58cdad&amp;efg=eyJ2ZW5jb2RlX3RhZyI6InhwaWRzLjEzMjB4MTMyMC5zZHIuQzMifQ%3D%3D&amp;_nc_ohc=VpjCc5STkHQQ7kNvwENZgeH&amp;_nc_oc=Admhzc4k45g2C6JZ3Lex6Zvxk7aghxQQhE8iJ_u3-8sbZy7JCI5yVQVGVFeCJuOYXoQtToygCOyCrOIpY8blN2Jg&amp;_nc_ad=z-m&amp;_nc_cid=0&amp;_nc_zt=23&amp;_nc_ht=scontent-gru2-1.cdninstagram.com&amp;_nc_gid=mECJj3bvLNFJ797yZUcNFw&amp;oh=00_Afjh5_YXLTl3Y4Odd-eqBTyMujxlCYQkOg7_iJzkjGg9wg&amp;oe=691BD3E4,https://scontent-gru2-1.cdninstagram.com/v/t51.82787-15/567139395_18059078828557570_1516751710768981558_n.jpg?stp=dst-jpg_e35_tt6&amp;_nc_cat=111&amp;ig_cache_key=Mzc2MTQ1ODc2MDI0MjgyOTYwMA%3D%3D.3-ccb1-7&amp;ccb=1-7&amp;_nc_sid=58cdad&amp;efg=eyJ2ZW5jb2RlX3RhZyI6InhwaWRzLjEzMjB4MTMyMC5zZHIuQzMifQ%3D%3D&amp;_nc_ohc=5uwfQ1ZExlwQ7kNvwFFYaka&amp;_nc_oc=Adnu0biaCZaVmBJxQSaPPFvtR3ioplP_jTZKfmosMoVqZG-KmPYHNzylRiPWH6i5xM7xbgMW3T5TqqvigCxinCOX&amp;_nc_ad=z-m&amp;_nc_cid=0&amp;_nc_zt=23&amp;_nc_ht=scontent-gru2-1.cdninstagram.com&amp;_nc_gid=mECJj3bvLNFJ797yZUcNFw&amp;oh=00_AfjkLD2l9EF7oUic2Jq47Skv5zUiGdpvjqqV3RXoFhrunQ&amp;oe=691BE133,https://scontent-gru1-1.cdninstagram.com/v/t51.82787-15/576380987_18059078831557570_104622240147038898_n.jpg?stp=dst-jpg_e35_tt6&amp;_nc_cat=104&amp;ig_cache_key=Mzc2MTQ1ODc2MDQxMDYyOTc5OQ%3D%3D.3-ccb1-7&amp;ccb=1-7&amp;_nc_sid=58cdad&amp;efg=eyJ2ZW5jb2RlX3RhZyI6InhwaWRzLjEzMjB4MTMyMC5zZHIuQzMifQ%3D%3D&amp;_nc_ohc=QDk_vFi-M2QQ7kNvwHM6Vko&amp;_nc_oc=AdkFvjirutVKGo24AATRfJap-Eb1v1HoEiz4cjRL6Yo66mblvXYu7knYP0viqiSb0QMIvErnr1XvJKRCr69oV0zt&amp;_nc_ad=z-m&amp;_nc_cid=0&amp;_nc_zt=23&amp;_nc_ht=scontent-gru1-1.cdninstagram.com&amp;_nc_gid=mECJj3bvLNFJ797yZUcNFw&amp;oh=00_AfioC34pkcnRZHF4ONMk1-nWYZeHDPL6UaqshUCDQTXaDw&amp;oe=691BF8C6</t>
  </si>
  <si>
    <t>DQ2Bh7_kZdQ</t>
  </si>
  <si>
    <t>CXyWy1QAao2</t>
  </si>
  <si>
    <t>https://www.instagram.com/p/DQ2Bh7_kZdQ</t>
  </si>
  <si>
    <t>https://www.instagram.com/p/CXyWy1QAao2</t>
  </si>
  <si>
    <t>💍 A lenda diz assim:
Há muitos séculos, acreditava-se que o quarto dedo da mão esquerda (onde se usa o anel solitário) possuía uma veia especial chamada “Vena Amoris”, que ia diretamente ao coração.
Por isso, colocar um anel nesse dedo era uma forma de selar um amor verdadeiro, conectando a mão ao coração — um gesto que significava entrega, fidelidade e eternidade.
O anel solitário, com sua única pedra, representa um único amor, puro e eterno — o amor de uma só pessoa que ocupa o coração.
#anelnoivado</t>
  </si>
  <si>
    <t>usecaprichos</t>
  </si>
  <si>
    <t>Use Caprıchos | Alianças e Jóias</t>
  </si>
  <si>
    <t>https://scontent-gru1-1.cdninstagram.com/v/t51.2885-19/575495502_18099041245704625_8739188152241459045_n.jpg?stp=dst-jpg_s150x150_tt6&amp;efg=eyJ2ZW5jb2RlX3RhZyI6InByb2ZpbGVfcGljLmRqYW5nby4xMDgwLmMyIn0&amp;_nc_ht=scontent-gru1-1.cdninstagram.com&amp;_nc_cat=101&amp;_nc_oc=Q6cZ2QHIM57Vkz8sP2bRWgbQeBxsrbb3FfDicJ4c-cZaFeYqbOZ7_WPKh1iZVn8wmdvntjJe6L9TLGj2hkxB-TtCwsjC&amp;_nc_ohc=aYt0hDUnUogQ7kNvwEz_943&amp;_nc_gid=mECJj3bvLNFJ797yZUcNFw&amp;edm=AI8qBrIBAAAA&amp;ccb=7-5&amp;oh=00_AfhNuUqLbrnSTdaylgN79RWsDmUXCFbjABckuwOp80u4Kw&amp;oe=691BD5C8&amp;_nc_sid=469e9a</t>
  </si>
  <si>
    <t>TDAH ADULTO: Tratamento e dicas por Maria Helena Manso @psicoeducacaofinanceira 😍
📌 TDAH é uma sigla que representa o transtorno do déficit de atenção e hiperatividade. Trata-se de um transtorno do neurodesenvolvimento. As características centrais são a dificuldade em regular a atenção e controlar impulsos e hiperatividade.
📌 O TDAH é uma síndrome de base genética bastante relevante. O Déficit de atenção está relacionado com a regulação de um determinado conjunto de funções cerebrais e comportamentos relacionados.
📌 Pesquisas apontam que aproximadamente 5% dos adultos têm TDAH. Isso representa mais de 10 milhões de pessoas no Brasil. 
📌 Embora não haja cura para o TDAH, os tratamentos atualmente disponíveis podem ajudar a reduzir os sintomas e melhorar o funcionamento. 
📌 O TDAH é comumente tratado com medicação, psicoterapia,  intervenção neuropsicólogica. 
👉🏻 A prática regular de atividade física, o uso consciente do celular ,as práticas de meditação/respiração e planejamento diário são grandes aliados ao tratamento de TDAH. 
Conhece alguém desatento? Compartilha essa informação!
Imagem: @mp.artedesign 
#tdahadulto #tdahadultos #transtornodedeficitdeatencao #deficitdeatencao #transtornosdeaprendizagem #dificuldadesdeaprendizagem #psiquiatriabh #psiquiatrabh #psicologiabh #tdahadultos #tdahdescomplicado #dificuldadesdeaprendizagem #transtornosdeaprendizagem #tdahinfantil #psicologabh #transtornodeansiedadegeneralizada #transtornodeansiedade</t>
  </si>
  <si>
    <t>https://instagram.fcgh9-1.fna.fbcdn.net/v/t51.2885-19/342896576_197390316393171_6767736904209467616_n.jpg?stp=dst-jpg_s150x150_tt6&amp;efg=eyJ2ZW5jb2RlX3RhZyI6InByb2ZpbGVfcGljLmRqYW5nby4xMDgwLmMyIn0&amp;_nc_ht=instagram.fcgh9-1.fna.fbcdn.net&amp;_nc_cat=103&amp;_nc_oc=Q6cZ2QHeyHNY5OwB0Z59YpLINll7yuqbFR5KDZ1CO0j89qQTzpkOjWQdmqSegBi6hlKkfs4Kn08mjKUKqVnVmQXKqQEE&amp;_nc_ohc=wGwHqzpeXyMQ7kNvwF0ropW&amp;_nc_gid=Jep4rn5UeP4JwWcjYPhFyw&amp;edm=AFlAz-oBAAAA&amp;ccb=7-5&amp;oh=00_Afg3-tphYvolaNeNabiDTmKSV8dMZNAmL5Ri-_29qhuPwQ&amp;oe=6930C7E4&amp;_nc_sid=76c0fc</t>
  </si>
  <si>
    <t>https://scontent-gru1-1.cdninstagram.com/v/t51.82787-15/581030127_18099933517704625_5924991134460802478_n.jpg?stp=dst-jpg_e35_tt6&amp;_nc_cat=1&amp;ig_cache_key=Mzc2MjIwMTI2Mzc2MjE2MTkyNA%3D%3D.3-ccb1-7&amp;ccb=1-7&amp;_nc_sid=58cdad&amp;efg=eyJ2ZW5jb2RlX3RhZyI6InhwaWRzLjc1MHg4Nzkuc2RyLkMzIn0%3D&amp;_nc_ohc=Skr1ILzuj-UQ7kNvwFVqFjc&amp;_nc_oc=Admv1ie4mqtW1znt-v9vCe-qHQKPkxXqYP2GKJ5HHhheSTbgYVwKIgGCgodROl5n_g3sXRY9W0qxmiooyVKkBboO&amp;_nc_ad=z-m&amp;_nc_cid=0&amp;_nc_zt=23&amp;_nc_ht=scontent-gru1-1.cdninstagram.com&amp;_nc_gid=mECJj3bvLNFJ797yZUcNFw&amp;oh=00_Afh3lrRcv2cEkF0KUN0WyQE_duqtTXefYR5J066-cEi3QQ&amp;oe=691BE604,https://scontent-gru2-2.cdninstagram.com/v/t51.82787-15/576530455_18099933526704625_7998876363082956753_n.jpg?stp=dst-jpg_e35_tt6&amp;_nc_cat=102&amp;ig_cache_key=Mzc2MjIwMTI2MzgxMjQ5Njc1Nw%3D%3D.3-ccb1-7&amp;ccb=1-7&amp;_nc_sid=58cdad&amp;efg=eyJ2ZW5jb2RlX3RhZyI6InhwaWRzLjc1MHg4Nzkuc2RyLkMzIn0%3D&amp;_nc_ohc=ikW6NKciHSAQ7kNvwHKYHXA&amp;_nc_oc=AdmCR3H5HaBUOHtr0dZCZTjAwF7OLWRSITXPfpX_VHpfOJSE2IB2F9RNthkFYwsbJTLy84oJOk8LIPbVr0yyYScS&amp;_nc_ad=z-m&amp;_nc_cid=0&amp;_nc_zt=23&amp;_nc_ht=scontent-gru2-2.cdninstagram.com&amp;_nc_gid=mECJj3bvLNFJ797yZUcNFw&amp;oh=00_Afi1bZxBLJj_NiBGT5kPbUaa9lUP-uc6xMwNx1-Ef9Pnzg&amp;oe=691BE88D</t>
  </si>
  <si>
    <t>anelnoivado</t>
  </si>
  <si>
    <t>DQ47HKJkTYi</t>
  </si>
  <si>
    <t>psicologiaefinancas</t>
  </si>
  <si>
    <t>Maria Helena Manso</t>
  </si>
  <si>
    <t>https://www.instagram.com/p/DQ47HKJkTYi</t>
  </si>
  <si>
    <t>https://instagram.fcgh9-1.fna.fbcdn.net/v/t51.29350-15/269816699_423740752791633_6115385163159472300_n.jpg?stp=dst-jpg_e35_tt6&amp;efg=eyJ2ZW5jb2RlX3RhZyI6IkZFRUQuaW1hZ2VfdXJsZ2VuLjExMzJ4MTEzMi5zZHIuZjI5MzUwLmRlZmF1bHRfaW1hZ2UuYzIifQ&amp;_nc_ht=instagram.fcgh9-1.fna.fbcdn.net&amp;_nc_cat=109&amp;_nc_oc=Q6cZ2QHeyHNY5OwB0Z59YpLINll7yuqbFR5KDZ1CO0j89qQTzpkOjWQdmqSegBi6hlKkfs4Kn08mjKUKqVnVmQXKqQEE&amp;_nc_ohc=SbWbUjDbzksQ7kNvwFYNnI6&amp;_nc_gid=Jep4rn5UeP4JwWcjYPhFyw&amp;edm=AFlAz-oBAAAA&amp;ccb=7-5&amp;ig_cache_key=MjczNDM0ODE3Mzk0MTI1NDcxMA%3D%3D.3-ccb7-5&amp;oh=00_AfhoX_2p-DuAPoRfn4pXtOn39S4YGo4rvJmD3VtnB3cKUg&amp;oe=6930EBD1&amp;_nc_sid=76c0fc</t>
  </si>
  <si>
    <t>COMO EU LIMPO O QUEIJÃO 👀
Essa foi de longe a pergunta que vocês mais fizeram desde que eu comprei o queijo gigante kkkkk
E na realidade é super simples, o princípio é retirar toda a parte do queijo que tenha encostado na comida, não pode ficar nenhum respingo dentro do queijo 😉
E óbvio que as raspas não vão ser desperdiçadas, é só jogar por cima da massa 🫶
#queijogigante #rodadequeijo</t>
  </si>
  <si>
    <t>reviewsporsp</t>
  </si>
  <si>
    <t>BEATRIZ CHIBA E CLARA</t>
  </si>
  <si>
    <t>https://scontent-gru1-1.cdninstagram.com/v/t51.2885-19/326695564_146503224902552_3605812295008725681_n.jpg?stp=dst-jpg_s150x150_tt6&amp;efg=eyJ2ZW5jb2RlX3RhZyI6InByb2ZpbGVfcGljLmRqYW5nby40NDIuYzIifQ&amp;_nc_ht=scontent-gru1-1.cdninstagram.com&amp;_nc_cat=1&amp;_nc_oc=Q6cZ2QHIM57Vkz8sP2bRWgbQeBxsrbb3FfDicJ4c-cZaFeYqbOZ7_WPKh1iZVn8wmdvntjJe6L9TLGj2hkxB-TtCwsjC&amp;_nc_ohc=6IthYg_0HScQ7kNvwEjMhPA&amp;_nc_gid=mECJj3bvLNFJ797yZUcNFw&amp;edm=AI8qBrIBAAAA&amp;ccb=7-5&amp;oh=00_AfgfaiF79SXIfySGTrbMwrMVMYA12r8eQlXhUtG9wnFYDA&amp;oe=691BD2A8&amp;_nc_sid=469e9a</t>
  </si>
  <si>
    <t>tdahadulto,tdahadultos,transtornodedeficitdeatencao,deficitdeatencao,transtornosdeaprendizagem,dificuldadesdeaprendizagem,psiquiatriabh,psiquiatrabh,psicologiabh,tdahadultos,tdahdescomplicado,dificuldadesdeaprendizagem,transtornosdeaprendizagem,tdahinfantil,psicologabh,transtornodeansiedadegeneralizada,transtornodeansiedade</t>
  </si>
  <si>
    <t>Sion BH</t>
  </si>
  <si>
    <t>-19.9546108,-43.9311129</t>
  </si>
  <si>
    <t>DRJ7C9ajpNk</t>
  </si>
  <si>
    <t>https://scontent-gru1-1.cdninstagram.com/v/t51.82787-15/581660489_18061019564562252_4057930794729389340_n.jpg?stp=dst-jpg_e15_tt6&amp;_nc_cat=1&amp;ig_cache_key=Mzc2MzAxNzQ2NTM0NjQ3MTQ1ODE4MDYxMDE5NTU4NTYyMjUy.3-ccb1-7&amp;ccb=1-7&amp;_nc_sid=58cdad&amp;efg=eyJ2ZW5jb2RlX3RhZyI6InhwaWRzLjEyODh4MjI4OC5zZHIuQzMifQ%3D%3D&amp;_nc_ohc=BcI3_HR5JG0Q7kNvwEeBsUj&amp;_nc_oc=AdkTTDhROrlFz1U7zJwdlmrTbgR8IYnovVJq8V75qQbPWTcx_lpviquWsjs5bg_5SK6ix06HUcW9DuXN_EA_xlNg&amp;_nc_ad=z-m&amp;_nc_cid=0&amp;_nc_zt=23&amp;_nc_ht=scontent-gru1-1.cdninstagram.com&amp;_nc_gid=mECJj3bvLNFJ797yZUcNFw&amp;oh=00_AfgoHPi2O4x7GjAx_DVGXHJUGIaGI-QirZBsnJQACnTQhQ&amp;oe=691BFE40</t>
  </si>
  <si>
    <t>https://www.instagram.com/p/DRJ7C9ajpNk</t>
  </si>
  <si>
    <t>.
POR QUE O CASTIGO NÃO FUNCIONA NO TDAH?
. 
⚠️ POR QUE ISSO É IMPORTANTE
Muita gente acha que a criança com TDAH “aprende quando perde algo”. Mas a verdade é que, para o cérebro dela, o castigo muitas vezes não ensina — só machuca.
.
E não é falta de limites. É neurociência.
.
O TDAH afeta exatamente as áreas responsáveis por: • inibir impulsos, • prever consequências, • regular emoções, • controlar o tempo entre ação e resultado.
.
Ou seja: quando o adulto aplica o castigo, a criança nem sempre consegue conectar o que fez ao que aconteceu depois. Para ela, a punição chega tarde demais — e vira apenas frustração.
.
Por isso tantos comportamentos pioram após broncas: o cérebro entra em sobrecarga emocional, a ansiedade aumenta, a impulsividade dispara, e o que os pais interpretam como “não tem jeito”, na verdade é um cérebro tentando se defender.
.
O que funciona?
✅ Clareza e previsibilidade ✅ Acordos simples ✅ Regras visuais ✅ Consequências imediatas e proporcionais ✅ Treino de habilidades (em vez de punições) ✅ E, acima de tudo, regulação emocional do adulto
.
Crianças com TDAH não precisam de mais castigos. Precisam de alguém que saiba conduzir, não punir.
.
⚠️ IMERSÃO “TDAH NA PRÁTICA” ⚠️
Comente ou envie QUERO no direct para receber informações. 
.
#pediatria #crianças #criança #infância #neurodesenvolvimento #maternidade #desenvolvimentoInfantil #parentalidade #tdah #tdahadulto #tdahinfantil</t>
  </si>
  <si>
    <t>https://instagram.fcgh9-1.fna.fbcdn.net/v/t51.2885-19/335795124_3548520618700910_5888096039141705614_n.jpg?stp=dst-jpg_s150x150_tt6&amp;efg=eyJ2ZW5jb2RlX3RhZyI6InByb2ZpbGVfcGljLmRqYW5nby4xMDQwLmMyIn0&amp;_nc_ht=instagram.fcgh9-1.fna.fbcdn.net&amp;_nc_cat=102&amp;_nc_oc=Q6cZ2QELripIcfuq3vB7XQGrYpbG2sRNXWXxqfq-cWOCMya6nr0ApFAdjr8WmldNw8jskLrznbadhGIOIxX6K5kEhjLA&amp;_nc_ohc=QsO5peUb3q0Q7kNvwHGn1h4&amp;_nc_gid=oq3SpMGyqhLBinfU16bx7Q&amp;edm=AFlAz-oBAAAA&amp;ccb=7-5&amp;oh=00_AfipNPXI4BPyymvSFIh86M2U9ZYXYmc5PD-Zz8L6iE-K4g&amp;oe=6930CD59&amp;_nc_sid=76c0fc</t>
  </si>
  <si>
    <t>https://scontent-gru2-1.cdninstagram.com/o1/v/t2/f2/m86/AQPIyprLi9pOPu7w_IFaBSAEKqdaGMDaNft4Av55No-CIQTOU9-7WUablZIbPLMB1PHea098IOAtBF4LWZTH3OUZwlwfIZ-PAqMl6Q8.mp4?_nc_cat=109&amp;_nc_sid=5e9851&amp;_nc_ht=scontent-gru2-1.cdninstagram.com&amp;_nc_ohc=DgM9H07MeZIQ7kNvwHAMxpv&amp;efg=eyJ2ZW5jb2RlX3RhZyI6Inhwdl9wcm9ncmVzc2l2ZS5JTlNUQUdSQU0uQ0xJUFMuQzMuNzIwLmRhc2hfYmFzZWxpbmVfMV92MSIsInhwdl9hc3NldF9pZCI6MTUwNDM5MDg0Mzk0ODExMiwiYXNzZXRfYWdlX2RheXMiOjIsInZpX3VzZWNhc2VfaWQiOjEwMDk5LCJkdXJhdGlvbl9zIjozOSwidXJsZ2VuX3NvdXJjZSI6Ind3dyJ9&amp;ccb=17-1&amp;vs=38d9ea6135abe3fe&amp;_nc_vs=HBksFQIYUmlnX3hwdl9yZWVsc19wZXJtYW5lbnRfc3JfcHJvZC9DNjQzODM4QzQwMUEwMUY0RDg2QTNDQjg1RUQ1MjNBM192aWRlb19kYXNoaW5pdC5tcDQVAALIARIAFQIYOnBhc3N0aHJvdWdoX2V2ZXJzdG9yZS9HSnpNaENLSHFhRy1fZndDQUhFSnk5MTFzNW9IYnN0VEFRQUYVAgLIARIAKAAYABsCiAd1c2Vfb2lsATEScHJvZ3Jlc3NpdmVfcmVjaXBlATEVAAAmoPHanYmPrAUVAigCQzMsF0BDrtkWhysCGBJkYXNoX2Jhc2VsaW5lXzFfdjERAHX-B2XmnQEA&amp;_nc_gid=mECJj3bvLNFJ797yZUcNFw&amp;_nc_zt=28&amp;oh=00_AfjprErVReNyz5YAtZ2bxyzQBT6ur2IBP0O8NLbw5O3BbA&amp;oe=6917F846</t>
  </si>
  <si>
    <t>queijogigante,rodadequeijo</t>
  </si>
  <si>
    <t>São Paulo</t>
  </si>
  <si>
    <t>-23.55,-46.6333</t>
  </si>
  <si>
    <t>DQ372LBjlyE</t>
  </si>
  <si>
    <t>https://www.instagram.com/p/DQ372LBjlyE</t>
  </si>
  <si>
    <t>A redação do ENEM cobrou mais do que devia e quem estuda sabe o quanto isso pesa 😔
Mas existe um processo muito mais justo, que avalia quem você é de verdade (e ainda pode te dar bolsa 100%).
Comenta AJUDA pra entender como funciona ✈️
#ENEM2025 #redacaoenem #estudarfora #bolsadeestudos #thedreamschool</t>
  </si>
  <si>
    <t>leticiarebeloo_</t>
  </si>
  <si>
    <t>Leticia Rebelo | Estudar Fora 🇺🇸</t>
  </si>
  <si>
    <t>https://scontent-gru2-2.cdninstagram.com/v/t51.2885-19/576028625_18544655488001574_8989145193301582212_n.jpg?stp=dst-jpg_s150x150_tt6&amp;efg=eyJ2ZW5jb2RlX3RhZyI6InByb2ZpbGVfcGljLmRqYW5nby4xMDMxLmMyIn0&amp;_nc_ht=scontent-gru2-2.cdninstagram.com&amp;_nc_cat=106&amp;_nc_oc=Q6cZ2QHIM57Vkz8sP2bRWgbQeBxsrbb3FfDicJ4c-cZaFeYqbOZ7_WPKh1iZVn8wmdvntjJe6L9TLGj2hkxB-TtCwsjC&amp;_nc_ohc=tb1aJYOXKIMQ7kNvwFxATns&amp;_nc_gid=mECJj3bvLNFJ797yZUcNFw&amp;edm=AI8qBrIBAAAA&amp;ccb=7-5&amp;oh=00_Afhe2yUYdwEkepDbILnzQXX7DzjwAVt0rZ9PfbOpYTYiTw&amp;oe=691BEC5A&amp;_nc_sid=469e9a</t>
  </si>
  <si>
    <t>https://scontent.cdninstagram.com/v/t51.82787-15/584402261_18400239127193484_9030731580389550723_n.jpg?stp=dst-jpg_e35_tt6&amp;_nc_cat=107&amp;ig_cache_key=Mzc2NzgwMjIyNjI5MTk2NDM0OQ%3D%3D.3-ccb7-5&amp;ccb=7-5&amp;_nc_sid=58cdad&amp;efg=eyJ2ZW5jb2RlX3RhZyI6InhwaWRzLjE0Mzh4MTc5Ny5zZHIuQzMifQ%3D%3D&amp;_nc_ohc=HWMXBRgOmRcQ7kNvwF1n9mS&amp;_nc_oc=AdnyMTbWZuQqpCxIsESsrKoGVqcGWkTGYuswVHDk395aJSV5TVx9Mtzl4477RXueifw5FMCaIMzCb_1w-_5sPlSJ&amp;_nc_ad=z-m&amp;_nc_cid=0&amp;_nc_zt=23&amp;_nc_ht=scontent.cdninstagram.com&amp;_nc_gid=oq3SpMGyqhLBinfU16bx7Q&amp;oh=00_Afj0FaQ4_N50Uq7l3L_SA8OZK4U4hmdZv62sWI35nixptg&amp;oe=6930EE25,https://scontent.cdninstagram.com/v/t51.82787-15/581676485_18400239136193484_935479206067359347_n.jpg?stp=dst-jpg_e35_tt6&amp;_nc_cat=105&amp;ig_cache_key=Mzc2NzgwMjIyNjMwMDI5NDM0NA%3D%3D.3-ccb7-5&amp;ccb=7-5&amp;_nc_sid=58cdad&amp;efg=eyJ2ZW5jb2RlX3RhZyI6InhwaWRzLjE0Mzh4MTc5Ny5zZHIuQzMifQ%3D%3D&amp;_nc_ohc=a0aGIFTK05AQ7kNvwGlAu-B&amp;_nc_oc=AdkcyQEjR8KytO5ZIu_v6U9e_O0FySZcZVa2NIwlM3ivUUUOntz6RqUfpPKB4Yj6luyQ4I7aYNPStV-V6M_pUfm5&amp;_nc_ad=z-m&amp;_nc_cid=0&amp;_nc_zt=23&amp;_nc_ht=scontent.cdninstagram.com&amp;_nc_gid=oq3SpMGyqhLBinfU16bx7Q&amp;oh=00_AfilM2EuGwrKAK5xwjLeCMOxnlYHW5lCD8X_eKBqfJZvCw&amp;oe=6930C925,https://scontent.cdninstagram.com/v/t51.82787-15/581458320_18400239145193484_6938757921682753861_n.jpg?stp=dst-jpg_e35_tt6&amp;_nc_cat=110&amp;ig_cache_key=Mzc2NzgwMjIyNjUyNjgzMTAwNg%3D%3D.3-ccb7-5&amp;ccb=7-5&amp;_nc_sid=58cdad&amp;efg=eyJ2ZW5jb2RlX3RhZyI6InhwaWRzLjE0Mzh4MTc5Ny5zZHIuQzMifQ%3D%3D&amp;_nc_ohc=i4REJzRkGDUQ7kNvwFBnsov&amp;_nc_oc=AdmgZQBWyjFFei7T2k1aTuFpcNW8Mo3NPpkiRd-8dwYdR3IjJSYJqTbJfp2mG-VpuRF9En-COQcpgL32Z-kY2IPF&amp;_nc_ad=z-m&amp;_nc_cid=0&amp;_nc_zt=23&amp;_nc_ht=scontent.cdninstagram.com&amp;_nc_gid=oq3SpMGyqhLBinfU16bx7Q&amp;oh=00_AfhiQ0KFqI7XwtE4PqZBrF18_iA2Ur7kn-ZZ5pg8aE1xCA&amp;oe=6930E13F,https://scontent.cdninstagram.com/v/t51.82787-15/581434551_18400239154193484_3648158058112388811_n.jpg?stp=dst-jpg_e35_tt6&amp;_nc_cat=109&amp;ig_cache_key=Mzc2NzgwMjIyNjU1MTk1ODM0Ng%3D%3D.3-ccb7-5&amp;ccb=7-5&amp;_nc_sid=58cdad&amp;efg=eyJ2ZW5jb2RlX3RhZyI6InhwaWRzLjE0Mzh4MTc5Ny5zZHIuQzMifQ%3D%3D&amp;_nc_ohc=TDl3DHARNZcQ7kNvwF3mgaP&amp;_nc_oc=AdlA0rkPgiUQvLic05HAOJ309ijz8JZ4nIDE_mnJGeE9zItB-W9MA77RRldJqjQ5vjYIhazkTDMI4LZ0TYSXk_3v&amp;_nc_ad=z-m&amp;_nc_cid=0&amp;_nc_zt=23&amp;_nc_ht=scontent.cdninstagram.com&amp;_nc_gid=oq3SpMGyqhLBinfU16bx7Q&amp;oh=00_AfhpUcJgByPjsh_LVWIAEr33TSZC7WUE-3Xiayf6etfxxA&amp;oe=6930FB08,https://scontent.cdninstagram.com/v/t51.82787-15/583145981_18400239205193484_2550945150486925124_n.jpg?stp=dst-jpg_e35_tt6&amp;_nc_cat=101&amp;ig_cache_key=Mzc2NzgwMjIyNjQ3NjQ4NDc5NQ%3D%3D.3-ccb7-5&amp;ccb=7-5&amp;_nc_sid=58cdad&amp;efg=eyJ2ZW5jb2RlX3RhZyI6InhwaWRzLjE0Mzh4MTc5Ny5zZHIuQzMifQ%3D%3D&amp;_nc_ohc=tFyWweVJ_c0Q7kNvwGSnd3M&amp;_nc_oc=AdkOwrg_t8tKpTYZHicDPqaJ7iqOErq3U0SP7tGs2syNTFmIFZwQKWx-dnhETA3fp8Q_gL1XKjt2c2UrPVlgxOys&amp;_nc_ad=z-m&amp;_nc_cid=0&amp;_nc_zt=23&amp;_nc_ht=scontent.cdninstagram.com&amp;_nc_gid=oq3SpMGyqhLBinfU16bx7Q&amp;oh=00_Afg0b9D9Hv_keUO8t84uPp2arHkaJAIe7dUQEcLXqJ-Mpw&amp;oe=6930E84B,https://scontent.cdninstagram.com/v/t51.82787-15/583016381_18400239163193484_1345713379882118088_n.jpg?stp=dst-jpg_e35_tt6&amp;_nc_cat=105&amp;ig_cache_key=Mzc2NzgwMjIyNjU1MjAwMDQzOA%3D%3D.3-ccb7-5&amp;ccb=7-5&amp;_nc_sid=58cdad&amp;efg=eyJ2ZW5jb2RlX3RhZyI6InhwaWRzLjE0Mzh4MTc5Ny5zZHIuQzMifQ%3D%3D&amp;_nc_ohc=UjsbcB1FvwMQ7kNvwFL8sTx&amp;_nc_oc=AdloKKRDgU1paQRW0Z4uC6UELsiGT9X2r2J2laN9P0VPPlRSBd8VoQvCgZGk_V4YUgcZGgqvhAYPQTHICaOLISXa&amp;_nc_ad=z-m&amp;_nc_cid=0&amp;_nc_zt=23&amp;_nc_ht=scontent.cdninstagram.com&amp;_nc_gid=oq3SpMGyqhLBinfU16bx7Q&amp;oh=00_Afi5G_l-XLQydKeKOkfW71-oDxs1HE4rlskJJ_6uOzWNnw&amp;oe=6930DFD8,https://scontent.cdninstagram.com/v/t51.82787-15/575291056_18400239172193484_2825310676207010480_n.jpg?stp=dst-jpg_e35_tt6&amp;_nc_cat=110&amp;ig_cache_key=Mzc2NzgwMjIyNjI4MzU0OTUzNA%3D%3D.3-ccb7-5&amp;ccb=7-5&amp;_nc_sid=58cdad&amp;efg=eyJ2ZW5jb2RlX3RhZyI6InhwaWRzLjE0Mzh4MTc5Ny5zZHIuQzMifQ%3D%3D&amp;_nc_ohc=TjrJA91cSmIQ7kNvwHJ-bfz&amp;_nc_oc=AdlLRQDiVVekscWe0YRGUOpcT-n_ajHCRSARjRlieW4oIE3ei8FEPgFjfBb-4Iso_z7Nw10Em9BomNCYLG-hmmdr&amp;_nc_ad=z-m&amp;_nc_cid=0&amp;_nc_zt=23&amp;_nc_ht=scontent.cdninstagram.com&amp;_nc_gid=oq3SpMGyqhLBinfU16bx7Q&amp;oh=00_AfiZ94zBC80yEL1Dh6ZdF4rbHu5okmq1AUzt8YlG050ayg&amp;oe=6930F7E5,https://scontent.cdninstagram.com/v/t51.82787-15/583888603_18400239181193484_6587068847166543672_n.jpg?stp=dst-jpg_e35_tt6&amp;_nc_cat=104&amp;ig_cache_key=Mzc2NzgwMjIyNjUyNjgzNDYyNQ%3D%3D.3-ccb7-5&amp;ccb=7-5&amp;_nc_sid=58cdad&amp;efg=eyJ2ZW5jb2RlX3RhZyI6InhwaWRzLjE0Mzh4MTc5Ny5zZHIuQzMifQ%3D%3D&amp;_nc_ohc=WgJOUmatDf0Q7kNvwG4Rs6H&amp;_nc_oc=AdlgbQKA_x23TF0xFB9NQjCpOZwPa5O2w0BFZTsgj3DcCWKBYreOiuc_V1FV8lC6C_qso09K57stYwDJO0VfI4oV&amp;_nc_ad=z-m&amp;_nc_cid=0&amp;_nc_zt=23&amp;_nc_ht=scontent.cdninstagram.com&amp;_nc_gid=oq3SpMGyqhLBinfU16bx7Q&amp;oh=00_AfjEKUVRBJgR9t3AGHoZQ6hC6oLhHFCebEPYnLixpY7vWQ&amp;oe=6930F19E,https://scontent.cdninstagram.com/v/t51.82787-15/582816755_18400239193193484_8398549354384006645_n.jpg?stp=dst-jpg_e35_tt6&amp;_nc_cat=105&amp;ig_cache_key=Mzc2NzgwMjIyNjQyNjE0OTI3OA%3D%3D.3-ccb7-5&amp;ccb=7-5&amp;_nc_sid=58cdad&amp;efg=eyJ2ZW5jb2RlX3RhZyI6InhwaWRzLjE0Mzh4MTc5Ny5zZHIuQzMifQ%3D%3D&amp;_nc_ohc=h7StGdDUnFQQ7kNvwFx0tSr&amp;_nc_oc=AdknZVSwWLgxO-osylF_HifzHKBEHZsgaQ2jONx-uZ22HksVFSlPDttiNlA_AcKPT1qL9UT_aqvSp5bpJym38QAR&amp;_nc_ad=z-m&amp;_nc_cid=0&amp;_nc_zt=23&amp;_nc_ht=scontent.cdninstagram.com&amp;_nc_gid=oq3SpMGyqhLBinfU16bx7Q&amp;oh=00_AfgWKaFICaWf3xiI_LMTHuIfiOovsACwmVdN9693tff0bA&amp;oe=6930F972</t>
  </si>
  <si>
    <t>DOCi4CXjRPa</t>
  </si>
  <si>
    <t>https://www.instagram.com/p/DOCi4CXjRPa</t>
  </si>
  <si>
    <t>O uso de castigos em crianças com TDAH pode ser contraproducente, pois pode aumentar a agitação e afetar a autoestima sem corrigir o comportamento. Em vez de castigar, a disciplina para crianças com TDAH deve focar em estratégias positivas, como o estabelecimento de rotinas claras, expectativas realistas e o incentivo de comportamentos desejados através de recompensas. Manter a calma, ser consistente e fornecer um ambiente com supervisão e estrutura adequadas são fundamentais para o desenvolvimento e autorregulação dessas crianças, e deve-se sempre buscar apoio profissional para lidar com o transtorno.
#tdah #tdahadulto #tdahinfantil #saude #psicoterapia #psicologia #psiquiatría #pedagogia #educaçao #educar #amor 
Postagem de @acalma.mae</t>
  </si>
  <si>
    <t>https://instagram.fcgh9-1.fna.fbcdn.net/v/t51.2885-19/364276362_1017951822536379_2762309384634493842_n.jpg?stp=dst-jpg_s150x150_tt6&amp;efg=eyJ2ZW5jb2RlX3RhZyI6InByb2ZpbGVfcGljLmRqYW5nby43MjUuYzIifQ&amp;_nc_ht=instagram.fcgh9-1.fna.fbcdn.net&amp;_nc_cat=103&amp;_nc_oc=Q6cZ2QELripIcfuq3vB7XQGrYpbG2sRNXWXxqfq-cWOCMya6nr0ApFAdjr8WmldNw8jskLrznbadhGIOIxX6K5kEhjLA&amp;_nc_ohc=mVLDBu0PhrcQ7kNvwEzZ-WQ&amp;_nc_gid=oq3SpMGyqhLBinfU16bx7Q&amp;edm=AFlAz-oBAAAA&amp;ccb=7-5&amp;oh=00_Afhz1qow7tLwCbetOhVDSoUrhz8iylAxEqbn7CRZpIXobw&amp;oe=6930D950&amp;_nc_sid=76c0fc</t>
  </si>
  <si>
    <t>https://scontent-gru1-1.cdninstagram.com/v/t51.82787-15/576582374_18544288546001574_3286099459489848206_n.jpg?stp=dst-jpg_e35_tt6&amp;_nc_cat=104&amp;ig_cache_key=Mzc2MjczOTIxMjA5ODM5OTc0Ng%3D%3D.3-ccb1-7&amp;ccb=1-7&amp;_nc_sid=58cdad&amp;efg=eyJ2ZW5jb2RlX3RhZyI6InhwaWRzLjEwODB4MTQ0MC5zZHIuQzMifQ%3D%3D&amp;_nc_ohc=mh22qGUK3twQ7kNvwFid0Z4&amp;_nc_oc=AdmVLPvQxbKIhgotGZIDXORXFnjNn30SGw0DRME6XUwpmGiV9BjQ_nNjbQmfX5szf-Xo9polOHpzKhgjW2HihQbw&amp;_nc_ad=z-m&amp;_nc_cid=0&amp;_nc_zt=23&amp;_nc_ht=scontent-gru1-1.cdninstagram.com&amp;_nc_gid=mECJj3bvLNFJ797yZUcNFw&amp;oh=00_Afjb0DTxTC7bVInfreZowJ6WMvDeXs68jrB641x1Mpz13w&amp;oe=691BDA02,https://scontent-gru1-2.cdninstagram.com/v/t51.82787-15/581446471_18544288555001574_3996142977434022496_n.jpg?stp=dst-jpg_e35_tt6&amp;_nc_cat=108&amp;ig_cache_key=Mzc2MjczOTIxMTkyMjI0MTYzOA%3D%3D.3-ccb1-7&amp;ccb=1-7&amp;_nc_sid=58cdad&amp;efg=eyJ2ZW5jb2RlX3RhZyI6InhwaWRzLjEwODB4MTQ0MC5zZHIuQzMifQ%3D%3D&amp;_nc_ohc=g1guYEdsmEoQ7kNvwHHsFSa&amp;_nc_oc=AdnNs7kBgPZ6BvXjp2lJNOPiJl9OL6hZmatR_Bd4ecOMBAViXib923RnmuJAohHij3QZWZdxXHvFIAAx9dGGXMG2&amp;_nc_ad=z-m&amp;_nc_cid=0&amp;_nc_zt=23&amp;_nc_ht=scontent-gru1-2.cdninstagram.com&amp;_nc_gid=mECJj3bvLNFJ797yZUcNFw&amp;oh=00_AfiISobC4uhvBvbQwjsA2G1F1AK0-BnMTlgpu9lYoxBkww&amp;oe=691BCC9A,https://scontent-gru1-2.cdninstagram.com/v/t51.82787-15/575287236_18544288564001574_4075625049599333308_n.jpg?stp=dst-jpg_e35_tt6&amp;_nc_cat=108&amp;ig_cache_key=Mzc2MjczOTIxMjE4MjIyNDkyOA%3D%3D.3-ccb1-7&amp;ccb=1-7&amp;_nc_sid=58cdad&amp;efg=eyJ2ZW5jb2RlX3RhZyI6InhwaWRzLjEwODB4MTQ0MC5zZHIuQzMifQ%3D%3D&amp;_nc_ohc=TaQHISlTk9UQ7kNvwHFuC0K&amp;_nc_oc=AdlICKWwZnFnAlp39M4r4_TKTN8iOeMNGInwPYVWahUVrHJukAiOJhhgdTq6zYX1UA_O2ewi_RNh6cBmsqt20FIs&amp;_nc_ad=z-m&amp;_nc_cid=0&amp;_nc_zt=23&amp;_nc_ht=scontent-gru1-2.cdninstagram.com&amp;_nc_gid=mECJj3bvLNFJ797yZUcNFw&amp;oh=00_AfjqXDLTLX-dE3pesed9Y2k8tfCmhtedhTN7zvHa1mdHqg&amp;oe=691BD57F,https://scontent-gru1-2.cdninstagram.com/v/t51.82787-15/576383515_18544288582001574_83038389145547981_n.jpg?stp=dst-jpg_e35_tt6&amp;_nc_cat=108&amp;ig_cache_key=Mzc2MjczOTIxMTkzODk4NjE1Ng%3D%3D.3-ccb1-7&amp;ccb=1-7&amp;_nc_sid=58cdad&amp;efg=eyJ2ZW5jb2RlX3RhZyI6InhwaWRzLjEwODB4MTQ0MC5zZHIuQzMifQ%3D%3D&amp;_nc_ohc=W50LNsix7j0Q7kNvwHJ95qJ&amp;_nc_oc=AdmAQNlQu-xLkeeTQzlZXyEHFT4Vp-oC82AGT9-HCLluW1CxzT8F6CscHJSQHvAW98e25i6IHth3i3k2YDO_HSSB&amp;_nc_ad=z-m&amp;_nc_cid=0&amp;_nc_zt=23&amp;_nc_ht=scontent-gru1-2.cdninstagram.com&amp;_nc_gid=mECJj3bvLNFJ797yZUcNFw&amp;oh=00_AfgX-N3e0ElnK7JyqWnx6TaAm-h_LIEZIoBXZtby3DNDww&amp;oe=691BDD59,https://scontent-gru2-1.cdninstagram.com/v/t51.82787-15/575357984_18544288573001574_5194654629137923460_n.jpg?stp=dst-jpg_e35_tt6&amp;_nc_cat=111&amp;ig_cache_key=Mzc2MjczOTIxMjA5ODM1MzE3MA%3D%3D.3-ccb1-7&amp;ccb=1-7&amp;_nc_sid=58cdad&amp;efg=eyJ2ZW5jb2RlX3RhZyI6InhwaWRzLjEwODB4MTQ0MC5zZHIuQzMifQ%3D%3D&amp;_nc_ohc=-OEJtPmk498Q7kNvwEAzi4u&amp;_nc_oc=AdlMtnzTL8kAZmWoeyUgRpvHaWceYzWByxp3ZNWQniJH-HoDNPhNO4b0sUs0dfbW-WQngX5Ky9A25pheLDWm7Pz9&amp;_nc_ad=z-m&amp;_nc_cid=0&amp;_nc_zt=23&amp;_nc_ht=scontent-gru2-1.cdninstagram.com&amp;_nc_gid=mECJj3bvLNFJ797yZUcNFw&amp;oh=00_Afi5PFtegXWDdeBmXRL2iQMETBS6Kcikn95uzfQ9--kz6Q&amp;oe=691BCBA3</t>
  </si>
  <si>
    <t>ENEM2025,redacaoenem,estudarfora,bolsadeestudos,thedreamschool</t>
  </si>
  <si>
    <t>DQ0XZBkAE7j</t>
  </si>
  <si>
    <t>https://www.instagram.com/p/DQ0XZBkAE7j</t>
  </si>
  <si>
    <t>#amor #frase #romance #ego #feliz #deolanebezerra #mckevin</t>
  </si>
  <si>
    <t>mutano_4m</t>
  </si>
  <si>
    <t>ᴍᴜᴛᴀɴᴏ×͜×</t>
  </si>
  <si>
    <t>https://scontent-gru2-2.cdninstagram.com/v/t51.2885-19/498168754_17880841077301766_2833690743447400735_n.jpg?stp=dst-jpg_s150x150_tt6&amp;efg=eyJ2ZW5jb2RlX3RhZyI6InByb2ZpbGVfcGljLmRqYW5nby4xMDgwLmMyIn0&amp;_nc_ht=scontent-gru2-2.cdninstagram.com&amp;_nc_cat=102&amp;_nc_oc=Q6cZ2QHIM57Vkz8sP2bRWgbQeBxsrbb3FfDicJ4c-cZaFeYqbOZ7_WPKh1iZVn8wmdvntjJe6L9TLGj2hkxB-TtCwsjC&amp;_nc_ohc=7pBISTI_TysQ7kNvwGN2CG-&amp;_nc_gid=mECJj3bvLNFJ797yZUcNFw&amp;edm=AI8qBrIBAAAA&amp;ccb=7-5&amp;oh=00_Afju45JqrSydaMn_Ebw-ng07wRh1NbgWk0DQ2an7Y5hDew&amp;oe=691BD4C8&amp;_nc_sid=469e9a</t>
  </si>
  <si>
    <t>https://scontent.cdninstagram.com/v/t51.82787-15/540784772_18065768633213448_312013808913168067_n.jpg?stp=dst-jpg_e35_tt6&amp;_nc_cat=107&amp;ig_cache_key=MzcxMTY4MjQxNjA2Mzg5MzU5NQ%3D%3D.3-ccb7-5&amp;ccb=7-5&amp;_nc_sid=58cdad&amp;efg=eyJ2ZW5jb2RlX3RhZyI6InhwaWRzLjExNzB4MTQzMC5zZHIuQzMifQ%3D%3D&amp;_nc_ohc=E79IrpVJr2EQ7kNvwFyxN7o&amp;_nc_oc=Adk_cR2SXXsUUDstRpOtOGaTMTSeZaWhFalevb-WwEtPB5_JE-_3ONi8XghUIslvRNcrJBfkYM1eLGiKVOFB4Y5Y&amp;_nc_ad=z-m&amp;_nc_cid=0&amp;_nc_zt=23&amp;_nc_ht=scontent.cdninstagram.com&amp;_nc_gid=oq3SpMGyqhLBinfU16bx7Q&amp;oh=00_AfifAWNAnJM-lZUDPriv0VEgMdpSwipwysD9cn1pbUp7aA&amp;oe=6930F482,https://scontent.cdninstagram.com/v/t51.82787-15/541217611_18065768642213448_8717026415273414984_n.jpg?stp=dst-jpg_e35_tt6&amp;_nc_cat=100&amp;ig_cache_key=MzcxMTY4MjQxNjI0MDA0Njg3NA%3D%3D.3-ccb7-5&amp;ccb=7-5&amp;_nc_sid=58cdad&amp;efg=eyJ2ZW5jb2RlX3RhZyI6InhwaWRzLjExNzB4MTQzNC5zZHIuQzMifQ%3D%3D&amp;_nc_ohc=8r4wg1eeCx0Q7kNvwGLtcUv&amp;_nc_oc=AdkyvYBcmB42zV-GO0uZInqf5mgcm87KnXWYb0BlE0Jqcbbayu8amB4i8Viv501HFH2HkJs3bec8RQu6Yed5NPkn&amp;_nc_ad=z-m&amp;_nc_cid=0&amp;_nc_zt=23&amp;_nc_ht=scontent.cdninstagram.com&amp;_nc_gid=oq3SpMGyqhLBinfU16bx7Q&amp;oh=00_Afh1oS9u8Bxiy8HQwkn5-Ff8yOIpw9akjSbvgFIFrgklrw&amp;oe=6930DA17,https://scontent.cdninstagram.com/v/t51.82787-15/542818542_18065768651213448_2600568006135192085_n.jpg?stp=dst-jpg_e35_tt6&amp;_nc_cat=105&amp;ig_cache_key=MzcxMTY4MjQxNjA2Mzg3ODE2MA%3D%3D.3-ccb7-5&amp;ccb=7-5&amp;_nc_sid=58cdad&amp;efg=eyJ2ZW5jb2RlX3RhZyI6InhwaWRzLjExNzB4MTQzMi5zZHIuQzMifQ%3D%3D&amp;_nc_ohc=1xmuj26Hp3UQ7kNvwEZYPq1&amp;_nc_oc=AdlYRJuZUKGE415q9mrCpR-mz4rtxNsrkZ-mEZfIcmGRq7RkDRZHVb0KIh3wlrE9517pAi9CHZD1OlFrXqLFi5Tc&amp;_nc_ad=z-m&amp;_nc_cid=0&amp;_nc_zt=23&amp;_nc_ht=scontent.cdninstagram.com&amp;_nc_gid=oq3SpMGyqhLBinfU16bx7Q&amp;oh=00_Afh-KyJgOmivIS44xF4ROwnGS2RMBp4203CSlsNqEp65cQ&amp;oe=6930F73C,https://scontent.cdninstagram.com/v/t51.82787-15/541583200_18065768660213448_4563383217908448257_n.jpg?stp=dst-jpg_e35_tt6&amp;_nc_cat=103&amp;ig_cache_key=MzcxMTY4MjQxNjA2MzkyMTQ1OQ%3D%3D.3-ccb7-5&amp;ccb=7-5&amp;_nc_sid=58cdad&amp;efg=eyJ2ZW5jb2RlX3RhZyI6InhwaWRzLjExNzB4MTQyNS5zZHIuQzMifQ%3D%3D&amp;_nc_ohc=sO0WWSTGnHAQ7kNvwHwkRHi&amp;_nc_oc=AdllQ6bSYqIpM2KuV-voUEN1KkFsfwC8M2r6fW4-DSvC9kngO_dQBurOxpd7gtHLVn5b5etc8_QuutRiwwdciJJj&amp;_nc_ad=z-m&amp;_nc_cid=0&amp;_nc_zt=23&amp;_nc_ht=scontent.cdninstagram.com&amp;_nc_gid=oq3SpMGyqhLBinfU16bx7Q&amp;oh=00_AfiwFR-WdwzayopWgEDX1P8byaFhB0anKU_MXjAWSNai-Q&amp;oe=6930EF93,https://scontent.cdninstagram.com/v/t51.82787-15/540749564_18065768669213448_1060220324807649173_n.jpg?stp=dst-jpg_e35_tt6&amp;_nc_cat=107&amp;ig_cache_key=MzcxMTY4MjQxNjA2MzkxNDY4MA%3D%3D.3-ccb7-5&amp;ccb=7-5&amp;_nc_sid=58cdad&amp;efg=eyJ2ZW5jb2RlX3RhZyI6InhwaWRzLjExNzB4MTQyNS5zZHIuQzMifQ%3D%3D&amp;_nc_ohc=dGgPEHlFNcgQ7kNvwHW6bSE&amp;_nc_oc=Adk5GDvE-4AfcmzqV9t1-7XHUwXPHIoIO1aLCQA-hrBV_aEkSKbWB4P4_ufZ1N3-ncjIXz1bbBI42Wjk-H5eWtNt&amp;_nc_ad=z-m&amp;_nc_cid=0&amp;_nc_zt=23&amp;_nc_ht=scontent.cdninstagram.com&amp;_nc_gid=oq3SpMGyqhLBinfU16bx7Q&amp;oh=00_AfgmdELCQZ8BdZ_dibu164C3EGMYjU9oXY1ZtVfbx1ONVQ&amp;oe=6930FF67,https://scontent.cdninstagram.com/v/t51.82787-15/541344560_18065768678213448_1846094722703961984_n.jpg?stp=dst-jpg_e35_tt6&amp;_nc_cat=105&amp;ig_cache_key=MzcxMTY4MjQxNjA2Mzg5MDY2Mg%3D%3D.3-ccb7-5&amp;ccb=7-5&amp;_nc_sid=58cdad&amp;efg=eyJ2ZW5jb2RlX3RhZyI6InhwaWRzLjExNzB4MTQyNS5zZHIuQzMifQ%3D%3D&amp;_nc_ohc=My3OomCAF0oQ7kNvwHt6Vr7&amp;_nc_oc=AdlmOVqkB9Qtu8hZQGMCRmv3dEPAW4eUBlKtO92JBDHpqkYHymAT8C5omzCtOjiFrWspTn88rp4UWWBTa_UVhWO2&amp;_nc_ad=z-m&amp;_nc_cid=0&amp;_nc_zt=23&amp;_nc_ht=scontent.cdninstagram.com&amp;_nc_gid=oq3SpMGyqhLBinfU16bx7Q&amp;oh=00_AfhsFIU4V29e0EUhW6GKgHvV9_PASMPSnIpdnALeb783Tg&amp;oe=6930DD2F,https://scontent.cdninstagram.com/v/t51.82787-15/540741826_18065768687213448_111500962583314185_n.jpg?stp=dst-jpg_e35_tt6&amp;_nc_cat=103&amp;ig_cache_key=MzcxMTY4MjQxNjA2Mzg4MTQxMA%3D%3D.3-ccb7-5&amp;ccb=7-5&amp;_nc_sid=58cdad&amp;efg=eyJ2ZW5jb2RlX3RhZyI6InhwaWRzLjExNzB4MTQyNS5zZHIuQzMifQ%3D%3D&amp;_nc_ohc=HtQfHhfFVfMQ7kNvwG7CB2c&amp;_nc_oc=AdkDNooiQUUW_FLevJns1oA_KA3ibL9zTZv5WO9fOl2l9Ic85rKLclpc9ka0gfiXL3cC166UqXkPnWjivHhZDSPp&amp;_nc_ad=z-m&amp;_nc_cid=0&amp;_nc_zt=23&amp;_nc_ht=scontent.cdninstagram.com&amp;_nc_gid=oq3SpMGyqhLBinfU16bx7Q&amp;oh=00_AfhrrA3w10FzhFfWea3-M-YkmqvB9HSVsGpdJnRxvXyKhQ&amp;oe=6930CCFE</t>
  </si>
  <si>
    <t>tdah,tdahadulto,tdahinfantil,saude,psicoterapia,psicologia,psiquiatría,pedagogia,educaçao,educar,amor</t>
  </si>
  <si>
    <t>DOUWJuTj6Ox</t>
  </si>
  <si>
    <t>https://www.instagram.com/p/DOUWJuTj6Ox</t>
  </si>
  <si>
    <t>Com qual você se identificou mais?
#tdah #tdahadulto #hipersensibilidade #psiquiatria #psicologia</t>
  </si>
  <si>
    <t>https://instagram.fcgh9-1.fna.fbcdn.net/v/t51.2885-19/454655817_415212718224218_4878863477330946250_n.jpg?stp=dst-jpg_s150x150_tt6&amp;efg=eyJ2ZW5jb2RlX3RhZyI6InByb2ZpbGVfcGljLmRqYW5nby4xMDQwLmMyIn0&amp;_nc_ht=instagram.fcgh9-1.fna.fbcdn.net&amp;_nc_cat=102&amp;_nc_oc=Q6cZ2QF0xN9m9A-yJeRSaiuC5y4e24AtMlizEBa_ONhaU34yDq_cSbxZzKNrYg80a3hX1JGemtp9pOigDNrWDAi-CBnJ&amp;_nc_ohc=vvePLaUBoRUQ7kNvwHqfw3E&amp;_nc_gid=qer7AwFlfyVxDKRfrq4gJg&amp;edm=AFlAz-oBAAAA&amp;ccb=7-5&amp;oh=00_AfjhPifSMXD0cWqusy4HuCzU2wKVK0auejlorfDaDdXLqQ&amp;oe=6930FB00&amp;_nc_sid=76c0fc</t>
  </si>
  <si>
    <t>https://scontent-gru1-1.cdninstagram.com/v/t51.82787-15/567504360_17901520797301766_2398816517940714828_n.webp?_nc_cat=104&amp;ig_cache_key=Mzc2MTczNDQ1NzkwMDQzNjgzMQ%3D%3D.3-ccb1-7&amp;ccb=1-7&amp;_nc_sid=58cdad&amp;efg=eyJ2ZW5jb2RlX3RhZyI6InhwaWRzLjEwODB4MTA4MC5zZHIuQzMifQ%3D%3D&amp;_nc_ohc=xRj8ec1IX9IQ7kNvwGei4pd&amp;_nc_oc=Adl7JNJdR6AtKXgq4E5zvG0D98f16w7avbd53T1HpvcSwFKUfWBrfRoNxINv5ZZCTzLbba0tsw99FaBaofUgd08P&amp;_nc_ad=z-m&amp;_nc_cid=0&amp;_nc_zt=23&amp;_nc_ht=scontent-gru1-1.cdninstagram.com&amp;_nc_gid=mECJj3bvLNFJ797yZUcNFw&amp;oh=00_AfhG6H5d__X56SK-1WJGPse9fvvTNG-pxjTcZQRZ7ojzjw&amp;oe=691C018D,https://scontent-gru2-1.cdninstagram.com/v/t51.82787-15/575354210_17901520806301766_8363651381945949125_n.webp?_nc_cat=109&amp;ig_cache_key=Mzc2MTczNDQ1NzkwMDQxNjQzNw%3D%3D.3-ccb1-7&amp;ccb=1-7&amp;_nc_sid=58cdad&amp;efg=eyJ2ZW5jb2RlX3RhZyI6InhwaWRzLjEwODB4MTA4MC5zZHIuQzMifQ%3D%3D&amp;_nc_ohc=8Gts0zSkKoIQ7kNvwFwhuB2&amp;_nc_oc=AdkbXKm4_T43mM5vQmFsch1uras2NjQZu75y-Txl7o9cAhk4ImLf5oucr14zV1PbjGzee8vR1G4SLI8MNmJgxKXv&amp;_nc_ad=z-m&amp;_nc_cid=0&amp;_nc_zt=23&amp;_nc_ht=scontent-gru2-1.cdninstagram.com&amp;_nc_gid=mECJj3bvLNFJ797yZUcNFw&amp;oh=00_AfiHwlcppuUpP1s0drB9PvKKuu1CUt_PhYGSG7gp10LcNQ&amp;oe=691BD49D</t>
  </si>
  <si>
    <t>amor,frase,romance,ego,feliz,deolanebezerra,mckevin</t>
  </si>
  <si>
    <t>DQ4DgKNjoi6</t>
  </si>
  <si>
    <t>https://www.instagram.com/p/DQ4DgKNjoi6</t>
  </si>
  <si>
    <t>Fiat mais uma vez liderando as configurações raras 🤪</t>
  </si>
  <si>
    <t>sundayraceco</t>
  </si>
  <si>
    <t>Sunday Race 🇧🇷</t>
  </si>
  <si>
    <t>https://scontent-gru1-2.cdninstagram.com/v/t51.2885-19/350275626_922959492320542_4896945304512474061_n.jpg?stp=dst-jpg_s150x150_tt6&amp;efg=eyJ2ZW5jb2RlX3RhZyI6InByb2ZpbGVfcGljLmRqYW5nby4xMDgwLmMyIn0&amp;_nc_ht=scontent-gru1-2.cdninstagram.com&amp;_nc_cat=110&amp;_nc_oc=Q6cZ2QHIM57Vkz8sP2bRWgbQeBxsrbb3FfDicJ4c-cZaFeYqbOZ7_WPKh1iZVn8wmdvntjJe6L9TLGj2hkxB-TtCwsjC&amp;_nc_ohc=9EgerR9X6tUQ7kNvwGvcFyI&amp;_nc_gid=mECJj3bvLNFJ797yZUcNFw&amp;edm=AI8qBrIBAAAA&amp;ccb=7-5&amp;oh=00_AfhdndVwTVDImjF3rKkvNt0vD7FBFlyw4hFkhEjXn2cMLw&amp;oe=691BFA56&amp;_nc_sid=469e9a</t>
  </si>
  <si>
    <t>https://scontent.cdninstagram.com/v/t51.82787-15/542471478_18091034209767674_5108504228749906765_n.heic?stp=dst-jpg_e35_tt6&amp;_nc_cat=107&amp;ig_cache_key=MzcxNjY5MzAwNzk1ODc4Nzg3NA%3D%3D.3-ccb7-5&amp;ccb=7-5&amp;_nc_sid=58cdad&amp;efg=eyJ2ZW5jb2RlX3RhZyI6InhwaWRzLjE0NDB4MTgwMC5zZHIuQzMifQ%3D%3D&amp;_nc_ohc=XBY2eKn5wyIQ7kNvwFQc5UI&amp;_nc_oc=AdmZf0iUoK4F96bRshGagL3jU9yo-1lsp62qfvEDA9ginsaV3fIbFE6MWQ_FBQj0xPLhHBtNhDYsfMKBoLwdWG9I&amp;_nc_ad=z-m&amp;_nc_cid=0&amp;_nc_zt=23&amp;_nc_ht=scontent.cdninstagram.com&amp;_nc_gid=qer7AwFlfyVxDKRfrq4gJg&amp;oh=00_AfjU6YYjn43Uq6oILdK_nWC0NoxVgs9zqWyUk3y9EQY1Bg&amp;oe=69310E26,https://scontent.cdninstagram.com/v/t51.82787-15/541999983_18091034218767674_8982077821107139713_n.heic?stp=dst-jpg_e35_tt6&amp;_nc_cat=107&amp;ig_cache_key=MzcxNjY5MzAwNzk1MDM3MzQzOA%3D%3D.3-ccb7-5&amp;ccb=7-5&amp;_nc_sid=58cdad&amp;efg=eyJ2ZW5jb2RlX3RhZyI6InhwaWRzLjE0NDB4MTgwMC5zZHIuQzMifQ%3D%3D&amp;_nc_ohc=eZWZuUArZHMQ7kNvwEWHGQr&amp;_nc_oc=AdnkJ7jPDItLFFlfx7R58MiX6gwAMpW2PZsMDE1pzIJ4MKhQDa51x09h6NauKsX3oc3X1WV3hfDxz9-nFA-hFHqJ&amp;_nc_ad=z-m&amp;_nc_cid=0&amp;_nc_zt=23&amp;_nc_ht=scontent.cdninstagram.com&amp;_nc_gid=qer7AwFlfyVxDKRfrq4gJg&amp;oh=00_AfiGmW6K89jHJpnEPzNbdX9CGaAkhmMNkOs6QRkDyQOWWw&amp;oe=69310C11,https://scontent.cdninstagram.com/v/t51.82787-15/542364547_18091034227767674_8663710580382192250_n.heic?stp=dst-jpg_e35_tt6&amp;_nc_cat=110&amp;ig_cache_key=MzcxNjY5MzAwNzk3NTU3MjY1Ng%3D%3D.3-ccb7-5&amp;ccb=7-5&amp;_nc_sid=58cdad&amp;efg=eyJ2ZW5jb2RlX3RhZyI6InhwaWRzLjE0NDB4MTgwMC5zZHIuQzMifQ%3D%3D&amp;_nc_ohc=_XG0Dtx9rUAQ7kNvwGHlO2Y&amp;_nc_oc=AdkipXCWzdsQa7s1G7yFSrsj9EDK2Hn7bBri7R4Exx5LYzSbMKLJYdmgfWWu2aOt40ShfdCx38X5cTbsGbuZfRIv&amp;_nc_ad=z-m&amp;_nc_cid=0&amp;_nc_zt=23&amp;_nc_ht=scontent.cdninstagram.com&amp;_nc_gid=qer7AwFlfyVxDKRfrq4gJg&amp;oh=00_AfgJRh_ONHzjgPPq3uCAeOL6OJoh0lVSA3eqZR4o5INciQ&amp;oe=6930E86A,https://scontent.cdninstagram.com/v/t51.82787-15/544076666_18091034236767674_5411296747615255503_n.heic?stp=dst-jpg_e35_tt6&amp;_nc_cat=104&amp;ig_cache_key=MzcxNjY5MzAwNzk1ODc1NTczNw%3D%3D.3-ccb7-5&amp;ccb=7-5&amp;_nc_sid=58cdad&amp;efg=eyJ2ZW5jb2RlX3RhZyI6InhwaWRzLjE0NDB4MTgwMC5zZHIuQzMifQ%3D%3D&amp;_nc_ohc=hZIZCy-1sYYQ7kNvwFR1c1H&amp;_nc_oc=Admu-M-kaNRBD1iS6yWIlKOSvYTJNwQmd04Yekp5TDY7pnuq85G6ykrzG9xzIDodEy0Bsx2oiv22OHCOt5HR_mW6&amp;_nc_ad=z-m&amp;_nc_cid=0&amp;_nc_zt=23&amp;_nc_ht=scontent.cdninstagram.com&amp;_nc_gid=qer7AwFlfyVxDKRfrq4gJg&amp;oh=00_Afi5buLVxrOakGFMvo_zmCjWxUI0kL8P0rOblmqx7OWF9Q&amp;oe=6930DFA3,https://scontent.cdninstagram.com/v/t51.82787-15/544784926_18091034245767674_9015494520080585091_n.heic?stp=dst-jpg_e35_tt6&amp;_nc_cat=106&amp;ig_cache_key=MzcxNjY5MzAwNzk3NTUzMzMzMw%3D%3D.3-ccb7-5&amp;ccb=7-5&amp;_nc_sid=58cdad&amp;efg=eyJ2ZW5jb2RlX3RhZyI6InhwaWRzLjE0NDB4MTgwMC5zZHIuQzMifQ%3D%3D&amp;_nc_ohc=7kiJ-P-4hY4Q7kNvwHFIrwZ&amp;_nc_oc=AdluRkDkOLdH7_EIlYnCUV1rYFBWMcBmJuv2tKg1d2nPHNRk05WCikR4A80WzeJc6a2_BlgpOdcKtqDG9QIlbUgn&amp;_nc_ad=z-m&amp;_nc_cid=0&amp;_nc_zt=23&amp;_nc_ht=scontent.cdninstagram.com&amp;_nc_gid=qer7AwFlfyVxDKRfrq4gJg&amp;oh=00_AfiT0BX7Bk9j1cDvMzu17mawFpSM49lVL_0c_ylKoR4wvw&amp;oe=6930F62F,https://scontent.cdninstagram.com/v/t51.82787-15/544067499_18091034254767674_4610743702726371217_n.heic?stp=dst-jpg_e35_tt6&amp;_nc_cat=101&amp;ig_cache_key=MzcxNjY5MzAwNzc5MTAxNDc2MQ%3D%3D.3-ccb7-5&amp;ccb=7-5&amp;_nc_sid=58cdad&amp;efg=eyJ2ZW5jb2RlX3RhZyI6InhwaWRzLjE0NDB4MTgwMC5zZHIuQzMifQ%3D%3D&amp;_nc_ohc=3U6hvaub6lYQ7kNvwHgsqFl&amp;_nc_oc=Adk5QLExljBDiCKGCQqESvp7bD-vaexOAb5ratjO50uCc09k8NLEDg1KoeT0cqXaUZwcnsjNJ6ZAsFeQsHPzepeh&amp;_nc_ad=z-m&amp;_nc_cid=0&amp;_nc_zt=23&amp;_nc_ht=scontent.cdninstagram.com&amp;_nc_gid=qer7AwFlfyVxDKRfrq4gJg&amp;oh=00_AfgQLiCBl4Kqq6FEqsGX4KMMnOGXvSQFZq1td8jDzO9YRA&amp;oe=6930DFE7,https://scontent.cdninstagram.com/v/t51.82787-15/542243852_18091034263767674_4199575432833563713_n.heic?stp=dst-jpg_e35_tt6&amp;_nc_cat=104&amp;ig_cache_key=MzcxNjY5MzAwNzc5MDk5Nzk4MA%3D%3D.3-ccb7-5&amp;ccb=7-5&amp;_nc_sid=58cdad&amp;efg=eyJ2ZW5jb2RlX3RhZyI6InhwaWRzLjE0NDB4MTgwMC5zZHIuQzMifQ%3D%3D&amp;_nc_ohc=MXyP_ET4gtYQ7kNvwH_1b85&amp;_nc_oc=AdkyS1lRkVTjqWRNqgZnQZ7PN9WWQJSdSWRmNwOQNt1FB6zNb9jX8OYErm9xVz42ywFfyaEmxhHrS-rFLZ-zKSoM&amp;_nc_ad=z-m&amp;_nc_cid=0&amp;_nc_zt=23&amp;_nc_ht=scontent.cdninstagram.com&amp;_nc_gid=qer7AwFlfyVxDKRfrq4gJg&amp;oh=00_AfgRA3BEpARuTEeIIkSIBf_4oLicAHNZNsTq0xXxPDSjBg&amp;oe=6930EFF4,https://scontent.cdninstagram.com/v/t51.82787-15/544303796_18091034272767674_1960172835818520227_n.heic?stp=dst-jpg_e35_tt6&amp;_nc_cat=104&amp;ig_cache_key=MzcxNjY5MzAwNzc4MjYwMzIyNg%3D%3D.3-ccb7-5&amp;ccb=7-5&amp;_nc_sid=58cdad&amp;efg=eyJ2ZW5jb2RlX3RhZyI6InhwaWRzLjE0NDB4MTgwMC5zZHIuQzMifQ%3D%3D&amp;_nc_ohc=yvrmJjs_vpwQ7kNvwHUdw1U&amp;_nc_oc=AdmMSDXTvNjLZozF8UJ2THicNfcO474uUHhySpQ-QTGnDE09ChKCT3gtgAR0JutguVk6Y4HMbFsEGCcLG1gj14_h&amp;_nc_ad=z-m&amp;_nc_cid=0&amp;_nc_zt=23&amp;_nc_ht=scontent.cdninstagram.com&amp;_nc_gid=qer7AwFlfyVxDKRfrq4gJg&amp;oh=00_Afi1l5radXEZgbG2Tds5M70VMOjglnG6E2x6ptLbHT8G7Q&amp;oe=6930E3B3</t>
  </si>
  <si>
    <t>tdah,tdahadulto,hipersensibilidade,psiquiatria,psicologia</t>
  </si>
  <si>
    <t>DQVJY5iD1zg</t>
  </si>
  <si>
    <t>https://www.instagram.com/p/DQVJY5iD1zg</t>
  </si>
  <si>
    <t>O TDAH não é só sobre dificuldades. Ele também traz características admiráveis que fazem parte de quem você é.
Criatividade, resiliência, hiperfoco, entusiasmo… tudo isso também é TDAH.
💬 Se você se identificou com esse conteúdo e quer entender melhor como transformar essas características em aliados na sua rotina, comente TDAH aqui embaixo 👇
Vou te mostrar um material que já ajudou milhares de pessoas a viverem com mais leveza e clareza.
🔖 Salve esse post para lembrar sempre do seu valor!
.
.
.
 #tdahadulto #tdah #tdahcomamor #tdahzando #tdahmulher #psiquiatraonline #psiquiatrapelotas #psiquiatrasaopaulo #psicologapelotas</t>
  </si>
  <si>
    <t>https://instagram.fcgh9-1.fna.fbcdn.net/v/t51.2885-19/450346823_737391045066002_1178007830183780591_n.jpg?stp=dst-jpg_s150x150_tt6&amp;efg=eyJ2ZW5jb2RlX3RhZyI6InByb2ZpbGVfcGljLmRqYW5nby43NTYuZXhwZXJpbWVudGFsIn0&amp;_nc_ht=instagram.fcgh9-1.fna.fbcdn.net&amp;_nc_cat=102&amp;_nc_oc=Q6cZ2QH3Kw-XPXi5D5c8GKw3H0Ru0_JkmpZiWOpo1xfW4PC72ZiO6jXlE0NvMTnnCQBu4w2_Bf0BJZwXazp7RiFAug52&amp;_nc_ohc=7BBDKiSRR5AQ7kNvwEPwGQe&amp;_nc_gid=HM__j6W2vI9X4ogKNGdAlw&amp;edm=AFlAz-oBAAAA&amp;ccb=7-5&amp;oh=00_Afhzxnn3byXmRIzRuATFyS0snAh2Rw7kHyUW01WpORjwpw&amp;oe=6930F177&amp;_nc_sid=76c0fc</t>
  </si>
  <si>
    <t>https://scontent-gru2-2.cdninstagram.com/v/t51.82787-15/579867642_18083761751291033_5439216256323160329_n.jpg?stp=dst-jpg_e35_tt6&amp;_nc_cat=106&amp;ig_cache_key=Mzc2Mjc3Mjg3NDA5NzQ2ODUxNg%3D%3D.3-ccb1-7&amp;ccb=1-7&amp;_nc_sid=58cdad&amp;efg=eyJ2ZW5jb2RlX3RhZyI6InhwaWRzLjEwODB4MTM1MC5zZHIuQzMifQ%3D%3D&amp;_nc_ohc=wVEA-qWcPPoQ7kNvwEvB-uy&amp;_nc_oc=Adkw4ZJqK-6zNaZlqbMp6kmEODK5VJ9nhG-qoNyD7SeUKM6beQylS0iCom7btf5aA_Yqier6_8_Y_2HlJhOunOnZ&amp;_nc_ad=z-m&amp;_nc_cid=0&amp;_nc_zt=23&amp;_nc_ht=scontent-gru2-2.cdninstagram.com&amp;_nc_gid=mECJj3bvLNFJ797yZUcNFw&amp;oh=00_AfhTNSXD8b0_mToYtITQQqtf27wq9Zcw55yuemi5y31jmQ&amp;oe=691BD22D,https://scontent-gru2-1.cdninstagram.com/v/t51.82787-15/575311181_18083761760291033_1895549331485268606_n.jpg?stp=dst-jpg_e35_tt6&amp;_nc_cat=107&amp;ig_cache_key=Mzc2Mjc3Mjg3NDEwNTg1MTM3NA%3D%3D.3-ccb1-7&amp;ccb=1-7&amp;_nc_sid=58cdad&amp;efg=eyJ2ZW5jb2RlX3RhZyI6InhwaWRzLjEwODB4MTM1MC5zZHIuQzMifQ%3D%3D&amp;_nc_ohc=CwgdXON5YS4Q7kNvwG9dx4m&amp;_nc_oc=AdnhHSRUNhIgZppGc6_RyD6VTOwlfQ0HycZhw1hbeAIGDaIWez57LUfQsL_onSUrttX8r7zWqgHXt7vZLzCPD19V&amp;_nc_ad=z-m&amp;_nc_cid=0&amp;_nc_zt=23&amp;_nc_ht=scontent-gru2-1.cdninstagram.com&amp;_nc_gid=mECJj3bvLNFJ797yZUcNFw&amp;oh=00_Afg0B18XoOIhUb0r_Vs3qjLZmLe4a-t1aSJJ7UdVguGocw&amp;oe=691BD743,https://scontent-gru1-1.cdninstagram.com/v/t51.82787-15/575727240_18083761769291033_4962199452150030843_n.jpg?stp=dst-jpg_e35_tt6&amp;_nc_cat=101&amp;ig_cache_key=Mzc2Mjc3Mjg3NDA5NzUwNzk0OQ%3D%3D.3-ccb1-7&amp;ccb=1-7&amp;_nc_sid=58cdad&amp;efg=eyJ2ZW5jb2RlX3RhZyI6InhwaWRzLjEwODB4MTM1MC5zZHIuQzMifQ%3D%3D&amp;_nc_ohc=kXudv1nt1uoQ7kNvwELg71_&amp;_nc_oc=AdmFwaiyqNneSxKbuWaQ1PruzgczXqsfmw2V5CUmSSckIBTwv8h4StNzfaXpVrTELaovvLd__HnwS8AajQCzKcHN&amp;_nc_ad=z-m&amp;_nc_cid=0&amp;_nc_zt=23&amp;_nc_ht=scontent-gru1-1.cdninstagram.com&amp;_nc_gid=mECJj3bvLNFJ797yZUcNFw&amp;oh=00_AfhFHwFJBleOTcTW7uymHxILf6jtpSoTySzsimqCqzFw5w&amp;oe=691BE191,https://scontent-gru2-2.cdninstagram.com/v/t51.82787-15/579717525_18083761778291033_7461141627032875981_n.jpg?stp=dst-jpg_e35_tt6&amp;_nc_cat=106&amp;ig_cache_key=Mzc2Mjc3Mjg3NDA3MjMwMzkzOA%3D%3D.3-ccb1-7&amp;ccb=1-7&amp;_nc_sid=58cdad&amp;efg=eyJ2ZW5jb2RlX3RhZyI6InhwaWRzLjEwODB4MTM1MC5zZHIuQzMifQ%3D%3D&amp;_nc_ohc=Au-hIsdEMkQQ7kNvwH5ykmz&amp;_nc_oc=AdkJ6XnrVpil1ZCWL0cbydOFqWDYxh5n0WZdvLHG3n6mq0Nh5cNxPSHcOmJ_7fttZlHYlTHEL6dtCm0FRtMQ-ssA&amp;_nc_ad=z-m&amp;_nc_cid=0&amp;_nc_zt=23&amp;_nc_ht=scontent-gru2-2.cdninstagram.com&amp;_nc_gid=mECJj3bvLNFJ797yZUcNFw&amp;oh=00_Afg6mYUHo1R_GdMzF4jc9ghufpkbvmBQDDYNnE9EIQiACA&amp;oe=691BF6B8,https://scontent-gru2-2.cdninstagram.com/v/t51.82787-15/579720920_18083761787291033_9013786551281554_n.jpg?stp=dst-jpg_e35_tt6&amp;_nc_cat=105&amp;ig_cache_key=Mzc2Mjc3Mjg3NDMyMzk2ODgzMw%3D%3D.3-ccb1-7&amp;ccb=1-7&amp;_nc_sid=58cdad&amp;efg=eyJ2ZW5jb2RlX3RhZyI6InhwaWRzLjEwODB4MTM1MC5zZHIuQzMifQ%3D%3D&amp;_nc_ohc=cVnMy3IuuyoQ7kNvwE1GxRe&amp;_nc_oc=AdkZZIb4D1XYwxYNSDosZFzbA8u369Wa8puzb_f5CvLr0Pj_v2fCyIpAwc_70vef1H-4DnYyjMQkBLMMWCW0AaTP&amp;_nc_ad=z-m&amp;_nc_cid=0&amp;_nc_zt=23&amp;_nc_ht=scontent-gru2-2.cdninstagram.com&amp;_nc_gid=mECJj3bvLNFJ797yZUcNFw&amp;oh=00_AfgmAEeq7leMjlKV9DD-bY6nq3G7g8w6c-FiHIjqQdXUkA&amp;oe=691BFDBB,https://scontent-gru2-1.cdninstagram.com/v/t51.82787-15/575273812_18083761796291033_461462113538914514_n.jpg?stp=dst-jpg_e35_tt6&amp;_nc_cat=111&amp;ig_cache_key=Mzc2Mjc3Mjg3NDA2Mzk0NTg3Nw%3D%3D.3-ccb1-7&amp;ccb=1-7&amp;_nc_sid=58cdad&amp;efg=eyJ2ZW5jb2RlX3RhZyI6InhwaWRzLjEwODB4MTM1MC5zZHIuQzMifQ%3D%3D&amp;_nc_ohc=v8wAfKija9cQ7kNvwEvzaoI&amp;_nc_oc=Adkf0eyH--EKTCuItm46spZPC2b7Ldi4X9yOZTFnbVMKY1FDKQEaQaxTr74rHbEouASBN89HiphIddU0yPUEpm54&amp;_nc_ad=z-m&amp;_nc_cid=0&amp;_nc_zt=23&amp;_nc_ht=scontent-gru2-1.cdninstagram.com&amp;_nc_gid=mECJj3bvLNFJ797yZUcNFw&amp;oh=00_Afg1_fHLKvbrxno1VOhuL7lyDg_mdak6sep0wRfMrNyafw&amp;oe=691BEABA,https://scontent-gru2-1.cdninstagram.com/v/t51.82787-15/575524175_18083761805291033_3974797235209554797_n.jpg?stp=dst-jpg_e35_tt6&amp;_nc_cat=109&amp;ig_cache_key=Mzc2Mjc3Mjg3NDI0ODQ5MDMxMg%3D%3D.3-ccb1-7&amp;ccb=1-7&amp;_nc_sid=58cdad&amp;efg=eyJ2ZW5jb2RlX3RhZyI6InhwaWRzLjEwODB4MTM1MC5zZHIuQzMifQ%3D%3D&amp;_nc_ohc=ecIm6FH95ocQ7kNvwFM4SR7&amp;_nc_oc=AdklhrPQIulXoXkUf3VeUQezQadLMexPKHNt06gz-PmVqrjELtumzOl2-w-0MVyX9Yyy1aU86RIFB6UbFexpUuTZ&amp;_nc_ad=z-m&amp;_nc_cid=0&amp;_nc_zt=23&amp;_nc_ht=scontent-gru2-1.cdninstagram.com&amp;_nc_gid=mECJj3bvLNFJ797yZUcNFw&amp;oh=00_Afi1Y_H-OI9scQMIFXUMzZpwL3M-sXmedZdOr1pMH6j7TA&amp;oe=691BE500,https://scontent-gru1-2.cdninstagram.com/v/t51.82787-15/579724836_18083761814291033_7645382771694599711_n.jpg?stp=dst-jpg_e35_tt6&amp;_nc_cat=110&amp;ig_cache_key=Mzc2Mjc3Mjg3NDA4MDc0Mjk5OQ%3D%3D.3-ccb1-7&amp;ccb=1-7&amp;_nc_sid=58cdad&amp;efg=eyJ2ZW5jb2RlX3RhZyI6InhwaWRzLjEwODB4MTM1MC5zZHIuQzMifQ%3D%3D&amp;_nc_ohc=nFgWexrIWSsQ7kNvwEHvkn0&amp;_nc_oc=AdkFbXBc926kzGXs7BICJIa-HRLVLpBDDv_DoJvKMBPgULxMyaLvoaC50tl7Gcwvp-lUwbbBUbbaAihDTpkmzIpN&amp;_nc_ad=z-m&amp;_nc_cid=0&amp;_nc_zt=23&amp;_nc_ht=scontent-gru1-2.cdninstagram.com&amp;_nc_gid=mECJj3bvLNFJ797yZUcNFw&amp;oh=00_AfgOgajKfKUGdPteCoLYUtDSZ13mWWsUrCfpEKDq-06TMg&amp;oe=691BF160,https://scontent-gru2-1.cdninstagram.com/v/t51.82787-15/575629735_18083761823291033_1395449731167048005_n.jpg?stp=dst-jpg_e35_tt6&amp;_nc_cat=107&amp;ig_cache_key=Mzc2Mjc3Mjg3NDMyMzk2NDgxMQ%3D%3D.3-ccb1-7&amp;ccb=1-7&amp;_nc_sid=58cdad&amp;efg=eyJ2ZW5jb2RlX3RhZyI6InhwaWRzLjEwODB4MTM1MC5zZHIuQzMifQ%3D%3D&amp;_nc_ohc=nS-Y7VRgtesQ7kNvwGkoLA7&amp;_nc_oc=Admt8CeB35eE2mnnSInEBwYgBp1bVguLFsdif7PTJHhgUwxEx8wbuyCdG5FNPO7WwbaGOBy8JmhdAXvzvEg43hqn&amp;_nc_ad=z-m&amp;_nc_cid=0&amp;_nc_zt=23&amp;_nc_ht=scontent-gru2-1.cdninstagram.com&amp;_nc_gid=mECJj3bvLNFJ797yZUcNFw&amp;oh=00_AfgDc7qObpUCE1pKhqfFTSrTno4WwSy6Aff-OqSmB5cybg&amp;oe=691BD057,https://scontent-gru2-1.cdninstagram.com/v/t51.82787-15/575953233_18083761832291033_8817458512649293452_n.jpg?stp=dst-jpg_e35_tt6&amp;_nc_cat=109&amp;ig_cache_key=Mzc2Mjc3Mjg3NDA4MDY5NTUxNA%3D%3D.3-ccb1-7&amp;ccb=1-7&amp;_nc_sid=58cdad&amp;efg=eyJ2ZW5jb2RlX3RhZyI6InhwaWRzLjEwODB4MTM1MC5zZHIuQzMifQ%3D%3D&amp;_nc_ohc=NUtjKvRWofYQ7kNvwFQMWKL&amp;_nc_oc=AdmBMt9P6eATAdOsFtDpaEkOUhFaxM2Xz99Uz73AystzeDMuC59F8wHq3P4yztk8pYvaVXcWwDJ6GFS2j9czEVvc&amp;_nc_ad=z-m&amp;_nc_cid=0&amp;_nc_zt=23&amp;_nc_ht=scontent-gru2-1.cdninstagram.com&amp;_nc_gid=mECJj3bvLNFJ797yZUcNFw&amp;oh=00_Afi6A-Qu5ktDAad1Nr9jkZjZyXUTVosmDFoqfZ2QGFgbRw&amp;oe=691BF1E0,https://scontent-gru2-1.cdninstagram.com/v/t51.82787-15/566419755_18083761841291033_8539995544499390819_n.jpg?stp=dst-jpg_e35_tt6&amp;_nc_cat=109&amp;ig_cache_key=Mzc2Mjc3Mjg3NDEwNTg5Mzk2Mg%3D%3D.3-ccb1-7&amp;ccb=1-7&amp;_nc_sid=58cdad&amp;efg=eyJ2ZW5jb2RlX3RhZyI6InhwaWRzLjEwODB4MTM1MC5zZHIuQzMifQ%3D%3D&amp;_nc_ohc=Hpkvg3o9kyAQ7kNvwEGnOT8&amp;_nc_oc=Adn-xgT7wgOKFe3KjHZQBBG610Vw9-TJ9j_V_lz9FAuKRpV0KCNshGNlPlOhCcu1wnl9jRniAvm26F_JAuvfzN72&amp;_nc_ad=z-m&amp;_nc_cid=0&amp;_nc_zt=23&amp;_nc_ht=scontent-gru2-1.cdninstagram.com&amp;_nc_gid=mECJj3bvLNFJ797yZUcNFw&amp;oh=00_AfhCTOZqvQ88A-MmAZ4lmTRvxEMUKiUJybAluZoxM8UPIw&amp;oe=691BCD5D,https://scontent-gru1-1.cdninstagram.com/v/t51.82787-15/563030645_18083761850291033_800502676520571834_n.jpg?stp=dst-jpg_e35_tt6&amp;_nc_cat=101&amp;ig_cache_key=Mzc2Mjc3Mjg3NDI0ODQ2NjMyMg%3D%3D.3-ccb1-7&amp;ccb=1-7&amp;_nc_sid=58cdad&amp;efg=eyJ2ZW5jb2RlX3RhZyI6InhwaWRzLjEwODB4MTM1MC5zZHIuQzMifQ%3D%3D&amp;_nc_ohc=zckHt-qaihkQ7kNvwEVxWzD&amp;_nc_oc=AdlL3E46-785D5DuFYx2cO5XHb9yV-M8rGCDmSZYIuaaCuHUMXxMXOSae_G3EXFDiOEcP4Vk8zaAzC-stYNVXwvY&amp;_nc_ad=z-m&amp;_nc_cid=0&amp;_nc_zt=23&amp;_nc_ht=scontent-gru1-1.cdninstagram.com&amp;_nc_gid=mECJj3bvLNFJ797yZUcNFw&amp;oh=00_Afi-I2wNcNhbygTk62U3I0__tgdrcQmWsoTnb9dZWUIbhA&amp;oe=691BDE53,https://scontent-gru1-2.cdninstagram.com/v/t51.82787-15/575293622_18083761859291033_5632582220108845659_n.jpg?stp=dst-jpg_e35_tt6&amp;_nc_cat=103&amp;ig_cache_key=Mzc2Mjc3Mjg3NDMyMzk3NDExNQ%3D%3D.3-ccb1-7&amp;ccb=1-7&amp;_nc_sid=58cdad&amp;efg=eyJ2ZW5jb2RlX3RhZyI6InhwaWRzLjEwODB4MTM1MC5zZHIuQzMifQ%3D%3D&amp;_nc_ohc=F3Zvo83SRKoQ7kNvwEXzbfJ&amp;_nc_oc=AdmKlGKnDhT0_M2MrESDZsyzZ6nLglyP5VGBfD3BJDZlcUx2TcChdFPv2qXYfmwcArG3huk7WEHFZ5p4CnZPd6D6&amp;_nc_ad=z-m&amp;_nc_cid=0&amp;_nc_zt=23&amp;_nc_ht=scontent-gru1-2.cdninstagram.com&amp;_nc_gid=mECJj3bvLNFJ797yZUcNFw&amp;oh=00_AfjvaQuKfyfp89-vqeue7FiY5rUx18uqnp1NemR3KyD5Gg&amp;oe=691BD439,https://scontent-gru1-1.cdninstagram.com/v/t51.82787-15/575777111_18083761868291033_3965398617215216640_n.jpg?stp=dst-jpg_e35_tt6&amp;_nc_cat=101&amp;ig_cache_key=Mzc2Mjc3Mjg3NDMyNDAwOTcwMQ%3D%3D.3-ccb1-7&amp;ccb=1-7&amp;_nc_sid=58cdad&amp;efg=eyJ2ZW5jb2RlX3RhZyI6InhwaWRzLjEwODB4MTM1MC5zZHIuQzMifQ%3D%3D&amp;_nc_ohc=LSyOE030WZcQ7kNvwHUstb5&amp;_nc_oc=AdkqoedbayWp4LyTa4nmNbhnPp7X_Zf4CIk_pXSNCU3wgVp3UVnlU_Upkw3j1HEpB4dsJqY5Kg7jsCpEgNNBuX0X&amp;_nc_ad=z-m&amp;_nc_cid=0&amp;_nc_zt=23&amp;_nc_ht=scontent-gru1-1.cdninstagram.com&amp;_nc_gid=mECJj3bvLNFJ797yZUcNFw&amp;oh=00_AfhLlBq_1mYRzdIiJr2fam_XCJsdcEH6MmOi5skFWYYB-Q&amp;oe=691BD8CD,https://scontent-gru1-1.cdninstagram.com/v/t51.82787-15/575295461_18083761880291033_4472648312370401661_n.jpg?stp=dst-jpg_e35_tt6&amp;_nc_cat=101&amp;ig_cache_key=Mzc2Mjc3Mjg3NDA4MDY4OTA3NQ%3D%3D.3-ccb1-7&amp;ccb=1-7&amp;_nc_sid=58cdad&amp;efg=eyJ2ZW5jb2RlX3RhZyI6InhwaWRzLjEwODB4MTM1MC5zZHIuQzMifQ%3D%3D&amp;_nc_ohc=6UlhB9hUX1QQ7kNvwHf9lnj&amp;_nc_oc=AdkZgCHCJ4_giVmSg6sHuU0GC6GNVYusV9vZ2DU9LG3cGhAlzNJU0MHUsAdkWhAohUmpOOrn8EEgpCvORS6Ef1zT&amp;_nc_ad=z-m&amp;_nc_cid=0&amp;_nc_zt=23&amp;_nc_ht=scontent-gru1-1.cdninstagram.com&amp;_nc_gid=mECJj3bvLNFJ797yZUcNFw&amp;oh=00_AfgVfpfQ_2kWRbzdT3shecNy-uYUd0SEeDTqxQm-BZehQg&amp;oe=691BE77F,https://scontent-gru1-1.cdninstagram.com/v/t51.82787-15/579360524_18083761889291033_2547406826230830381_n.jpg?stp=dst-jpg_e35_tt6&amp;_nc_cat=104&amp;ig_cache_key=Mzc2Mjc3Mjg3NDA4OTA4Mjg4MQ%3D%3D.3-ccb1-7&amp;ccb=1-7&amp;_nc_sid=58cdad&amp;efg=eyJ2ZW5jb2RlX3RhZyI6InhwaWRzLjEwODB4MTM1MC5zZHIuQzMifQ%3D%3D&amp;_nc_ohc=Os6Kyf2tNJgQ7kNvwGHaDMb&amp;_nc_oc=AdmKGQ9dD2oOWx4JyGsKBJxDy6Yt4goVss990IHZMTCPYLASELWnlz02wFTNvmUwnFWhhFikBw00DncYDHdfoEjX&amp;_nc_ad=z-m&amp;_nc_cid=0&amp;_nc_zt=23&amp;_nc_ht=scontent-gru1-1.cdninstagram.com&amp;_nc_gid=mECJj3bvLNFJ797yZUcNFw&amp;oh=00_AfgDG5p_KGd--FQY21jS8C1_7esW3CAWL41YsZPVCAvPRw&amp;oe=691BCA3C,https://scontent-gru1-2.cdninstagram.com/v/t51.82787-15/575313756_18083761898291033_8061311316265187701_n.jpg?stp=dst-jpg_e35_tt6&amp;_nc_cat=100&amp;ig_cache_key=Mzc2Mjc3Mjg3NDI0ODQ4MDg2Nw%3D%3D.3-ccb1-7&amp;ccb=1-7&amp;_nc_sid=58cdad&amp;efg=eyJ2ZW5jb2RlX3RhZyI6InhwaWRzLjEwODB4MTM1MC5zZHIuQzMifQ%3D%3D&amp;_nc_ohc=4pFj-g4b1OwQ7kNvwEzFQlB&amp;_nc_oc=AdkjAA2PInjtyviCt6taXidLx0lWTwIIdKRfAiD49SugXVUvt_GLC5dIQrfwkUEbWJ4rDoVAux3w_qbpoqlt-AG9&amp;_nc_ad=z-m&amp;_nc_cid=0&amp;_nc_zt=23&amp;_nc_ht=scontent-gru1-2.cdninstagram.com&amp;_nc_gid=mECJj3bvLNFJ797yZUcNFw&amp;oh=00_AfgXNGA9GviXU_v_BLS0DA4XitugLI13j_u9h1m6zfePYw&amp;oe=691BD137,https://scontent-gru2-2.cdninstagram.com/v/t51.82787-15/576519288_18083761907291033_1155169643188838641_n.jpg?stp=dst-jpg_e35_tt6&amp;_nc_cat=106&amp;ig_cache_key=Mzc2Mjc3Mjg3NDI0ODQ2NDQ3Ng%3D%3D.3-ccb1-7&amp;ccb=1-7&amp;_nc_sid=58cdad&amp;efg=eyJ2ZW5jb2RlX3RhZyI6InhwaWRzLjEwODB4MTM1MC5zZHIuQzMifQ%3D%3D&amp;_nc_ohc=ADsnuUmoMngQ7kNvwG0Muvi&amp;_nc_oc=AdmIdEviN-C83j7SuXGiydQtb_uB6xgr63E1AcLCjKqXOhQPWTYMe0yYSH1wvYqASU8HHkfVbvuhfTzor0wWXHKP&amp;_nc_ad=z-m&amp;_nc_cid=0&amp;_nc_zt=23&amp;_nc_ht=scontent-gru2-2.cdninstagram.com&amp;_nc_gid=mECJj3bvLNFJ797yZUcNFw&amp;oh=00_Afja3BOXRtM7180BlPYB5W1c-BGOItEP2i0xaCKI4XEUFg&amp;oe=691BF85B,https://scontent-gru2-1.cdninstagram.com/v/t51.82787-15/579404512_18083761916291033_517354380757036623_n.jpg?stp=dst-jpg_e35_tt6&amp;_nc_cat=109&amp;ig_cache_key=Mzc2Mjc3Mjg3NDI0ODQ4NDgxMw%3D%3D.3-ccb1-7&amp;ccb=1-7&amp;_nc_sid=58cdad&amp;efg=eyJ2ZW5jb2RlX3RhZyI6InhwaWRzLjEwODB4MTM1MC5zZHIuQzMifQ%3D%3D&amp;_nc_ohc=bGOEIhvyFYgQ7kNvwEJHtsI&amp;_nc_oc=AdnZBqLUtQqOcICv_B0U1nktpqZDNN6SKkWV5_P5Qm3NpBkFjidd_xNehwf6w216CJCmuNEDcCh1CVCH-PvUKZgP&amp;_nc_ad=z-m&amp;_nc_cid=0&amp;_nc_zt=23&amp;_nc_ht=scontent-gru2-1.cdninstagram.com&amp;_nc_gid=mECJj3bvLNFJ797yZUcNFw&amp;oh=00_AfjKen0P5L22ifvEO_u-AI3Fk2e0pBCbN5y9_Js_pljswA&amp;oe=691BCC5E,https://scontent-gru2-2.cdninstagram.com/v/t51.82787-15/575290619_18083761925291033_6453769838262540846_n.jpg?stp=dst-jpg_e35_tt6&amp;_nc_cat=102&amp;ig_cache_key=Mzc2Mjc3Mjg3NDA5NzUyMTg4Nw%3D%3D.3-ccb1-7&amp;ccb=1-7&amp;_nc_sid=58cdad&amp;efg=eyJ2ZW5jb2RlX3RhZyI6InhwaWRzLjEwODB4MTM1MC5zZHIuQzMifQ%3D%3D&amp;_nc_ohc=okAQBErfozwQ7kNvwHR5Yzx&amp;_nc_oc=Adn80_-A-lbIyt_Hey-nLnPZmLDLVEUG9I-zq93cN-BQe-D3yVZvaw4kkdaT-w3jQLXYgb3F1gBdq9Xps4FPmCbS&amp;_nc_ad=z-m&amp;_nc_cid=0&amp;_nc_zt=23&amp;_nc_ht=scontent-gru2-2.cdninstagram.com&amp;_nc_gid=mECJj3bvLNFJ797yZUcNFw&amp;oh=00_AfhfNqMpxWGNYUjbYEHZDVhmMnfuko8qMRIvWYamln1txg&amp;oe=691BE232</t>
  </si>
  <si>
    <t>https://scontent.cdninstagram.com/v/t39.30808-6/571169192_1645007356817787_6927086819044496893_n.jpg?stp=dst-jpg_e35_tt6&amp;_nc_cat=107&amp;ig_cache_key=Mzc1Mjk0NzE1Nzk0MzkzNDE3Ng%3D%3D.3-ccb7-5&amp;ccb=7-5&amp;_nc_sid=58cdad&amp;efg=eyJ2ZW5jb2RlX3RhZyI6InhwaWRzLjEwODB4MTM1MC5zZHIuQzMifQ%3D%3D&amp;_nc_ohc=yV2qzE4eDjUQ7kNvwHyWlba&amp;_nc_oc=Adl90VR5WEXPlnpMx7ZVOKKSyDNcQ4_wWkFvCl0hk2FFl5_2koaKAt1fConvdbqezqZnb_vRVcVYZeNaf858AtT7&amp;_nc_ad=z-m&amp;_nc_cid=0&amp;_nc_zt=23&amp;_nc_ht=scontent.cdninstagram.com&amp;_nc_gid=HM__j6W2vI9X4ogKNGdAlw&amp;oh=00_AfjdxwRKraNSdXxOHtRwEUq_eKlnlnTSAI8U7qEmL4D_Qw&amp;oe=6930FAA4</t>
  </si>
  <si>
    <t>tdahadulto,tdah,tdahcomamor,tdahzando,tdahmulher,psiquiatraonline,psiquiatrapelotas,psiquiatrasaopaulo,psicologapelotas</t>
  </si>
  <si>
    <t>DMv-cH2J2A-</t>
  </si>
  <si>
    <t>https://www.instagram.com/p/DMv-cH2J2A-</t>
  </si>
  <si>
    <t>🧠 TDAH e a busca por dopamina: por que o cérebro age assim?
O TDAH está diretamente ligado a alterações no funcionamento dos sistemas dopaminérgico e noradrenérgico, especialmente no córtex pré-frontal — região responsável por funções como foco, controle inibitório, tomada de decisão e motivação.
A dopamina, em especial, é uma substância fundamental para a sensação de recompensa, interesse e prazer em realizar tarefas. No TDAH, os níveis de dopamina são mais baixos ou têm distribuição irregular, o que faz o cérebro buscar estímulos constantes e recompensas rápidas para se autorregular.
Isso ajuda a entender por que muitos comportamentos comuns no TDAH não são "falta de força de vontade", mas uma forma do cérebro tentar se estimular quimicamente.
⚡ Veja como isso aparece no dia a dia:
* Dificuldade de ser consistente�O tédio ou a ausência de novidade fazem com que a motivação caia rapidamente. A dopamina cai, e a tarefa é abandonada.
* Evitar tarefas desprazerosas�Atividades sem estímulo imediato (como burocracias ou demandas repetitivas) geram aversão. O cérebro com TDAH "foge" disso.
* Novo hobby / novos planos de carreira/ novas pessoas�O ciclo de começar com entusiasmo e abandonar depois é comum. O início libera dopamina, mas a manutenção exige esforço regulatório.
* Mais suscetível a vício em redes sociais�As notificações e recompensas rápidas das redes liberam dopamina com facilidade — tornando-as especialmente atrativas (e viciantes) para quem tem TDAH.
* Comer muito doce�Alimentos com alto índice glicêmico geram picos de dopamina. O cérebro aprende isso rapidamente como fonte de "alívio".
* Compras impulsivas�A decisão rápida e a recompensa imediata da compra geram prazer, mesmo que passageiro — alimentando ciclos impulsivos.
* Discussões desnecessárias�A hiper-reatividade emocional, somada à busca por estímulo, pode tornar a pessoa mais impulsiva em interações sociais.
.
.
.
 #psiquiatra #psiquiatrabh #psiquiatraonline #dopamina #vicioemdopamina #tdah #tdahadulto #tdahinfantil #tdahdescomplicado #deficitdeatencao</t>
  </si>
  <si>
    <t>dra.larissa.lanza</t>
  </si>
  <si>
    <t>Larissa Lanza de O. Fiúza Branco / Psiquiatra - Sete Lagoas</t>
  </si>
  <si>
    <t>https://instagram.fcgh9-1.fna.fbcdn.net/v/t51.2885-19/475684928_937823348493528_5729673631702983615_n.jpg?stp=dst-jpg_s150x150_tt6&amp;efg=eyJ2ZW5jb2RlX3RhZyI6InByb2ZpbGVfcGljLmRqYW5nby4xMDgwLmV4cGVyaW1lbnRhbCJ9&amp;_nc_ht=instagram.fcgh9-1.fna.fbcdn.net&amp;_nc_cat=100&amp;_nc_oc=Q6cZ2QH3Kw-XPXi5D5c8GKw3H0Ru0_JkmpZiWOpo1xfW4PC72ZiO6jXlE0NvMTnnCQBu4w2_Bf0BJZwXazp7RiFAug52&amp;_nc_ohc=jdS3y4KVZNQQ7kNvwFgzXn6&amp;_nc_gid=HM__j6W2vI9X4ogKNGdAlw&amp;edm=AFlAz-oBAAAA&amp;ccb=7-5&amp;oh=00_AfgOAzPCJsuORBHm6tEY1nU8VDo2ZzuoTypofU6HHM99UQ&amp;oe=6930DDD3&amp;_nc_sid=76c0fc</t>
  </si>
  <si>
    <t>https://scontent.cdninstagram.com/v/t39.30808-6/515071425_1065829075693228_5475962296548202175_n.jpg?stp=dst-jpg_e35_tt6&amp;_nc_cat=104&amp;ig_cache_key=MzY4ODQ0MTIzMTI5MzUwNTU5OA%3D%3D.3-ccb7-5&amp;ccb=7-5&amp;_nc_sid=58cdad&amp;efg=eyJ2ZW5jb2RlX3RhZyI6InhwaWRzLjEwODB4MTM1MC5zZHIuQzMifQ%3D%3D&amp;_nc_ohc=uUs-9NDaiBIQ7kNvwE316DJ&amp;_nc_oc=AdkZ0-kF-spRinRzoPlhWD2enCdsyOAPzdMRFdxc0KpHMOQHFK-s1h5BQyNhR0g38McbuTzM0P1Xfdg5wG6nQQy3&amp;_nc_ad=z-m&amp;_nc_cid=0&amp;_nc_zt=23&amp;_nc_ht=scontent.cdninstagram.com&amp;_nc_gid=HM__j6W2vI9X4ogKNGdAlw&amp;oh=00_AfhHnhdrGPYMQqS0WfdGQCYzIgtfpm-lmvq1dlr3SxhMhQ&amp;oe=6930DD7C</t>
  </si>
  <si>
    <t>psiquiatra,psiquiatrabh,psiquiatraonline,dopamina,vicioemdopamina,tdah,tdahadulto,tdahinfantil,tdahdescomplicado,deficitdeatencao</t>
  </si>
  <si>
    <t>DQ-WdGlCPbe</t>
  </si>
  <si>
    <t>https://www.instagram.com/p/DQ-WdGlCPbe</t>
  </si>
  <si>
    <t>O TDAH não tratado pode afetar várias áreas da vida — trabalho, finanças, relacionamentos e autoestima. Mas a boa notícia é que com o tratamento certo, tudo pode mudar. 💭
Com acompanhamento psiquiátrico, psicoterapia e estratégias de organização, é possível melhorar o foco, reduzir a impulsividade e estabilizar as emoções.
Tratar o TDAH não é “controlar sintomas”, é recuperar qualidade de vida e aprender a usar o potencial do próprio cérebro. ✨
.
.
.
 #tdah #tdahadulto #tdahadulte #tdahcomamor #psiquiatraonline #psiquiatrabh</t>
  </si>
  <si>
    <t>https://instagram.fcgh9-1.fna.fbcdn.net/v/t51.2885-19/363500112_265279026131451_3375377597105336600_n.jpg?stp=dst-jpg_s150x150_tt6&amp;efg=eyJ2ZW5jb2RlX3RhZyI6InByb2ZpbGVfcGljLmRqYW5nby4xMDgwLmV4cGVyaW1lbnRhbCJ9&amp;_nc_ht=instagram.fcgh9-1.fna.fbcdn.net&amp;_nc_cat=103&amp;_nc_oc=Q6cZ2QH3Kw-XPXi5D5c8GKw3H0Ru0_JkmpZiWOpo1xfW4PC72ZiO6jXlE0NvMTnnCQBu4w2_Bf0BJZwXazp7RiFAug52&amp;_nc_ohc=2ltg-AkWwkQQ7kNvwFPK4VM&amp;_nc_gid=HM__j6W2vI9X4ogKNGdAlw&amp;edm=AFlAz-oBAAAA&amp;ccb=7-5&amp;oh=00_AfiAFo9__FeSJmhHETUbXcv962MFTl3AvlWXjptfBFO3pg&amp;oe=6930E041&amp;_nc_sid=76c0fc</t>
  </si>
  <si>
    <t>https://scontent.cdninstagram.com/v/t39.30808-6/575187025_1892000008359855_17951880620498448_n.jpg?stp=dst-jpg_e35_tt6&amp;_nc_cat=108&amp;ig_cache_key=Mzc2NDU0NTA5NTQ4MDE3ODM5OA%3D%3D.3-ccb7-5&amp;ccb=7-5&amp;_nc_sid=58cdad&amp;efg=eyJ2ZW5jb2RlX3RhZyI6InhwaWRzLjEwODB4MTM1MC5zZHIuQzMifQ%3D%3D&amp;_nc_ohc=S_wkABxTkqwQ7kNvwGI8G2a&amp;_nc_oc=AdmSMTNqrdz3x690nGxD6xGmiutSoeBmHIJmblIKip19KXVPsjz6J0TYPb671Egu55nQwwbeGLdzStyX_RGz4XWB&amp;_nc_ad=z-m&amp;_nc_cid=0&amp;_nc_zt=23&amp;_nc_ht=scontent.cdninstagram.com&amp;_nc_gid=HM__j6W2vI9X4ogKNGdAlw&amp;oh=00_Afjwf9Q7RGNM3WaX2N0RYLDod7votU3pIEJJnoW5prpEdw&amp;oe=693105C4</t>
  </si>
  <si>
    <t>tdah,tdahadulto,tdahadulte,tdahcomamor,psiquiatraonline,psiquiatrabh</t>
  </si>
  <si>
    <t>DQuNx3GkSO2</t>
  </si>
  <si>
    <t>https://www.instagram.com/p/DQuNx3GkSO2</t>
  </si>
  <si>
    <t>🧠 A rigidez cognitiva é comum em pessoas com TDAH.
Reconhecer esse padrão é o primeiro passo para lidar com mais leveza.
Você já percebeu isso em você? Vamos conversar nos comentários. 💬
#tdah #tdahadulto #rigidezcognitiva #tratamentotdah #psisandravillela</t>
  </si>
  <si>
    <t>https://instagram.fcgh9-1.fna.fbcdn.net/v/t51.2885-19/332467891_870732753989791_7019283026228548322_n.jpg?stp=dst-jpg_s150x150_tt6&amp;efg=eyJ2ZW5jb2RlX3RhZyI6InByb2ZpbGVfcGljLmRqYW5nby44OTkuZXhwZXJpbWVudGFsIn0&amp;_nc_ht=instagram.fcgh9-1.fna.fbcdn.net&amp;_nc_cat=107&amp;_nc_oc=Q6cZ2QH3Kw-XPXi5D5c8GKw3H0Ru0_JkmpZiWOpo1xfW4PC72ZiO6jXlE0NvMTnnCQBu4w2_Bf0BJZwXazp7RiFAug52&amp;_nc_ohc=a9Ac8DJluv8Q7kNvwE3k6rX&amp;_nc_gid=HM__j6W2vI9X4ogKNGdAlw&amp;edm=AFlAz-oBAAAA&amp;ccb=7-5&amp;oh=00_Afh3q2jPTHAMZah4sDMlaOl52op-7DB-m_t6caN0YAPS6w&amp;oe=6930F78B&amp;_nc_sid=76c0fc</t>
  </si>
  <si>
    <t>https://scontent.cdninstagram.com/v/t51.82787-15/573577376_18512514280065764_7242524435122476091_n.webp?_nc_cat=108&amp;ig_cache_key=Mzc2MDAwMzMzOTkyNTkyMjc0Mg%3D%3D.3-ccb7-5&amp;ccb=7-5&amp;_nc_sid=58cdad&amp;efg=eyJ2ZW5jb2RlX3RhZyI6InhwaWRzLjE0NDB4MTgwMC5zZHIuQzMifQ%3D%3D&amp;_nc_ohc=AYjiSkS9XvkQ7kNvwEAPGjy&amp;_nc_oc=AdmWaoBavHuT6qjIbJS8mu3GOP-cemK_d-kufEcn3peucFVHhOCweewRhOAZgolV9wDUl2F7w1qniw4uPelDE31j&amp;_nc_ad=z-m&amp;_nc_cid=0&amp;_nc_zt=23&amp;_nc_ht=scontent.cdninstagram.com&amp;_nc_gid=HM__j6W2vI9X4ogKNGdAlw&amp;oh=00_Afju5Pk9cSu36uwjk5qnAP9XaWMwW7oZ-DVz3oo6phMo8g&amp;oe=6930EACE</t>
  </si>
  <si>
    <t>tdah,tdahadulto,rigidezcognitiva,tratamentotdah,psisandravillela</t>
  </si>
  <si>
    <t>https://instagram.fcgh9-1.fna.fbcdn.net/v/t51.2885-19/343300468_614553440272619_4120800574994471110_n.jpg?stp=dst-jpg_s150x150_tt6&amp;efg=eyJ2ZW5jb2RlX3RhZyI6InByb2ZpbGVfcGljLmRqYW5nby45MzIuZXhwZXJpbWVudGFsIn0&amp;_nc_ht=instagram.fcgh9-1.fna.fbcdn.net&amp;_nc_cat=111&amp;_nc_oc=Q6cZ2QH3Kw-XPXi5D5c8GKw3H0Ru0_JkmpZiWOpo1xfW4PC72ZiO6jXlE0NvMTnnCQBu4w2_Bf0BJZwXazp7RiFAug52&amp;_nc_ohc=QGCQI1Y7oggQ7kNvwEpnvJk&amp;_nc_gid=HM__j6W2vI9X4ogKNGdAlw&amp;edm=AFlAz-oBAAAA&amp;ccb=7-5&amp;oh=00_AfhfO6OBtYmUGl_z4vkNh5CEqUctNuTZZD8Cdtw6Su1TLQ&amp;oe=6930DBF9&amp;_nc_sid=76c0fc</t>
  </si>
  <si>
    <t>https://scontent.cdninstagram.com/v/t39.30808-6/547739167_1332859212178548_2277358149879575446_n.jpg?stp=dst-jpg_e35_tt6&amp;_nc_cat=102&amp;ig_cache_key=MzcyNTE2NTEwMzA2Nzk5MzE4Ng%3D%3D.3-ccb7-5&amp;ccb=7-5&amp;_nc_sid=58cdad&amp;efg=eyJ2ZW5jb2RlX3RhZyI6InhwaWRzLjEwODB4MTM1MC5zZHIuQzMifQ%3D%3D&amp;_nc_ohc=tQKb7-bM8qkQ7kNvwHfMZLF&amp;_nc_oc=AdmLJLpEhGXWP2DfOypvUxxdemCt3T6TZhWS6XLSVvKfWw96-aEVGoLTybDQ6GJsiwiup8y-aQxj7NcEuCZfYsGH&amp;_nc_ad=z-m&amp;_nc_cid=0&amp;_nc_zt=23&amp;_nc_ht=scontent.cdninstagram.com&amp;_nc_gid=HM__j6W2vI9X4ogKNGdAlw&amp;oh=00_AfhHVw-8sE7-N0Ur01cZminzQnIWLX1kJTj9R6JnS3oGgA&amp;oe=6931018B</t>
  </si>
  <si>
    <t>DOe-JP-jH1b</t>
  </si>
  <si>
    <t>https://www.instagram.com/p/DOe-JP-jH1b</t>
  </si>
  <si>
    <t>E é exaustivo ter um cérebro com um funcionamento diferente. 
Mais difícil ainda ter que sobreviver as demandas da vida e o preconceito dos outros. 
#tdah #tdahadulto #tdahmulher #tdahinfantil #tdahbrasil #tdahdescomplicado #tdahadultos #psiquiatrabh</t>
  </si>
  <si>
    <t>https://instagram.fcgh9-1.fna.fbcdn.net/v/t51.2885-19/342896576_197390316393171_6767736904209467616_n.jpg?stp=dst-jpg_s150x150_tt6&amp;efg=eyJ2ZW5jb2RlX3RhZyI6InByb2ZpbGVfcGljLmRqYW5nby4xMDgwLmV4cGVyaW1lbnRhbCJ9&amp;_nc_ht=instagram.fcgh9-1.fna.fbcdn.net&amp;_nc_cat=103&amp;_nc_oc=Q6cZ2QH3Kw-XPXi5D5c8GKw3H0Ru0_JkmpZiWOpo1xfW4PC72ZiO6jXlE0NvMTnnCQBu4w2_Bf0BJZwXazp7RiFAug52&amp;_nc_ohc=wGwHqzpeXyMQ7kNvwF0ropW&amp;_nc_gid=HM__j6W2vI9X4ogKNGdAlw&amp;edm=AFlAz-oBAAAA&amp;ccb=7-5&amp;oh=00_Afi3ZvZ-ejhooQz_Cmd1RJd8a-jVwQeM5rldwus03jKfaA&amp;oe=69310024&amp;_nc_sid=76c0fc</t>
  </si>
  <si>
    <t>Marília Pessoa | Marketing para Psiquiatra</t>
  </si>
  <si>
    <t>https://scontent.cdninstagram.com/v/t51.82787-15/545249987_18322911049232330_7601460859877635477_n.jpg?stp=dst-jpg_e35_tt6&amp;_nc_cat=110&amp;ig_cache_key=MzcxOTY4MzY1Njc2OTEwOTMzOQ%3D%3D.3-ccb7-5&amp;ccb=7-5&amp;_nc_sid=58cdad&amp;efg=eyJ2ZW5jb2RlX3RhZyI6InhwaWRzLjE0NDB4MTc5Ni5zZHIuQzMifQ%3D%3D&amp;_nc_ohc=XzBlhVopIXkQ7kNvwFVukWU&amp;_nc_oc=AdluH5xEXLVqiKu7LLjtGlig74DcVOqAtpl4mNO4g68_nup9gC8yCvERXbK3IP6YnOG0Ymx56PnJqDuKM-GDfCgZ&amp;_nc_ad=z-m&amp;_nc_cid=0&amp;_nc_zt=23&amp;_nc_ht=scontent.cdninstagram.com&amp;_nc_gid=HM__j6W2vI9X4ogKNGdAlw&amp;oh=00_AfjkrCcINubMGsR1ZDX7oWgohDE02-nPZCW7FvR3JpEImA&amp;oe=69310EE7</t>
  </si>
  <si>
    <t>tdah,tdahadulto,tdahmulher,tdahinfantil,tdahbrasil,tdahdescomplicado,tdahadultos,psiquiatrabh</t>
  </si>
  <si>
    <t>https://instagram.fcgh9-1.fna.fbcdn.net/v/t51.2885-19/450502028_364227709756384_5207360741911199062_n.jpg?stp=dst-jpg_s150x150_tt6&amp;efg=eyJ2ZW5jb2RlX3RhZyI6InByb2ZpbGVfcGljLmRqYW5nby4xMDgwLmV4cGVyaW1lbnRhbCJ9&amp;_nc_ht=instagram.fcgh9-1.fna.fbcdn.net&amp;_nc_cat=104&amp;_nc_oc=Q6cZ2QH3Kw-XPXi5D5c8GKw3H0Ru0_JkmpZiWOpo1xfW4PC72ZiO6jXlE0NvMTnnCQBu4w2_Bf0BJZwXazp7RiFAug52&amp;_nc_ohc=lQMLGrDCqrgQ7kNvwERFYoX&amp;_nc_gid=HM__j6W2vI9X4ogKNGdAlw&amp;edm=AFlAz-oBAAAA&amp;ccb=7-5&amp;oh=00_AfgTO5vFyXsnvldm5TVtxUduAdjJvpHyTULIWSiaU-iTGw&amp;oe=6930E38C&amp;_nc_sid=76c0fc</t>
  </si>
  <si>
    <t>https://scontent.cdninstagram.com/v/t51.82787-15/573183869_18546510979056012_8445509204532759725_n.webp?_nc_cat=100&amp;ig_cache_key=Mzc1NTYwODQ3MjMwMjgyOTE5MQ%3D%3D.3-ccb7-5&amp;ccb=7-5&amp;_nc_sid=58cdad&amp;efg=eyJ2ZW5jb2RlX3RhZyI6InhwaWRzLjE0NDB4MTgwMC5zZHIuQzMifQ%3D%3D&amp;_nc_ohc=b_6aXIpgpUwQ7kNvwE0_vAZ&amp;_nc_oc=AdkWOJQGi0ZY3ayIpS5AaTaXMAZKeq3Df1-IrQfRtKq8mcpEUkzzxAX7UiKsRq9i2pycL0g5EZ4-wYMlHywgq_Hd&amp;_nc_ad=z-m&amp;_nc_cid=0&amp;_nc_zt=23&amp;_nc_ht=scontent.cdninstagram.com&amp;_nc_gid=HM__j6W2vI9X4ogKNGdAlw&amp;oh=00_AfjA2zoHjItVsIbzIuuF0-9qeuKajeGwNifttHak8OsV9Q&amp;oe=6930F02B</t>
  </si>
  <si>
    <t>DO4UhLWErgp</t>
  </si>
  <si>
    <t>https://www.instagram.com/p/DO4UhLWErgp</t>
  </si>
  <si>
    <t>O Transtorno de Déficit de Atenção e Hiperatividade (TDAH) é uma condição do neurodesenvolvimento caracterizada por sintomas de desatenção, impulsividade e hiperatividade.
Embora os critérios diagnósticos sejam os mesmos, a forma como o TDAH se manifesta pode diferir entre homens e mulheres, o que influencia o diagnóstico e o tratamento.
Nos homens, os sintomas costumam ser mais externos e evidentes, como hiperatividade física, impulsividade, irritabilidade e comportamentos de risco. 
Isso faz com que chamem atenção desde a infância, especialmente na escola, e tendam a ser diagnosticados mais cedo.
Nas mulheres, os sintomas aparecem de forma mais interna, com desatenção, hiperatividade mental (excesso de pensamentos, inquietude, ruminação) e maior risco de ansiedade e depressão.
Oscilações hormonais também podem agravar os sintomas. 
Muitas vezes, elas são vistas apenas como distraídas ou sonhadoras, o que leva a diagnósticos tardios, geralmente na vida adulta.
Essas diferenças acontecem porque o gênero influencia tanto a forma de expressão dos sintomas quanto a percepção social deles. 
Reconhecer essas particularidades ajuda a reduzir os diagnósticos incorretos, oferecendo o tratamento adequado aos indivíduos com TDAH.
#tdah #tdahadulto #tdahadultos #tdahinfantil #tdahmulher #tdahadolescentes #tdahdescomplicado #psiquiatra #psiquiatraonline #psiquiatragoiania #psicologagoiania #inhumasgo #psiquiatras</t>
  </si>
  <si>
    <t>https://instagram.fcgh9-1.fna.fbcdn.net/v/t51.2885-19/520201116_18073496299963362_5659245198539464402_n.jpg?stp=dst-jpg_s150x150_tt6&amp;efg=eyJ2ZW5jb2RlX3RhZyI6InByb2ZpbGVfcGljLmRqYW5nby4xMDgwLmV4cGVyaW1lbnRhbCJ9&amp;_nc_ht=instagram.fcgh9-1.fna.fbcdn.net&amp;_nc_cat=106&amp;_nc_oc=Q6cZ2QH3Kw-XPXi5D5c8GKw3H0Ru0_JkmpZiWOpo1xfW4PC72ZiO6jXlE0NvMTnnCQBu4w2_Bf0BJZwXazp7RiFAug52&amp;_nc_ohc=OeK8_0XFxLQQ7kNvwGRPpkL&amp;_nc_gid=HM__j6W2vI9X4ogKNGdAlw&amp;edm=AFlAz-oBAAAA&amp;ccb=7-5&amp;oh=00_AfhHiEV6QdnMI9IpCGQtDAbGsP_R6nXCsO7RKvmXnlpMDg&amp;oe=6930EAD8&amp;_nc_sid=76c0fc</t>
  </si>
  <si>
    <t>https://scontent.cdninstagram.com/v/t51.82787-15/544977434_18078864022963362_4666333819026233002_n.jpg?stp=dst-jpg_e35_tt6&amp;_nc_cat=109&amp;ig_cache_key=MzcyNjgxODkzMjUwMzUyNTQxNw%3D%3D.3-ccb7-5&amp;ccb=7-5&amp;_nc_sid=58cdad&amp;efg=eyJ2ZW5jb2RlX3RhZyI6InhwaWRzLjE0NDB4MTc5Ni5zZHIuQzMifQ%3D%3D&amp;_nc_ohc=bs_hjfdFxmcQ7kNvwH7g7TT&amp;_nc_oc=AdlCswUZQPwfWYNlDO_NCnfE0skgUXdl1HgcUoPXQo_2ekRYscDe6mD66y1Zvg8TsTvVU6sJWjrM4hGLZnVPzUPL&amp;_nc_ad=z-m&amp;_nc_cid=0&amp;_nc_zt=23&amp;_nc_ht=scontent.cdninstagram.com&amp;_nc_gid=HM__j6W2vI9X4ogKNGdAlw&amp;oh=00_AfivCZ1MI9WFUt2oxoxOuvW_NUdbjHx0MqKsJGzEZuuL8g&amp;oe=6930E881</t>
  </si>
  <si>
    <t>DPcMVxyESNz</t>
  </si>
  <si>
    <t>https://www.instagram.com/p/DPcMVxyESNz</t>
  </si>
  <si>
    <t>TDAH no adulto: quando a mente corre mais rápido que o mundo
O TDAH não é apenas coisa de criança. Muitos adultos vivem com ele sem perceber — apenas se achando distraídos, bagunceiros ou “sem foco”. Mas por trás disso há um funcionamento mental diferente, intenso e cheio de contrastes.
Quem tem TDAH luta para manter a concentração, não por falta de vontade, mas porque o cérebro capta tudo ao mesmo tempo. É como tentar ouvir uma única voz em meio a um coral de pensamentos.
Paradoxalmente, essa mente é também extremamente criativa. Ela pensa fora da caixa, conecta ideias improváveis e tem uma imaginação viva. Só que, junto disso, vêm os desafios: erros em tarefas repetitivas, dificuldade de planejamento e problemas para seguir rotinas. O tédio dói, e a previsibilidade desmotiva.
O cotidiano vira um teste de paciência — esquecimentos, perda de objetos, atrasos, impulsividade e até conflitos nos relacionamentos. Não é descuido, é o cérebro funcionando em outro ritmo.
Mas quando algo desperta o interesse verdadeiro, surge o hiperfoco: uma imersão profunda, intensa, quase mágica. A pessoa esquece o tempo, a fome, o mundo — e produz com paixão.
Viver com TDAH é equilibrar extremos: foco e distração, genialidade e esquecimento, emoção e cansaço.
Não é falta de esforço — é uma forma diferente de existir.
Com autoconhecimento, apoio e compreensão, esse “caos interno” pode se transformar em potência criativa e em uma vida com mais autenticidade.
#tdah #tdahadulto #neurodivergente #saudemental #psicanalise #psicologia #psiquiatria #santoantoniodaplatina</t>
  </si>
  <si>
    <t>visaopsicanalitica</t>
  </si>
  <si>
    <t>Psicanalista Vinicius Martins</t>
  </si>
  <si>
    <t>https://instagram.fcgh9-1.fna.fbcdn.net/v/t51.2885-19/488434015_1165869318363807_1822785379407117536_n.jpg?stp=dst-jpg_s150x150_tt6&amp;efg=eyJ2ZW5jb2RlX3RhZyI6InByb2ZpbGVfcGljLmRqYW5nby4xMDgwLmV4cGVyaW1lbnRhbCJ9&amp;_nc_ht=instagram.fcgh9-1.fna.fbcdn.net&amp;_nc_cat=103&amp;_nc_oc=Q6cZ2QH3Kw-XPXi5D5c8GKw3H0Ru0_JkmpZiWOpo1xfW4PC72ZiO6jXlE0NvMTnnCQBu4w2_Bf0BJZwXazp7RiFAug52&amp;_nc_ohc=Dt_o4wuSQecQ7kNvwGhgeZu&amp;_nc_gid=HM__j6W2vI9X4ogKNGdAlw&amp;edm=AFlAz-oBAAAA&amp;ccb=7-5&amp;oh=00_Afil0-KOiY6CFvUhNafyaTola1wQEYIn5M0zB-2ieQOLzw&amp;oe=69310082&amp;_nc_sid=76c0fc</t>
  </si>
  <si>
    <t>https://scontent.cdninstagram.com/v/t51.82787-15/558939780_17867278698460143_2479073363277710614_n.webp?_nc_cat=101&amp;ig_cache_key=MzczNjkxNjA2MzkzMTE0NzEyMw%3D%3D.3-ccb7-5&amp;ccb=7-5&amp;_nc_sid=58cdad&amp;efg=eyJ2ZW5jb2RlX3RhZyI6InhwaWRzLjE0NDB4MTQ0MC5zZHIuQzMifQ%3D%3D&amp;_nc_ohc=4M8-GlbAym0Q7kNvwGqjJqI&amp;_nc_oc=AdmhDDyvf89H7y1dXxTNjWGRtRRWnD98gKCuUcgBEKg18Qd6RWWeNEOHzv7joeEpsHLLPICva9BNeLJkz75dG8WF&amp;_nc_ad=z-m&amp;_nc_cid=0&amp;_nc_zt=23&amp;_nc_ht=scontent.cdninstagram.com&amp;_nc_gid=HM__j6W2vI9X4ogKNGdAlw&amp;oh=00_AfgaLXHim9ow8qQ21O0a4w11J5UaufpuVoI627rV9fR0iw&amp;oe=6930F8C0</t>
  </si>
  <si>
    <t>tdah,tdahadulto,neurodivergente,saudemental,psicanalise,psicologia,psiquiatria,santoantoniodaplatina</t>
  </si>
  <si>
    <t>DPjj9z0EYmp</t>
  </si>
  <si>
    <t>https://www.instagram.com/p/DPjj9z0EYmp</t>
  </si>
  <si>
    <t>🧠 Você sabia que esses sintomas também podem ser sinais de TDAH?
⠀
Quando se fala em TDAH, muita gente pensa só em desatenção e hiperatividade. Mas a verdade é que esse transtorno vai muito além!
⠀
💬 Sintomas como gastos exagerados, dificuldade em regular emoções, procrastinação frequente, pouca escuta e até autoimagem negativa também fazem parte da realidade de muitas pessoas com TDAH e quase ninguém fala sobre isso!
⠀
🔍 Entender os sintomas menos conhecidos é fundamental para um diagnóstico preciso e para acolher quem está ao nosso lado, lidando com esse desafio todos os dias.
⠀
Se você se identificou com algum desses sinais, saiba que não está sozinho(a).
⠀
📌 Salve esse post para lembrar e compartilhe com quem precisa saber disso.
Dra. Ana Paula de Morais Neto Silva
CRM-MG 81125
#psiquiatravarginha #psiquiatra #teleatendimentopsiquiatra #psiquiatrainfantil #clinicavarginha #psiquiatraautismo #psiquiatratdah
#TDAH #TDAHAdulto #Neurodivergente #SintomasTDAH #TDAHFeminino</t>
  </si>
  <si>
    <t>draanapaulamoraispsiq</t>
  </si>
  <si>
    <t>Dra. Ana Paula Morais Silva</t>
  </si>
  <si>
    <t>https://instagram.fcgh9-1.fna.fbcdn.net/v/t51.2885-19/449846230_1457759718438327_1889620430896043926_n.jpg?stp=dst-jpg_s150x150_tt6&amp;efg=eyJ2ZW5jb2RlX3RhZyI6InByb2ZpbGVfcGljLmRqYW5nby42ODguZXhwZXJpbWVudGFsIn0&amp;_nc_ht=instagram.fcgh9-1.fna.fbcdn.net&amp;_nc_cat=103&amp;_nc_oc=Q6cZ2QH3Kw-XPXi5D5c8GKw3H0Ru0_JkmpZiWOpo1xfW4PC72ZiO6jXlE0NvMTnnCQBu4w2_Bf0BJZwXazp7RiFAug52&amp;_nc_ohc=BE-07E8Q3K4Q7kNvwFS0wS7&amp;_nc_gid=HM__j6W2vI9X4ogKNGdAlw&amp;edm=AFlAz-oBAAAA&amp;ccb=7-5&amp;oh=00_AfgbMqNqGCbXM-rPy-KqYRsixx4hMK6ccEwf0MjhGbZtaw&amp;oe=6930E84E&amp;_nc_sid=76c0fc</t>
  </si>
  <si>
    <t>https://scontent.cdninstagram.com/v/t51.82787-15/561087159_18528620767060652_7647348723610481664_n.jpg?stp=dst-jpg_e35_tt6&amp;_nc_cat=107&amp;ig_cache_key=MzczODk5MDI5NDc5ODAxMDc5Mw%3D%3D.3-ccb7-5&amp;ccb=7-5&amp;_nc_sid=58cdad&amp;efg=eyJ2ZW5jb2RlX3RhZyI6InhwaWRzLjEzNDd4MTY3OS5zZHIuQzMifQ%3D%3D&amp;_nc_ohc=h63uWX5NNRAQ7kNvwHz4cmo&amp;_nc_oc=AdnCmeKrQNHu2mJ7fxb8dYlDP9_NYIMwvb4AXlFyJPEKXFuIN6lC5iB5jN7y3oHMVv3zNVygKV1CL6dj5cK1I3lN&amp;_nc_ad=z-m&amp;_nc_cid=0&amp;_nc_zt=23&amp;_nc_ht=scontent.cdninstagram.com&amp;_nc_gid=HM__j6W2vI9X4ogKNGdAlw&amp;oh=00_Afgtc3PnQ73FOXhRZcarUByFEtlSP8nAGvpc57l-EIy46A&amp;oe=6930FEA7</t>
  </si>
  <si>
    <t>psiquiatravarginha,psiquiatra,teleatendimentopsiquiatra,psiquiatrainfantil,clinicavarginha,psiquiatraautismo,psiquiatratdah,TDAH,TDAHAdulto,Neurodivergente,SintomasTDAH,TDAHFeminino</t>
  </si>
  <si>
    <t>Varginha</t>
  </si>
  <si>
    <t>-21.55,-45.4333</t>
  </si>
  <si>
    <t>DQIRqO4gCpy</t>
  </si>
  <si>
    <t>https://www.instagram.com/p/DQIRqO4gCpy</t>
  </si>
  <si>
    <t>TDAH silencioso: quando o corpo para, mas a mente não. 🧠
Nem todo TDAH é visível.
Enquanto por fora tudo parece calmo, por dentro há uma mente que não descansa — pensamentos acelerados, dificuldade de foco, e um constante esforço para manter o controle.
O TDAH silencioso é aquele que não grita, mas exaure.
É o cansaço de pensar demais, de tentar se organizar, de parecer “tranquilo” quando, na verdade, a cabeça está em movimento constante.
Cuidar é reconhecer que nem todo silêncio é sossego. É acolher, compreender e buscar apoio profissional. 💙
👉 Se identificou? Salve este post para refletir depois e compartilhe com quem também precisa entender o que é viver com o TDAH silencioso.
📩 Estou com a agenda aberta para novos atendimentos e avaliações de TDAH em crianças e adultos.
📲 Basta clicar no link da Bio ou pelo WhatsApp (55) 99687-4510.
#TDAH #TDAHinfantil #TDAHadulto #TDAHadolescente #TDAHsilencioso #saúdemental #neurodiversidade #neuropsicopedagogia #psicopedagogia</t>
  </si>
  <si>
    <t>https://instagram.fcgh9-1.fna.fbcdn.net/v/t51.2885-19/332994363_707471631055148_2966942488053252668_n.jpg?stp=dst-jpg_s150x150_tt6&amp;efg=eyJ2ZW5jb2RlX3RhZyI6InByb2ZpbGVfcGljLmRqYW5nby4xMDgwLmMyIn0&amp;_nc_ht=instagram.fcgh9-1.fna.fbcdn.net&amp;_nc_cat=108&amp;_nc_oc=Q6cZ2QES1rb80vf83f9RP8tHFfUYSDj7KG_tZ-6AyNwjOKRzNB8CS_iZb8lMD3s53wCsdokUCWor83epbCLE3KrOTyOL&amp;_nc_ohc=h3H69nEgtdUQ7kNvwGjAUaR&amp;_nc_gid=X0c6A6yxvy3D7-fJfMbGPg&amp;edm=AFlAz-oBAAAA&amp;ccb=7-5&amp;oh=00_AfiyKFr3CTOpMWP5GT4deHsAI8vd4y20FJ4m66qr-0vMeg&amp;oe=6931108B&amp;_nc_sid=76c0fc</t>
  </si>
  <si>
    <t>https://scontent.cdninstagram.com/v/t51.82787-15/568506370_18102574840643121_2261497438537295132_n.heic?stp=dst-jpg_e35_tt6&amp;_nc_cat=102&amp;ig_cache_key=Mzc0OTMyNDM1ODc3NDk1ODcwNg%3D%3D.3-ccb7-5&amp;ccb=7-5&amp;_nc_sid=58cdad&amp;efg=eyJ2ZW5jb2RlX3RhZyI6InhwaWRzLjExNTJ4MTQ0MC5zZHIuQzMifQ%3D%3D&amp;_nc_ohc=qR91rcPgcYIQ7kNvwGRhMc1&amp;_nc_oc=AdmW6uLe8cgceZBw3AYjbJS1k5Vhd5vhvb5ltSjuo6irdv6B1dCIv2UplLypHnunUj8iribNuODxuxk5zBe2_oo8&amp;_nc_ad=z-m&amp;_nc_cid=0&amp;_nc_zt=23&amp;_nc_ht=scontent.cdninstagram.com&amp;_nc_gid=X0c6A6yxvy3D7-fJfMbGPg&amp;oh=00_AfiXQxviTqk25FHtW0vNYT_2BAi38pSPSmrkq_42Xe691w&amp;oe=6930EED3</t>
  </si>
  <si>
    <t>TDAH,TDAHinfantil,TDAHadulto,TDAHadolescente,TDAHsilencioso,saúdemental,neurodiversidade,neuropsicopedagogia,psicopedagogia</t>
  </si>
  <si>
    <t>DRfXhUhAgiC</t>
  </si>
  <si>
    <t>https://www.instagram.com/p/DRfXhUhAgiC</t>
  </si>
  <si>
    <t>La parte más dura del TDAH adulto no es “prestar atención”.
Es sobrevivir a un sistema que solo te cree cuando estás en el suelo.
Cuando te mantienes de pie, todo el mundo decide que “no será para tanto”.
Funcionar no significa estar bien.
Funcionar, muchas veces, es pagar un precio que nadie ve:
bloqueos, saturación sensorial, olvidos que te rompen la autoestima, ansiedad por parecer “normal”, y un agotamiento que llevas tan integrado que ya ni sabes explicarlo.
Y cuando por fin te planteas pedir discapacidad, aparece la frase que más duele:
“Pero si tú puedes con todo”.
Pueden ver lo que haces.
No pueden ver lo que te cuesta, lo que te quema por dentro ni lo que te hunde después.
Este carrusel es para ti si has vivido esa contradicción constante:
sentirte demasiado capaz para que te crean y demasiado agotada para seguir como si nada.
Si alguna vez has dudado de ti porque tu mejor día tapa meses de desgaste.
Si has tenido miedo a pedir ayuda porque te educaron para “tirar pa’lante” aunque te estuvieras rompiendo.
El TDAH adulto es real.
La discapacidad invisible existe.
Y reconocerla no es rendirte: es dejar de luchar sola contra algo que nunca ha sido culpa tuya.
.
.
.
.
.
.
.
.
.
#tdahadulto #tdah #tdahmujeres #neurodivergente #neurodivergencia #discapacidadinvisible #saludmental #masking #burnoutneurodivergente #ansiedad #procesosensorial #funcionamiento #hiperfoco #adhd #tdahdescomplicado #rsd #trastornosdelneurodesarrollo #psicoeducación #burnout #sobreestimulación</t>
  </si>
  <si>
    <t>contigotdah</t>
  </si>
  <si>
    <t>Nerea Orduña | Divulgación y apoyo TDAH</t>
  </si>
  <si>
    <t>https://instagram.fcgh9-1.fna.fbcdn.net/v/t51.2885-19/563113056_17865996573468056_8686642306378961642_n.jpg?stp=dst-jpg_s150x150_tt6&amp;efg=eyJ2ZW5jb2RlX3RhZyI6InByb2ZpbGVfcGljLmRqYW5nby44NjMuYzIifQ&amp;_nc_ht=instagram.fcgh9-1.fna.fbcdn.net&amp;_nc_cat=108&amp;_nc_oc=Q6cZ2QHb88vMM4fBKuDr0UsicE_Qh5s3n5SgfNAXUjswCxYMuWJuu2eLN_3shP2mdx8VZgI8lU3saV1CiQeAB_Kltn6T&amp;_nc_ohc=HcZIKEF2bvAQ7kNvwFYvYCH&amp;_nc_gid=C_ammdqm8Cu-IAKn6A5oVw&amp;edm=AFlAz-oBAAAA&amp;ccb=7-5&amp;oh=00_AfgTcz0oOSKH3TdIRJQxBMwXRuGhX-5RGedsaRbgwruPwg&amp;oe=6930E9A6&amp;_nc_sid=76c0fc</t>
  </si>
  <si>
    <t>https://scontent.cdninstagram.com/v/t51.82787-15/587605340_17870880381468056_8147307663352461035_n.jpg?stp=dst-jpg_e35_tt6&amp;_nc_cat=104&amp;ig_cache_key=Mzc3MzgzODQzMDAwMjM5MTQxNQ%3D%3D.3-ccb7-5&amp;ccb=7-5&amp;_nc_sid=58cdad&amp;efg=eyJ2ZW5jb2RlX3RhZyI6InhwaWRzLjEwODB4MTM1MC5zZHIuQzMifQ%3D%3D&amp;_nc_ohc=iUtQJvAKdD4Q7kNvwEcatOu&amp;_nc_oc=Admh8-7W7I3BJPPwdfH5a9KGd8I41nzQajwusVcukqS11gkJgZpCnUH7KiF0d--bOo3O9erYeH7kqQoY-DabUJ3K&amp;_nc_ad=z-m&amp;_nc_cid=0&amp;_nc_zt=23&amp;_nc_ht=scontent.cdninstagram.com&amp;_nc_gid=C_ammdqm8Cu-IAKn6A5oVw&amp;oh=00_AfiqLpKIjScfQ7aUEfpSBm_HuU7YDJv7TOOsSw1GBoFIrA&amp;oe=6930EB49,https://scontent.cdninstagram.com/v/t51.82787-15/584402541_17870880399468056_1491853289100029920_n.jpg?stp=dst-jpg_e35_tt6&amp;_nc_cat=108&amp;ig_cache_key=Mzc3MzgzODQzMDAwMjQwMzI1MA%3D%3D.3-ccb7-5&amp;ccb=7-5&amp;_nc_sid=58cdad&amp;efg=eyJ2ZW5jb2RlX3RhZyI6InhwaWRzLjEwODB4MTM1MC5zZHIuQzMifQ%3D%3D&amp;_nc_ohc=fCENm91uKHYQ7kNvwGbgltP&amp;_nc_oc=Adm5KzgRsvL7JqJ2R2JzVZ_30zu_132YpQbn_2HJF8aOES5ol63JWCLrnadHWwkhoyf1txoC83phvPXEs0AqNxqx&amp;_nc_ad=z-m&amp;_nc_cid=0&amp;_nc_zt=23&amp;_nc_ht=scontent.cdninstagram.com&amp;_nc_gid=C_ammdqm8Cu-IAKn6A5oVw&amp;oh=00_Afhf9jT0zc2j-SDiOMSlcUzYjBOdnCU6Z8-7TvvwzznIkw&amp;oe=6930F460,https://scontent.cdninstagram.com/v/t51.82787-15/587278260_17870880396468056_7495861403203097079_n.jpg?stp=dst-jpg_e35_tt6&amp;_nc_cat=101&amp;ig_cache_key=Mzc3MzgzODQyOTk4NTYxMTA1Mw%3D%3D.3-ccb7-5&amp;ccb=7-5&amp;_nc_sid=58cdad&amp;efg=eyJ2ZW5jb2RlX3RhZyI6InhwaWRzLjEwODB4MTM1MC5zZHIuQzMifQ%3D%3D&amp;_nc_ohc=8aQdEOjczc0Q7kNvwHRQvzU&amp;_nc_oc=AdnFX686E0Q_SaOImOnbyuZ6hD4F9fJznEyNd8R3qRZfHYyb-kgyxm_nPGXk_jgntkxsU7y7wnbxd1boBk2fjMEu&amp;_nc_ad=z-m&amp;_nc_cid=0&amp;_nc_zt=23&amp;_nc_ht=scontent.cdninstagram.com&amp;_nc_gid=C_ammdqm8Cu-IAKn6A5oVw&amp;oh=00_AfiwVEIztFG5-hH3M6T_5X6elypm_O51sEcIInnf7uIggw&amp;oe=6931097C,https://scontent.cdninstagram.com/v/t51.82787-15/586680487_17870880417468056_1869023125181819074_n.jpg?stp=dst-jpg_e35_tt6&amp;_nc_cat=110&amp;ig_cache_key=Mzc3MzgzODQyOTk5NDAyMzQ4Nw%3D%3D.3-ccb7-5&amp;ccb=7-5&amp;_nc_sid=58cdad&amp;efg=eyJ2ZW5jb2RlX3RhZyI6InhwaWRzLjEwODB4MTM1MC5zZHIuQzMifQ%3D%3D&amp;_nc_ohc=8Yj0gG1-0poQ7kNvwE-MnjF&amp;_nc_oc=AdlfMFGWMr_uhfFn2iu0Nmz_EXpA4qWzrI_WnrMeRjHGGf4mLSiGf8XtoUd43Hgz8JZKvD1JC9dUTf8OLDJxM_Vm&amp;_nc_ad=z-m&amp;_nc_cid=0&amp;_nc_zt=23&amp;_nc_ht=scontent.cdninstagram.com&amp;_nc_gid=C_ammdqm8Cu-IAKn6A5oVw&amp;oh=00_AfjiDHXyF_Fd2TCNcYd_sFJzrXyVK7iuEqMfB8S7pXfeWw&amp;oe=69310544,https://scontent.cdninstagram.com/v/t51.82787-15/589906159_17870880408468056_4418656392788549055_n.jpg?stp=dst-jpg_e35_tt6&amp;_nc_cat=111&amp;ig_cache_key=Mzc3MzgzODQzMDAwMjQwNzIyNQ%3D%3D.3-ccb7-5&amp;ccb=7-5&amp;_nc_sid=58cdad&amp;efg=eyJ2ZW5jb2RlX3RhZyI6InhwaWRzLjEwODB4MTM1MC5zZHIuQzMifQ%3D%3D&amp;_nc_ohc=dv-IBwKadDgQ7kNvwHwV-IL&amp;_nc_oc=AdlxUkV741I0iHrBOO1uxWDvJ0xQcvxm2sXRtdG4r5O9X8WuBiho5ccy30XRKnUXo5LfK46UBKX1dfjR_Dmeh8WZ&amp;_nc_ad=z-m&amp;_nc_cid=0&amp;_nc_zt=23&amp;_nc_ht=scontent.cdninstagram.com&amp;_nc_gid=C_ammdqm8Cu-IAKn6A5oVw&amp;oh=00_AfgRwmN76MEgyzWmsI5ejldSsZKPtfY3ojQWJ59n6eo0Pw&amp;oe=6930E421,https://scontent.cdninstagram.com/v/t51.82787-15/587824919_17870880435468056_1835212249130682293_n.jpg?stp=dst-jpg_e35_tt6&amp;_nc_cat=107&amp;ig_cache_key=Mzc3MzgzODQzMDAwMjQwOTA4MA%3D%3D.3-ccb7-5&amp;ccb=7-5&amp;_nc_sid=58cdad&amp;efg=eyJ2ZW5jb2RlX3RhZyI6InhwaWRzLjEwODB4MTM1MC5zZHIuQzMifQ%3D%3D&amp;_nc_ohc=ezwBEOFyYMwQ7kNvwHoU8c0&amp;_nc_oc=Adle2gAlyrSmNvDnlbJ8Xr2talrd2H9wOLb9HuH9uuBEC0uc8V-zCrF2IQM9dKuaUc0CE_MIOeVtv3JSdky2hIeH&amp;_nc_ad=z-m&amp;_nc_cid=0&amp;_nc_zt=23&amp;_nc_ht=scontent.cdninstagram.com&amp;_nc_gid=C_ammdqm8Cu-IAKn6A5oVw&amp;oh=00_Afh4xBUU2VXFdqGrCOb3OVghx9hdEChsaIDt1zR40GbnGw&amp;oe=6930DF54,https://scontent.cdninstagram.com/v/t51.82787-15/584079376_17870880450468056_8013557156556969124_n.jpg?stp=dst-jpg_e35_tt6&amp;_nc_cat=107&amp;ig_cache_key=Mzc3MzgzODQyOTk5Mzk3ODIwMQ%3D%3D.3-ccb7-5&amp;ccb=7-5&amp;_nc_sid=58cdad&amp;efg=eyJ2ZW5jb2RlX3RhZyI6InhwaWRzLjEwODB4MTM1MC5zZHIuQzMifQ%3D%3D&amp;_nc_ohc=GC05cjyKm-4Q7kNvwF2lkwq&amp;_nc_oc=Adk6LxXqFOPSE3RNsYD8ilSLIIRWUqo6tLCCvZsc7fHvg6oE2YoOk_YJXS_b3rxihEDDmxJf00ydW_l7YJsZNN4m&amp;_nc_ad=z-m&amp;_nc_cid=0&amp;_nc_zt=23&amp;_nc_ht=scontent.cdninstagram.com&amp;_nc_gid=C_ammdqm8Cu-IAKn6A5oVw&amp;oh=00_AfixJD9lvCEqFdK9kYsKd97P2XNIZUNaIGeq2rKL8aKeYQ&amp;oe=6930E223,https://scontent.cdninstagram.com/v/t51.82787-15/587271482_17870880432468056_2190706711185003760_n.jpg?stp=dst-jpg_e35_tt6&amp;_nc_cat=106&amp;ig_cache_key=Mzc3MzgzODQzMDAxMDc1MTkxNA%3D%3D.3-ccb7-5&amp;ccb=7-5&amp;_nc_sid=58cdad&amp;efg=eyJ2ZW5jb2RlX3RhZyI6InhwaWRzLjEwODB4MTM1MC5zZHIuQzMifQ%3D%3D&amp;_nc_ohc=Z2ItWKbz9VsQ7kNvwEPPdJc&amp;_nc_oc=AdlAYkqFWjRMR71yoTBDAKuAoSu9dtAZYvEPFCsPrE2Dk-qA_l-KjWXFG2R78g83u0Sv7viIOGRYahZvOnxKvgW3&amp;_nc_ad=z-m&amp;_nc_cid=0&amp;_nc_zt=23&amp;_nc_ht=scontent.cdninstagram.com&amp;_nc_gid=C_ammdqm8Cu-IAKn6A5oVw&amp;oh=00_AfiMflzJLRr1rAsqHIVCI5BKCLRXXApCA_4CLbDzBVTabg&amp;oe=6931134E,https://scontent.cdninstagram.com/v/t51.82787-15/585534345_17870880459468056_8594416715602799513_n.jpg?stp=dst-jpg_e35_tt6&amp;_nc_cat=100&amp;ig_cache_key=Mzc3MzgzODQzMDAwMjM4NzMxMw%3D%3D.3-ccb7-5&amp;ccb=7-5&amp;_nc_sid=58cdad&amp;efg=eyJ2ZW5jb2RlX3RhZyI6InhwaWRzLjEwODB4MTM1MC5zZHIuQzMifQ%3D%3D&amp;_nc_ohc=EcTYV1YmIVoQ7kNvwElkY4V&amp;_nc_oc=AdkrpJsYZgWNFXw7iT1SIESFFuf9NgabIoUwmbqDPYE_FNbHn8TzB8UmLO1k74VX94PJ8znqFjCRlhJKme7v98g-&amp;_nc_ad=z-m&amp;_nc_cid=0&amp;_nc_zt=23&amp;_nc_ht=scontent.cdninstagram.com&amp;_nc_gid=C_ammdqm8Cu-IAKn6A5oVw&amp;oh=00_Afj_OXhvo3B_1ufNhXOtYAOElFjUSPZx9f1-BPEcD8sLOw&amp;oe=6930F8CE,https://scontent.cdninstagram.com/v/t51.82787-15/584398721_17870880462468056_70216035394769136_n.jpg?stp=dst-jpg_e35_tt6&amp;_nc_cat=111&amp;ig_cache_key=Mzc3MzgzODQzMDA1Mjc0MTg3NA%3D%3D.3-ccb7-5&amp;ccb=7-5&amp;_nc_sid=58cdad&amp;efg=eyJ2ZW5jb2RlX3RhZyI6InhwaWRzLjEwODB4MTM1MC5zZHIuQzMifQ%3D%3D&amp;_nc_ohc=oZhY82r22ukQ7kNvwF0Ufbp&amp;_nc_oc=AdkfsTXsh3394xfgz7a_XSP2TiIWxh6tyc6pSTAbM97SaMNChNMldBDuEyCcg2c4Jwi5OJ4GiNZe4DdiZZhoH5i8&amp;_nc_ad=z-m&amp;_nc_cid=0&amp;_nc_zt=23&amp;_nc_ht=scontent.cdninstagram.com&amp;_nc_gid=C_ammdqm8Cu-IAKn6A5oVw&amp;oh=00_AfiwsYfvlsjMO6KHp6-HVjd-UuYGzp6oI1UUS0BEbcYzxw&amp;oe=6930E561,https://scontent.cdninstagram.com/v/t51.82787-15/587794173_17870880474468056_5618869307589877394_n.jpg?stp=dst-jpg_e35_tt6&amp;_nc_cat=104&amp;ig_cache_key=Mzc3MzgzODQzMDA1MjczNjMxNA%3D%3D.3-ccb7-5&amp;ccb=7-5&amp;_nc_sid=58cdad&amp;efg=eyJ2ZW5jb2RlX3RhZyI6InhwaWRzLjEwODB4MTM1MC5zZHIuQzMifQ%3D%3D&amp;_nc_ohc=zeCG7NOKn1YQ7kNvwFrBszd&amp;_nc_oc=Adm7GcmRq3tctY02TkBl8bexu_psVvg-OS8VC1f3qFvkv3FEnAEoBLWrusBnkgmttHFmRPvBY4U5lneVOLfVEd_T&amp;_nc_ad=z-m&amp;_nc_cid=0&amp;_nc_zt=23&amp;_nc_ht=scontent.cdninstagram.com&amp;_nc_gid=C_ammdqm8Cu-IAKn6A5oVw&amp;oh=00_Afj5G9qAEZrFrBmbRD-_lNqStVdgbhBHtXwAp21gMJyKZg&amp;oe=6931120D,https://scontent.cdninstagram.com/v/t51.82787-15/585014551_17870880498468056_8708565578547841966_n.jpg?stp=dst-jpg_e35_tt6&amp;_nc_cat=101&amp;ig_cache_key=Mzc3MzgzODQyOTk5Mzk4NzYzOQ%3D%3D.3-ccb7-5&amp;ccb=7-5&amp;_nc_sid=58cdad&amp;efg=eyJ2ZW5jb2RlX3RhZyI6InhwaWRzLjEwODB4MTM1MC5zZHIuQzMifQ%3D%3D&amp;_nc_ohc=lZ0PGwSRSnoQ7kNvwHmQJms&amp;_nc_oc=AdnIhXIBZNIKptGyHnsCRy0xb8_ILRAJj6P3CELa035bFru8TZpJUZ5af1-9yKlKI9DTLvRzw4V9K698rB8bo5cg&amp;_nc_ad=z-m&amp;_nc_cid=0&amp;_nc_zt=23&amp;_nc_ht=scontent.cdninstagram.com&amp;_nc_gid=C_ammdqm8Cu-IAKn6A5oVw&amp;oh=00_AfhO3JCNIDBZsULVFgMHl9tLAqAryH9lEeTUNrFMKxclVg&amp;oe=6930FBEC,https://scontent.cdninstagram.com/v/t51.82787-15/586701521_17870880489468056_2367832873413928947_n.jpg?stp=dst-jpg_e35_tt6&amp;_nc_cat=107&amp;ig_cache_key=Mzc3MzgzODQzMDAwMjM1MjExOA%3D%3D.3-ccb7-5&amp;ccb=7-5&amp;_nc_sid=58cdad&amp;efg=eyJ2ZW5jb2RlX3RhZyI6InhwaWRzLjEwODB4MTM1MC5zZHIuQzMifQ%3D%3D&amp;_nc_ohc=Y_Fis2lBOvgQ7kNvwEMBo09&amp;_nc_oc=Adl8SEKeUhtCIrd4tOY_qJoQM6AFQvmV29uScPTVrB1HGu5aumv7ZrztpZKBU5vgvgyeNDnXPD9NOp9PMRq39Gb_&amp;_nc_ad=z-m&amp;_nc_cid=0&amp;_nc_zt=23&amp;_nc_ht=scontent.cdninstagram.com&amp;_nc_gid=C_ammdqm8Cu-IAKn6A5oVw&amp;oh=00_AfgyADYA0mU8ajITX3Fmtj6R3AVIThFvlppTpxWCtSfjWQ&amp;oe=69310A6B,https://scontent.cdninstagram.com/v/t51.82787-15/586647219_17870880501468056_7563856008034680027_n.jpg?stp=dst-jpg_e35_tt6&amp;_nc_cat=102&amp;ig_cache_key=Mzc3MzgzODQzMDAwMjQwOTQ2NA%3D%3D.3-ccb7-5&amp;ccb=7-5&amp;_nc_sid=58cdad&amp;efg=eyJ2ZW5jb2RlX3RhZyI6InhwaWRzLjEwODB4MTM1MC5zZHIuQzMifQ%3D%3D&amp;_nc_ohc=TXpG5QM0IWkQ7kNvwHTCSCR&amp;_nc_oc=AdmOrN0LnW9dTMY6Lc0Ixaz7gkGhzv-KxBTME_jPcJSNE7c5Uq38qt3rgcJ2QlehgHdHv1Uj6jJymp2KDNHohQjm&amp;_nc_ad=z-m&amp;_nc_cid=0&amp;_nc_zt=23&amp;_nc_ht=scontent.cdninstagram.com&amp;_nc_gid=C_ammdqm8Cu-IAKn6A5oVw&amp;oh=00_AfgkuDpB0zGZZMh_2Lr58RsUG62C9vaa16JD4f46wwWftw&amp;oe=6930F5B8,https://scontent.cdninstagram.com/v/t51.82787-15/584376742_17870880513468056_588375373467375652_n.jpg?stp=dst-jpg_e35_tt6&amp;_nc_cat=102&amp;ig_cache_key=Mzc3MzgzODQyOTk5Mzk4OTMzOQ%3D%3D.3-ccb7-5&amp;ccb=7-5&amp;_nc_sid=58cdad&amp;efg=eyJ2ZW5jb2RlX3RhZyI6InhwaWRzLjEwODB4MTM1MC5zZHIuQzMifQ%3D%3D&amp;_nc_ohc=cMTKShAakl0Q7kNvwFCqEce&amp;_nc_oc=Adnq5LzDIJOfzAUdMNz4TTCToFjCoudM3VOA3d5q4BAIpnDkWEltWPOwBYSirxZYnr-Y8IlX1gww8JwoJ7I7kAm2&amp;_nc_ad=z-m&amp;_nc_cid=0&amp;_nc_zt=23&amp;_nc_ht=scontent.cdninstagram.com&amp;_nc_gid=C_ammdqm8Cu-IAKn6A5oVw&amp;oh=00_AfgxCxEvsGYGWknIA1lOl5CW8PsWBMGXruUI8pZ7f2BKsg&amp;oe=6930F6A2</t>
  </si>
  <si>
    <t>tdahadulto,tdah,tdahmujeres,neurodivergente,neurodivergencia,discapacidadinvisible,saludmental,masking,burnoutneurodivergente,ansiedad,procesosensorial,funcionamiento,hiperfoco,adhd,tdahdescomplicado,rsd,trastornosdelneurodesarrollo,psicoeducación,burnout,sobreestimulación</t>
  </si>
  <si>
    <t>https://instagram.fcgh9-1.fna.fbcdn.net/v/t51.2885-19/454655817_415212718224218_4878863477330946250_n.jpg?stp=dst-jpg_s150x150_tt6&amp;efg=eyJ2ZW5jb2RlX3RhZyI6InByb2ZpbGVfcGljLmRqYW5nby4xMDQwLmMyIn0&amp;_nc_ht=instagram.fcgh9-1.fna.fbcdn.net&amp;_nc_cat=102&amp;_nc_oc=Q6cZ2QERNEnoMuVXC32T1GZhx1obJN6hyWG_t0Ip5ge_-avQ39NpfyF5_AM5sLTd-0gp5kIBcGpBDsiYsxipArnUeaoN&amp;_nc_ohc=vvePLaUBoRUQ7kNvwHqfw3E&amp;_nc_gid=TBhjQ1j_IHNAbSCjJ_z1tA&amp;edm=AFlAz-oBAAAA&amp;ccb=7-5&amp;oh=00_Afgp9XOFV96HaKd0okv8qbqvIs9NDRWg3X4hwyaS-5_3bw&amp;oe=69324C80&amp;_nc_sid=76c0fc</t>
  </si>
  <si>
    <t>https://scontent.cdninstagram.com/v/t51.82787-15/542873741_18090488416767674_121150723601224541_n.heic?stp=dst-jpg_e35_tt6&amp;_nc_cat=104&amp;ig_cache_key=MzcxMjMzNTc4MDk4NDU5OTk4Mw%3D%3D.3-ccb7-5&amp;ccb=7-5&amp;_nc_sid=58cdad&amp;efg=eyJ2ZW5jb2RlX3RhZyI6InhwaWRzLjE0NDB4MTgwMC5zZHIuQzMifQ%3D%3D&amp;_nc_ohc=8m_hxNRbuKIQ7kNvwGxfDd_&amp;_nc_oc=AdnXAyC_BuXyBWzhXuP4HNAMS-t-ScxxTjMtQGPDpkoARSSwFZNczUfoBymWZkY8fKcHzdjXUqFt7CbS4kzCtwuP&amp;_nc_ad=z-m&amp;_nc_cid=0&amp;_nc_zt=23&amp;_nc_ht=scontent.cdninstagram.com&amp;_nc_gid=TBhjQ1j_IHNAbSCjJ_z1tA&amp;oh=00_AfjkSdfCWRyVs_ET-3Ucq8fymHEiR5VKbeLCmm257s7b_w&amp;oe=693230D5,https://scontent.cdninstagram.com/v/t51.82787-15/541741254_18090488425767674_3918248093337623856_n.heic?stp=dst-jpg_e35_tt6&amp;_nc_cat=110&amp;ig_cache_key=MzcxMjMzNTc4MDg4MzkyNDU4NA%3D%3D.3-ccb7-5&amp;ccb=7-5&amp;_nc_sid=58cdad&amp;efg=eyJ2ZW5jb2RlX3RhZyI6InhwaWRzLjE0NDB4MTgwMC5zZHIuQzMifQ%3D%3D&amp;_nc_ohc=FQAdVKX5YW4Q7kNvwHd_5dF&amp;_nc_oc=AdnasBXA2jgY94R2a2tOOkR4gb5Z8Ywjq5cKyswlrLrZ_WQ2jVU6o8cHCVgV_hde7ddjELWcctM_q-xnSDwC9JB5&amp;_nc_ad=z-m&amp;_nc_cid=0&amp;_nc_zt=23&amp;_nc_ht=scontent.cdninstagram.com&amp;_nc_gid=TBhjQ1j_IHNAbSCjJ_z1tA&amp;oh=00_AfiXoM8p6IvxCsDdS0iWyb80djlzBPWQQOSUehAJmdXMVQ&amp;oe=693229BE,https://scontent.cdninstagram.com/v/t51.82787-15/541539461_18090488434767674_1886286510236359933_n.heic?stp=dst-jpg_e35_tt6&amp;_nc_cat=110&amp;ig_cache_key=MzcxMjMzNTc4MTA2MDEyODUzMQ%3D%3D.3-ccb7-5&amp;ccb=7-5&amp;_nc_sid=58cdad&amp;efg=eyJ2ZW5jb2RlX3RhZyI6InhwaWRzLjE0NDB4MTgwMC5zZHIuQzMifQ%3D%3D&amp;_nc_ohc=nnjdTUwMMsIQ7kNvwFHmA98&amp;_nc_oc=Adk1-_3pCv1hG1nhEpx5FC6Omo-k2pcNqkvyhyyVh-0lTmOCd7zDsqc5cgU0jgLmdVHXfOxT5poit6iICrNL9h3T&amp;_nc_ad=z-m&amp;_nc_cid=0&amp;_nc_zt=23&amp;_nc_ht=scontent.cdninstagram.com&amp;_nc_gid=TBhjQ1j_IHNAbSCjJ_z1tA&amp;oh=00_AfhdgaxYBSiqZwDfixD6JWGQxZHJ2faLnJm7G1auOUuBAg&amp;oe=69324206,https://scontent.cdninstagram.com/v/t51.82787-15/542285015_18090488443767674_1042746226414584739_n.heic?stp=dst-jpg_e35_tt6&amp;_nc_cat=102&amp;ig_cache_key=MzcxMjMzNTc4MDk5Mjk4MzY3MQ%3D%3D.3-ccb7-5&amp;ccb=7-5&amp;_nc_sid=58cdad&amp;efg=eyJ2ZW5jb2RlX3RhZyI6InhwaWRzLjE0NDB4MTgwMC5zZHIuQzMifQ%3D%3D&amp;_nc_ohc=8ffK_uTSV3wQ7kNvwGT_F_7&amp;_nc_oc=Admcsj5ZkWtiIWmKhYEIqFdZOIwDRxW04DUDPDjuwH5UHjAFh_739dwSEIg0-yw9sDnCuz9NYWM62r8YG_KWgliS&amp;_nc_ad=z-m&amp;_nc_cid=0&amp;_nc_zt=23&amp;_nc_ht=scontent.cdninstagram.com&amp;_nc_gid=TBhjQ1j_IHNAbSCjJ_z1tA&amp;oh=00_Afjq681zLxtoCeMRKkhP4wLJl9aYA36kZiHjsd31Wxrj0w&amp;oe=69324326,https://scontent.cdninstagram.com/v/t51.82787-15/540741462_18090488452767674_6734782182454119484_n.heic?stp=dst-jpg_e35_tt6&amp;_nc_cat=103&amp;ig_cache_key=MzcxMjMzNTc4MDg3NTU1NzI5Mg%3D%3D.3-ccb7-5&amp;ccb=7-5&amp;_nc_sid=58cdad&amp;efg=eyJ2ZW5jb2RlX3RhZyI6InhwaWRzLjE0NDB4MTgwMC5zZHIuQzMifQ%3D%3D&amp;_nc_ohc=UJN-J2J_NiYQ7kNvwGa0E6K&amp;_nc_oc=Adlv9Ak7G4XmeYww28ZT2-Nb89-eppTY6_ebPgxjjgSM68w6jQPVEtgNe_zRIJSpm1YaOixvM7Vm5DprmP0W3dtC&amp;_nc_ad=z-m&amp;_nc_cid=0&amp;_nc_zt=23&amp;_nc_ht=scontent.cdninstagram.com&amp;_nc_gid=TBhjQ1j_IHNAbSCjJ_z1tA&amp;oh=00_AfgT_y7C55soUw119Fj6-q1r2Qjdnw2kXs7zNX6eEeVFUw&amp;oe=693241FB,https://scontent.cdninstagram.com/v/t51.82787-15/542809414_18090488464767674_1083972072600888557_n.heic?stp=dst-jpg_e35_tt6&amp;_nc_cat=106&amp;ig_cache_key=MzcxMjMzNTc4MDg3NTU5MjIzMw%3D%3D.3-ccb7-5&amp;ccb=7-5&amp;_nc_sid=58cdad&amp;efg=eyJ2ZW5jb2RlX3RhZyI6InhwaWRzLjE0NDB4MTgwMC5zZHIuQzMifQ%3D%3D&amp;_nc_ohc=U9zGY9zE7iUQ7kNvwFpnons&amp;_nc_oc=AdknzBxttqNnrUAybxbgdK66Acoo8gDW45Tbfin1rID1UcV2iJBBD-GAMJ6AAjOhJKk38PjomkewY1WK1TG6-RMx&amp;_nc_ad=z-m&amp;_nc_cid=0&amp;_nc_zt=23&amp;_nc_ht=scontent.cdninstagram.com&amp;_nc_gid=TBhjQ1j_IHNAbSCjJ_z1tA&amp;oh=00_Afij9GeILOnfdy_sb-OeKwnhm5HCpy3fEk40Eu11oBOJwg&amp;oe=69324DCB,https://scontent.cdninstagram.com/v/t51.82787-15/541029226_18090488473767674_6246711926379289238_n.heic?stp=dst-jpg_e35_tt6&amp;_nc_cat=102&amp;ig_cache_key=MzcxMjMzNTc4MDk5MzAzMzUzMw%3D%3D.3-ccb7-5&amp;ccb=7-5&amp;_nc_sid=58cdad&amp;efg=eyJ2ZW5jb2RlX3RhZyI6InhwaWRzLjE0NDB4MTgwMC5zZHIuQzMifQ%3D%3D&amp;_nc_ohc=16YpRbILficQ7kNvwGr-rNv&amp;_nc_oc=AdkkK8ONI9EIu9tuKC4afFEptimniBnJkWJgSJ-MN6RJU9mm291FaHcl39mulGPLwBT-KGaSw6ULSBW_p3ckRkjC&amp;_nc_ad=z-m&amp;_nc_cid=0&amp;_nc_zt=23&amp;_nc_ht=scontent.cdninstagram.com&amp;_nc_gid=TBhjQ1j_IHNAbSCjJ_z1tA&amp;oh=00_AfgXSF91CwToRpmkvuNQ9UnNJIESmtJEePYCznt0_20RXg&amp;oe=69321A7A,https://scontent.cdninstagram.com/v/t51.82787-15/540428399_18090488482767674_8491712421079309999_n.heic?stp=dst-jpg_e35_tt6&amp;_nc_cat=111&amp;ig_cache_key=MzcxMjMzNTc4MTA2MDEwNTUyMQ%3D%3D.3-ccb7-5&amp;ccb=7-5&amp;_nc_sid=58cdad&amp;efg=eyJ2ZW5jb2RlX3RhZyI6InhwaWRzLjE0NDB4MTgwMC5zZHIuQzMifQ%3D%3D&amp;_nc_ohc=q00KDRuOVHwQ7kNvwG2Pc3k&amp;_nc_oc=Adkld16bJQHpCQwd8gKWSoyezsS4ztQhxSvLu_izpBU6ZXkeDd9pLb8pruMI_Totz7NiOEMibIXT8smxgwe298ws&amp;_nc_ad=z-m&amp;_nc_cid=0&amp;_nc_zt=23&amp;_nc_ht=scontent.cdninstagram.com&amp;_nc_gid=TBhjQ1j_IHNAbSCjJ_z1tA&amp;oh=00_AfhkRnzmjOYNvx1UTHSTs0SI8Ui4tMgnjTfbl3v8VoRbxw&amp;oe=6932381A</t>
  </si>
  <si>
    <t>https://instagram.fcgh9-1.fna.fbcdn.net/v/t51.2885-19/556796088_17965445144963777_7387558014503794404_n.jpg?stp=dst-jpg_s150x150_tt6&amp;efg=eyJ2ZW5jb2RlX3RhZyI6InByb2ZpbGVfcGljLmRqYW5nby4xMDI0LmMyIn0&amp;_nc_ht=instagram.fcgh9-1.fna.fbcdn.net&amp;_nc_cat=105&amp;_nc_oc=Q6cZ2QERNEnoMuVXC32T1GZhx1obJN6hyWG_t0Ip5ge_-avQ39NpfyF5_AM5sLTd-0gp5kIBcGpBDsiYsxipArnUeaoN&amp;_nc_ohc=U5ynRcfZGzEQ7kNvwGF7owQ&amp;_nc_gid=TBhjQ1j_IHNAbSCjJ_z1tA&amp;edm=AFlAz-oBAAAA&amp;ccb=7-5&amp;oh=00_Afg8NmnHZ7a9aVvO1-Zj5o6d_n09RbOL_39urZJCYpvtug&amp;oe=69322B5C&amp;_nc_sid=76c0fc</t>
  </si>
  <si>
    <t>https://scontent.cdninstagram.com/v/t39.30808-6/514261286_122170840460477299_3820653014859878581_n.jpg?stp=dst-jpg_e35_tt6&amp;_nc_cat=105&amp;ig_cache_key=MzcyMTA1NTYwODUxNjIwNzM1NA%3D%3D.3-ccb7-5&amp;ccb=7-5&amp;_nc_sid=58cdad&amp;efg=eyJ2ZW5jb2RlX3RhZyI6InhwaWRzLjEwODB4MTM1MC5zZHIuQzMifQ%3D%3D&amp;_nc_ohc=msK1xK0hAQMQ7kNvwGafck1&amp;_nc_oc=Admq3Y3w8UN0P-7NCMi10ufnG711008fI5WIWindy_SNulUDcg4kmMGSlX0X0TGwOquf8p0Dyn_CM2VLJkWOzh2f&amp;_nc_ad=z-m&amp;_nc_cid=0&amp;_nc_zt=23&amp;_nc_ht=scontent.cdninstagram.com&amp;_nc_gid=TBhjQ1j_IHNAbSCjJ_z1tA&amp;oh=00_AfiOWTO8kJ5nfpOVefHjXrGm4odfh-UYhwllnxohhwecAg&amp;oe=693236FB,https://scontent.cdninstagram.com/v/t39.30808-6/547314614_122170840520477299_7775916126063918697_n.jpg?stp=dst-jpg_e35_tt6&amp;_nc_cat=108&amp;ig_cache_key=MzcyMTA1NTYwOTczMjU0NDg3NQ%3D%3D.3-ccb7-5&amp;ccb=7-5&amp;_nc_sid=58cdad&amp;efg=eyJ2ZW5jb2RlX3RhZyI6InhwaWRzLjEwODB4MTM1MC5zZHIuQzMifQ%3D%3D&amp;_nc_ohc=LDTVhwdZarMQ7kNvwG-7GUv&amp;_nc_oc=AdnH_hqgyzuHtlevh2c2AIaJ7-_zKyfVAMDBPmXhYzazHv0RjEpNUAa-tCBttH5WHJb4_ls-bwWfsPr9SU4Hq42a&amp;_nc_ad=z-m&amp;_nc_cid=0&amp;_nc_zt=23&amp;_nc_ht=scontent.cdninstagram.com&amp;_nc_gid=TBhjQ1j_IHNAbSCjJ_z1tA&amp;oh=00_AfgjgRx1o5o7gcvrnztE-6mTq6M1d5e79UqdJxt392t8Sw&amp;oe=69322174,https://scontent.cdninstagram.com/v/t39.30808-6/546407763_122170840580477299_2569038701744941005_n.jpg?stp=dst-jpg_e35_tt6&amp;_nc_cat=104&amp;ig_cache_key=MzcyMTA1NTYwODQwNzE1MjUwNQ%3D%3D.3-ccb7-5&amp;ccb=7-5&amp;_nc_sid=58cdad&amp;efg=eyJ2ZW5jb2RlX3RhZyI6InhwaWRzLjEwODB4MTM1MC5zZHIuQzMifQ%3D%3D&amp;_nc_ohc=-b1bUWEi_XQQ7kNvwEqLxx2&amp;_nc_oc=AdlKC25LfCGfAvC-u0WtZpa76xPUcRE25OrFrUXrQSGlofKioxbkXXLh5lIdi4B0Z8mcU-DMYVb1T9k_NjJGp6nM&amp;_nc_ad=z-m&amp;_nc_cid=0&amp;_nc_zt=23&amp;_nc_ht=scontent.cdninstagram.com&amp;_nc_gid=TBhjQ1j_IHNAbSCjJ_z1tA&amp;oh=00_AfhJJv-TZuq8JHHdOGvPiJHgfhPSmqpPH9Qo-WWqQJe49g&amp;oe=69322E07,https://scontent.cdninstagram.com/v/t39.30808-6/514272743_122170840622477299_6842484270116754867_n.jpg?stp=dst-jpg_e35_tt6&amp;_nc_cat=103&amp;ig_cache_key=MzcyMTA1NTYwODU2NjU3ODgzNA%3D%3D.3-ccb7-5&amp;ccb=7-5&amp;_nc_sid=58cdad&amp;efg=eyJ2ZW5jb2RlX3RhZyI6InhwaWRzLjEwODB4MTM1MC5zZHIuQzMifQ%3D%3D&amp;_nc_ohc=ivNL6umM_dEQ7kNvwHC2v4t&amp;_nc_oc=AdkFqdTmdLKgVlsBE-bJxRD0yUy5xdQGVAge6nMLgvdJ3bBwWGkBszpgn2-QX9toRj7g5ZtVF3nwpakspF_rWxUZ&amp;_nc_ad=z-m&amp;_nc_cid=0&amp;_nc_zt=23&amp;_nc_ht=scontent.cdninstagram.com&amp;_nc_gid=TBhjQ1j_IHNAbSCjJ_z1tA&amp;oh=00_AfjIFRvtw9VEgcH7Ug2XZlYC9cSVsrqj0sgpYWd-Nv6_mw&amp;oe=69322AE6,https://scontent.cdninstagram.com/v/t39.30808-6/547336143_122170840694477299_2627312663035913864_n.jpg?stp=dst-jpg_e35_tt6&amp;_nc_cat=104&amp;ig_cache_key=MzcyMTA1NTYwOTE2MjE2OTQ4Nw%3D%3D.3-ccb7-5&amp;ccb=7-5&amp;_nc_sid=58cdad&amp;efg=eyJ2ZW5jb2RlX3RhZyI6InhwaWRzLjEwODB4MTM1MC5zZHIuQzMifQ%3D%3D&amp;_nc_ohc=3hE0h6KiTgQQ7kNvwFX61pv&amp;_nc_oc=AdkRBxBd64BMrBqUUXWBI1H9DBGbA0_ylOeT-mGXeKslPeCKDf4rP8qkon8Dl5QIQrOmv5kjANrid-usl1WIMKXr&amp;_nc_ad=z-m&amp;_nc_cid=0&amp;_nc_zt=23&amp;_nc_ht=scontent.cdninstagram.com&amp;_nc_gid=TBhjQ1j_IHNAbSCjJ_z1tA&amp;oh=00_Afh-mciGfYZqJ5qyn1EOuGVOnLeJbw9n-tnbCLY5saLZ_Q&amp;oe=69323331,https://scontent.cdninstagram.com/v/t39.30808-6/514260033_122170840748477299_2530349886988748322_n.jpg?stp=c0.128.1024.1280a_dst-jpg_e35_tt6&amp;_nc_cat=107&amp;ig_cache_key=MzcyMTA1NTYwODM4MjAwNzM2OA%3D%3D.3-ccb7-5&amp;ccb=7-5&amp;_nc_sid=58cdad&amp;efg=eyJ2ZW5jb2RlX3RhZyI6InhwaWRzLjEwMjR4MTUzNi5zZHIuQzMifQ%3D%3D&amp;_nc_ohc=4VG-Lw3AcTkQ7kNvwF5byHf&amp;_nc_oc=AdmmFVuxO8xfJ0DNkK0Ng_xaGAit1zQ4P6gCWTCi6AA4vUvU2cuXcchX7n3F6V5ULLisdlvWl3eCI9MNJaKcNW7W&amp;_nc_ad=z-m&amp;_nc_cid=0&amp;_nc_zt=23&amp;_nc_ht=scontent.cdninstagram.com&amp;_nc_gid=TBhjQ1j_IHNAbSCjJ_z1tA&amp;oh=00_AfgK12_Jgq9uL7vUc2GBPHcfjLNAYCJCNk7SbxuZClxdoA&amp;oe=69322507</t>
  </si>
  <si>
    <t>DRcTcG9kdTr</t>
  </si>
  <si>
    <t>https://www.instagram.com/p/DRcTcG9kdTr</t>
  </si>
  <si>
    <t>Concorda? 
#tdah #tdahadulto #festivais</t>
  </si>
  <si>
    <t>https://instagram.fcgh9-1.fna.fbcdn.net/v/t51.2885-19/521225609_18070023599280911_2791653571434660971_n.jpg?stp=dst-jpg_s150x150_tt6&amp;efg=eyJ2ZW5jb2RlX3RhZyI6InByb2ZpbGVfcGljLmRqYW5nby4xMDgwLmMyIn0&amp;_nc_ht=instagram.fcgh9-1.fna.fbcdn.net&amp;_nc_cat=111&amp;_nc_oc=Q6cZ2QERNEnoMuVXC32T1GZhx1obJN6hyWG_t0Ip5ge_-avQ39NpfyF5_AM5sLTd-0gp5kIBcGpBDsiYsxipArnUeaoN&amp;_nc_ohc=ZEVJ8CV_wJsQ7kNvwFvn_An&amp;_nc_gid=TBhjQ1j_IHNAbSCjJ_z1tA&amp;edm=AFlAz-oBAAAA&amp;ccb=7-5&amp;oh=00_AfjuvL27EpTZ13IWmeeSyE5lTKN6bkWNzvRnM-rJWqAXwQ&amp;oe=69324732&amp;_nc_sid=76c0fc</t>
  </si>
  <si>
    <t>https://scontent.cdninstagram.com/v/t51.82787-15/587465185_18084139775280911_6890148591607036421_n.jpg?stp=dst-jpg_e35_tt6&amp;_nc_cat=102&amp;ig_cache_key=Mzc3Mjk3NjA3MDkxNzIxMDA5Mg%3D%3D.3-ccb7-5&amp;ccb=7-5&amp;_nc_sid=58cdad&amp;efg=eyJ2ZW5jb2RlX3RhZyI6InhwaWRzLjEzNTB4MTY4OS5zZHIuQzMifQ%3D%3D&amp;_nc_ohc=14wfHCIFG4sQ7kNvwGgD-vv&amp;_nc_oc=AdmYhw-LiIac1gS3QdMiX9QRC__RpOf6CL2oU5Qz8CFGdwZ1HaD_N3lAX86qzEZHUl0QpPeGEF7BnqEeozA55o0e&amp;_nc_ad=z-m&amp;_nc_cid=0&amp;_nc_zt=23&amp;_nc_ht=scontent.cdninstagram.com&amp;_nc_gid=TBhjQ1j_IHNAbSCjJ_z1tA&amp;oh=00_AfjFV81-4HPp8mjNWToEFrNu8jv_vdb41YSGvhrifCTHaA&amp;oe=69324411,https://scontent.cdninstagram.com/v/t51.82787-15/589091309_18084139784280911_4700351742267864514_n.jpg?stp=dst-jpg_e35_tt6&amp;_nc_cat=109&amp;ig_cache_key=Mzc3Mjk3NjA3MDkxNzIwMjAxMw%3D%3D.3-ccb7-5&amp;ccb=7-5&amp;_nc_sid=58cdad&amp;efg=eyJ2ZW5jb2RlX3RhZyI6InhwaWRzLjEzNTB4MTY4OS5zZHIuQzMifQ%3D%3D&amp;_nc_ohc=Enkcb_Ebk2AQ7kNvwGkTEYz&amp;_nc_oc=AdmiJQCQci8mvtyOeDuiEGAoZNyuONNj3e8b3-CA62LPI7BPIE0oIgLbhFQycIrs551hdl5ILnIPjSSCuPX4WHWo&amp;_nc_ad=z-m&amp;_nc_cid=0&amp;_nc_zt=23&amp;_nc_ht=scontent.cdninstagram.com&amp;_nc_gid=TBhjQ1j_IHNAbSCjJ_z1tA&amp;oh=00_AfgON7QhSs-0CyRua7ITaWkIboTlMncR-OpQqVAchmJJDw&amp;oe=69322E03,https://scontent.cdninstagram.com/v/t51.82787-15/587117483_18084139793280911_3716013144965543313_n.jpg?stp=dst-jpg_e35_tt6&amp;_nc_cat=109&amp;ig_cache_key=Mzc3Mjk3NjA3MDkzMzk3MTc0Ng%3D%3D.3-ccb7-5&amp;ccb=7-5&amp;_nc_sid=58cdad&amp;efg=eyJ2ZW5jb2RlX3RhZyI6InhwaWRzLjEzNTB4MTY4OS5zZHIuQzMifQ%3D%3D&amp;_nc_ohc=QjyVJ9B4KWkQ7kNvwF5wJ5H&amp;_nc_oc=AdmkxR-GBgi6SCOMYjeaHp3uA3ERRiC1xfli6lqgv8sLdejubHtgXg9lCjNS9Ty8h1o_e-720xNmVCmyraJoel19&amp;_nc_ad=z-m&amp;_nc_cid=0&amp;_nc_zt=23&amp;_nc_ht=scontent.cdninstagram.com&amp;_nc_gid=TBhjQ1j_IHNAbSCjJ_z1tA&amp;oh=00_Afh5-Xg9iiXFfVy_GhXQhcQjFSOpCR9frRUwtpftqpv_8A&amp;oe=69322512,https://scontent.cdninstagram.com/v/t51.82787-15/587017974_18084139802280911_3014927890798171466_n.jpg?stp=dst-jpg_e35_tt6&amp;_nc_cat=100&amp;ig_cache_key=Mzc3Mjk3NjA3MDkwMDM4ODQwNw%3D%3D.3-ccb7-5&amp;ccb=7-5&amp;_nc_sid=58cdad&amp;efg=eyJ2ZW5jb2RlX3RhZyI6InhwaWRzLjEzNTB4MTY4OS5zZHIuQzMifQ%3D%3D&amp;_nc_ohc=WGM30dX86twQ7kNvwEK3yWP&amp;_nc_oc=AdnacTe_V5hTHBaEaEA8qoW1h-iKHAe8vK-_YT49Mw7p4l1Y3_oAdxd1fTE30LQ9QtsQ1WcD-EAqyfi6ZiB9_-dC&amp;_nc_ad=z-m&amp;_nc_cid=0&amp;_nc_zt=23&amp;_nc_ht=scontent.cdninstagram.com&amp;_nc_gid=TBhjQ1j_IHNAbSCjJ_z1tA&amp;oh=00_AfgBxN9dAjmENF8UQsAt3oMU10stZqgyFJD1hDbs-8yuxA&amp;oe=69323F33,https://scontent.cdninstagram.com/v/t51.82787-15/587574139_18084139811280911_7129348081245454900_n.jpg?stp=dst-jpg_e35_tt6&amp;_nc_cat=110&amp;ig_cache_key=Mzc3Mjk3NjA3MDkxNzIxMDc1MA%3D%3D.3-ccb7-5&amp;ccb=7-5&amp;_nc_sid=58cdad&amp;efg=eyJ2ZW5jb2RlX3RhZyI6InhwaWRzLjEzNTB4MTY4OS5zZHIuQzMifQ%3D%3D&amp;_nc_ohc=H_DVoR1YeFYQ7kNvwHw08Wj&amp;_nc_oc=Adl-AN8qV1IQbhwmgnwULpSZZvqrhvaiZsnPbflebTXPQP2nAuxXHYV-lcAqX8IPaiYk7nWKoK79sOQHE6xjiOJR&amp;_nc_ad=z-m&amp;_nc_cid=0&amp;_nc_zt=23&amp;_nc_ht=scontent.cdninstagram.com&amp;_nc_gid=TBhjQ1j_IHNAbSCjJ_z1tA&amp;oh=00_AfiCVsbDe0Yj_NcMQgbJpJUdKKJ_q2G_aJzPiSeuipOgFA&amp;oe=693238AB,https://scontent.cdninstagram.com/v/t51.82787-15/588323774_18084139820280911_5925003821668464888_n.jpg?stp=dst-jpg_e35_tt6&amp;_nc_cat=106&amp;ig_cache_key=Mzc3Mjk3NjA3MDkwODc3OTQ0NA%3D%3D.3-ccb7-5&amp;ccb=7-5&amp;_nc_sid=58cdad&amp;efg=eyJ2ZW5jb2RlX3RhZyI6InhwaWRzLjEzNTB4MTY4OS5zZHIuQzMifQ%3D%3D&amp;_nc_ohc=mxFs4uIHlaIQ7kNvwH-62f1&amp;_nc_oc=AdlaSxkguIWNSOciRxwcN2ilvekHwvJA-EFUtFIWM9uYruAT5UhlVY2k3xBGtu8URWdaHXvQ59tcDSdmqjEtxU9t&amp;_nc_ad=z-m&amp;_nc_cid=0&amp;_nc_zt=23&amp;_nc_ht=scontent.cdninstagram.com&amp;_nc_gid=TBhjQ1j_IHNAbSCjJ_z1tA&amp;oh=00_AfhI6kgXqB2gHvwE4SbYa8FlwEv9ADT1okaaLR64s32Gnw&amp;oe=69324E83,https://scontent.cdninstagram.com/v/t51.82787-15/589307965_18084139829280911_2947360442808789227_n.jpg?stp=dst-jpg_e35_tt6&amp;_nc_cat=102&amp;ig_cache_key=Mzc3Mjk3NjA3MDkwMDQxODIxNQ%3D%3D.3-ccb7-5&amp;ccb=7-5&amp;_nc_sid=58cdad&amp;efg=eyJ2ZW5jb2RlX3RhZyI6InhwaWRzLjEzNTB4MTY4OS5zZHIuQzMifQ%3D%3D&amp;_nc_ohc=IUM4nvawoEcQ7kNvwGtyrWS&amp;_nc_oc=AdnCyroHeNfwiq5qobMczVcnCh54bEyh1dDHnpfHpgtPNcK5Nml43P5mGnWHxQZikIitDQ5JfSKARZtrI97AVKOV&amp;_nc_ad=z-m&amp;_nc_cid=0&amp;_nc_zt=23&amp;_nc_ht=scontent.cdninstagram.com&amp;_nc_gid=TBhjQ1j_IHNAbSCjJ_z1tA&amp;oh=00_AfiXVTjyeYlN2jH3wmUwZ3VlCs1cn2r8TQO_6UI3nxn6Gg&amp;oe=69323DC2,https://scontent.cdninstagram.com/v/t51.82787-15/566768418_18084139838280911_3907664145721987470_n.jpg?stp=dst-jpg_e35_tt6&amp;_nc_cat=102&amp;ig_cache_key=Mzc3Mjk3NjA3MDg5MjAxOTc5Ng%3D%3D.3-ccb7-5&amp;ccb=7-5&amp;_nc_sid=58cdad&amp;efg=eyJ2ZW5jb2RlX3RhZyI6InhwaWRzLjEzNTB4MTY4OS5zZHIuQzMifQ%3D%3D&amp;_nc_ohc=xK9AGcG0I7gQ7kNvwFKWxbq&amp;_nc_oc=AdnOPPw1f-WEpR7X2-zqVn3pMFfL05o-nwa7VkNonG3Al4NlpSqQN1DWD-3Vma3Nux4GmVXfuUm4-jFtx4G5Z6mU&amp;_nc_ad=z-m&amp;_nc_cid=0&amp;_nc_zt=23&amp;_nc_ht=scontent.cdninstagram.com&amp;_nc_gid=TBhjQ1j_IHNAbSCjJ_z1tA&amp;oh=00_AfjjfDzARzX-oPV6lbnqQlrBWYBZUC_wKKbVlDwR87HLcw&amp;oe=693233DC</t>
  </si>
  <si>
    <t>tdah,tdahadulto,festivais</t>
  </si>
  <si>
    <t>DPUgD69j1LB</t>
  </si>
  <si>
    <t>https://www.instagram.com/p/DPUgD69j1LB</t>
  </si>
  <si>
    <t>A pessoa com TDAH tem muitas dificuldades emocionais, essa condição vai muito além de problemas de atenção e agitação.
#tdah #tdahadulto</t>
  </si>
  <si>
    <t>https://instagram.fcgh9-1.fna.fbcdn.net/v/t51.2885-19/401673128_678469827596659_4494033280894812917_n.jpg?stp=dst-jpg_s150x150_tt6&amp;efg=eyJ2ZW5jb2RlX3RhZyI6InByb2ZpbGVfcGljLmRqYW5nby4xMDgwLmMyIn0&amp;_nc_ht=instagram.fcgh9-1.fna.fbcdn.net&amp;_nc_cat=107&amp;_nc_oc=Q6cZ2QH8AGEJL08EMqhjhYPTZdOFWnVfGVowKyI-I_p0y-x2hl7SyS0ARuNuh7VRQ_YLPWfXXQLGp99CYlSQtepxjah-&amp;_nc_ohc=cUxgIgYn9XMQ7kNvwHcSgTM&amp;_nc_gid=anY-VbTnY8OQdMFyJeThGg&amp;edm=AFlAz-oBAAAA&amp;ccb=7-5&amp;oh=00_AfgCxmrY8JWXYqdPgp8xPKFCCgF4RH68lJWiPjrhWHVebQ&amp;oe=69324016&amp;_nc_sid=76c0fc</t>
  </si>
  <si>
    <t>https://scontent.cdninstagram.com/v/t51.82787-15/558232527_18319506763240163_3052233351187207720_n.heic?stp=dst-jpg_e35_tt6&amp;_nc_cat=106&amp;ig_cache_key=MzczNDc1MDk4ODY0MjIyNDM3Ng%3D%3D.3-ccb7-5&amp;ccb=7-5&amp;_nc_sid=58cdad&amp;efg=eyJ2ZW5jb2RlX3RhZyI6InhwaWRzLjE0NDB4MTgwMC5zZHIuQzMifQ%3D%3D&amp;_nc_ohc=VYAfwTNrqtIQ7kNvwFTTIC1&amp;_nc_oc=Adlhwwi1VmpIsjzuqPx_VxZ_pZ2UW0GEmi0u47RWm1tXh9A1ngYM3usAbOuAmMdAmqA4SmGy8w93VT1raSjHwvFJ&amp;_nc_ad=z-m&amp;_nc_cid=0&amp;_nc_zt=23&amp;_nc_ht=scontent.cdninstagram.com&amp;_nc_gid=anY-VbTnY8OQdMFyJeThGg&amp;oh=00_Afh45Xpan-VCpHOUJp-hqgSZjyuAP0mmNOJTLWdy9IbSIA&amp;oe=69324B79,https://scontent.cdninstagram.com/v/t51.82787-15/559015909_18319506772240163_5866701500756707666_n.heic?stp=dst-jpg_e35_tt6&amp;_nc_cat=101&amp;ig_cache_key=MzczNDc1MDk4ODc3NjQ2MzU0Mg%3D%3D.3-ccb7-5&amp;ccb=7-5&amp;_nc_sid=58cdad&amp;efg=eyJ2ZW5jb2RlX3RhZyI6InhwaWRzLjE0NDB4MTgwMC5zZHIuQzMifQ%3D%3D&amp;_nc_ohc=eiyyuTrs2FAQ7kNvwEYGf_R&amp;_nc_oc=AdnLpTVvBDrmsdnY_hB3gfxmEkR7REBbU0V8fWquf3tdgT2NHGj4GbCyt7yakxfwU6U9AQMEAaIxAQd1rmTNz_YF&amp;_nc_ad=z-m&amp;_nc_cid=0&amp;_nc_zt=23&amp;_nc_ht=scontent.cdninstagram.com&amp;_nc_gid=anY-VbTnY8OQdMFyJeThGg&amp;oh=00_Afh1nD1qV9TjOb0CRE_HF1vcfiZ_aZi0imjBaABG_WqVwA&amp;oe=69324D84,https://scontent.cdninstagram.com/v/t51.82787-15/558815767_18319506781240163_8315772341604255049_n.heic?stp=dst-jpg_e35_tt6&amp;_nc_cat=100&amp;ig_cache_key=MzczNDc1MDk4ODc3NjQ0NjAxMQ%3D%3D.3-ccb7-5&amp;ccb=7-5&amp;_nc_sid=58cdad&amp;efg=eyJ2ZW5jb2RlX3RhZyI6InhwaWRzLjE0NDB4MTgwMC5zZHIuQzMifQ%3D%3D&amp;_nc_ohc=g0tOJk3fmHkQ7kNvwHuzJsQ&amp;_nc_oc=AdkTAJ4gFJu9ure_6T9Vz9X8i_B6S9t35xd9GKYVmxk7E9H0CA5vVWurX0dD4A1k9stbnmQ3IddtFOJmy3Llewu_&amp;_nc_ad=z-m&amp;_nc_cid=0&amp;_nc_zt=23&amp;_nc_ht=scontent.cdninstagram.com&amp;_nc_gid=anY-VbTnY8OQdMFyJeThGg&amp;oh=00_AfgmSz7BsymC_e_vjwBzF0jUex1V0RZj7n7cOVN20c1bmw&amp;oe=69321E38,https://scontent.cdninstagram.com/v/t51.82787-15/560307710_18319506790240163_5106181865219008435_n.heic?stp=dst-jpg_e35_tt6&amp;_nc_cat=107&amp;ig_cache_key=MzczNDc1MDk4ODc3NjQ4NTUxNA%3D%3D.3-ccb7-5&amp;ccb=7-5&amp;_nc_sid=58cdad&amp;efg=eyJ2ZW5jb2RlX3RhZyI6InhwaWRzLjE0NDB4MTgwMC5zZHIuQzMifQ%3D%3D&amp;_nc_ohc=EBDSrPsc_d0Q7kNvwHd5ZQp&amp;_nc_oc=AdkT-imnx3mghDV1YiVR0jBW2V4-zvhzI63SccTWbLx504qMjOea577deG219GwgyoEuGxnI6X_yU2-V3Xr3_CZA&amp;_nc_ad=z-m&amp;_nc_cid=0&amp;_nc_zt=23&amp;_nc_ht=scontent.cdninstagram.com&amp;_nc_gid=anY-VbTnY8OQdMFyJeThGg&amp;oh=00_Afg_9QjAuYFJfdlSQFjsqhHsOJVdAaLYXA-GF8lP3vnc5g&amp;oe=69321C40,https://scontent.cdninstagram.com/v/t51.82787-15/558428166_18319506799240163_4211248664998841073_n.heic?stp=dst-jpg_e35_tt6&amp;_nc_cat=107&amp;ig_cache_key=MzczNDc1MDk4ODc1OTY2MjY3NQ%3D%3D.3-ccb7-5&amp;ccb=7-5&amp;_nc_sid=58cdad&amp;efg=eyJ2ZW5jb2RlX3RhZyI6InhwaWRzLjE0NDB4MTgwMC5zZHIuQzMifQ%3D%3D&amp;_nc_ohc=1Ss8ti6MjEIQ7kNvwEp_UmV&amp;_nc_oc=AdkObpzeVjZxW4A33ItBFyryk5vbrxYKBWKvCJdrYw4W19mJ0T6lEvYt_obCYbEbgvDrQ5GjCXyLyb35VpV1PLz5&amp;_nc_ad=z-m&amp;_nc_cid=0&amp;_nc_zt=23&amp;_nc_ht=scontent.cdninstagram.com&amp;_nc_gid=anY-VbTnY8OQdMFyJeThGg&amp;oh=00_AfgDhKsBlPrAN8l6183NDFQqg70aQduh6hgd2YAKQNIXRg&amp;oe=69322F00,https://scontent.cdninstagram.com/v/t51.82787-15/559011022_18319506808240163_1852567038861037898_n.heic?stp=dst-jpg_e35_tt6&amp;_nc_cat=105&amp;ig_cache_key=MzczNDc1MDk4ODc1OTY4Mjc4OQ%3D%3D.3-ccb7-5&amp;ccb=7-5&amp;_nc_sid=58cdad&amp;efg=eyJ2ZW5jb2RlX3RhZyI6InhwaWRzLjE0NDB4MTgwMC5zZHIuQzMifQ%3D%3D&amp;_nc_ohc=4ozhVXCAWhsQ7kNvwHHwQdj&amp;_nc_oc=AdlR8YPPXQHiI5v1hzmHecXtC0diK6dqYVrzan-i8sGNY2nwXlOYQpJp2EOyr8qYNan2TfYVnsyblWTXUYj4e5Ue&amp;_nc_ad=z-m&amp;_nc_cid=0&amp;_nc_zt=23&amp;_nc_ht=scontent.cdninstagram.com&amp;_nc_gid=anY-VbTnY8OQdMFyJeThGg&amp;oh=00_Afi_2lMxbRhKYy_CrSKlj6napTP0Ap2gM5cb5Vd6IT4Vnw&amp;oe=6932317F</t>
  </si>
  <si>
    <t>tdah,tdahadulto</t>
  </si>
  <si>
    <t>https://instagram.fcgh9-1.fna.fbcdn.net/v/t51.2885-19/335795124_3548520618700910_5888096039141705614_n.jpg?stp=dst-jpg_s150x150_tt6&amp;efg=eyJ2ZW5jb2RlX3RhZyI6InByb2ZpbGVfcGljLmRqYW5nby4xMDQwLmMyIn0&amp;_nc_ht=instagram.fcgh9-1.fna.fbcdn.net&amp;_nc_cat=102&amp;_nc_oc=Q6cZ2QH8AGEJL08EMqhjhYPTZdOFWnVfGVowKyI-I_p0y-x2hl7SyS0ARuNuh7VRQ_YLPWfXXQLGp99CYlSQtepxjah-&amp;_nc_ohc=QsO5peUb3q0Q7kNvwHGn1h4&amp;_nc_gid=anY-VbTnY8OQdMFyJeThGg&amp;edm=AFlAz-oBAAAA&amp;ccb=7-5&amp;oh=00_AfgLVLmZpkFNYD3BNQVjuz00BUXC9LYDN7ym4ooHuIxPjQ&amp;oe=69321ED9&amp;_nc_sid=76c0fc</t>
  </si>
  <si>
    <t>https://scontent.cdninstagram.com/v/t51.82787-15/571119358_18396970828193484_7895172543585255548_n.jpg?stp=dst-jpg_e35_tt6&amp;_nc_cat=107&amp;ig_cache_key=Mzc1MzMwNDc4MzIyNzYwODg4MA%3D%3D.3-ccb7-5&amp;ccb=7-5&amp;_nc_sid=58cdad&amp;efg=eyJ2ZW5jb2RlX3RhZyI6InhwaWRzLjE0Mzh4MTc5Ny5zZHIuQzMifQ%3D%3D&amp;_nc_ohc=3JHdTUcI5v0Q7kNvwH4LVji&amp;_nc_oc=Adm5RfLLra37bikHdBKigS1lFkAl9ps_Ojnd0DXiPMNXNz_jj7EVeJbp8D1-11UJwUHdb_ov2PoV2MefdzuAR3u6&amp;_nc_ad=z-m&amp;_nc_cid=0&amp;_nc_zt=23&amp;_nc_ht=scontent.cdninstagram.com&amp;_nc_gid=anY-VbTnY8OQdMFyJeThGg&amp;oh=00_AfgrRmboW93_1CP_GbpdQnLU15pwMXfqbNHxCKFGH6N9pg&amp;oe=693227F6,https://scontent.cdninstagram.com/v/t51.82787-15/569985865_18396970840193484_2110690801224511683_n.jpg?stp=dst-jpg_e35_tt6&amp;_nc_cat=110&amp;ig_cache_key=Mzc1MzMwNDc4Mjk5Mjc1NDExOA%3D%3D.3-ccb7-5&amp;ccb=7-5&amp;_nc_sid=58cdad&amp;efg=eyJ2ZW5jb2RlX3RhZyI6InhwaWRzLjE0Mzh4MTc5Ny5zZHIuQzMifQ%3D%3D&amp;_nc_ohc=2bYd2Isj9ykQ7kNvwHTX9xn&amp;_nc_oc=AdmxqO9pHKArkAA9E0h12hEel1vAZQWeG94qWDKx8Wb0eFR_J7YpkfvvrlhaFfYJpIqQV9OceOtFpBtF_KKwa63i&amp;_nc_ad=z-m&amp;_nc_cid=0&amp;_nc_zt=23&amp;_nc_ht=scontent.cdninstagram.com&amp;_nc_gid=anY-VbTnY8OQdMFyJeThGg&amp;oh=00_Afj9LntuvweC3HcP3wTMS-v-g7nasX4Ezq4EGC8BTPlsEQ&amp;oe=69323E73,https://scontent.cdninstagram.com/v/t51.82787-15/571782738_18396970849193484_2347193219775259869_n.jpg?stp=dst-jpg_e35_tt6&amp;_nc_cat=101&amp;ig_cache_key=Mzc1MzMwNDc4Mjk5Mjc1MDYxMQ%3D%3D.3-ccb7-5&amp;ccb=7-5&amp;_nc_sid=58cdad&amp;efg=eyJ2ZW5jb2RlX3RhZyI6InhwaWRzLjE0Mzh4MTc5Ny5zZHIuQzMifQ%3D%3D&amp;_nc_ohc=Ydle-ECm92wQ7kNvwGSR5t2&amp;_nc_oc=AdlbcwK9OE2zPtF8MecHYKDM0tZJxdSusVgvb6a1R-IgK7KHST9NHpIbeojzClTS758Gh-47rndGCwKknznaOFvq&amp;_nc_ad=z-m&amp;_nc_cid=0&amp;_nc_zt=23&amp;_nc_ht=scontent.cdninstagram.com&amp;_nc_gid=anY-VbTnY8OQdMFyJeThGg&amp;oh=00_AfjXnOPtehS56uewohXjwOmgo4C1kJ2HH42DFW2c2T35aA&amp;oe=693239EF,https://scontent.cdninstagram.com/v/t51.82787-15/570669172_18396970858193484_8316317742841888501_n.jpg?stp=dst-jpg_e35_tt6&amp;_nc_cat=101&amp;ig_cache_key=Mzc1MzMwNDc4MzAwOTQ5ODQ4OQ%3D%3D.3-ccb7-5&amp;ccb=7-5&amp;_nc_sid=58cdad&amp;efg=eyJ2ZW5jb2RlX3RhZyI6InhwaWRzLjE0Mzh4MTc5Ny5zZHIuQzMifQ%3D%3D&amp;_nc_ohc=tVvjpoYtEK0Q7kNvwH_LkhF&amp;_nc_oc=AdlxWWFh0HBBl60NgglZ3q5n6aMrPCSW6awbX4WCOSuYUJfLEpTAj3waRS2LMIHjDXaNDQcdKXQQ8wLT-Q-Ez5mx&amp;_nc_ad=z-m&amp;_nc_cid=0&amp;_nc_zt=23&amp;_nc_ht=scontent.cdninstagram.com&amp;_nc_gid=anY-VbTnY8OQdMFyJeThGg&amp;oh=00_AfiFw6ThpbIHzVfw9nV_R3V6lqKKVnN3Kfqiv-w0ZC5YzA&amp;oe=693231C0,https://scontent.cdninstagram.com/v/t51.82787-15/569966568_18396970867193484_1165646942573626615_n.jpg?stp=dst-jpg_e35_tt6&amp;_nc_cat=105&amp;ig_cache_key=Mzc1MzMwNDc4MzAwMTEyOTU2NQ%3D%3D.3-ccb7-5&amp;ccb=7-5&amp;_nc_sid=58cdad&amp;efg=eyJ2ZW5jb2RlX3RhZyI6InhwaWRzLjE0Mzh4MTc5Ny5zZHIuQzMifQ%3D%3D&amp;_nc_ohc=eLNHW9vOJg0Q7kNvwHOcdJj&amp;_nc_oc=AdlAWKFAVL4zwNHAGPRbp17rBoqxwy2Dd5SJdF7PX7lOXzLuXOUyxjBBFQvlVI3okVqFe9dqbRMmU1ix8wbv5IOU&amp;_nc_ad=z-m&amp;_nc_cid=0&amp;_nc_zt=23&amp;_nc_ht=scontent.cdninstagram.com&amp;_nc_gid=anY-VbTnY8OQdMFyJeThGg&amp;oh=00_AfhYYqG0oKCZuMJr_h3XOpnZvMh8w_tgpIetjDZePH2xHA&amp;oe=69323FBF,https://scontent.cdninstagram.com/v/t51.82787-15/569401914_18396970876193484_5927289413440261896_n.jpg?stp=dst-jpg_e35_tt6&amp;_nc_cat=108&amp;ig_cache_key=Mzc1MzMwNDc4Mjk5Mjc2MTA5Mw%3D%3D.3-ccb7-5&amp;ccb=7-5&amp;_nc_sid=58cdad&amp;efg=eyJ2ZW5jb2RlX3RhZyI6InhwaWRzLjE0Mzh4MTc5Ny5zZHIuQzMifQ%3D%3D&amp;_nc_ohc=EvDJX9RozH8Q7kNvwEQa5PB&amp;_nc_oc=AdmTLiEJ_ZZ6hDNkI-YCijBRf17wOgdY8OfYeHVPGG9om-DwcP-5RFjtaB7NXveyGLEaBk5Ep0R1lby2c-Z9DkKk&amp;_nc_ad=z-m&amp;_nc_cid=0&amp;_nc_zt=23&amp;_nc_ht=scontent.cdninstagram.com&amp;_nc_gid=anY-VbTnY8OQdMFyJeThGg&amp;oh=00_AfjtYwuclKl2IalwtoSMzHNDCsZuCWjTd_q7sZS4vfgsIA&amp;oe=69322B92,https://scontent.cdninstagram.com/v/t51.82787-15/571330765_18396970885193484_258609858852925600_n.jpg?stp=dst-jpg_e35_tt6&amp;_nc_cat=110&amp;ig_cache_key=Mzc1MzMwNDc4MzIyNzY0ODY0Mg%3D%3D.3-ccb7-5&amp;ccb=7-5&amp;_nc_sid=58cdad&amp;efg=eyJ2ZW5jb2RlX3RhZyI6InhwaWRzLjE0Mzh4MTc5Ny5zZHIuQzMifQ%3D%3D&amp;_nc_ohc=d_X-WViIR0AQ7kNvwGt0Ot7&amp;_nc_oc=AdmOq56mi1hYK9y5asGJN8t_a2mX4zGQQmcg_t15o0KwsDQ8JmqmG--1bqk9rf5V3eKmPKk1ZzqqGq0RJB0KaFmr&amp;_nc_ad=z-m&amp;_nc_cid=0&amp;_nc_zt=23&amp;_nc_ht=scontent.cdninstagram.com&amp;_nc_gid=anY-VbTnY8OQdMFyJeThGg&amp;oh=00_Afin8e4NK3rqCogMMhxmyO7gnO6gcio38DYJCOQSmEhmAw&amp;oe=69322732,https://scontent.cdninstagram.com/v/t51.82787-15/573124715_18396970894193484_6544176650989745015_n.jpg?stp=dst-jpg_e35_tt6&amp;_nc_cat=102&amp;ig_cache_key=Mzc1MzMwNDc4MzI0NDM5ODUzNg%3D%3D.3-ccb7-5&amp;ccb=7-5&amp;_nc_sid=58cdad&amp;efg=eyJ2ZW5jb2RlX3RhZyI6InhwaWRzLjE0Mzh4MTc5Ny5zZHIuQzMifQ%3D%3D&amp;_nc_ohc=GWbPE6CuSNgQ7kNvwFc-Mkv&amp;_nc_oc=Adm7s72d9UO37hz6ohc7LVyEVWVXUwxzNU5s4qB3HrovlQ-ClB_4M1QzMPeX6PWyIhBEFMHKYiopscjm4FpFckUs&amp;_nc_ad=z-m&amp;_nc_cid=0&amp;_nc_zt=23&amp;_nc_ht=scontent.cdninstagram.com&amp;_nc_gid=anY-VbTnY8OQdMFyJeThGg&amp;oh=00_AfjpBcGrJvcfyhcNOWP3QdaLEdR31V2p3rKDn2QFLrnfkg&amp;oe=69323F6A,https://scontent.cdninstagram.com/v/t51.82787-15/570062445_18396970903193484_7059325730292219749_n.jpg?stp=dst-jpg_e35_tt6&amp;_nc_cat=103&amp;ig_cache_key=Mzc1MzMwNDc4MzIyNzYwODA0OQ%3D%3D.3-ccb7-5&amp;ccb=7-5&amp;_nc_sid=58cdad&amp;efg=eyJ2ZW5jb2RlX3RhZyI6InhwaWRzLjE0Mzh4MTc5Ny5zZHIuQzMifQ%3D%3D&amp;_nc_ohc=PUSTjcVTjxcQ7kNvwF_VO59&amp;_nc_oc=Adl8K0JI0Rt3hqQA9LD4r2QioIZBLV-YqJ_WvWyM0yOH8HouvguXMATjkQQLTTKqrjkoszIbuor3J6oZaWzILIQT&amp;_nc_ad=z-m&amp;_nc_cid=0&amp;_nc_zt=23&amp;_nc_ht=scontent.cdninstagram.com&amp;_nc_gid=anY-VbTnY8OQdMFyJeThGg&amp;oh=00_AfhkbqPJlahIqxZq_kdXA15xx4tCK8fGJ4ZYyjwUVT0fGQ&amp;oe=693237E3</t>
  </si>
  <si>
    <t>DQ33QGBjuXf</t>
  </si>
  <si>
    <t>https://www.instagram.com/p/DQ33QGBjuXf</t>
  </si>
  <si>
    <t>Ser mãe de uma criança com TDAH é viver entre extremos: amor imenso e exaustão profunda.
É tentar entender um cérebro que funciona diferente, enquanto o mundo inteiro parece cobrar respostas que você ainda não tem.
Muitas vezes, o que você precisa não é de mais conselhos — é de compreensão.
Porque educar uma criança com TDAH não se trata de controlar, mas de aprender a regular junto.
De enxergar além do comportamento e entender o que o cérebro está tentando comunicar.
E isso exige muito mais do que paciência. Exige ciência, empatia e apoio.
—
💙 Se esse conteúdo te abraçou, salve pra reler nos dias difíceis.
Dra. Giorgia Frohlich
Neuropsicóloga | CRP 12/03005
#tdah #tdahadulto #tdahinfantil #tdahmulher #bc #itajai #maternidade #empreendedor #psicologia #neuropsicologia</t>
  </si>
  <si>
    <t>giorgiafrohlich</t>
  </si>
  <si>
    <t>Giorgia Frohlich</t>
  </si>
  <si>
    <t>https://instagram.fcgh9-1.fna.fbcdn.net/v/t51.2885-19/443240567_774311021434802_553914116016468372_n.jpg?stp=dst-jpg_s150x150_tt6&amp;efg=eyJ2ZW5jb2RlX3RhZyI6InByb2ZpbGVfcGljLmRqYW5nby4xMDgwLmMyIn0&amp;_nc_ht=instagram.fcgh9-1.fna.fbcdn.net&amp;_nc_cat=102&amp;_nc_oc=Q6cZ2QH8AGEJL08EMqhjhYPTZdOFWnVfGVowKyI-I_p0y-x2hl7SyS0ARuNuh7VRQ_YLPWfXXQLGp99CYlSQtepxjah-&amp;_nc_ohc=dr14T5Rsfg4Q7kNvwFBv8Y9&amp;_nc_gid=anY-VbTnY8OQdMFyJeThGg&amp;edm=AFlAz-oBAAAA&amp;ccb=7-5&amp;oh=00_AfjXgByiIPX8yuVp0_2AHb6zn-whlY5Rz9XpKrvDlN8SsQ&amp;oe=693238A5&amp;_nc_sid=76c0fc</t>
  </si>
  <si>
    <t>https://scontent.cdninstagram.com/v/t51.82787-15/575997067_18538812628000595_5115032735386152072_n.jpg?stp=dst-jpg_e35_tt6&amp;_nc_cat=106&amp;ig_cache_key=Mzc2MjcxOTAwMDk2Mzc2Njk3MQ%3D%3D.3-ccb7-5&amp;ccb=7-5&amp;_nc_sid=58cdad&amp;_nc_aid=0&amp;efg=eyJ2ZW5jb2RlX3RhZyI6InhwaWRzLjEwODB4MTM1MC5zZHIuQzMifQ%3D%3D&amp;_nc_ohc=WTcuTf6M6UAQ7kNvwE_xWmp&amp;_nc_oc=Adla6eeseYgstZTu3DSFsCThj2BEahwk_gWpG37ozVnuhURjZNMCrLplL0j8GXha995tXNT8-d_oq7bYEskrErz6&amp;_nc_ad=z-m&amp;_nc_cid=0&amp;_nc_zt=23&amp;_nc_ht=scontent.cdninstagram.com&amp;_nc_gid=anY-VbTnY8OQdMFyJeThGg&amp;oh=00_Afg7SQjJA4jd7SsCgYPhXHqLOlKHFhmRH073gedSXKz2rA&amp;oe=69322F23,https://scontent.cdninstagram.com/v/t51.82787-15/575301961_18538812619000595_5748092934816594750_n.jpg?stp=dst-jpg_e35_tt6&amp;_nc_cat=101&amp;ig_cache_key=Mzc2MjcxOTAwMDk5NzI3MTM5OA%3D%3D.3-ccb7-5&amp;ccb=7-5&amp;_nc_sid=58cdad&amp;_nc_aid=0&amp;efg=eyJ2ZW5jb2RlX3RhZyI6InhwaWRzLjEwODB4MTM1MC5zZHIuQzMifQ%3D%3D&amp;_nc_ohc=SWvHG4xvolQQ7kNvwEYQ3Ni&amp;_nc_oc=AdkpbGbgiEW_pg0anbhmS9y-L0xHWuswvrotz-SPMWUU92SRJK6ot8jWFij-shpAl7PfnVhpuqeKMJ-9tX4-BQ_d&amp;_nc_ad=z-m&amp;_nc_cid=0&amp;_nc_zt=23&amp;_nc_ht=scontent.cdninstagram.com&amp;_nc_gid=anY-VbTnY8OQdMFyJeThGg&amp;oh=00_Afi1DUK_SHBx1-RBqNID2VDMv26SZgkNEJCeg1xZtn5Dmg&amp;oe=693223AC,https://scontent.cdninstagram.com/v/t51.82787-15/576110815_18538812637000595_8563639974899783123_n.jpg?stp=dst-jpg_e35_tt6&amp;_nc_cat=109&amp;ig_cache_key=Mzc2MjcxOTAwMDg3OTg3MTAwNQ%3D%3D.3-ccb7-5&amp;ccb=7-5&amp;_nc_sid=58cdad&amp;_nc_aid=0&amp;efg=eyJ2ZW5jb2RlX3RhZyI6InhwaWRzLjEwODB4MTM1MC5zZHIuQzMifQ%3D%3D&amp;_nc_ohc=UIVADU9NGTYQ7kNvwGNyU9V&amp;_nc_oc=Adl3zqMl_dD31fs8dOBhLBdK3gHuw4xojcTcMpZsYa-ePLg-xrO3jkMzSW5gLb58wOlm-50dMJtSwM7YejY_M1wa&amp;_nc_ad=z-m&amp;_nc_cid=0&amp;_nc_zt=23&amp;_nc_ht=scontent.cdninstagram.com&amp;_nc_gid=anY-VbTnY8OQdMFyJeThGg&amp;oh=00_AfhRC_7lbchGNiGlUP0xVsFTg3SW49TzaW_BG2M1bL46Bg&amp;oe=69323117,https://scontent.cdninstagram.com/v/t51.82787-15/575915508_18538812655000595_8568776634985132686_n.jpg?stp=dst-jpg_e35_tt6&amp;_nc_cat=103&amp;ig_cache_key=Mzc2MjcxOTAwMDk0Njk2MjY5Mg%3D%3D.3-ccb7-5&amp;ccb=7-5&amp;_nc_sid=58cdad&amp;_nc_aid=0&amp;efg=eyJ2ZW5jb2RlX3RhZyI6InhwaWRzLjEwODB4MTM1MC5zZHIuQzMifQ%3D%3D&amp;_nc_ohc=4AW-C81jstsQ7kNvwHLgmiO&amp;_nc_oc=AdkZnMa_EaW7CUJ7drDbmVfJkaVou1r_MXxmFo5XLTTagg8XRVXLatZJ1fhMUuoG4D9CRmIVgtS4GAJgRbUka-zt&amp;_nc_ad=z-m&amp;_nc_cid=0&amp;_nc_zt=23&amp;_nc_ht=scontent.cdninstagram.com&amp;_nc_gid=anY-VbTnY8OQdMFyJeThGg&amp;oh=00_AfhU9e0KDCnhtpAHKfp-NCqVRKMRKRpG5zi6Ssvaw_upNA&amp;oe=69323BB5,https://scontent.cdninstagram.com/v/t51.82787-15/576042510_18538812664000595_8545760205481741107_n.jpg?stp=dst-jpg_e35_tt6&amp;_nc_cat=104&amp;ig_cache_key=Mzc2MjcxOTAwMDgxMjcxODY0Mg%3D%3D.3-ccb7-5&amp;ccb=7-5&amp;_nc_sid=58cdad&amp;_nc_aid=0&amp;efg=eyJ2ZW5jb2RlX3RhZyI6InhwaWRzLjEwODB4MTM1MC5zZHIuQzMifQ%3D%3D&amp;_nc_ohc=jgLQ0Ld96rAQ7kNvwHGQzXs&amp;_nc_oc=AdlxRFcWgjcUhE3hy_GlCtJNroy8CDsa_02EaAld8LIrwyN8WFEc0W2NJ1K8k-TvkGbyYOOWPlIhC46vxSR94_Lp&amp;_nc_ad=z-m&amp;_nc_cid=0&amp;_nc_zt=23&amp;_nc_ht=scontent.cdninstagram.com&amp;_nc_gid=anY-VbTnY8OQdMFyJeThGg&amp;oh=00_AfjQZYv8_kqJ2l0yWFCUPArGpqpgvp3lYeleIKsfhnPNsw&amp;oe=69323AB8,https://scontent.cdninstagram.com/v/t51.82787-15/575112432_18538812652000595_1368699658966553360_n.jpg?stp=dst-jpg_e35_tt6&amp;_nc_cat=110&amp;ig_cache_key=Mzc2MjcxOTAwMDk2MzcyNjU3Ng%3D%3D.3-ccb7-5&amp;ccb=7-5&amp;_nc_sid=58cdad&amp;_nc_aid=0&amp;efg=eyJ2ZW5jb2RlX3RhZyI6InhwaWRzLjEwODB4MTM1MC5zZHIuQzMifQ%3D%3D&amp;_nc_ohc=j-_6QUtIYZkQ7kNvwEgKdbx&amp;_nc_oc=AdnLnrADmsQNrS6s0pC32wSvQ_MbZKedQlHPq1LUUo1kMCC1tzYN3u3AWhHdRecwObyLeB9A-s_hTXXfcqApVQNa&amp;_nc_ad=z-m&amp;_nc_cid=0&amp;_nc_zt=23&amp;_nc_ht=scontent.cdninstagram.com&amp;_nc_gid=anY-VbTnY8OQdMFyJeThGg&amp;oh=00_Afh4F6bj7_cGKYaTXTBnlcgTtBhElPK1_UJP3DmEqViO8w&amp;oe=6932338D</t>
  </si>
  <si>
    <t>tdah,tdahadulto,tdahinfantil,tdahmulher,bc,itajai,maternidade,empreendedor,psicologia,neuropsicologia</t>
  </si>
  <si>
    <t>Clínica de Psicologia e Neuropsicologia Giorgia Frohlich</t>
  </si>
  <si>
    <t>-26.9526792,-48.6402338</t>
  </si>
  <si>
    <t>DQpjMtDD7AC</t>
  </si>
  <si>
    <t>https://www.instagram.com/p/DQpjMtDD7AC</t>
  </si>
  <si>
    <t>Sentir tudo, o tempo todo.
É bonito. É cansativo. Pode ser TDAH.
(Não se autodiagnostique. Esses são sinais que podem estar presentes em quem tem TDAH. Mas, se você se identificou, procure ajuda profissional).
#adhd #tdah #tdahadulto #psicologia #psiquiatria</t>
  </si>
  <si>
    <t>https://instagram.fcgh9-1.fna.fbcdn.net/v/t51.2885-19/454655817_415212718224218_4878863477330946250_n.jpg?stp=dst-jpg_s150x150_tt6&amp;efg=eyJ2ZW5jb2RlX3RhZyI6InByb2ZpbGVfcGljLmRqYW5nby4xMDQwLmMyIn0&amp;_nc_ht=instagram.fcgh9-1.fna.fbcdn.net&amp;_nc_cat=102&amp;_nc_oc=Q6cZ2QF5D8vQf6YgKIFRQxx35oOC9EF5EJARy_1IYprr96oKyh0ng5aDYWewgY1CGYl103UrQ64V5K1i-kTEkZDVberF&amp;_nc_ohc=vvePLaUBoRUQ7kNvwHqfw3E&amp;_nc_gid=UhQrESB-GEngFnoJR8aAug&amp;edm=AFlAz-oBAAAA&amp;ccb=7-5&amp;oh=00_Afi_6tmDOdTO85zL271IrYp_xrK7UvQ5G_MZEpUiwkZIRA&amp;oe=693284C0&amp;_nc_sid=76c0fc</t>
  </si>
  <si>
    <t>https://scontent.cdninstagram.com/v/t51.82787-15/573427872_18098360377767674_7321192643621427177_n.jpg?stp=dst-jpg_e35_tt6&amp;_nc_cat=107&amp;ig_cache_key=Mzc1ODY5MDE1NDcwNjg4NTU4Mg%3D%3D.3-ccb7-5&amp;ccb=7-5&amp;_nc_sid=58cdad&amp;efg=eyJ2ZW5jb2RlX3RhZyI6InhwaWRzLjE0NDB4MTgwMS5zZHIuQzMifQ%3D%3D&amp;_nc_ohc=itQF4yUwAd8Q7kNvwFRE3W_&amp;_nc_oc=Adkeg1gC4FlkZpmpnfTuJrjBvxpPrx11WEFr8Os7tj7IrPxoc8SWESrJQo5_WLO2J-eU1KvNEHZBdDqmosdeyUhS&amp;_nc_ad=z-m&amp;_nc_cid=0&amp;_nc_zt=23&amp;_nc_ht=scontent.cdninstagram.com&amp;_nc_gid=UhQrESB-GEngFnoJR8aAug&amp;oh=00_AfgWtaiNqXFDnTTxKhmVCeOvA6odD-pD7Q4C6du8pXdO0Q&amp;oe=69325B34,https://scontent.cdninstagram.com/v/t51.82787-15/572516499_18098360386767674_1787253867190087189_n.jpg?stp=dst-jpg_e35_tt6&amp;_nc_cat=102&amp;ig_cache_key=Mzc1ODY5MDE1NDYzOTcyNjU1OA%3D%3D.3-ccb7-5&amp;ccb=7-5&amp;_nc_sid=58cdad&amp;efg=eyJ2ZW5jb2RlX3RhZyI6InhwaWRzLjE0NDB4MTgwMS5zZHIuQzMifQ%3D%3D&amp;_nc_ohc=f2cAMgON3pUQ7kNvwGgcBkh&amp;_nc_oc=AdmmalnnlgsSKnU9vz4eADzMvM7LwTbByIiSYLPK4J4f6wYrdsp9hXcq5jGN_7JT5zfKAiLLt14e_48VzjwpAEnx&amp;_nc_ad=z-m&amp;_nc_cid=0&amp;_nc_zt=23&amp;_nc_ht=scontent.cdninstagram.com&amp;_nc_gid=UhQrESB-GEngFnoJR8aAug&amp;oh=00_AfjsohcJh81Fssm3g2OB2oLcE2QpdUDgF5cGp0-tfMOtsQ&amp;oe=69325513,https://scontent.cdninstagram.com/v/t51.82787-15/572763857_18098360398767674_612987123372745541_n.jpg?stp=dst-jpg_e35_tt6&amp;_nc_cat=101&amp;ig_cache_key=Mzc1ODY5MDE1NDYzMTM5MzA2OA%3D%3D.3-ccb7-5&amp;ccb=7-5&amp;_nc_sid=58cdad&amp;efg=eyJ2ZW5jb2RlX3RhZyI6InhwaWRzLjE0NDB4MTgwMS5zZHIuQzMifQ%3D%3D&amp;_nc_ohc=ME-LPI6tz8QQ7kNvwG-OUph&amp;_nc_oc=AdnoXZyW-ArIOXTSFJaPmzHtRgqECf17092BUai61Q0amlgy5kIaL7fof8mdfo0b2F4DjIPCV8UbGgHV6h7toU1g&amp;_nc_ad=z-m&amp;_nc_cid=0&amp;_nc_zt=23&amp;_nc_ht=scontent.cdninstagram.com&amp;_nc_gid=UhQrESB-GEngFnoJR8aAug&amp;oh=00_AfhOrfnsviD7qGwShZBQ4qxbUgOVxByKVGHDDM6mdDPVlA&amp;oe=69325BB5,https://scontent.cdninstagram.com/v/t51.82787-15/572163562_18098360407767674_4534050495192292590_n.jpg?stp=dst-jpg_e35_tt6&amp;_nc_cat=102&amp;ig_cache_key=Mzc1ODY5MDE1NDY5MDA5OTcyNA%3D%3D.3-ccb7-5&amp;ccb=7-5&amp;_nc_sid=58cdad&amp;efg=eyJ2ZW5jb2RlX3RhZyI6InhwaWRzLjE0NDB4MTgwMS5zZHIuQzMifQ%3D%3D&amp;_nc_ohc=ASXEON027eIQ7kNvwGKgVSA&amp;_nc_oc=Adm12L6NsRf2DwJJGs8A9HG1hkKKRLR6NduLfM_ij8-DTATT5nIejNgV2hAlm_vtNm_bSaHdFMNKGo94GrcReME6&amp;_nc_ad=z-m&amp;_nc_cid=0&amp;_nc_zt=23&amp;_nc_ht=scontent.cdninstagram.com&amp;_nc_gid=UhQrESB-GEngFnoJR8aAug&amp;oh=00_Afg6OBB_ovSYmwOfxNd1VtjrF5tCUZZ4s2Va0wpTnm7LTg&amp;oe=69328597,https://scontent.cdninstagram.com/v/t51.82787-15/572681957_18098360416767674_5765663453358095954_n.jpg?stp=dst-jpg_e35_tt6&amp;_nc_cat=109&amp;ig_cache_key=Mzc1ODY5MDE1NDY4MTY2OTU0Nw%3D%3D.3-ccb7-5&amp;ccb=7-5&amp;_nc_sid=58cdad&amp;efg=eyJ2ZW5jb2RlX3RhZyI6InhwaWRzLjE0NDB4MTgwMS5zZHIuQzMifQ%3D%3D&amp;_nc_ohc=b5DWlTbO_n0Q7kNvwFikEGl&amp;_nc_oc=AdmVsMrv3-BZX86o4f66fOgE8tnL7Ve2SONmEtIvni0BA6CduzEpAWa6-DCVxXYV4oWhcIkPH66Lx_wrU7A4mxOK&amp;_nc_ad=z-m&amp;_nc_cid=0&amp;_nc_zt=23&amp;_nc_ht=scontent.cdninstagram.com&amp;_nc_gid=UhQrESB-GEngFnoJR8aAug&amp;oh=00_Afg9eg17Uz2FVcLaqTg_ioKv6GkB9hMJFqW103h2rkGXTA&amp;oe=69327720,https://scontent.cdninstagram.com/v/t51.82787-15/574102988_18098360425767674_4874391073396104462_n.jpg?stp=dst-jpg_e35_tt6&amp;_nc_cat=104&amp;ig_cache_key=Mzc1ODY5MDE1NDUyMjMzNzU2Mw%3D%3D.3-ccb7-5&amp;ccb=7-5&amp;_nc_sid=58cdad&amp;efg=eyJ2ZW5jb2RlX3RhZyI6InhwaWRzLjE0NDB4MTgwMS5zZHIuQzMifQ%3D%3D&amp;_nc_ohc=E8BVcWq7YFMQ7kNvwG4e1CM&amp;_nc_oc=AdnSuJz5QNbobEYD5ff2mlA57xtNL4kvFN_gt4xAmDW-Vkuqx3AnOLogUuLzpT76pNYiCfsP0SJE8HgoK4Nn5-tF&amp;_nc_ad=z-m&amp;_nc_cid=0&amp;_nc_zt=23&amp;_nc_ht=scontent.cdninstagram.com&amp;_nc_gid=UhQrESB-GEngFnoJR8aAug&amp;oh=00_Afj5OCwA9YH3E7iZViWoaLMpVpboBJ8Ww7sgSHxlmj7fKw&amp;oe=69327EB4,https://scontent.cdninstagram.com/v/t51.82787-15/572555422_18098360434767674_8667537213474048386_n.jpg?stp=dst-jpg_e35_tt6&amp;_nc_cat=102&amp;ig_cache_key=Mzc1ODY5MDE1NDUxMzkxMjAzOQ%3D%3D.3-ccb7-5&amp;ccb=7-5&amp;_nc_sid=58cdad&amp;efg=eyJ2ZW5jb2RlX3RhZyI6InhwaWRzLjE0NDB4MTgwMS5zZHIuQzMifQ%3D%3D&amp;_nc_ohc=oCjpfus5yZwQ7kNvwEWBiNt&amp;_nc_oc=AdkSNl8UzmiPGKUv4mlvONYFzVwbNarQx-CpymygjvskjpVL6CeC_8lJuhdw-O1OZM8raPpPKjyIoN4Y8TAFCj_6&amp;_nc_ad=z-m&amp;_nc_cid=0&amp;_nc_zt=23&amp;_nc_ht=scontent.cdninstagram.com&amp;_nc_gid=UhQrESB-GEngFnoJR8aAug&amp;oh=00_AfgQU6YGkygmT9G2xg1vWQET-Q3qMsx2igQphE3tEZi2bg&amp;oe=69326445,https://scontent.cdninstagram.com/v/t51.82787-15/574063292_18098360443767674_9049694233322493469_n.jpg?stp=dst-jpg_e35_tt6&amp;_nc_cat=103&amp;ig_cache_key=Mzc1ODY5MDE1NDUxMzkwODM1Nw%3D%3D.3-ccb7-5&amp;ccb=7-5&amp;_nc_sid=58cdad&amp;efg=eyJ2ZW5jb2RlX3RhZyI6InhwaWRzLjE0NDB4MTgwMS5zZHIuQzMifQ%3D%3D&amp;_nc_ohc=nEj_RjjgO08Q7kNvwGa1xO7&amp;_nc_oc=AdmrdIouslc4ZSzbxOVWZYAsj6loN6ZeeWO0xmc8Q5OrMneNpu_vg0Z0aSUAsKRuxPh7jfhkpKIzoh1u_Glb9Wdc&amp;_nc_ad=z-m&amp;_nc_cid=0&amp;_nc_zt=23&amp;_nc_ht=scontent.cdninstagram.com&amp;_nc_gid=UhQrESB-GEngFnoJR8aAug&amp;oh=00_AfgJEMYXJAplqymNtjYDcUBfJy-auvzrg7vW_6RpacinKg&amp;oe=69327400</t>
  </si>
  <si>
    <t>adhd,tdah,tdahadulto,psicologia,psiquiatria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</si>
</sst>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7">
    <font>
      <sz val="10.0"/>
      <color rgb="FF000000"/>
      <name val="Arial"/>
      <scheme val="minor"/>
    </font>
    <font>
      <color theme="1"/>
      <name val="Arial"/>
    </font>
    <font>
      <color theme="1"/>
      <name val="Arial"/>
      <scheme val="minor"/>
    </font>
    <font>
      <b/>
      <color theme="1"/>
      <name val="Arial"/>
      <scheme val="minor"/>
    </font>
    <font>
      <u/>
      <color rgb="FF0000FF"/>
    </font>
    <font>
      <u/>
      <color rgb="FF1155CC"/>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horizontal="center" readingOrder="0"/>
    </xf>
    <xf borderId="0" fillId="0" fontId="2" numFmtId="0" xfId="0" applyFont="1"/>
    <xf borderId="0" fillId="0" fontId="2" numFmtId="0" xfId="0" applyAlignment="1" applyFont="1">
      <alignment shrinkToFit="0" wrapText="0"/>
    </xf>
    <xf borderId="0" fillId="0" fontId="2" numFmtId="0" xfId="0" applyAlignment="1" applyFont="1">
      <alignment readingOrder="0" shrinkToFit="0" wrapText="0"/>
    </xf>
    <xf borderId="0" fillId="0" fontId="4" numFmtId="0" xfId="0" applyAlignment="1" applyFont="1">
      <alignment readingOrder="0"/>
    </xf>
    <xf borderId="0" fillId="0" fontId="5" numFmtId="0" xfId="0" applyAlignment="1" applyFont="1">
      <alignment vertical="bottom"/>
    </xf>
    <xf borderId="0" fillId="0" fontId="2" numFmtId="164" xfId="0" applyAlignment="1" applyFont="1" applyNumberFormat="1">
      <alignment readingOrder="0"/>
    </xf>
    <xf borderId="0" fillId="0" fontId="1" numFmtId="164" xfId="0" applyAlignment="1" applyFont="1" applyNumberFormat="1">
      <alignment horizontal="right" vertical="bottom"/>
    </xf>
    <xf borderId="0" fillId="0" fontId="1" numFmtId="0" xfId="0" applyAlignment="1" applyFont="1">
      <alignment horizontal="center" vertical="bottom"/>
    </xf>
    <xf borderId="0" fillId="0" fontId="1" numFmtId="0" xfId="0" applyAlignment="1" applyFont="1">
      <alignment horizontal="right" vertical="bottom"/>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explore/search/keyword/?q=%23tdahadulto" TargetMode="External"/><Relationship Id="rId42" Type="http://schemas.openxmlformats.org/officeDocument/2006/relationships/hyperlink" Target="https://scontent-gru2-2.cdninstagram.com/v/t51.2885-19/450346823_737391045066002_1178007830183780591_n.jpg?stp=dst-jpg_s150x150_tt6&amp;efg=eyJ2ZW5jb2RlX3RhZyI6InByb2ZpbGVfcGljLmRqYW5nby43NTYuYzIifQ&amp;_nc_ht=scontent-gru2-2.cdninstagram.com&amp;_nc_cat=102&amp;_nc_oc=Q6cZ2QF_7ptarWIDxLQefAQP7jjZgjnL08KAuVm4XgP8894Q5wMko3rhS2q9wnBYbHhZfcBPUSFTNQVgLTyYpt_NADMy&amp;_nc_ohc=tnpxKn7FRRMQ7kNvwH2_BD2&amp;_nc_gid=832jxjWftkKYOGhz8kgttw&amp;edm=AFlAz-oBAAAA&amp;ccb=7-5&amp;oh=00_AfiKco6oqnriQfTUGOkMKeUOP1cOOB93FF5sJTJWqVi_9A&amp;oe=691BD977&amp;_nc_sid=76c0fc" TargetMode="External"/><Relationship Id="rId41" Type="http://schemas.openxmlformats.org/officeDocument/2006/relationships/hyperlink" Target="https://www.instagram.com/p/DQ70aCGDEAD" TargetMode="External"/><Relationship Id="rId44" Type="http://schemas.openxmlformats.org/officeDocument/2006/relationships/hyperlink" Target="https://scontent-gru1-2.cdninstagram.com/v/t39.30808-6/576433730_1653247979327058_1914648284471783328_n.jpg?stp=dst-jpg_e35_tt6&amp;_nc_cat=110&amp;ig_cache_key=Mzc2MzgzMjQwMDk3MjEwMzY4Mw%3D%3D.3-ccb1-7&amp;ccb=1-7&amp;_nc_sid=58cdad&amp;efg=eyJ2ZW5jb2RlX3RhZyI6InhwaWRzLjEwODB4MTM1MC5zZHIuQzMifQ%3D%3D&amp;_nc_ohc=wOzNBPlQjbYQ7kNvwF9x4eo&amp;_nc_oc=Adm8r28QsvOJp0JafjCgOilke6o1-xR3RCbCWI84Wa1YYvooaQsxuxc88EmVvJ2RTcs6cu5mzNSMMzOBQqjpMXTB&amp;_nc_ad=z-m&amp;_nc_cid=0&amp;_nc_zt=23&amp;_nc_ht=scontent-gru1-2.cdninstagram.com&amp;_nc_gid=832jxjWftkKYOGhz8kgttw&amp;oh=00_Afgv3m1FXPDZk_FUSGdoGnoAV5eDVhO3YWS1uwI4is6NSA&amp;oe=691BF067" TargetMode="External"/><Relationship Id="rId43" Type="http://schemas.openxmlformats.org/officeDocument/2006/relationships/hyperlink" Target="https://scontent-gru1-2.cdninstagram.com/v/t39.30808-6/576433730_1653247979327058_1914648284471783328_n.jpg?stp=dst-jpg_e35_tt6&amp;_nc_cat=110&amp;ig_cache_key=Mzc2MzgzMjQwMDk3MjEwMzY4Mw%3D%3D.3-ccb1-7&amp;ccb=1-7&amp;_nc_sid=58cdad&amp;efg=eyJ2ZW5jb2RlX3RhZyI6InhwaWRzLjEwODB4MTM1MC5zZHIuQzMifQ%3D%3D&amp;_nc_ohc=wOzNBPlQjbYQ7kNvwF9x4eo&amp;_nc_oc=Adm8r28QsvOJp0JafjCgOilke6o1-xR3RCbCWI84Wa1YYvooaQsxuxc88EmVvJ2RTcs6cu5mzNSMMzOBQqjpMXTB&amp;_nc_ad=z-m&amp;_nc_cid=0&amp;_nc_zt=23&amp;_nc_ht=scontent-gru1-2.cdninstagram.com&amp;_nc_gid=832jxjWftkKYOGhz8kgttw&amp;oh=00_Afgv3m1FXPDZk_FUSGdoGnoAV5eDVhO3YWS1uwI4is6NSA&amp;oe=691BF067" TargetMode="External"/><Relationship Id="rId46" Type="http://schemas.openxmlformats.org/officeDocument/2006/relationships/hyperlink" Target="https://www.instagram.com/p/DPycsP2jsuh" TargetMode="External"/><Relationship Id="rId45" Type="http://schemas.openxmlformats.org/officeDocument/2006/relationships/hyperlink" Target="https://www.instagram.com/explore/search/keyword/?q=%23tdahadulto" TargetMode="External"/><Relationship Id="rId107" Type="http://schemas.openxmlformats.org/officeDocument/2006/relationships/hyperlink" Target="https://www.instagram.com/explore/search/keyword/?q=%23tdahadulto" TargetMode="External"/><Relationship Id="rId106" Type="http://schemas.openxmlformats.org/officeDocument/2006/relationships/hyperlink" Target="https://scontent-gru2-2.cdninstagram.com/v/t51.2885-19/450346823_737391045066002_1178007830183780591_n.jpg?stp=dst-jpg_s150x150_tt6&amp;efg=eyJ2ZW5jb2RlX3RhZyI6InByb2ZpbGVfcGljLmRqYW5nby43NTYuYzIifQ&amp;_nc_ht=scontent-gru2-2.cdninstagram.com&amp;_nc_cat=102&amp;_nc_oc=Q6cZ2QETcPv2IlJjxvB1iy525qRPSPl0KC2zFEuXJ4UHfZbQ2xKiFdcNPvgNnrYq2_QM4fPgILW6Fa1wgoAqr8mVC6o2&amp;_nc_ohc=tnpxKn7FRRMQ7kNvwH2_BD2&amp;_nc_gid=LQFygQynK17yJqjuqKMq3Q&amp;edm=AFlAz-oBAAAA&amp;ccb=7-5&amp;oh=00_AfgyClAqRvn5FoAOgkAiIhRHJKpu3k55_94gjAxsSp56Dg&amp;oe=691BD977&amp;_nc_sid=76c0fc" TargetMode="External"/><Relationship Id="rId105" Type="http://schemas.openxmlformats.org/officeDocument/2006/relationships/hyperlink" Target="https://www.instagram.com/p/DQsQyU9jhX3" TargetMode="External"/><Relationship Id="rId104" Type="http://schemas.openxmlformats.org/officeDocument/2006/relationships/hyperlink" Target="https://www.instagram.com/explore/search/keyword/?q=%23tdahadulto" TargetMode="External"/><Relationship Id="rId109" Type="http://schemas.openxmlformats.org/officeDocument/2006/relationships/hyperlink" Target="https://scontent-gru2-2.cdninstagram.com/v/t51.2885-19/473779335_1347220839786230_2947239405250654078_n.jpg?stp=dst-jpg_s150x150_tt6&amp;efg=eyJ2ZW5jb2RlX3RhZyI6InByb2ZpbGVfcGljLmRqYW5nby4xMDgwLmMyIn0&amp;_nc_ht=scontent-gru2-2.cdninstagram.com&amp;_nc_cat=102&amp;_nc_oc=Q6cZ2QETcPv2IlJjxvB1iy525qRPSPl0KC2zFEuXJ4UHfZbQ2xKiFdcNPvgNnrYq2_QM4fPgILW6Fa1wgoAqr8mVC6o2&amp;_nc_ohc=MTAIyzNmdeoQ7kNvwFNRS5S&amp;_nc_gid=LQFygQynK17yJqjuqKMq3Q&amp;edm=AFlAz-oBAAAA&amp;ccb=7-5&amp;oh=00_AfjjxFzKwJDljrLsFfNQFgx5r2gegBONBmBPuWBt0EHN-Q&amp;oe=691BD498&amp;_nc_sid=76c0fc" TargetMode="External"/><Relationship Id="rId108" Type="http://schemas.openxmlformats.org/officeDocument/2006/relationships/hyperlink" Target="https://www.instagram.com/p/DOLXAe1AK7-" TargetMode="External"/><Relationship Id="rId48" Type="http://schemas.openxmlformats.org/officeDocument/2006/relationships/hyperlink" Target="https://www.instagram.com/explore/search/keyword/?q=%23tdahadulto" TargetMode="External"/><Relationship Id="rId187" Type="http://schemas.openxmlformats.org/officeDocument/2006/relationships/drawing" Target="../drawings/drawing1.xml"/><Relationship Id="rId47" Type="http://schemas.openxmlformats.org/officeDocument/2006/relationships/hyperlink" Target="https://scontent-gru1-2.cdninstagram.com/v/t51.2885-19/455013615_470449425912783_783811379615735835_n.jpg?stp=dst-jpg_s150x150_tt6&amp;efg=eyJ2ZW5jb2RlX3RhZyI6InByb2ZpbGVfcGljLmRqYW5nby4xMDgwLmMyIn0&amp;_nc_ht=scontent-gru1-2.cdninstagram.com&amp;_nc_cat=103&amp;_nc_oc=Q6cZ2QF_7ptarWIDxLQefAQP7jjZgjnL08KAuVm4XgP8894Q5wMko3rhS2q9wnBYbHhZfcBPUSFTNQVgLTyYpt_NADMy&amp;_nc_ohc=I_EEbKtazh8Q7kNvwEyuw1M&amp;_nc_gid=832jxjWftkKYOGhz8kgttw&amp;edm=AFlAz-oBAAAA&amp;ccb=7-5&amp;oh=00_Afgs5GUchXC7xEnxG_AH2PjwFvysSnB_p_zwW8K3cwre9A&amp;oe=691BF0D3&amp;_nc_sid=76c0fc" TargetMode="External"/><Relationship Id="rId186" Type="http://schemas.openxmlformats.org/officeDocument/2006/relationships/hyperlink" Target="https://scontent-gru1-2.cdninstagram.com/v/t51.2885-19/350275626_922959492320542_4896945304512474061_n.jpg?stp=dst-jpg_s150x150_tt6&amp;efg=eyJ2ZW5jb2RlX3RhZyI6InByb2ZpbGVfcGljLmRqYW5nby4xMDgwLmMyIn0&amp;_nc_ht=scontent-gru1-2.cdninstagram.com&amp;_nc_cat=110&amp;_nc_oc=Q6cZ2QHIM57Vkz8sP2bRWgbQeBxsrbb3FfDicJ4c-cZaFeYqbOZ7_WPKh1iZVn8wmdvntjJe6L9TLGj2hkxB-TtCwsjC&amp;_nc_ohc=9EgerR9X6tUQ7kNvwGvcFyI&amp;_nc_gid=mECJj3bvLNFJ797yZUcNFw&amp;edm=AI8qBrIBAAAA&amp;ccb=7-5&amp;oh=00_AfhdndVwTVDImjF3rKkvNt0vD7FBFlyw4hFkhEjXn2cMLw&amp;oe=691BFA56&amp;_nc_sid=469e9a" TargetMode="External"/><Relationship Id="rId185" Type="http://schemas.openxmlformats.org/officeDocument/2006/relationships/hyperlink" Target="https://www.instagram.com/p/DQ4DgKNjoi6" TargetMode="External"/><Relationship Id="rId49" Type="http://schemas.openxmlformats.org/officeDocument/2006/relationships/hyperlink" Target="https://www.instagram.com/p/DPwBa_gjSKi" TargetMode="External"/><Relationship Id="rId184" Type="http://schemas.openxmlformats.org/officeDocument/2006/relationships/hyperlink" Target="https://www.instagram.com/explore/search/keyword/?q=%23tdahadulto" TargetMode="External"/><Relationship Id="rId103" Type="http://schemas.openxmlformats.org/officeDocument/2006/relationships/hyperlink" Target="https://scontent-gru1-1.cdninstagram.com/v/t51.82787-15/546205617_18066856778213448_3602519716053271052_n.jpg?stp=dst-jpg_e35_tt6&amp;_nc_cat=101&amp;ig_cache_key=MzcyMDMzMTk2OTEyMjA4MzA1OQ%3D%3D.3-ccb1-7&amp;ccb=1-7&amp;_nc_sid=58cdad&amp;efg=eyJ2ZW5jb2RlX3RhZyI6InhwaWRzLjE0MDh4MTY5NC5zZHIuQzMifQ%3D%3D&amp;_nc_ohc=AsECaY0L4WoQ7kNvwHRcAtp&amp;_nc_oc=AdnxpMdg1XbjZAVOkVjm80ZA5XBcLYz9JPq80p13f0b6VxXL_4VB_lFaLLWtbCymumuDD2LFMNuf4oJKB0QM4rEc&amp;_nc_ad=z-m&amp;_nc_cid=0&amp;_nc_zt=23&amp;_nc_ht=scontent-gru1-1.cdninstagram.com&amp;_nc_gid=LQFygQynK17yJqjuqKMq3Q&amp;oh=00_AfiTnk7tMX4XtD_En51KTIyfyjixiWw7ta4SCtRL015yTA&amp;oe=691BEC3F" TargetMode="External"/><Relationship Id="rId102" Type="http://schemas.openxmlformats.org/officeDocument/2006/relationships/hyperlink" Target="https://scontent-gru1-1.cdninstagram.com/v/t51.82787-15/546205617_18066856778213448_3602519716053271052_n.jpg?stp=dst-jpg_e35_tt6&amp;_nc_cat=101&amp;ig_cache_key=MzcyMDMzMTk2OTEyMjA4MzA1OQ%3D%3D.3-ccb1-7&amp;ccb=1-7&amp;_nc_sid=58cdad&amp;efg=eyJ2ZW5jb2RlX3RhZyI6InhwaWRzLjE0MDh4MTY5NC5zZHIuQzMifQ%3D%3D&amp;_nc_ohc=AsECaY0L4WoQ7kNvwHRcAtp&amp;_nc_oc=AdnxpMdg1XbjZAVOkVjm80ZA5XBcLYz9JPq80p13f0b6VxXL_4VB_lFaLLWtbCymumuDD2LFMNuf4oJKB0QM4rEc&amp;_nc_ad=z-m&amp;_nc_cid=0&amp;_nc_zt=23&amp;_nc_ht=scontent-gru1-1.cdninstagram.com&amp;_nc_gid=LQFygQynK17yJqjuqKMq3Q&amp;oh=00_AfiTnk7tMX4XtD_En51KTIyfyjixiWw7ta4SCtRL015yTA&amp;oe=691BEC3F" TargetMode="External"/><Relationship Id="rId101" Type="http://schemas.openxmlformats.org/officeDocument/2006/relationships/hyperlink" Target="https://scontent-gru1-2.cdninstagram.com/v/t51.2885-19/364276362_1017951822536379_2762309384634493842_n.jpg?stp=dst-jpg_s150x150_tt6&amp;efg=eyJ2ZW5jb2RlX3RhZyI6InByb2ZpbGVfcGljLmRqYW5nby43MjUuYzIifQ&amp;_nc_ht=scontent-gru1-2.cdninstagram.com&amp;_nc_cat=103&amp;_nc_oc=Q6cZ2QETcPv2IlJjxvB1iy525qRPSPl0KC2zFEuXJ4UHfZbQ2xKiFdcNPvgNnrYq2_QM4fPgILW6Fa1wgoAqr8mVC6o2&amp;_nc_ohc=3tVgQHeurBQQ7kNvwHeQkxM&amp;_nc_gid=LQFygQynK17yJqjuqKMq3Q&amp;edm=AFlAz-oBAAAA&amp;ccb=7-5&amp;oh=00_Afg-uCK1-ulwdN0kPCd1KF3iV2r8bQ2F2krC7UZY1LAvYQ&amp;oe=691BF990&amp;_nc_sid=76c0fc" TargetMode="External"/><Relationship Id="rId100" Type="http://schemas.openxmlformats.org/officeDocument/2006/relationships/hyperlink" Target="https://www.instagram.com/p/DOhRjb6DSDz" TargetMode="External"/><Relationship Id="rId31" Type="http://schemas.openxmlformats.org/officeDocument/2006/relationships/hyperlink" Target="https://scontent-gru2-1.cdninstagram.com/v/t51.2885-19/401673128_678469827596659_4494033280894812917_n.jpg?stp=dst-jpg_s150x150_tt6&amp;efg=eyJ2ZW5jb2RlX3RhZyI6InByb2ZpbGVfcGljLmRqYW5nby4xMDgwLmMyIn0&amp;_nc_ht=scontent-gru2-1.cdninstagram.com&amp;_nc_cat=107&amp;_nc_oc=Q6cZ2QF_7ptarWIDxLQefAQP7jjZgjnL08KAuVm4XgP8894Q5wMko3rhS2q9wnBYbHhZfcBPUSFTNQVgLTyYpt_NADMy&amp;_nc_ohc=9sJh8HZjEhwQ7kNvwHSa7T5&amp;_nc_gid=832jxjWftkKYOGhz8kgttw&amp;edm=AFlAz-oBAAAA&amp;ccb=7-5&amp;oh=00_AfgTpvv0z5IOlbIyP7aubHAptto_Tzx3Hd5TqbTfcYM1SA&amp;oe=691BD696&amp;_nc_sid=76c0fc" TargetMode="External"/><Relationship Id="rId30" Type="http://schemas.openxmlformats.org/officeDocument/2006/relationships/hyperlink" Target="https://www.instagram.com/p/DQmvlNlD7Yd" TargetMode="External"/><Relationship Id="rId33" Type="http://schemas.openxmlformats.org/officeDocument/2006/relationships/hyperlink" Target="https://www.instagram.com/p/DOlef_tjQoh" TargetMode="External"/><Relationship Id="rId183" Type="http://schemas.openxmlformats.org/officeDocument/2006/relationships/hyperlink" Target="https://scontent-gru2-2.cdninstagram.com/v/t51.2885-19/498168754_17880841077301766_2833690743447400735_n.jpg?stp=dst-jpg_s150x150_tt6&amp;efg=eyJ2ZW5jb2RlX3RhZyI6InByb2ZpbGVfcGljLmRqYW5nby4xMDgwLmMyIn0&amp;_nc_ht=scontent-gru2-2.cdninstagram.com&amp;_nc_cat=102&amp;_nc_oc=Q6cZ2QHIM57Vkz8sP2bRWgbQeBxsrbb3FfDicJ4c-cZaFeYqbOZ7_WPKh1iZVn8wmdvntjJe6L9TLGj2hkxB-TtCwsjC&amp;_nc_ohc=7pBISTI_TysQ7kNvwGN2CG-&amp;_nc_gid=mECJj3bvLNFJ797yZUcNFw&amp;edm=AI8qBrIBAAAA&amp;ccb=7-5&amp;oh=00_Afju45JqrSydaMn_Ebw-ng07wRh1NbgWk0DQ2an7Y5hDew&amp;oe=691BD4C8&amp;_nc_sid=469e9a" TargetMode="External"/><Relationship Id="rId32" Type="http://schemas.openxmlformats.org/officeDocument/2006/relationships/hyperlink" Target="https://www.instagram.com/explore/search/keyword/?q=%23tdahadulto" TargetMode="External"/><Relationship Id="rId182" Type="http://schemas.openxmlformats.org/officeDocument/2006/relationships/hyperlink" Target="https://www.instagram.com/p/DQ0XZBkAE7j" TargetMode="External"/><Relationship Id="rId35" Type="http://schemas.openxmlformats.org/officeDocument/2006/relationships/hyperlink" Target="https://scontent-gru2-1.cdninstagram.com/v/t51.82787-15/548697934_18067006322213448_5473813316249042757_n.jpg?stp=dst-jpg_e35_tt6&amp;_nc_cat=107&amp;ig_cache_key=MzcyMTUxNDgwNzIwMDY0NzcxMw%3D%3D.3-ccb1-7&amp;ccb=1-7&amp;_nc_sid=58cdad&amp;efg=eyJ2ZW5jb2RlX3RhZyI6InhwaWRzLjE0NDB4MTc5Mi5zZHIuQzMifQ%3D%3D&amp;_nc_ohc=3zCBlnL_9owQ7kNvwE5V_W2&amp;_nc_oc=AdlcB3m_SkKdbWRFGdI563zTvSgmJR299u4fZ_q2DJoLqJ5nttKVVI7I67LllW4CkyFwmR9c2ZZgOrqJYL0xJ9Ag&amp;_nc_ad=z-m&amp;_nc_cid=0&amp;_nc_zt=23&amp;_nc_ht=scontent-gru2-1.cdninstagram.com&amp;_nc_gid=832jxjWftkKYOGhz8kgttw&amp;oh=00_AfjlwBDf7CM-KwqIPTYuCunpv9rEQoSroXxYQNPYQqtlJg&amp;oe=691BD8E4" TargetMode="External"/><Relationship Id="rId181" Type="http://schemas.openxmlformats.org/officeDocument/2006/relationships/hyperlink" Target="https://www.instagram.com/explore/search/keyword/?q=%23tdahadulto" TargetMode="External"/><Relationship Id="rId34" Type="http://schemas.openxmlformats.org/officeDocument/2006/relationships/hyperlink" Target="https://scontent-gru1-2.cdninstagram.com/v/t51.2885-19/364276362_1017951822536379_2762309384634493842_n.jpg?stp=dst-jpg_s150x150_tt6&amp;efg=eyJ2ZW5jb2RlX3RhZyI6InByb2ZpbGVfcGljLmRqYW5nby43MjUuYzIifQ&amp;_nc_ht=scontent-gru1-2.cdninstagram.com&amp;_nc_cat=103&amp;_nc_oc=Q6cZ2QF_7ptarWIDxLQefAQP7jjZgjnL08KAuVm4XgP8894Q5wMko3rhS2q9wnBYbHhZfcBPUSFTNQVgLTyYpt_NADMy&amp;_nc_ohc=3tVgQHeurBQQ7kNvwHeQkxM&amp;_nc_gid=832jxjWftkKYOGhz8kgttw&amp;edm=AFlAz-oBAAAA&amp;ccb=7-5&amp;oh=00_AfiBPaB5pXWByUnG0bYiNbdOZdBd3F190ZHAwqozlkTP3Q&amp;oe=691BF990&amp;_nc_sid=76c0fc" TargetMode="External"/><Relationship Id="rId180" Type="http://schemas.openxmlformats.org/officeDocument/2006/relationships/hyperlink" Target="https://scontent-gru2-2.cdninstagram.com/v/t51.2885-19/576028625_18544655488001574_8989145193301582212_n.jpg?stp=dst-jpg_s150x150_tt6&amp;efg=eyJ2ZW5jb2RlX3RhZyI6InByb2ZpbGVfcGljLmRqYW5nby4xMDMxLmMyIn0&amp;_nc_ht=scontent-gru2-2.cdninstagram.com&amp;_nc_cat=106&amp;_nc_oc=Q6cZ2QHIM57Vkz8sP2bRWgbQeBxsrbb3FfDicJ4c-cZaFeYqbOZ7_WPKh1iZVn8wmdvntjJe6L9TLGj2hkxB-TtCwsjC&amp;_nc_ohc=tb1aJYOXKIMQ7kNvwFxATns&amp;_nc_gid=mECJj3bvLNFJ797yZUcNFw&amp;edm=AI8qBrIBAAAA&amp;ccb=7-5&amp;oh=00_Afhe2yUYdwEkepDbILnzQXX7DzjwAVt0rZ9PfbOpYTYiTw&amp;oe=691BEC5A&amp;_nc_sid=469e9a" TargetMode="External"/><Relationship Id="rId37" Type="http://schemas.openxmlformats.org/officeDocument/2006/relationships/hyperlink" Target="https://www.instagram.com/explore/search/keyword/?q=%23tdahadulto" TargetMode="External"/><Relationship Id="rId176" Type="http://schemas.openxmlformats.org/officeDocument/2006/relationships/hyperlink" Target="https://scontent-gru1-1.cdninstagram.com/v/t51.2885-19/326695564_146503224902552_3605812295008725681_n.jpg?stp=dst-jpg_s150x150_tt6&amp;efg=eyJ2ZW5jb2RlX3RhZyI6InByb2ZpbGVfcGljLmRqYW5nby40NDIuYzIifQ&amp;_nc_ht=scontent-gru1-1.cdninstagram.com&amp;_nc_cat=1&amp;_nc_oc=Q6cZ2QHIM57Vkz8sP2bRWgbQeBxsrbb3FfDicJ4c-cZaFeYqbOZ7_WPKh1iZVn8wmdvntjJe6L9TLGj2hkxB-TtCwsjC&amp;_nc_ohc=6IthYg_0HScQ7kNvwEjMhPA&amp;_nc_gid=mECJj3bvLNFJ797yZUcNFw&amp;edm=AI8qBrIBAAAA&amp;ccb=7-5&amp;oh=00_AfgfaiF79SXIfySGTrbMwrMVMYA12r8eQlXhUtG9wnFYDA&amp;oe=691BD2A8&amp;_nc_sid=469e9a" TargetMode="External"/><Relationship Id="rId36" Type="http://schemas.openxmlformats.org/officeDocument/2006/relationships/hyperlink" Target="https://scontent-gru2-1.cdninstagram.com/v/t51.82787-15/548697934_18067006322213448_5473813316249042757_n.jpg?stp=dst-jpg_e35_tt6&amp;_nc_cat=107&amp;ig_cache_key=MzcyMTUxNDgwNzIwMDY0NzcxMw%3D%3D.3-ccb1-7&amp;ccb=1-7&amp;_nc_sid=58cdad&amp;efg=eyJ2ZW5jb2RlX3RhZyI6InhwaWRzLjE0NDB4MTc5Mi5zZHIuQzMifQ%3D%3D&amp;_nc_ohc=3zCBlnL_9owQ7kNvwE5V_W2&amp;_nc_oc=AdlcB3m_SkKdbWRFGdI563zTvSgmJR299u4fZ_q2DJoLqJ5nttKVVI7I67LllW4CkyFwmR9c2ZZgOrqJYL0xJ9Ag&amp;_nc_ad=z-m&amp;_nc_cid=0&amp;_nc_zt=23&amp;_nc_ht=scontent-gru2-1.cdninstagram.com&amp;_nc_gid=832jxjWftkKYOGhz8kgttw&amp;oh=00_AfjlwBDf7CM-KwqIPTYuCunpv9rEQoSroXxYQNPYQqtlJg&amp;oe=691BD8E4" TargetMode="External"/><Relationship Id="rId175" Type="http://schemas.openxmlformats.org/officeDocument/2006/relationships/hyperlink" Target="https://www.instagram.com/p/DQ47HKJkTYi" TargetMode="External"/><Relationship Id="rId39" Type="http://schemas.openxmlformats.org/officeDocument/2006/relationships/hyperlink" Target="https://scontent-gru1-2.cdninstagram.com/v/t51.2885-19/494665101_18074979502868396_5149972479216782979_n.jpg?stp=dst-jpg_s150x150_tt6&amp;efg=eyJ2ZW5jb2RlX3RhZyI6InByb2ZpbGVfcGljLmRqYW5nby41NTMuYzIifQ&amp;_nc_ht=scontent-gru1-2.cdninstagram.com&amp;_nc_cat=108&amp;_nc_oc=Q6cZ2QF_7ptarWIDxLQefAQP7jjZgjnL08KAuVm4XgP8894Q5wMko3rhS2q9wnBYbHhZfcBPUSFTNQVgLTyYpt_NADMy&amp;_nc_ohc=SNEr3oRrdGYQ7kNvwEc_s_U&amp;_nc_gid=832jxjWftkKYOGhz8kgttw&amp;edm=AFlAz-oBAAAA&amp;ccb=7-5&amp;oh=00_Afh1xYNtQ1JNaU9Zg2WhtBTetyh6fcRoRrU-5I0O6Rz-mQ&amp;oe=691BFFFB&amp;_nc_sid=76c0fc" TargetMode="External"/><Relationship Id="rId174" Type="http://schemas.openxmlformats.org/officeDocument/2006/relationships/hyperlink" Target="https://www.instagram.com/explore/search/keyword/?q=%23tdahadulto" TargetMode="External"/><Relationship Id="rId38" Type="http://schemas.openxmlformats.org/officeDocument/2006/relationships/hyperlink" Target="https://www.instagram.com/p/DOLz-2FEZIt" TargetMode="External"/><Relationship Id="rId173" Type="http://schemas.openxmlformats.org/officeDocument/2006/relationships/hyperlink" Target="https://scontent-gru1-1.cdninstagram.com/v/t51.2885-19/575495502_18099041245704625_8739188152241459045_n.jpg?stp=dst-jpg_s150x150_tt6&amp;efg=eyJ2ZW5jb2RlX3RhZyI6InByb2ZpbGVfcGljLmRqYW5nby4xMDgwLmMyIn0&amp;_nc_ht=scontent-gru1-1.cdninstagram.com&amp;_nc_cat=101&amp;_nc_oc=Q6cZ2QHIM57Vkz8sP2bRWgbQeBxsrbb3FfDicJ4c-cZaFeYqbOZ7_WPKh1iZVn8wmdvntjJe6L9TLGj2hkxB-TtCwsjC&amp;_nc_ohc=aYt0hDUnUogQ7kNvwEz_943&amp;_nc_gid=mECJj3bvLNFJ797yZUcNFw&amp;edm=AI8qBrIBAAAA&amp;ccb=7-5&amp;oh=00_AfhNuUqLbrnSTdaylgN79RWsDmUXCFbjABckuwOp80u4Kw&amp;oe=691BD5C8&amp;_nc_sid=469e9a" TargetMode="External"/><Relationship Id="rId179" Type="http://schemas.openxmlformats.org/officeDocument/2006/relationships/hyperlink" Target="https://www.instagram.com/p/DQ372LBjlyE" TargetMode="External"/><Relationship Id="rId178" Type="http://schemas.openxmlformats.org/officeDocument/2006/relationships/hyperlink" Target="https://www.instagram.com/explore/search/keyword/?q=%23tdahadulto" TargetMode="External"/><Relationship Id="rId177" Type="http://schemas.openxmlformats.org/officeDocument/2006/relationships/hyperlink" Target="https://scontent-gru1-1.cdninstagram.com/v/t51.82787-15/581660489_18061019564562252_4057930794729389340_n.jpg?stp=dst-jpg_e15_tt6&amp;_nc_cat=1&amp;ig_cache_key=Mzc2MzAxNzQ2NTM0NjQ3MTQ1ODE4MDYxMDE5NTU4NTYyMjUy.3-ccb1-7&amp;ccb=1-7&amp;_nc_sid=58cdad&amp;efg=eyJ2ZW5jb2RlX3RhZyI6InhwaWRzLjEyODh4MjI4OC5zZHIuQzMifQ%3D%3D&amp;_nc_ohc=BcI3_HR5JG0Q7kNvwEeBsUj&amp;_nc_oc=AdkTTDhROrlFz1U7zJwdlmrTbgR8IYnovVJq8V75qQbPWTcx_lpviquWsjs5bg_5SK6ix06HUcW9DuXN_EA_xlNg&amp;_nc_ad=z-m&amp;_nc_cid=0&amp;_nc_zt=23&amp;_nc_ht=scontent-gru1-1.cdninstagram.com&amp;_nc_gid=mECJj3bvLNFJ797yZUcNFw&amp;oh=00_AfgoHPi2O4x7GjAx_DVGXHJUGIaGI-QirZBsnJQACnTQhQ&amp;oe=691BFE40" TargetMode="External"/><Relationship Id="rId20" Type="http://schemas.openxmlformats.org/officeDocument/2006/relationships/hyperlink" Target="https://scontent-gru2-2.cdninstagram.com/v/t39.30808-6/547739167_1332859212178548_2277358149879575446_n.jpg?stp=dst-jpg_e35_tt6&amp;_nc_cat=102&amp;ig_cache_key=MzcyNTE2NTEwMzA2Nzk5MzE4Ng%3D%3D.3-ccb1-7&amp;ccb=1-7&amp;_nc_sid=58cdad&amp;efg=eyJ2ZW5jb2RlX3RhZyI6InhwaWRzLjEwODB4MTM1MC5zZHIuQzMifQ%3D%3D&amp;_nc_ohc=DcaA7XQl-2QQ7kNvwHxa2Jf&amp;_nc_oc=AdkASy92FQGSlHxkszUW6YFrzBzAK-DzWHJqSXNgqtS8bC82eNOfLDh-Qvl-i-67MJuVfXE3scvewCevl__QCbxk&amp;_nc_ad=z-m&amp;_nc_cid=0&amp;_nc_zt=23&amp;_nc_ht=scontent-gru2-2.cdninstagram.com&amp;_nc_gid=832jxjWftkKYOGhz8kgttw&amp;oh=00_AfiZ4Tw_w_TeghTSiT3y03TwZQwYqcK_g1_5CzGjntKBBQ&amp;oe=691BE98B" TargetMode="External"/><Relationship Id="rId22" Type="http://schemas.openxmlformats.org/officeDocument/2006/relationships/hyperlink" Target="https://www.instagram.com/p/DOW2qG2k_ZJ" TargetMode="External"/><Relationship Id="rId21" Type="http://schemas.openxmlformats.org/officeDocument/2006/relationships/hyperlink" Target="https://www.instagram.com/explore/search/keyword/?q=%23tdahadulto" TargetMode="External"/><Relationship Id="rId24" Type="http://schemas.openxmlformats.org/officeDocument/2006/relationships/hyperlink" Target="https://scontent-gru2-2.cdninstagram.com/v/t39.30808-6/544978792_122221462574140747_4246589021929324983_n.jpg?stp=dst-jpg_e35_tt6&amp;_nc_cat=106&amp;ig_cache_key=MzcxNzM5ODkzMDUyODY2MzExMw%3D%3D.3-ccb1-7&amp;ccb=1-7&amp;_nc_sid=58cdad&amp;efg=eyJ2ZW5jb2RlX3RhZyI6InhwaWRzLjEwODB4MTM1MC5zZHIuQzMifQ%3D%3D&amp;_nc_ohc=vShHZANp1_0Q7kNvwHe0Ylt&amp;_nc_oc=AdlEW4lE09epVihEqUIblJAfVDGZpR8Hm4mtCdzI-MBX6qbWi81qII37x1_9semVxsaMOFa52ZhpBLLLGWAcm6eN&amp;_nc_ad=z-m&amp;_nc_cid=0&amp;_nc_zt=23&amp;_nc_ht=scontent-gru2-2.cdninstagram.com&amp;_nc_gid=832jxjWftkKYOGhz8kgttw&amp;oh=00_AfiTbCDyXOMBZNs509004BowxFzKdaPsPZNuk2qTziEiIQ&amp;oe=691BD26A" TargetMode="External"/><Relationship Id="rId23" Type="http://schemas.openxmlformats.org/officeDocument/2006/relationships/hyperlink" Target="https://scontent-gru2-1.cdninstagram.com/v/t51.2885-19/576115846_18148972519422981_7507511265202803568_n.jpg?stp=dst-jpg_s150x150_tt6&amp;efg=eyJ2ZW5jb2RlX3RhZyI6InByb2ZpbGVfcGljLmRqYW5nby4xMDgwLmMyIn0&amp;_nc_ht=scontent-gru2-1.cdninstagram.com&amp;_nc_cat=109&amp;_nc_oc=Q6cZ2QF_7ptarWIDxLQefAQP7jjZgjnL08KAuVm4XgP8894Q5wMko3rhS2q9wnBYbHhZfcBPUSFTNQVgLTyYpt_NADMy&amp;_nc_ohc=nkywnO5ZAAoQ7kNvwHjrORR&amp;_nc_gid=832jxjWftkKYOGhz8kgttw&amp;edm=AFlAz-oBAAAA&amp;ccb=7-5&amp;oh=00_Afh909hRp9QgVWqOuvhu-o1hQJ5QYAeSSvRa3cCDnbORJQ&amp;oe=691BEC5F&amp;_nc_sid=76c0fc" TargetMode="External"/><Relationship Id="rId129" Type="http://schemas.openxmlformats.org/officeDocument/2006/relationships/hyperlink" Target="https://scontent-gru2-1.cdninstagram.com/v/t51.2885-19/419980358_289800883715767_6089219814531033544_n.jpg?stp=dst-jpg_s150x150_tt6&amp;efg=eyJ2ZW5jb2RlX3RhZyI6InByb2ZpbGVfcGljLmRqYW5nby40OTkuYzIifQ&amp;_nc_ht=scontent-gru2-1.cdninstagram.com&amp;_nc_cat=107&amp;_nc_oc=Q6cZ2QHNKF_hOoZMP3TGSdiWLT5mzz8T_eiI9bEOll362VdVyGSxQkVmqBnjz58WQBOkPWwsHyEWaxNkqigVNgzUBLh1&amp;_nc_ohc=p0CdCVomZawQ7kNvwGDHyFM&amp;_nc_gid=1AjyOG3i1vJelwrTcZxakA&amp;edm=AFlAz-oBAAAA&amp;ccb=7-5&amp;oh=00_Afg03rDMYcHch85caAxOlMSwStmwVh-HY2XA5Jr2vGR2cg&amp;oe=691BD009&amp;_nc_sid=76c0fc" TargetMode="External"/><Relationship Id="rId128" Type="http://schemas.openxmlformats.org/officeDocument/2006/relationships/hyperlink" Target="https://www.instagram.com/p/DAqzHR3Nm8N" TargetMode="External"/><Relationship Id="rId127" Type="http://schemas.openxmlformats.org/officeDocument/2006/relationships/hyperlink" Target="https://www.instagram.com/explore/search/keyword/?q=%23tdahadulto" TargetMode="External"/><Relationship Id="rId126" Type="http://schemas.openxmlformats.org/officeDocument/2006/relationships/hyperlink" Target="https://scontent-gru2-2.cdninstagram.com/v/t51.2885-19/472290144_1175088774045206_5896511368956600051_n.jpg?stp=dst-jpg_s150x150_tt6&amp;efg=eyJ2ZW5jb2RlX3RhZyI6InByb2ZpbGVfcGljLmRqYW5nby4xMDgwLmMyIn0&amp;_nc_ht=scontent-gru2-2.cdninstagram.com&amp;_nc_cat=102&amp;_nc_oc=Q6cZ2QHNKF_hOoZMP3TGSdiWLT5mzz8T_eiI9bEOll362VdVyGSxQkVmqBnjz58WQBOkPWwsHyEWaxNkqigVNgzUBLh1&amp;_nc_ohc=7Nsp4hwTedsQ7kNvwG6izLo&amp;_nc_gid=1AjyOG3i1vJelwrTcZxakA&amp;edm=AFlAz-oBAAAA&amp;ccb=7-5&amp;oh=00_AfgU-JzM1YXz7bZEBzIYkjZeMEiHOEptG1B4_FYZ5fz61w&amp;oe=691BE654&amp;_nc_sid=76c0fc" TargetMode="External"/><Relationship Id="rId26" Type="http://schemas.openxmlformats.org/officeDocument/2006/relationships/hyperlink" Target="https://www.instagram.com/explore/search/keyword/?q=%23tdahadulto" TargetMode="External"/><Relationship Id="rId121" Type="http://schemas.openxmlformats.org/officeDocument/2006/relationships/hyperlink" Target="https://www.instagram.com/explore/search/keyword/?q=%23tdahadulto" TargetMode="External"/><Relationship Id="rId25" Type="http://schemas.openxmlformats.org/officeDocument/2006/relationships/hyperlink" Target="https://scontent-gru2-2.cdninstagram.com/v/t39.30808-6/544978792_122221462574140747_4246589021929324983_n.jpg?stp=dst-jpg_e35_tt6&amp;_nc_cat=106&amp;ig_cache_key=MzcxNzM5ODkzMDUyODY2MzExMw%3D%3D.3-ccb1-7&amp;ccb=1-7&amp;_nc_sid=58cdad&amp;efg=eyJ2ZW5jb2RlX3RhZyI6InhwaWRzLjEwODB4MTM1MC5zZHIuQzMifQ%3D%3D&amp;_nc_ohc=vShHZANp1_0Q7kNvwHe0Ylt&amp;_nc_oc=AdlEW4lE09epVihEqUIblJAfVDGZpR8Hm4mtCdzI-MBX6qbWi81qII37x1_9semVxsaMOFa52ZhpBLLLGWAcm6eN&amp;_nc_ad=z-m&amp;_nc_cid=0&amp;_nc_zt=23&amp;_nc_ht=scontent-gru2-2.cdninstagram.com&amp;_nc_gid=832jxjWftkKYOGhz8kgttw&amp;oh=00_AfiTbCDyXOMBZNs509004BowxFzKdaPsPZNuk2qTziEiIQ&amp;oe=691BD26A" TargetMode="External"/><Relationship Id="rId120" Type="http://schemas.openxmlformats.org/officeDocument/2006/relationships/hyperlink" Target="https://scontent-gru2-1.cdninstagram.com/v/t51.2885-19/344807136_490778286508415_6395815474439191749_n.jpg?stp=dst-jpg_s150x150_tt6&amp;efg=eyJ2ZW5jb2RlX3RhZyI6InByb2ZpbGVfcGljLmRqYW5nby42MTIuYzIifQ&amp;_nc_ht=scontent-gru2-1.cdninstagram.com&amp;_nc_cat=111&amp;_nc_oc=Q6cZ2QETcPv2IlJjxvB1iy525qRPSPl0KC2zFEuXJ4UHfZbQ2xKiFdcNPvgNnrYq2_QM4fPgILW6Fa1wgoAqr8mVC6o2&amp;_nc_ohc=hHV60nbMirwQ7kNvwErjBCW&amp;_nc_gid=LQFygQynK17yJqjuqKMq3Q&amp;edm=AFlAz-oBAAAA&amp;ccb=7-5&amp;oh=00_Afg2TboKzENuU8ZeGG2hhwaLGYhZkc9Q2dQ1N2DpRstdQw&amp;oe=691BFECB&amp;_nc_sid=76c0fc" TargetMode="External"/><Relationship Id="rId28" Type="http://schemas.openxmlformats.org/officeDocument/2006/relationships/hyperlink" Target="https://scontent-gru1-2.cdninstagram.com/v/t51.2885-19/363500112_265279026131451_3375377597105336600_n.jpg?stp=dst-jpg_s150x150_tt6&amp;efg=eyJ2ZW5jb2RlX3RhZyI6InByb2ZpbGVfcGljLmRqYW5nby4xMDgwLmMyIn0&amp;_nc_ht=scontent-gru1-2.cdninstagram.com&amp;_nc_cat=103&amp;_nc_oc=Q6cZ2QF_7ptarWIDxLQefAQP7jjZgjnL08KAuVm4XgP8894Q5wMko3rhS2q9wnBYbHhZfcBPUSFTNQVgLTyYpt_NADMy&amp;_nc_ohc=lTeuoHmBi40Q7kNvwFORD9S&amp;_nc_gid=832jxjWftkKYOGhz8kgttw&amp;edm=AFlAz-oBAAAA&amp;ccb=7-5&amp;oh=00_AfgkuEqLlk6PrPJ5KL4_DvP_T3WfHQyVSj6ybLRMnvLrmg&amp;oe=691C0081&amp;_nc_sid=76c0fc" TargetMode="External"/><Relationship Id="rId27" Type="http://schemas.openxmlformats.org/officeDocument/2006/relationships/hyperlink" Target="https://www.instagram.com/p/DOXBit6DGdz" TargetMode="External"/><Relationship Id="rId125" Type="http://schemas.openxmlformats.org/officeDocument/2006/relationships/hyperlink" Target="https://www.instagram.com/p/DOdo5sUjeif" TargetMode="External"/><Relationship Id="rId29" Type="http://schemas.openxmlformats.org/officeDocument/2006/relationships/hyperlink" Target="https://www.instagram.com/explore/search/keyword/?q=%23tdahadulto" TargetMode="External"/><Relationship Id="rId124" Type="http://schemas.openxmlformats.org/officeDocument/2006/relationships/hyperlink" Target="https://www.instagram.com/explore/search/keyword/?q=%23tdahadulto" TargetMode="External"/><Relationship Id="rId123" Type="http://schemas.openxmlformats.org/officeDocument/2006/relationships/hyperlink" Target="https://scontent-gru1-2.cdninstagram.com/v/t51.2885-19/464563669_1203077240771007_4761419916236182529_n.jpg?stp=dst-jpg_s150x150_tt6&amp;efg=eyJ2ZW5jb2RlX3RhZyI6InByb2ZpbGVfcGljLmRqYW5nby4xMDgwLmMyIn0&amp;_nc_ht=scontent-gru1-2.cdninstagram.com&amp;_nc_cat=103&amp;_nc_oc=Q6cZ2QHNKF_hOoZMP3TGSdiWLT5mzz8T_eiI9bEOll362VdVyGSxQkVmqBnjz58WQBOkPWwsHyEWaxNkqigVNgzUBLh1&amp;_nc_ohc=-oHfAoTv0H4Q7kNvwH4Qk6a&amp;_nc_gid=1AjyOG3i1vJelwrTcZxakA&amp;edm=AFlAz-oBAAAA&amp;ccb=7-5&amp;oh=00_Afg2wBTXvy8-PrARK7Hl1riT4xUubj8HgaTQJhZUpmtZNg&amp;oe=691BD27E&amp;_nc_sid=76c0fc" TargetMode="External"/><Relationship Id="rId122" Type="http://schemas.openxmlformats.org/officeDocument/2006/relationships/hyperlink" Target="https://www.instagram.com/p/DQzrtEZkTAB" TargetMode="External"/><Relationship Id="rId95" Type="http://schemas.openxmlformats.org/officeDocument/2006/relationships/hyperlink" Target="https://www.instagram.com/p/DQMsRZmjqs8" TargetMode="External"/><Relationship Id="rId94" Type="http://schemas.openxmlformats.org/officeDocument/2006/relationships/hyperlink" Target="https://www.instagram.com/explore/search/keyword/?q=%23tdahadulto" TargetMode="External"/><Relationship Id="rId97" Type="http://schemas.openxmlformats.org/officeDocument/2006/relationships/hyperlink" Target="https://scontent-gru1-2.cdninstagram.com/v/t51.82787-15/570641213_17979923978924226_5071576094681920874_n.jpg?stp=dst-jpg_e35_tt6&amp;_nc_cat=108&amp;ig_cache_key=Mzc1MDU2NzI5OTQ2MDgwMzM4OA%3D%3D.3-ccb1-7&amp;ccb=1-7&amp;_nc_sid=58cdad&amp;efg=eyJ2ZW5jb2RlX3RhZyI6InhwaWRzLjEzNjV4MTgyMC5zZHIuQzMifQ%3D%3D&amp;_nc_ohc=JjV-sdAD7WcQ7kNvwHrLU_X&amp;_nc_oc=AdlC5UEWW7KzgHb73Xphc32xaydilAWSZy1IuweGCm2g_Wved8Cmzy7ZXJSuxt91fvN0jT4KfbfOEOiYYF3mqqj3&amp;_nc_ad=z-m&amp;_nc_cid=0&amp;_nc_zt=23&amp;_nc_ht=scontent-gru1-2.cdninstagram.com&amp;_nc_gid=LQFygQynK17yJqjuqKMq3Q&amp;oh=00_AfjIBr-Ui7bBtzQD6TxIHpDDjYt951JnhxLkxb8YNpH2og&amp;oe=691BF7F9" TargetMode="External"/><Relationship Id="rId96" Type="http://schemas.openxmlformats.org/officeDocument/2006/relationships/hyperlink" Target="https://scontent-gru2-2.cdninstagram.com/v/t51.2885-19/499717188_17962293182924226_8051082587939779144_n.jpg?stp=dst-jpg_s150x150_tt6&amp;efg=eyJ2ZW5jb2RlX3RhZyI6InByb2ZpbGVfcGljLmRqYW5nby4xMDgwLmMyIn0&amp;_nc_ht=scontent-gru2-2.cdninstagram.com&amp;_nc_cat=106&amp;_nc_oc=Q6cZ2QETcPv2IlJjxvB1iy525qRPSPl0KC2zFEuXJ4UHfZbQ2xKiFdcNPvgNnrYq2_QM4fPgILW6Fa1wgoAqr8mVC6o2&amp;_nc_ohc=BXOA7x6bpfwQ7kNvwEkF3MX&amp;_nc_gid=LQFygQynK17yJqjuqKMq3Q&amp;edm=AFlAz-oBAAAA&amp;ccb=7-5&amp;oh=00_AfhlRah0TWlI5GnWM-A_FhuPJtRLmnBm0P-gqAPltBrokA&amp;oe=691BE0AE&amp;_nc_sid=76c0fc" TargetMode="External"/><Relationship Id="rId11" Type="http://schemas.openxmlformats.org/officeDocument/2006/relationships/hyperlink" Target="https://www.instagram.com/p/DNl0zqdOfqn" TargetMode="External"/><Relationship Id="rId99" Type="http://schemas.openxmlformats.org/officeDocument/2006/relationships/hyperlink" Target="https://www.instagram.com/explore/search/keyword/?q=%23tdahadulto" TargetMode="External"/><Relationship Id="rId10" Type="http://schemas.openxmlformats.org/officeDocument/2006/relationships/hyperlink" Target="https://www.instagram.com/explore/search/keyword/?q=%23tdahadulto" TargetMode="External"/><Relationship Id="rId98" Type="http://schemas.openxmlformats.org/officeDocument/2006/relationships/hyperlink" Target="https://scontent-gru1-2.cdninstagram.com/v/t51.82787-15/570641213_17979923978924226_5071576094681920874_n.jpg?stp=dst-jpg_e35_tt6&amp;_nc_cat=108&amp;ig_cache_key=Mzc1MDU2NzI5OTQ2MDgwMzM4OA%3D%3D.3-ccb1-7&amp;ccb=1-7&amp;_nc_sid=58cdad&amp;efg=eyJ2ZW5jb2RlX3RhZyI6InhwaWRzLjEzNjV4MTgyMC5zZHIuQzMifQ%3D%3D&amp;_nc_ohc=JjV-sdAD7WcQ7kNvwHrLU_X&amp;_nc_oc=AdlC5UEWW7KzgHb73Xphc32xaydilAWSZy1IuweGCm2g_Wved8Cmzy7ZXJSuxt91fvN0jT4KfbfOEOiYYF3mqqj3&amp;_nc_ad=z-m&amp;_nc_cid=0&amp;_nc_zt=23&amp;_nc_ht=scontent-gru1-2.cdninstagram.com&amp;_nc_gid=LQFygQynK17yJqjuqKMq3Q&amp;oh=00_AfjIBr-Ui7bBtzQD6TxIHpDDjYt951JnhxLkxb8YNpH2og&amp;oe=691BF7F9" TargetMode="External"/><Relationship Id="rId13" Type="http://schemas.openxmlformats.org/officeDocument/2006/relationships/hyperlink" Target="https://www.instagram.com/explore/search/keyword/?q=%23tdahadulto" TargetMode="External"/><Relationship Id="rId12" Type="http://schemas.openxmlformats.org/officeDocument/2006/relationships/hyperlink" Target="https://scontent-gru1-2.cdninstagram.com/v/t51.2885-19/451657023_4166843333546180_2546503847286835108_n.jpg?stp=dst-jpg_s150x150_tt6&amp;efg=eyJ2ZW5jb2RlX3RhZyI6InByb2ZpbGVfcGljLmRqYW5nby40MTEuYzIifQ&amp;_nc_ht=scontent-gru1-2.cdninstagram.com&amp;_nc_cat=108&amp;_nc_oc=Q6cZ2QF_7ptarWIDxLQefAQP7jjZgjnL08KAuVm4XgP8894Q5wMko3rhS2q9wnBYbHhZfcBPUSFTNQVgLTyYpt_NADMy&amp;_nc_ohc=0mKuy0JCxZsQ7kNvwHMTwd6&amp;_nc_gid=832jxjWftkKYOGhz8kgttw&amp;edm=AFlAz-oBAAAA&amp;ccb=7-5&amp;oh=00_AfjXlmX9M0jdvLESeRqIDU6QipVJd9rzfFak_rX0QvNdTA&amp;oe=691BFB23&amp;_nc_sid=76c0fc" TargetMode="External"/><Relationship Id="rId91" Type="http://schemas.openxmlformats.org/officeDocument/2006/relationships/hyperlink" Target="https://scontent-gru1-1.cdninstagram.com/v/t51.2885-19/450502028_364227709756384_5207360741911199062_n.jpg?stp=dst-jpg_s150x150_tt6&amp;efg=eyJ2ZW5jb2RlX3RhZyI6InByb2ZpbGVfcGljLmRqYW5nby4xMDgwLmMyIn0&amp;_nc_ht=scontent-gru1-1.cdninstagram.com&amp;_nc_cat=104&amp;_nc_oc=Q6cZ2QETcPv2IlJjxvB1iy525qRPSPl0KC2zFEuXJ4UHfZbQ2xKiFdcNPvgNnrYq2_QM4fPgILW6Fa1wgoAqr8mVC6o2&amp;_nc_ohc=QE8KkbogRx4Q7kNvwGBtZF9&amp;_nc_gid=LQFygQynK17yJqjuqKMq3Q&amp;edm=AFlAz-oBAAAA&amp;ccb=7-5&amp;oh=00_Afgf-09gYNeWyHFyfXXnNglibDviznssrck3Astn8SmDMw&amp;oe=691BCB8C&amp;_nc_sid=76c0fc" TargetMode="External"/><Relationship Id="rId90" Type="http://schemas.openxmlformats.org/officeDocument/2006/relationships/hyperlink" Target="https://www.instagram.com/p/DQemgHrDr6H" TargetMode="External"/><Relationship Id="rId93" Type="http://schemas.openxmlformats.org/officeDocument/2006/relationships/hyperlink" Target="https://scontent-gru1-2.cdninstagram.com/v/t51.82787-15/573183869_18546510979056012_8445509204532759725_n.webp?_nc_cat=100&amp;ig_cache_key=Mzc1NTYwODQ3MjMwMjgyOTE5MQ%3D%3D.3-ccb1-7&amp;ccb=1-7&amp;_nc_sid=58cdad&amp;efg=eyJ2ZW5jb2RlX3RhZyI6InhwaWRzLjE0NDB4MTgwMC5zZHIuQzMifQ%3D%3D&amp;_nc_ohc=mpT-V5Hyv1kQ7kNvwHDqU-0&amp;_nc_oc=Adn9yotx7Mk6ipMBveCUkHOMEEqsAj8GhShTLcMuNa8zXzdGW7S2IIf7dd-mDizzg-e4yVBJ82Dxt2xL9Za_1M0M&amp;_nc_ad=z-m&amp;_nc_cid=0&amp;_nc_zt=23&amp;_nc_ht=scontent-gru1-2.cdninstagram.com&amp;_nc_gid=LQFygQynK17yJqjuqKMq3Q&amp;oh=00_Afge9kHmIP1OlRZNpcP-TeBa8DPl2ifiH9AaBI9bJ32kQg&amp;oe=691BD82B" TargetMode="External"/><Relationship Id="rId92" Type="http://schemas.openxmlformats.org/officeDocument/2006/relationships/hyperlink" Target="https://scontent-gru1-2.cdninstagram.com/v/t51.82787-15/573183869_18546510979056012_8445509204532759725_n.webp?_nc_cat=100&amp;ig_cache_key=Mzc1NTYwODQ3MjMwMjgyOTE5MQ%3D%3D.3-ccb1-7&amp;ccb=1-7&amp;_nc_sid=58cdad&amp;efg=eyJ2ZW5jb2RlX3RhZyI6InhwaWRzLjE0NDB4MTgwMC5zZHIuQzMifQ%3D%3D&amp;_nc_ohc=mpT-V5Hyv1kQ7kNvwHDqU-0&amp;_nc_oc=Adn9yotx7Mk6ipMBveCUkHOMEEqsAj8GhShTLcMuNa8zXzdGW7S2IIf7dd-mDizzg-e4yVBJ82Dxt2xL9Za_1M0M&amp;_nc_ad=z-m&amp;_nc_cid=0&amp;_nc_zt=23&amp;_nc_ht=scontent-gru1-2.cdninstagram.com&amp;_nc_gid=LQFygQynK17yJqjuqKMq3Q&amp;oh=00_Afge9kHmIP1OlRZNpcP-TeBa8DPl2ifiH9AaBI9bJ32kQg&amp;oe=691BD82B" TargetMode="External"/><Relationship Id="rId118" Type="http://schemas.openxmlformats.org/officeDocument/2006/relationships/hyperlink" Target="https://www.instagram.com/explore/search/keyword/?q=%23tdahadulto" TargetMode="External"/><Relationship Id="rId117" Type="http://schemas.openxmlformats.org/officeDocument/2006/relationships/hyperlink" Target="https://scontent-gru1-2.cdninstagram.com/v/t51.2885-19/541301317_18066670676242904_229664044403058617_n.jpg?stp=dst-jpg_s150x150_tt6&amp;efg=eyJ2ZW5jb2RlX3RhZyI6InByb2ZpbGVfcGljLmRqYW5nby4xMDgwLmMyIn0&amp;_nc_ht=scontent-gru1-2.cdninstagram.com&amp;_nc_cat=108&amp;_nc_oc=Q6cZ2QETcPv2IlJjxvB1iy525qRPSPl0KC2zFEuXJ4UHfZbQ2xKiFdcNPvgNnrYq2_QM4fPgILW6Fa1wgoAqr8mVC6o2&amp;_nc_ohc=1kY-jtOq7F0Q7kNvwF4XX9O&amp;_nc_gid=LQFygQynK17yJqjuqKMq3Q&amp;edm=AFlAz-oBAAAA&amp;ccb=7-5&amp;oh=00_AfivuEZ8_iPpYL2ou5C_ipz-IkTfk4PVA4jTvVhygviwMw&amp;oe=691BED7C&amp;_nc_sid=76c0fc" TargetMode="External"/><Relationship Id="rId116" Type="http://schemas.openxmlformats.org/officeDocument/2006/relationships/hyperlink" Target="https://www.instagram.com/p/DNlzlzaRN_u" TargetMode="External"/><Relationship Id="rId115" Type="http://schemas.openxmlformats.org/officeDocument/2006/relationships/hyperlink" Target="https://www.instagram.com/explore/search/keyword/?q=%23tdahadulto" TargetMode="External"/><Relationship Id="rId119" Type="http://schemas.openxmlformats.org/officeDocument/2006/relationships/hyperlink" Target="https://www.instagram.com/p/DO3U7-WDLTW" TargetMode="External"/><Relationship Id="rId15" Type="http://schemas.openxmlformats.org/officeDocument/2006/relationships/hyperlink" Target="https://scontent-gru2-2.cdninstagram.com/v/t51.2885-19/454655817_415212718224218_4878863477330946250_n.jpg?stp=dst-jpg_s150x150_tt6&amp;efg=eyJ2ZW5jb2RlX3RhZyI6InByb2ZpbGVfcGljLmRqYW5nby4xMDQwLmMyIn0&amp;_nc_ht=scontent-gru2-2.cdninstagram.com&amp;_nc_cat=102&amp;_nc_oc=Q6cZ2QF_7ptarWIDxLQefAQP7jjZgjnL08KAuVm4XgP8894Q5wMko3rhS2q9wnBYbHhZfcBPUSFTNQVgLTyYpt_NADMy&amp;_nc_ohc=baETodjAF6oQ7kNvwHj2rsw&amp;_nc_gid=832jxjWftkKYOGhz8kgttw&amp;edm=AFlAz-oBAAAA&amp;ccb=7-5&amp;oh=00_Afgsv3-JVqgWVh86YJFilRoZ_I3bwD-tPn1B2xl0g34kaw&amp;oe=691BE300&amp;_nc_sid=76c0fc" TargetMode="External"/><Relationship Id="rId110" Type="http://schemas.openxmlformats.org/officeDocument/2006/relationships/hyperlink" Target="https://scontent-gru2-2.cdninstagram.com/v/t51.82787-15/542755198_18150124489396574_8245639017043959411_n.jpg?stp=dst-jpg_e35_tt6&amp;_nc_cat=102&amp;ig_cache_key=MzcxNDE2MzUwNTg2ODM1MzI3OA%3D%3D.3-ccb1-7&amp;ccb=1-7&amp;_nc_sid=58cdad&amp;efg=eyJ2ZW5jb2RlX3RhZyI6InhwaWRzLjExNDd4MTQ2Mi5zZHIuQzMifQ%3D%3D&amp;_nc_ohc=TZU3qtiAleEQ7kNvwEi_gNn&amp;_nc_oc=Admg_fKOayrg-6Vpsz0ybUQl_qWddXK0dIRLmsfQMlSFjeN-h1buqXbbB3EJktVIjLyo8CKXl1cMYg2bVHC2dHQF&amp;_nc_ad=z-m&amp;_nc_cid=0&amp;_nc_zt=23&amp;_nc_ht=scontent-gru2-2.cdninstagram.com&amp;_nc_gid=LQFygQynK17yJqjuqKMq3Q&amp;oh=00_Afjwtuksuu5-vX4g4Val2AvZV5Z3HvE-PnMSnD2AtutcDg&amp;oe=691BD22F" TargetMode="External"/><Relationship Id="rId14" Type="http://schemas.openxmlformats.org/officeDocument/2006/relationships/hyperlink" Target="https://www.instagram.com/p/DOE3bzkD4YT" TargetMode="External"/><Relationship Id="rId17" Type="http://schemas.openxmlformats.org/officeDocument/2006/relationships/hyperlink" Target="https://www.instagram.com/p/DOyceyqDJRi" TargetMode="External"/><Relationship Id="rId16" Type="http://schemas.openxmlformats.org/officeDocument/2006/relationships/hyperlink" Target="https://www.instagram.com/explore/search/keyword/?q=%23tdahadulto" TargetMode="External"/><Relationship Id="rId19" Type="http://schemas.openxmlformats.org/officeDocument/2006/relationships/hyperlink" Target="https://scontent-gru2-2.cdninstagram.com/v/t39.30808-6/547739167_1332859212178548_2277358149879575446_n.jpg?stp=dst-jpg_e35_tt6&amp;_nc_cat=102&amp;ig_cache_key=MzcyNTE2NTEwMzA2Nzk5MzE4Ng%3D%3D.3-ccb1-7&amp;ccb=1-7&amp;_nc_sid=58cdad&amp;efg=eyJ2ZW5jb2RlX3RhZyI6InhwaWRzLjEwODB4MTM1MC5zZHIuQzMifQ%3D%3D&amp;_nc_ohc=DcaA7XQl-2QQ7kNvwHxa2Jf&amp;_nc_oc=AdkASy92FQGSlHxkszUW6YFrzBzAK-DzWHJqSXNgqtS8bC82eNOfLDh-Qvl-i-67MJuVfXE3scvewCevl__QCbxk&amp;_nc_ad=z-m&amp;_nc_cid=0&amp;_nc_zt=23&amp;_nc_ht=scontent-gru2-2.cdninstagram.com&amp;_nc_gid=832jxjWftkKYOGhz8kgttw&amp;oh=00_AfiZ4Tw_w_TeghTSiT3y03TwZQwYqcK_g1_5CzGjntKBBQ&amp;oe=691BE98B" TargetMode="External"/><Relationship Id="rId114" Type="http://schemas.openxmlformats.org/officeDocument/2006/relationships/hyperlink" Target="https://scontent-gru1-2.cdninstagram.com/v/t51.2885-19/533955389_18072947732089832_1852310563428573706_n.jpg?stp=dst-jpg_s150x150_tt6&amp;efg=eyJ2ZW5jb2RlX3RhZyI6InByb2ZpbGVfcGljLmRqYW5nby4xMDgwLmMyIn0&amp;_nc_ht=scontent-gru1-2.cdninstagram.com&amp;_nc_cat=108&amp;_nc_oc=Q6cZ2QETcPv2IlJjxvB1iy525qRPSPl0KC2zFEuXJ4UHfZbQ2xKiFdcNPvgNnrYq2_QM4fPgILW6Fa1wgoAqr8mVC6o2&amp;_nc_ohc=WZXH1IMNx8YQ7kNvwF0Lcxw&amp;_nc_gid=LQFygQynK17yJqjuqKMq3Q&amp;edm=AFlAz-oBAAAA&amp;ccb=7-5&amp;oh=00_Afg5AV1VbgxG32T031JY4RNawahec_C37i8jjdIYhrBunA&amp;oe=691BF288&amp;_nc_sid=76c0fc" TargetMode="External"/><Relationship Id="rId18" Type="http://schemas.openxmlformats.org/officeDocument/2006/relationships/hyperlink" Target="https://scontent-gru2-1.cdninstagram.com/v/t51.2885-19/343300468_614553440272619_4120800574994471110_n.jpg?stp=dst-jpg_s150x150_tt6&amp;efg=eyJ2ZW5jb2RlX3RhZyI6InByb2ZpbGVfcGljLmRqYW5nby45MzIuYzIifQ&amp;_nc_ht=scontent-gru2-1.cdninstagram.com&amp;_nc_cat=111&amp;_nc_oc=Q6cZ2QF_7ptarWIDxLQefAQP7jjZgjnL08KAuVm4XgP8894Q5wMko3rhS2q9wnBYbHhZfcBPUSFTNQVgLTyYpt_NADMy&amp;_nc_ohc=2eDuyJC8GLQQ7kNvwFU9JL-&amp;_nc_gid=832jxjWftkKYOGhz8kgttw&amp;edm=AFlAz-oBAAAA&amp;ccb=7-5&amp;oh=00_Afi40RO1uBaMnZj6henFLhciyy4CGadKCJICz7i9GLSPVQ&amp;oe=691BFC39&amp;_nc_sid=76c0fc" TargetMode="External"/><Relationship Id="rId113" Type="http://schemas.openxmlformats.org/officeDocument/2006/relationships/hyperlink" Target="https://www.instagram.com/p/DOwCENwkZHz" TargetMode="External"/><Relationship Id="rId112" Type="http://schemas.openxmlformats.org/officeDocument/2006/relationships/hyperlink" Target="https://www.instagram.com/explore/search/keyword/?q=%23tdahadulto" TargetMode="External"/><Relationship Id="rId111" Type="http://schemas.openxmlformats.org/officeDocument/2006/relationships/hyperlink" Target="https://scontent-gru2-2.cdninstagram.com/v/t51.82787-15/542755198_18150124489396574_8245639017043959411_n.jpg?stp=dst-jpg_e35_tt6&amp;_nc_cat=102&amp;ig_cache_key=MzcxNDE2MzUwNTg2ODM1MzI3OA%3D%3D.3-ccb1-7&amp;ccb=1-7&amp;_nc_sid=58cdad&amp;efg=eyJ2ZW5jb2RlX3RhZyI6InhwaWRzLjExNDd4MTQ2Mi5zZHIuQzMifQ%3D%3D&amp;_nc_ohc=TZU3qtiAleEQ7kNvwEi_gNn&amp;_nc_oc=Admg_fKOayrg-6Vpsz0ybUQl_qWddXK0dIRLmsfQMlSFjeN-h1buqXbbB3EJktVIjLyo8CKXl1cMYg2bVHC2dHQF&amp;_nc_ad=z-m&amp;_nc_cid=0&amp;_nc_zt=23&amp;_nc_ht=scontent-gru2-2.cdninstagram.com&amp;_nc_gid=LQFygQynK17yJqjuqKMq3Q&amp;oh=00_Afjwtuksuu5-vX4g4Val2AvZV5Z3HvE-PnMSnD2AtutcDg&amp;oe=691BD22F" TargetMode="External"/><Relationship Id="rId84" Type="http://schemas.openxmlformats.org/officeDocument/2006/relationships/hyperlink" Target="https://www.instagram.com/p/DQWatMWDl3O" TargetMode="External"/><Relationship Id="rId83" Type="http://schemas.openxmlformats.org/officeDocument/2006/relationships/hyperlink" Target="https://www.instagram.com/explore/search/keyword/?q=%23tdahadulto" TargetMode="External"/><Relationship Id="rId86" Type="http://schemas.openxmlformats.org/officeDocument/2006/relationships/hyperlink" Target="https://www.instagram.com/explore/search/keyword/?q=%23tdahadulto" TargetMode="External"/><Relationship Id="rId85" Type="http://schemas.openxmlformats.org/officeDocument/2006/relationships/hyperlink" Target="https://scontent-gru2-2.cdninstagram.com/v/t51.2885-19/335795124_3548520618700910_5888096039141705614_n.jpg?stp=dst-jpg_s150x150_tt6&amp;efg=eyJ2ZW5jb2RlX3RhZyI6InByb2ZpbGVfcGljLmRqYW5nby4xMDQwLmMyIn0&amp;_nc_ht=scontent-gru2-2.cdninstagram.com&amp;_nc_cat=102&amp;_nc_oc=Q6cZ2QF_7ptarWIDxLQefAQP7jjZgjnL08KAuVm4XgP8894Q5wMko3rhS2q9wnBYbHhZfcBPUSFTNQVgLTyYpt_NADMy&amp;_nc_ohc=0s3FUOAdoP4Q7kNvwGsMLrP&amp;_nc_gid=832jxjWftkKYOGhz8kgttw&amp;edm=AFlAz-oBAAAA&amp;ccb=7-5&amp;oh=00_AfiCQ0D0h5xxSWo-Q6XHiqJS1zqL9dTAGgISVmDHR5XLKg&amp;oe=691BED99&amp;_nc_sid=76c0fc" TargetMode="External"/><Relationship Id="rId88" Type="http://schemas.openxmlformats.org/officeDocument/2006/relationships/hyperlink" Target="https://scontent-gru1-1.cdninstagram.com/v/t51.2885-19/419966317_2034897496883497_3859836952302701172_n.jpg?stp=dst-jpg_s150x150_tt6&amp;efg=eyJ2ZW5jb2RlX3RhZyI6InByb2ZpbGVfcGljLmRqYW5nby4xMDgwLmMyIn0&amp;_nc_ht=scontent-gru1-1.cdninstagram.com&amp;_nc_cat=101&amp;_nc_oc=Q6cZ2QF_7ptarWIDxLQefAQP7jjZgjnL08KAuVm4XgP8894Q5wMko3rhS2q9wnBYbHhZfcBPUSFTNQVgLTyYpt_NADMy&amp;_nc_ohc=EFZ2xaKkMogQ7kNvwHP7Els&amp;_nc_gid=832jxjWftkKYOGhz8kgttw&amp;edm=AFlAz-oBAAAA&amp;ccb=7-5&amp;oh=00_Afg7TqOs916QmDWn-mnOCB2_7zhZLqWTK0JDG99M2Z156Q&amp;oe=691BFE34&amp;_nc_sid=76c0fc" TargetMode="External"/><Relationship Id="rId150" Type="http://schemas.openxmlformats.org/officeDocument/2006/relationships/hyperlink" Target="https://www.instagram.com/p/DQ0yLbUDWVz" TargetMode="External"/><Relationship Id="rId87" Type="http://schemas.openxmlformats.org/officeDocument/2006/relationships/hyperlink" Target="https://www.instagram.com/p/DQmdkIvDuGI" TargetMode="External"/><Relationship Id="rId89" Type="http://schemas.openxmlformats.org/officeDocument/2006/relationships/hyperlink" Target="https://www.instagram.com/explore/search/keyword/?q=%23tdahadulto" TargetMode="External"/><Relationship Id="rId80" Type="http://schemas.openxmlformats.org/officeDocument/2006/relationships/hyperlink" Target="https://scontent-gru1-2.cdninstagram.com/v/t51.2885-19/426458979_952955632911502_394692814858028166_n.jpg?stp=dst-jpg_s150x150_tt6&amp;efg=eyJ2ZW5jb2RlX3RhZyI6InByb2ZpbGVfcGljLmRqYW5nby4xMDgwLmMyIn0&amp;_nc_ht=scontent-gru1-2.cdninstagram.com&amp;_nc_cat=110&amp;_nc_oc=Q6cZ2QF_7ptarWIDxLQefAQP7jjZgjnL08KAuVm4XgP8894Q5wMko3rhS2q9wnBYbHhZfcBPUSFTNQVgLTyYpt_NADMy&amp;_nc_ohc=3Lc4tKa3QDIQ7kNvwHbSKrh&amp;_nc_gid=832jxjWftkKYOGhz8kgttw&amp;edm=AFlAz-oBAAAA&amp;ccb=7-5&amp;oh=00_AfgMHFip-VBN0KuPMruG6f6D5P0d2xJYl1gm-YVsl0_IJQ&amp;oe=691BF301&amp;_nc_sid=76c0fc" TargetMode="External"/><Relationship Id="rId82" Type="http://schemas.openxmlformats.org/officeDocument/2006/relationships/hyperlink" Target="https://scontent-gru1-2.cdninstagram.com/v/t51.82787-15/532941289_17943575673037290_317824291640019916_n.jpg?stp=dst-jpg_e35_tt6&amp;_nc_cat=100&amp;ig_cache_key=MzY5OTIxMTEzMTYyNDUzNzU1Mg%3D%3D.3-ccb1-7&amp;ccb=1-7&amp;_nc_sid=58cdad&amp;efg=eyJ2ZW5jb2RlX3RhZyI6InhwaWRzLjEwODB4MTM1MC5zZHIuQzMifQ%3D%3D&amp;_nc_ohc=82cw0uXWsRMQ7kNvwHINUmr&amp;_nc_oc=Adnn7l6WCQpKboeoPjZE1njUDE43FShtr1pf2SdLrNOBQjeJ91jimc3jzcvI9NVAwdvVnWLUUkydHMzAfsRVlune&amp;_nc_ad=z-m&amp;_nc_cid=0&amp;_nc_zt=23&amp;_nc_ht=scontent-gru1-2.cdninstagram.com&amp;_nc_gid=832jxjWftkKYOGhz8kgttw&amp;oh=00_AfgcZY3ruHebrH9e0ySQzNygULmDbgPh4hlFAVAuDc4x-w&amp;oe=691BEF9D" TargetMode="External"/><Relationship Id="rId81" Type="http://schemas.openxmlformats.org/officeDocument/2006/relationships/hyperlink" Target="https://scontent-gru1-2.cdninstagram.com/v/t51.82787-15/532941289_17943575673037290_317824291640019916_n.jpg?stp=dst-jpg_e35_tt6&amp;_nc_cat=100&amp;ig_cache_key=MzY5OTIxMTEzMTYyNDUzNzU1Mg%3D%3D.3-ccb1-7&amp;ccb=1-7&amp;_nc_sid=58cdad&amp;efg=eyJ2ZW5jb2RlX3RhZyI6InhwaWRzLjEwODB4MTM1MC5zZHIuQzMifQ%3D%3D&amp;_nc_ohc=82cw0uXWsRMQ7kNvwHINUmr&amp;_nc_oc=Adnn7l6WCQpKboeoPjZE1njUDE43FShtr1pf2SdLrNOBQjeJ91jimc3jzcvI9NVAwdvVnWLUUkydHMzAfsRVlune&amp;_nc_ad=z-m&amp;_nc_cid=0&amp;_nc_zt=23&amp;_nc_ht=scontent-gru1-2.cdninstagram.com&amp;_nc_gid=832jxjWftkKYOGhz8kgttw&amp;oh=00_AfgcZY3ruHebrH9e0ySQzNygULmDbgPh4hlFAVAuDc4x-w&amp;oe=691BEF9D" TargetMode="External"/><Relationship Id="rId1" Type="http://schemas.openxmlformats.org/officeDocument/2006/relationships/hyperlink" Target="https://www.instagram.com/explore/search/keyword/?q=%23tdahadulto" TargetMode="External"/><Relationship Id="rId2" Type="http://schemas.openxmlformats.org/officeDocument/2006/relationships/hyperlink" Target="https://www.instagram.com/p/DODha0QkZcC" TargetMode="External"/><Relationship Id="rId3" Type="http://schemas.openxmlformats.org/officeDocument/2006/relationships/hyperlink" Target="https://scontent-gru1-2.cdninstagram.com/v/t51.2885-19/491444026_17907918897137986_281999618680596715_n.jpg?stp=dst-jpg_s150x150_tt6&amp;efg=eyJ2ZW5jb2RlX3RhZyI6InByb2ZpbGVfcGljLmRqYW5nby4xMDI0LmMyIn0&amp;_nc_ht=scontent-gru1-2.cdninstagram.com&amp;_nc_cat=110&amp;_nc_oc=Q6cZ2QF_7ptarWIDxLQefAQP7jjZgjnL08KAuVm4XgP8894Q5wMko3rhS2q9wnBYbHhZfcBPUSFTNQVgLTyYpt_NADMy&amp;_nc_ohc=M-YTrUlWW7QQ7kNvwH5oOqY&amp;_nc_gid=832jxjWftkKYOGhz8kgttw&amp;edm=AFlAz-oBAAAA&amp;ccb=7-5&amp;oh=00_Afj_q7eSSNOeB3sHaF5PEYlkHAz3_vBCuZkxe3EBaVkx_g&amp;oe=691BDBCD&amp;_nc_sid=76c0fc" TargetMode="External"/><Relationship Id="rId149" Type="http://schemas.openxmlformats.org/officeDocument/2006/relationships/hyperlink" Target="https://www.instagram.com/explore/search/keyword/?q=%23tdahadulto" TargetMode="External"/><Relationship Id="rId4" Type="http://schemas.openxmlformats.org/officeDocument/2006/relationships/hyperlink" Target="https://www.instagram.com/explore/search/keyword/?q=%23tdahadulto" TargetMode="External"/><Relationship Id="rId148" Type="http://schemas.openxmlformats.org/officeDocument/2006/relationships/hyperlink" Target="https://scontent-gru1-2.cdninstagram.com/v/t51.2885-19/506332670_17881175961323112_3964075448913420440_n.jpg?stp=dst-jpg_s150x150_tt6&amp;efg=eyJ2ZW5jb2RlX3RhZyI6InByb2ZpbGVfcGljLmRqYW5nby44MzguYzIifQ&amp;_nc_ht=scontent-gru1-2.cdninstagram.com&amp;_nc_cat=100&amp;_nc_oc=Q6cZ2QHIM57Vkz8sP2bRWgbQeBxsrbb3FfDicJ4c-cZaFeYqbOZ7_WPKh1iZVn8wmdvntjJe6L9TLGj2hkxB-TtCwsjC&amp;_nc_ohc=FGBVNV2HXtUQ7kNvwEnsM5A&amp;_nc_gid=mECJj3bvLNFJ797yZUcNFw&amp;edm=AI8qBrIBAAAA&amp;ccb=7-5&amp;oh=00_AfiVd4pcmHXjSTAQljW0uL_iHtYI-oELmc3cCyJtdGN_hg&amp;oe=691BCC23&amp;_nc_sid=469e9a" TargetMode="External"/><Relationship Id="rId9" Type="http://schemas.openxmlformats.org/officeDocument/2006/relationships/hyperlink" Target="https://scontent-gru2-1.cdninstagram.com/v/t51.2885-19/332467891_870732753989791_7019283026228548322_n.jpg?stp=dst-jpg_s150x150_tt6&amp;efg=eyJ2ZW5jb2RlX3RhZyI6InByb2ZpbGVfcGljLmRqYW5nby44OTkuYzIifQ&amp;_nc_ht=scontent-gru2-1.cdninstagram.com&amp;_nc_cat=107&amp;_nc_oc=Q6cZ2QF_7ptarWIDxLQefAQP7jjZgjnL08KAuVm4XgP8894Q5wMko3rhS2q9wnBYbHhZfcBPUSFTNQVgLTyYpt_NADMy&amp;_nc_ohc=T2k9gF6fAasQ7kNvwGD-RUN&amp;_nc_gid=832jxjWftkKYOGhz8kgttw&amp;edm=AFlAz-oBAAAA&amp;ccb=7-5&amp;oh=00_AfgSoZBGqTwlWVfvIU2P8R235H-UchFMA3xlBPjlM-svIg&amp;oe=691BDF8B&amp;_nc_sid=76c0fc" TargetMode="External"/><Relationship Id="rId143" Type="http://schemas.openxmlformats.org/officeDocument/2006/relationships/hyperlink" Target="https://scontent-gru1-1.cdninstagram.com/v/t51.2885-19/530505410_17912675997179320_389768113664793802_n.jpg?stp=dst-jpg_s150x150_tt6&amp;efg=eyJ2ZW5jb2RlX3RhZyI6InByb2ZpbGVfcGljLmRqYW5nby41NzYuYzIifQ&amp;_nc_ht=scontent-gru1-1.cdninstagram.com&amp;_nc_cat=104&amp;_nc_oc=Q6cZ2QHIM57Vkz8sP2bRWgbQeBxsrbb3FfDicJ4c-cZaFeYqbOZ7_WPKh1iZVn8wmdvntjJe6L9TLGj2hkxB-TtCwsjC&amp;_nc_ohc=_0ljhdnhIQQQ7kNvwGOpDQJ&amp;_nc_gid=mECJj3bvLNFJ797yZUcNFw&amp;edm=AI8qBrIBAAAA&amp;ccb=7-5&amp;oh=00_AfjkruVVXE5MukwyUHmmE3WTNU13b6UAvrOF1rGQhTPlIg&amp;oe=691BD358&amp;_nc_sid=469e9a" TargetMode="External"/><Relationship Id="rId142" Type="http://schemas.openxmlformats.org/officeDocument/2006/relationships/hyperlink" Target="https://www.instagram.com/p/DQ1kKPnDqMq" TargetMode="External"/><Relationship Id="rId141" Type="http://schemas.openxmlformats.org/officeDocument/2006/relationships/hyperlink" Target="https://www.instagram.com/explore/search/keyword/?q=%23tdahadulto" TargetMode="External"/><Relationship Id="rId140" Type="http://schemas.openxmlformats.org/officeDocument/2006/relationships/hyperlink" Target="https://scontent-gru1-1.cdninstagram.com/v/t51.2885-19/475445362_2433447037014588_7117052640392700551_n.jpg?stp=dst-jpg_s150x150_tt6&amp;efg=eyJ2ZW5jb2RlX3RhZyI6InByb2ZpbGVfcGljLmRqYW5nby4xMDgwLmMyIn0&amp;_nc_ht=scontent-gru1-1.cdninstagram.com&amp;_nc_cat=1&amp;_nc_oc=Q6cZ2QHIM57Vkz8sP2bRWgbQeBxsrbb3FfDicJ4c-cZaFeYqbOZ7_WPKh1iZVn8wmdvntjJe6L9TLGj2hkxB-TtCwsjC&amp;_nc_ohc=STpJ7BfpPIsQ7kNvwF-xzrq&amp;_nc_gid=mECJj3bvLNFJ797yZUcNFw&amp;edm=AI8qBrIBAAAA&amp;ccb=7-5&amp;oh=00_AfjnATgL09Xoep2ITVvrzlsoizE8RnO-5p3YTs7eiYrxLQ&amp;oe=691BEE78&amp;_nc_sid=469e9a" TargetMode="External"/><Relationship Id="rId5" Type="http://schemas.openxmlformats.org/officeDocument/2006/relationships/hyperlink" Target="https://www.instagram.com/p/DNWbzK7SMM8" TargetMode="External"/><Relationship Id="rId147" Type="http://schemas.openxmlformats.org/officeDocument/2006/relationships/hyperlink" Target="https://www.instagram.com/p/DQzBUsiDt5u" TargetMode="External"/><Relationship Id="rId6" Type="http://schemas.openxmlformats.org/officeDocument/2006/relationships/hyperlink" Target="https://scontent-gru2-2.cdninstagram.com/v/t51.2885-19/498693367_18082900702816454_933490820489866059_n.jpg?stp=dst-jpg_s150x150_tt6&amp;efg=eyJ2ZW5jb2RlX3RhZyI6InByb2ZpbGVfcGljLmRqYW5nby43NjguYzIifQ&amp;_nc_ht=scontent-gru2-2.cdninstagram.com&amp;_nc_cat=102&amp;_nc_oc=Q6cZ2QF_7ptarWIDxLQefAQP7jjZgjnL08KAuVm4XgP8894Q5wMko3rhS2q9wnBYbHhZfcBPUSFTNQVgLTyYpt_NADMy&amp;_nc_ohc=XBM9YVEU8kYQ7kNvwEc4zD3&amp;_nc_gid=832jxjWftkKYOGhz8kgttw&amp;edm=AFlAz-oBAAAA&amp;ccb=7-5&amp;oh=00_AfixV9Rtv_icxa8Oi-hREGAjryDCnKWlrQwvWBQXGcfBaw&amp;oe=691BE927&amp;_nc_sid=76c0fc" TargetMode="External"/><Relationship Id="rId146" Type="http://schemas.openxmlformats.org/officeDocument/2006/relationships/hyperlink" Target="https://www.instagram.com/explore/search/keyword/?q=%23tdahadulto" TargetMode="External"/><Relationship Id="rId7" Type="http://schemas.openxmlformats.org/officeDocument/2006/relationships/hyperlink" Target="https://www.instagram.com/explore/search/keyword/?q=%23tdahadulto" TargetMode="External"/><Relationship Id="rId145" Type="http://schemas.openxmlformats.org/officeDocument/2006/relationships/hyperlink" Target="https://scontent-gru1-1.cdninstagram.com/v/t51.82787-15/575593022_17922599244179320_8212870150491008410_n.webp?_nc_cat=1&amp;ig_cache_key=Mzc2MjA3MjA5NzM2ODQ4MjYwMg%3D%3D.3-ccb1-7&amp;ccb=1-7&amp;_nc_sid=58cdad&amp;efg=eyJ2ZW5jb2RlX3RhZyI6InhwaWRzLjgxNHgxMDgwLnNkci5DMyJ9&amp;_nc_ohc=f9h4om1DNx0Q7kNvwFAL1T-&amp;_nc_oc=AdlSLUwRIFuKJrY_NONmML5QrvZzO_MrRiepX72bm3Vao6zd8gGSQuMt5Vz9cFjyGranHI_OW9B-tC26kS1kB8Pw&amp;_nc_ad=z-m&amp;_nc_cid=0&amp;_nc_zt=23&amp;_nc_ht=scontent-gru1-1.cdninstagram.com&amp;_nc_gid=mECJj3bvLNFJ797yZUcNFw&amp;oh=00_AfhChi5Lu6IN-OI0fkiCwPPTYG1suLlJKwbafA7qtVwQaA&amp;oe=691BEBD2" TargetMode="External"/><Relationship Id="rId8" Type="http://schemas.openxmlformats.org/officeDocument/2006/relationships/hyperlink" Target="https://www.instagram.com/p/DN50yucDai0" TargetMode="External"/><Relationship Id="rId144" Type="http://schemas.openxmlformats.org/officeDocument/2006/relationships/hyperlink" Target="https://scontent-gru1-1.cdninstagram.com/v/t51.82787-15/575593022_17922599244179320_8212870150491008410_n.webp?_nc_cat=1&amp;ig_cache_key=Mzc2MjA3MjA5NzM2ODQ4MjYwMg%3D%3D.3-ccb1-7&amp;ccb=1-7&amp;_nc_sid=58cdad&amp;efg=eyJ2ZW5jb2RlX3RhZyI6InhwaWRzLjgxNHgxMDgwLnNkci5DMyJ9&amp;_nc_ohc=f9h4om1DNx0Q7kNvwFAL1T-&amp;_nc_oc=AdlSLUwRIFuKJrY_NONmML5QrvZzO_MrRiepX72bm3Vao6zd8gGSQuMt5Vz9cFjyGranHI_OW9B-tC26kS1kB8Pw&amp;_nc_ad=z-m&amp;_nc_cid=0&amp;_nc_zt=23&amp;_nc_ht=scontent-gru1-1.cdninstagram.com&amp;_nc_gid=mECJj3bvLNFJ797yZUcNFw&amp;oh=00_AfhChi5Lu6IN-OI0fkiCwPPTYG1suLlJKwbafA7qtVwQaA&amp;oe=691BEBD2" TargetMode="External"/><Relationship Id="rId73" Type="http://schemas.openxmlformats.org/officeDocument/2006/relationships/hyperlink" Target="https://scontent-gru2-2.cdninstagram.com/v/t51.82787-15/554373193_18098227912643121_1666973880357804193_n.heic?stp=dst-jpg_e35_tt6&amp;_nc_cat=105&amp;ig_cache_key=MzcyOTc5NTI3ODE4MjU5NDcwNQ%3D%3D.3-ccb1-7&amp;ccb=1-7&amp;_nc_sid=58cdad&amp;efg=eyJ2ZW5jb2RlX3RhZyI6InhwaWRzLjExNTJ4MTQ0MC5zZHIuQzMifQ%3D%3D&amp;_nc_ohc=Vv05crW4WeAQ7kNvwHzHW08&amp;_nc_oc=AdnJE8zwJG2uzwSH3-pspeRy6l74VgaDWb567W5WrtXO7BVaqCiDiFtMTExPv15w2J7B6RIfFKvBWT7vh4q1Tknx&amp;_nc_ad=z-m&amp;_nc_cid=0&amp;_nc_zt=23&amp;_nc_ht=scontent-gru2-2.cdninstagram.com&amp;_nc_gid=832jxjWftkKYOGhz8kgttw&amp;oh=00_Afjhs9gUhQQQ4zik4Fww3GLgFey7dbYX2qSzIMZi4WjVaw&amp;oe=691BD9D4" TargetMode="External"/><Relationship Id="rId72" Type="http://schemas.openxmlformats.org/officeDocument/2006/relationships/hyperlink" Target="https://scontent-gru1-2.cdninstagram.com/v/t51.2885-19/332994363_707471631055148_2966942488053252668_n.jpg?stp=dst-jpg_s150x150_tt6&amp;efg=eyJ2ZW5jb2RlX3RhZyI6InByb2ZpbGVfcGljLmRqYW5nby4xMDgwLmMyIn0&amp;_nc_ht=scontent-gru1-2.cdninstagram.com&amp;_nc_cat=108&amp;_nc_oc=Q6cZ2QF_7ptarWIDxLQefAQP7jjZgjnL08KAuVm4XgP8894Q5wMko3rhS2q9wnBYbHhZfcBPUSFTNQVgLTyYpt_NADMy&amp;_nc_ohc=n1utjL3gGzYQ7kNvwGEEOlD&amp;_nc_gid=832jxjWftkKYOGhz8kgttw&amp;edm=AFlAz-oBAAAA&amp;ccb=7-5&amp;oh=00_AfgirI0oEBicrrm7hpXWv8OQ9KKjGp9cCgKJ9iySJjLfFw&amp;oe=691BF88B&amp;_nc_sid=76c0fc" TargetMode="External"/><Relationship Id="rId75" Type="http://schemas.openxmlformats.org/officeDocument/2006/relationships/hyperlink" Target="https://www.instagram.com/explore/search/keyword/?q=%23tdahadulto" TargetMode="External"/><Relationship Id="rId74" Type="http://schemas.openxmlformats.org/officeDocument/2006/relationships/hyperlink" Target="https://scontent-gru2-2.cdninstagram.com/v/t51.82787-15/554373193_18098227912643121_1666973880357804193_n.heic?stp=dst-jpg_e35_tt6&amp;_nc_cat=105&amp;ig_cache_key=MzcyOTc5NTI3ODE4MjU5NDcwNQ%3D%3D.3-ccb1-7&amp;ccb=1-7&amp;_nc_sid=58cdad&amp;efg=eyJ2ZW5jb2RlX3RhZyI6InhwaWRzLjExNTJ4MTQ0MC5zZHIuQzMifQ%3D%3D&amp;_nc_ohc=Vv05crW4WeAQ7kNvwHzHW08&amp;_nc_oc=AdnJE8zwJG2uzwSH3-pspeRy6l74VgaDWb567W5WrtXO7BVaqCiDiFtMTExPv15w2J7B6RIfFKvBWT7vh4q1Tknx&amp;_nc_ad=z-m&amp;_nc_cid=0&amp;_nc_zt=23&amp;_nc_ht=scontent-gru2-2.cdninstagram.com&amp;_nc_gid=832jxjWftkKYOGhz8kgttw&amp;oh=00_Afjhs9gUhQQQ4zik4Fww3GLgFey7dbYX2qSzIMZi4WjVaw&amp;oe=691BD9D4" TargetMode="External"/><Relationship Id="rId77" Type="http://schemas.openxmlformats.org/officeDocument/2006/relationships/hyperlink" Target="https://scontent-gru2-2.cdninstagram.com/v/t51.2885-19/563603693_17867246910461738_3880063453732155811_n.jpg?stp=dst-jpg_s150x150_tt6&amp;efg=eyJ2ZW5jb2RlX3RhZyI6InByb2ZpbGVfcGljLmRqYW5nby4xMDA5LmMyIn0&amp;_nc_ht=scontent-gru2-2.cdninstagram.com&amp;_nc_cat=102&amp;_nc_oc=Q6cZ2QF_7ptarWIDxLQefAQP7jjZgjnL08KAuVm4XgP8894Q5wMko3rhS2q9wnBYbHhZfcBPUSFTNQVgLTyYpt_NADMy&amp;_nc_ohc=lO28XJPN8tQQ7kNvwF9mA_T&amp;_nc_gid=832jxjWftkKYOGhz8kgttw&amp;edm=AFlAz-oBAAAA&amp;ccb=7-5&amp;oh=00_AfhFuhxKdMp7Q0xnds2l435gmQdrJrdiEDcYzcZ0ywMUlw&amp;oe=691BF60F&amp;_nc_sid=76c0fc" TargetMode="External"/><Relationship Id="rId76" Type="http://schemas.openxmlformats.org/officeDocument/2006/relationships/hyperlink" Target="https://www.instagram.com/p/DOoGwlFiGwe" TargetMode="External"/><Relationship Id="rId79" Type="http://schemas.openxmlformats.org/officeDocument/2006/relationships/hyperlink" Target="https://www.instagram.com/p/DNWPOzJpr3Q" TargetMode="External"/><Relationship Id="rId78" Type="http://schemas.openxmlformats.org/officeDocument/2006/relationships/hyperlink" Target="https://www.instagram.com/explore/search/keyword/?q=%23tdahadulto" TargetMode="External"/><Relationship Id="rId71" Type="http://schemas.openxmlformats.org/officeDocument/2006/relationships/hyperlink" Target="https://www.instagram.com/p/DPC5QtRALiR" TargetMode="External"/><Relationship Id="rId70" Type="http://schemas.openxmlformats.org/officeDocument/2006/relationships/hyperlink" Target="https://www.instagram.com/explore/search/keyword/?q=%23tdahadulto" TargetMode="External"/><Relationship Id="rId139" Type="http://schemas.openxmlformats.org/officeDocument/2006/relationships/hyperlink" Target="https://www.instagram.com/p/DQ2dpz3EZvH" TargetMode="External"/><Relationship Id="rId138" Type="http://schemas.openxmlformats.org/officeDocument/2006/relationships/hyperlink" Target="https://www.instagram.com/explore/search/keyword/?q=%23tdahadulto" TargetMode="External"/><Relationship Id="rId137" Type="http://schemas.openxmlformats.org/officeDocument/2006/relationships/hyperlink" Target="https://scontent-gru1-1.cdninstagram.com/v/t51.82787-15/576527818_18061448204550333_8720818119827287739_n.jpg?stp=dst-jpg_e35_tt6&amp;_nc_cat=1&amp;ig_cache_key=Mzc2MDIxMjQzMjAxMTc1MjA2Ng%3D%3D.3-ccb1-7&amp;ccb=1-7&amp;_nc_sid=58cdad&amp;efg=eyJ2ZW5jb2RlX3RhZyI6InhwaWRzLjEwODB4MTA4MC5zZHIuQzMifQ%3D%3D&amp;_nc_ohc=CPrkLU8EPgEQ7kNvwHAOX9b&amp;_nc_oc=AdkvG8A7go-oOTJ4C1lo27jQncJbIYFgvmNz5tNafeCb7XdjG8DrhjtINR4geIl33LtaxuETgx7Qey5PmL3HlaZW&amp;_nc_ad=z-m&amp;_nc_cid=0&amp;_nc_zt=23&amp;_nc_ht=scontent-gru1-1.cdninstagram.com&amp;_nc_gid=mECJj3bvLNFJ797yZUcNFw&amp;oh=00_AfgB0gGMlfCI2-EgKwVUE-flVluirEhAybarHS7Xs47xRg&amp;oe=691BFD71" TargetMode="External"/><Relationship Id="rId132" Type="http://schemas.openxmlformats.org/officeDocument/2006/relationships/hyperlink" Target="https://scontent-gru1-1.cdninstagram.com/v/t51.2885-19/350239533_216152491273993_5056076351766949515_n.jpg?stp=dst-jpg_s150x150_tt6&amp;efg=eyJ2ZW5jb2RlX3RhZyI6InByb2ZpbGVfcGljLmRqYW5nby4xMDgwLmMyIn0&amp;_nc_ht=scontent-gru1-1.cdninstagram.com&amp;_nc_cat=101&amp;_nc_oc=Q6cZ2QHNKF_hOoZMP3TGSdiWLT5mzz8T_eiI9bEOll362VdVyGSxQkVmqBnjz58WQBOkPWwsHyEWaxNkqigVNgzUBLh1&amp;_nc_ohc=azF8bpdgsmYQ7kNvwE52COM&amp;_nc_gid=1AjyOG3i1vJelwrTcZxakA&amp;edm=AFlAz-oBAAAA&amp;ccb=7-5&amp;oh=00_AfgG0BpxAXQe7785qC_eVrzKReJJ8kMzIGZZd1ZZxaNApg&amp;oe=691BDDBC&amp;_nc_sid=76c0fc" TargetMode="External"/><Relationship Id="rId131" Type="http://schemas.openxmlformats.org/officeDocument/2006/relationships/hyperlink" Target="https://www.instagram.com/p/DPYvP8rABLy" TargetMode="External"/><Relationship Id="rId130" Type="http://schemas.openxmlformats.org/officeDocument/2006/relationships/hyperlink" Target="https://www.instagram.com/explore/search/keyword/?q=%23tdahadulto" TargetMode="External"/><Relationship Id="rId136" Type="http://schemas.openxmlformats.org/officeDocument/2006/relationships/hyperlink" Target="https://scontent-gru1-1.cdninstagram.com/v/t51.82787-15/576527818_18061448204550333_8720818119827287739_n.jpg?stp=dst-jpg_e35_tt6&amp;_nc_cat=1&amp;ig_cache_key=Mzc2MDIxMjQzMjAxMTc1MjA2Ng%3D%3D.3-ccb1-7&amp;ccb=1-7&amp;_nc_sid=58cdad&amp;efg=eyJ2ZW5jb2RlX3RhZyI6InhwaWRzLjEwODB4MTA4MC5zZHIuQzMifQ%3D%3D&amp;_nc_ohc=CPrkLU8EPgEQ7kNvwHAOX9b&amp;_nc_oc=AdkvG8A7go-oOTJ4C1lo27jQncJbIYFgvmNz5tNafeCb7XdjG8DrhjtINR4geIl33LtaxuETgx7Qey5PmL3HlaZW&amp;_nc_ad=z-m&amp;_nc_cid=0&amp;_nc_zt=23&amp;_nc_ht=scontent-gru1-1.cdninstagram.com&amp;_nc_gid=mECJj3bvLNFJ797yZUcNFw&amp;oh=00_AfgB0gGMlfCI2-EgKwVUE-flVluirEhAybarHS7Xs47xRg&amp;oe=691BFD71" TargetMode="External"/><Relationship Id="rId135" Type="http://schemas.openxmlformats.org/officeDocument/2006/relationships/hyperlink" Target="https://scontent-gru1-1.cdninstagram.com/v/t51.2885-19/538337076_18053289023550333_7445201092659838679_n.jpg?stp=dst-jpg_s150x150_tt6&amp;efg=eyJ2ZW5jb2RlX3RhZyI6InByb2ZpbGVfcGljLmRqYW5nby4xMDgwLmMyIn0&amp;_nc_ht=scontent-gru1-1.cdninstagram.com&amp;_nc_cat=1&amp;_nc_oc=Q6cZ2QHIM57Vkz8sP2bRWgbQeBxsrbb3FfDicJ4c-cZaFeYqbOZ7_WPKh1iZVn8wmdvntjJe6L9TLGj2hkxB-TtCwsjC&amp;_nc_ohc=VJL8oHfcZKQQ7kNvwE9HDaf&amp;_nc_gid=mECJj3bvLNFJ797yZUcNFw&amp;edm=AI8qBrIBAAAA&amp;ccb=7-5&amp;oh=00_Afg0ZgIsW41Y7Y8mz1CZQryF3voP5NFesdg_UzScRo-xvw&amp;oe=691BCEF3&amp;_nc_sid=469e9a" TargetMode="External"/><Relationship Id="rId134" Type="http://schemas.openxmlformats.org/officeDocument/2006/relationships/hyperlink" Target="https://www.instagram.com/p/DQu9UjSEXKC" TargetMode="External"/><Relationship Id="rId133" Type="http://schemas.openxmlformats.org/officeDocument/2006/relationships/hyperlink" Target="https://www.instagram.com/explore/search/keyword/?q=%23tdahadulto" TargetMode="External"/><Relationship Id="rId62" Type="http://schemas.openxmlformats.org/officeDocument/2006/relationships/hyperlink" Target="https://www.instagram.com/explore/search/keyword/?q=%23tdahadulto" TargetMode="External"/><Relationship Id="rId61" Type="http://schemas.openxmlformats.org/officeDocument/2006/relationships/hyperlink" Target="https://scontent-gru1-2.cdninstagram.com/v/t51.75761-15/501427063_18509343841016235_7451810044767480491_n.webp?_nc_cat=108&amp;ig_cache_key=MzY0MTE5MzkwMjUzODg4ODM3Mw%3D%3D.3-ccb1-7&amp;ccb=1-7&amp;_nc_sid=58cdad&amp;efg=eyJ2ZW5jb2RlX3RhZyI6InhwaWRzLjEwODB4MTA4MC5zZHIuQzMifQ%3D%3D&amp;_nc_ohc=7igvBg1HOpgQ7kNvwFNpMfr&amp;_nc_oc=AdnTjDzVF-11oLhuSWYKKGea5BRZV-ShYttk7va8AlmZz9a7RijSFuDBlGpA1Npf_ZiEcISDLdMOIwIEYBnEUtXD&amp;_nc_ad=z-m&amp;_nc_cid=0&amp;_nc_zt=23&amp;_nc_ht=scontent-gru1-2.cdninstagram.com&amp;_nc_gid=832jxjWftkKYOGhz8kgttw&amp;oh=00_Afg2hnEcMZSjXXCPcaHzlVB9-O4KT7-Jk3sut9TjyxYx2g&amp;oe=691BCD31" TargetMode="External"/><Relationship Id="rId64" Type="http://schemas.openxmlformats.org/officeDocument/2006/relationships/hyperlink" Target="https://scontent-gru2-2.cdninstagram.com/v/t51.2885-19/556796088_17965445144963777_7387558014503794404_n.jpg?stp=dst-jpg_s150x150_tt6&amp;efg=eyJ2ZW5jb2RlX3RhZyI6InByb2ZpbGVfcGljLmRqYW5nby4xMDI0LmMyIn0&amp;_nc_ht=scontent-gru2-2.cdninstagram.com&amp;_nc_cat=105&amp;_nc_oc=Q6cZ2QF_7ptarWIDxLQefAQP7jjZgjnL08KAuVm4XgP8894Q5wMko3rhS2q9wnBYbHhZfcBPUSFTNQVgLTyYpt_NADMy&amp;_nc_ohc=eWEV1J-czSQQ7kNvwESGTVs&amp;_nc_gid=832jxjWftkKYOGhz8kgttw&amp;edm=AFlAz-oBAAAA&amp;ccb=7-5&amp;oh=00_AfiisMwJFVQ3gMQnNqwzoFBlaerb_zUf4bLPJlUNSWhG4w&amp;oe=691BFA1C&amp;_nc_sid=76c0fc" TargetMode="External"/><Relationship Id="rId63" Type="http://schemas.openxmlformats.org/officeDocument/2006/relationships/hyperlink" Target="https://www.instagram.com/p/DOj2GEsleCS" TargetMode="External"/><Relationship Id="rId66" Type="http://schemas.openxmlformats.org/officeDocument/2006/relationships/hyperlink" Target="https://www.instagram.com/p/DQ9x0DIj82v" TargetMode="External"/><Relationship Id="rId172" Type="http://schemas.openxmlformats.org/officeDocument/2006/relationships/hyperlink" Target="https://www.instagram.com/p/DQ2Bh7_kZdQ" TargetMode="External"/><Relationship Id="rId65" Type="http://schemas.openxmlformats.org/officeDocument/2006/relationships/hyperlink" Target="https://www.instagram.com/explore/search/keyword/?q=%23tdahadulto" TargetMode="External"/><Relationship Id="rId171" Type="http://schemas.openxmlformats.org/officeDocument/2006/relationships/hyperlink" Target="https://www.instagram.com/explore/search/keyword/?q=%23tdahadulto" TargetMode="External"/><Relationship Id="rId68" Type="http://schemas.openxmlformats.org/officeDocument/2006/relationships/hyperlink" Target="https://scontent-gru1-2.cdninstagram.com/v/t51.82787-15/580886813_18006475976815735_811325006389868885_n.jpg?stp=dst-jpg_e35_tt6&amp;_nc_cat=110&amp;ig_cache_key=Mzc2NDM4Mzk0NDYwODMwNDU1OQ%3D%3D.3-ccb1-7&amp;ccb=1-7&amp;_nc_sid=58cdad&amp;efg=eyJ2ZW5jb2RlX3RhZyI6InhwaWRzLjE0NDB4MTc5Ni5zZHIuQzMifQ%3D%3D&amp;_nc_ohc=f81x-ENWQ_gQ7kNvwHAGKbX&amp;_nc_oc=Adn9fR3uPe1T1p1BDb6pcIqYPa4dTOZsQRWlxuANEoBDGocbTHgcjFoat9gpQ0rN23U3qLzMivSWwEz4L0O5c4Fe&amp;_nc_ad=z-m&amp;_nc_cid=0&amp;_nc_zt=23&amp;_nc_ht=scontent-gru1-2.cdninstagram.com&amp;_nc_gid=832jxjWftkKYOGhz8kgttw&amp;oh=00_AfhZrcvvOjsRn32rUT0xAQu3JUwdeABiA4oJpNqH4_xF6w&amp;oe=691BF52D" TargetMode="External"/><Relationship Id="rId170" Type="http://schemas.openxmlformats.org/officeDocument/2006/relationships/hyperlink" Target="https://scontent-gru2-2.cdninstagram.com/v/t51.2885-19/387710294_3574892202757238_9141831358733539172_n.jpg?stp=dst-jpg_s150x150_tt6&amp;efg=eyJ2ZW5jb2RlX3RhZyI6InByb2ZpbGVfcGljLmRqYW5nby4xMDgwLmMyIn0&amp;_nc_ht=scontent-gru2-2.cdninstagram.com&amp;_nc_cat=102&amp;_nc_oc=Q6cZ2QHIM57Vkz8sP2bRWgbQeBxsrbb3FfDicJ4c-cZaFeYqbOZ7_WPKh1iZVn8wmdvntjJe6L9TLGj2hkxB-TtCwsjC&amp;_nc_ohc=FFvPFu5yWF8Q7kNvwGknXFC&amp;_nc_gid=mECJj3bvLNFJ797yZUcNFw&amp;edm=AI8qBrIBAAAA&amp;ccb=7-5&amp;oh=00_Afg_iZdafIu2Ey7iFSzwsFSQj4QgdKJlPdQN-eKnV9BCcw&amp;oe=691BD596&amp;_nc_sid=469e9a" TargetMode="External"/><Relationship Id="rId67" Type="http://schemas.openxmlformats.org/officeDocument/2006/relationships/hyperlink" Target="https://scontent-gru1-1.cdninstagram.com/v/t51.2885-19/344358642_1225593754824508_3448724865917736299_n.jpg?stp=dst-jpg_s150x150_tt6&amp;efg=eyJ2ZW5jb2RlX3RhZyI6InByb2ZpbGVfcGljLmRqYW5nby45NjEuYzIifQ&amp;_nc_ht=scontent-gru1-1.cdninstagram.com&amp;_nc_cat=104&amp;_nc_oc=Q6cZ2QF_7ptarWIDxLQefAQP7jjZgjnL08KAuVm4XgP8894Q5wMko3rhS2q9wnBYbHhZfcBPUSFTNQVgLTyYpt_NADMy&amp;_nc_ohc=SuevEO91mmYQ7kNvwGuDm2B&amp;_nc_gid=832jxjWftkKYOGhz8kgttw&amp;edm=AFlAz-oBAAAA&amp;ccb=7-5&amp;oh=00_AfggsqyYrAIA71lHe8-NsizZPj7s9tfe-LokixsxZyGrZA&amp;oe=691BD503&amp;_nc_sid=76c0fc" TargetMode="External"/><Relationship Id="rId60" Type="http://schemas.openxmlformats.org/officeDocument/2006/relationships/hyperlink" Target="https://scontent-gru1-2.cdninstagram.com/v/t51.75761-15/501427063_18509343841016235_7451810044767480491_n.webp?_nc_cat=108&amp;ig_cache_key=MzY0MTE5MzkwMjUzODg4ODM3Mw%3D%3D.3-ccb1-7&amp;ccb=1-7&amp;_nc_sid=58cdad&amp;efg=eyJ2ZW5jb2RlX3RhZyI6InhwaWRzLjEwODB4MTA4MC5zZHIuQzMifQ%3D%3D&amp;_nc_ohc=7igvBg1HOpgQ7kNvwFNpMfr&amp;_nc_oc=AdnTjDzVF-11oLhuSWYKKGea5BRZV-ShYttk7va8AlmZz9a7RijSFuDBlGpA1Npf_ZiEcISDLdMOIwIEYBnEUtXD&amp;_nc_ad=z-m&amp;_nc_cid=0&amp;_nc_zt=23&amp;_nc_ht=scontent-gru1-2.cdninstagram.com&amp;_nc_gid=832jxjWftkKYOGhz8kgttw&amp;oh=00_Afg2hnEcMZSjXXCPcaHzlVB9-O4KT7-Jk3sut9TjyxYx2g&amp;oe=691BCD31" TargetMode="External"/><Relationship Id="rId165" Type="http://schemas.openxmlformats.org/officeDocument/2006/relationships/hyperlink" Target="https://www.instagram.com/p/DQ49J5SERVe" TargetMode="External"/><Relationship Id="rId69" Type="http://schemas.openxmlformats.org/officeDocument/2006/relationships/hyperlink" Target="https://scontent-gru1-2.cdninstagram.com/v/t51.82787-15/580886813_18006475976815735_811325006389868885_n.jpg?stp=dst-jpg_e35_tt6&amp;_nc_cat=110&amp;ig_cache_key=Mzc2NDM4Mzk0NDYwODMwNDU1OQ%3D%3D.3-ccb1-7&amp;ccb=1-7&amp;_nc_sid=58cdad&amp;efg=eyJ2ZW5jb2RlX3RhZyI6InhwaWRzLjE0NDB4MTc5Ni5zZHIuQzMifQ%3D%3D&amp;_nc_ohc=f81x-ENWQ_gQ7kNvwHAGKbX&amp;_nc_oc=Adn9fR3uPe1T1p1BDb6pcIqYPa4dTOZsQRWlxuANEoBDGocbTHgcjFoat9gpQ0rN23U3qLzMivSWwEz4L0O5c4Fe&amp;_nc_ad=z-m&amp;_nc_cid=0&amp;_nc_zt=23&amp;_nc_ht=scontent-gru1-2.cdninstagram.com&amp;_nc_gid=832jxjWftkKYOGhz8kgttw&amp;oh=00_AfhZrcvvOjsRn32rUT0xAQu3JUwdeABiA4oJpNqH4_xF6w&amp;oe=691BF52D" TargetMode="External"/><Relationship Id="rId164" Type="http://schemas.openxmlformats.org/officeDocument/2006/relationships/hyperlink" Target="https://www.instagram.com/explore/search/keyword/?q=%23tdahadulto" TargetMode="External"/><Relationship Id="rId163" Type="http://schemas.openxmlformats.org/officeDocument/2006/relationships/hyperlink" Target="https://scontent-gru1-2.cdninstagram.com/v/t51.2885-19/540090623_18009247319792787_3785707235754503625_n.jpg?stp=dst-jpg_s150x150_tt6&amp;efg=eyJ2ZW5jb2RlX3RhZyI6InByb2ZpbGVfcGljLmRqYW5nby4xMDgwLmMyIn0&amp;_nc_ht=scontent-gru1-2.cdninstagram.com&amp;_nc_cat=103&amp;_nc_oc=Q6cZ2QHIM57Vkz8sP2bRWgbQeBxsrbb3FfDicJ4c-cZaFeYqbOZ7_WPKh1iZVn8wmdvntjJe6L9TLGj2hkxB-TtCwsjC&amp;_nc_ohc=KVbBFhHX3REQ7kNvwHAF44p&amp;_nc_gid=mECJj3bvLNFJ797yZUcNFw&amp;edm=AI8qBrIBAAAA&amp;ccb=7-5&amp;oh=00_Afi-JJCd5domF8sW3c4g_cVHBqfZEWTsqCrQHrb_AOuk2g&amp;oe=691BD7D2&amp;_nc_sid=469e9a" TargetMode="External"/><Relationship Id="rId162" Type="http://schemas.openxmlformats.org/officeDocument/2006/relationships/hyperlink" Target="https://www.instagram.com/p/DQ4OXkXjYjQ" TargetMode="External"/><Relationship Id="rId169" Type="http://schemas.openxmlformats.org/officeDocument/2006/relationships/hyperlink" Target="https://www.instagram.com/p/DQzYtJxjlqH" TargetMode="External"/><Relationship Id="rId168" Type="http://schemas.openxmlformats.org/officeDocument/2006/relationships/hyperlink" Target="https://www.instagram.com/explore/search/keyword/?q=%23tdahadulto" TargetMode="External"/><Relationship Id="rId167" Type="http://schemas.openxmlformats.org/officeDocument/2006/relationships/hyperlink" Target="https://scontent-gru1-1.cdninstagram.com/v/t51.71878-15/581119859_2614212365643440_981613885414339718_n.jpg?stp=dst-jpg_e15_tt6&amp;_nc_cat=1&amp;ig_cache_key=Mzc2MzAyNjQ0OTQ4NjkxMDgxNA%3D%3D.3-ccb1-7&amp;ccb=1-7&amp;_nc_sid=58cdad&amp;efg=eyJ2ZW5jb2RlX3RhZyI6InhwaWRzLjY0MHgxMTM2LnNkci5DMyJ9&amp;_nc_ohc=x24Ht9c-7VoQ7kNvwFtatrk&amp;_nc_oc=Adl0vZorZzeMne3UWJwCosb_qHwbnR_u2ZtXhy07drvshIfZAVwMD26Eq4bQHguJ-UpZfZ6ts66uNyEx1oam5GE0&amp;_nc_ad=z-m&amp;_nc_cid=0&amp;_nc_zt=23&amp;_nc_ht=scontent-gru1-1.cdninstagram.com&amp;_nc_gid=mECJj3bvLNFJ797yZUcNFw&amp;oh=00_AfhUVBa2XBagZofdRfNh4Pwu7kLLeCjPI9X05HQxyZdm8w&amp;oe=691BE3DF" TargetMode="External"/><Relationship Id="rId166" Type="http://schemas.openxmlformats.org/officeDocument/2006/relationships/hyperlink" Target="https://scontent-gru1-1.cdninstagram.com/v/t51.2885-19/334630727_234248949022773_2160482808844695187_n.jpg?stp=dst-jpg_s150x150_tt6&amp;efg=eyJ2ZW5jb2RlX3RhZyI6InByb2ZpbGVfcGljLmRqYW5nby4xMDgwLmMyIn0&amp;_nc_ht=scontent-gru1-1.cdninstagram.com&amp;_nc_cat=1&amp;_nc_oc=Q6cZ2QHIM57Vkz8sP2bRWgbQeBxsrbb3FfDicJ4c-cZaFeYqbOZ7_WPKh1iZVn8wmdvntjJe6L9TLGj2hkxB-TtCwsjC&amp;_nc_ohc=uZRprakq6IoQ7kNvwHk9Yjl&amp;_nc_gid=mECJj3bvLNFJ797yZUcNFw&amp;edm=AI8qBrIBAAAA&amp;ccb=7-5&amp;oh=00_Afh7SVKonSG9Uwo6C8vpwSlFmwkqM-MKlz1gaerNbl75lg&amp;oe=691BD419&amp;_nc_sid=469e9a" TargetMode="External"/><Relationship Id="rId51" Type="http://schemas.openxmlformats.org/officeDocument/2006/relationships/hyperlink" Target="https://www.instagram.com/explore/search/keyword/?q=%23tdahadulto" TargetMode="External"/><Relationship Id="rId50" Type="http://schemas.openxmlformats.org/officeDocument/2006/relationships/hyperlink" Target="https://scontent-gru2-1.cdninstagram.com/v/t51.2885-19/559001436_18024887939741299_6491809288109977911_n.jpg?stp=dst-jpg_s150x150_tt6&amp;efg=eyJ2ZW5jb2RlX3RhZyI6InByb2ZpbGVfcGljLmRqYW5nby4xMDgwLmMyIn0&amp;_nc_ht=scontent-gru2-1.cdninstagram.com&amp;_nc_cat=107&amp;_nc_oc=Q6cZ2QF_7ptarWIDxLQefAQP7jjZgjnL08KAuVm4XgP8894Q5wMko3rhS2q9wnBYbHhZfcBPUSFTNQVgLTyYpt_NADMy&amp;_nc_ohc=CLaJyWxxuTYQ7kNvwFdCdQD&amp;_nc_gid=832jxjWftkKYOGhz8kgttw&amp;edm=AFlAz-oBAAAA&amp;ccb=7-5&amp;oh=00_AfgytW0N9GIVilY_66KWmd0sSPOIG1lEo9YyuBCuV1ZHAQ&amp;oe=691BCDEE&amp;_nc_sid=76c0fc" TargetMode="External"/><Relationship Id="rId53" Type="http://schemas.openxmlformats.org/officeDocument/2006/relationships/hyperlink" Target="https://scontent-gru1-2.cdninstagram.com/v/t51.2885-19/541301317_18066670676242904_229664044403058617_n.jpg?stp=dst-jpg_s150x150_tt6&amp;efg=eyJ2ZW5jb2RlX3RhZyI6InByb2ZpbGVfcGljLmRqYW5nby4xMDgwLmMyIn0&amp;_nc_ht=scontent-gru1-2.cdninstagram.com&amp;_nc_cat=108&amp;_nc_oc=Q6cZ2QF_7ptarWIDxLQefAQP7jjZgjnL08KAuVm4XgP8894Q5wMko3rhS2q9wnBYbHhZfcBPUSFTNQVgLTyYpt_NADMy&amp;_nc_ohc=1kY-jtOq7F0Q7kNvwF4XX9O&amp;_nc_gid=832jxjWftkKYOGhz8kgttw&amp;edm=AFlAz-oBAAAA&amp;ccb=7-5&amp;oh=00_Afg1ubt4J1jHX4ZzWbpvMYmbQM74wNfOjDU3qNPQoda0fQ&amp;oe=691BED7C&amp;_nc_sid=76c0fc" TargetMode="External"/><Relationship Id="rId52" Type="http://schemas.openxmlformats.org/officeDocument/2006/relationships/hyperlink" Target="https://www.instagram.com/p/DOJ_ILSkbF-" TargetMode="External"/><Relationship Id="rId55" Type="http://schemas.openxmlformats.org/officeDocument/2006/relationships/hyperlink" Target="https://www.instagram.com/p/DP7YUHSEQmE" TargetMode="External"/><Relationship Id="rId161" Type="http://schemas.openxmlformats.org/officeDocument/2006/relationships/hyperlink" Target="https://www.instagram.com/explore/search/keyword/?q=%23tdahadulto" TargetMode="External"/><Relationship Id="rId54" Type="http://schemas.openxmlformats.org/officeDocument/2006/relationships/hyperlink" Target="https://www.instagram.com/explore/search/keyword/?q=%23tdahadulto" TargetMode="External"/><Relationship Id="rId160" Type="http://schemas.openxmlformats.org/officeDocument/2006/relationships/hyperlink" Target="https://scontent-gru2-2.cdninstagram.com/v/t51.2885-19/557449031_18504270217070730_4734194898123411102_n.jpg?stp=dst-jpg_s150x150_tt6&amp;efg=eyJ2ZW5jb2RlX3RhZyI6InByb2ZpbGVfcGljLmRqYW5nby40MDAuYzIifQ&amp;_nc_ht=scontent-gru2-2.cdninstagram.com&amp;_nc_cat=106&amp;_nc_oc=Q6cZ2QHIM57Vkz8sP2bRWgbQeBxsrbb3FfDicJ4c-cZaFeYqbOZ7_WPKh1iZVn8wmdvntjJe6L9TLGj2hkxB-TtCwsjC&amp;_nc_ohc=_NpZbG9NDA8Q7kNvwEQTXwK&amp;_nc_gid=mECJj3bvLNFJ797yZUcNFw&amp;edm=AI8qBrIBAAAA&amp;ccb=7-5&amp;oh=00_AfgQ0uDfdwVK5PtFAB0mes0urrrTaFw-a1m9rUUZcyey2A&amp;oe=691BD0DF&amp;_nc_sid=469e9a" TargetMode="External"/><Relationship Id="rId57" Type="http://schemas.openxmlformats.org/officeDocument/2006/relationships/hyperlink" Target="https://www.instagram.com/explore/search/keyword/?q=%23tdahadulto" TargetMode="External"/><Relationship Id="rId56" Type="http://schemas.openxmlformats.org/officeDocument/2006/relationships/hyperlink" Target="https://scontent-gru2-1.cdninstagram.com/v/t51.2885-19/521225609_18070023599280911_2791653571434660971_n.jpg?stp=dst-jpg_s150x150_tt6&amp;efg=eyJ2ZW5jb2RlX3RhZyI6InByb2ZpbGVfcGljLmRqYW5nby4xMDgwLmMyIn0&amp;_nc_ht=scontent-gru2-1.cdninstagram.com&amp;_nc_cat=111&amp;_nc_oc=Q6cZ2QF_7ptarWIDxLQefAQP7jjZgjnL08KAuVm4XgP8894Q5wMko3rhS2q9wnBYbHhZfcBPUSFTNQVgLTyYpt_NADMy&amp;_nc_ohc=fjMox7P1BXEQ7kNvwFhpB7G&amp;_nc_gid=832jxjWftkKYOGhz8kgttw&amp;edm=AFlAz-oBAAAA&amp;ccb=7-5&amp;oh=00_AfhGJ-HC9bBxw4e2vb0QZb-0_WetJhD1q-h16ZNMGadZfQ&amp;oe=691BDDB2&amp;_nc_sid=76c0fc" TargetMode="External"/><Relationship Id="rId159" Type="http://schemas.openxmlformats.org/officeDocument/2006/relationships/hyperlink" Target="https://www.instagram.com/p/DQznzY6AT2o" TargetMode="External"/><Relationship Id="rId59" Type="http://schemas.openxmlformats.org/officeDocument/2006/relationships/hyperlink" Target="https://scontent-gru2-1.cdninstagram.com/v/t51.2885-19/463306506_578019911247247_6027540863326158088_n.jpg?stp=dst-jpg_s150x150_tt6&amp;efg=eyJ2ZW5jb2RlX3RhZyI6InByb2ZpbGVfcGljLmRqYW5nby4zMjAuYzIifQ&amp;_nc_ht=scontent-gru2-1.cdninstagram.com&amp;_nc_cat=107&amp;_nc_oc=Q6cZ2QF_7ptarWIDxLQefAQP7jjZgjnL08KAuVm4XgP8894Q5wMko3rhS2q9wnBYbHhZfcBPUSFTNQVgLTyYpt_NADMy&amp;_nc_ohc=1vT7_7SvafsQ7kNvwGOgbh2&amp;_nc_gid=832jxjWftkKYOGhz8kgttw&amp;edm=AFlAz-oBAAAA&amp;ccb=7-5&amp;oh=00_AfgZ44b9LLjqzHqsJDGe-E4sWs_YknZCflnx3bOqoGUwuQ&amp;oe=691BEB51&amp;_nc_sid=76c0fc" TargetMode="External"/><Relationship Id="rId154" Type="http://schemas.openxmlformats.org/officeDocument/2006/relationships/hyperlink" Target="https://scontent-gru1-1.cdninstagram.com/v/t51.2885-19/326414131_1237309043561760_2979005901455088838_n.jpg?stp=dst-jpg_s150x150_tt6&amp;efg=eyJ2ZW5jb2RlX3RhZyI6InByb2ZpbGVfcGljLmRqYW5nby4xMDgwLmMyIn0&amp;_nc_ht=scontent-gru1-1.cdninstagram.com&amp;_nc_cat=1&amp;_nc_oc=Q6cZ2QHIM57Vkz8sP2bRWgbQeBxsrbb3FfDicJ4c-cZaFeYqbOZ7_WPKh1iZVn8wmdvntjJe6L9TLGj2hkxB-TtCwsjC&amp;_nc_ohc=R_wD3gCPvd8Q7kNvwHLnDQ6&amp;_nc_gid=mECJj3bvLNFJ797yZUcNFw&amp;edm=AI8qBrIBAAAA&amp;ccb=7-5&amp;oh=00_AfgFIWUcp2p9ruJ0PdAwvib0PcThpLwiWB4MEjQoyJmqCA&amp;oe=691BD08B&amp;_nc_sid=469e9a" TargetMode="External"/><Relationship Id="rId58" Type="http://schemas.openxmlformats.org/officeDocument/2006/relationships/hyperlink" Target="https://www.instagram.com/p/DKIHo__JhS1" TargetMode="External"/><Relationship Id="rId153" Type="http://schemas.openxmlformats.org/officeDocument/2006/relationships/hyperlink" Target="https://www.instagram.com/p/DQ7nmO5EgTR" TargetMode="External"/><Relationship Id="rId152" Type="http://schemas.openxmlformats.org/officeDocument/2006/relationships/hyperlink" Target="https://www.instagram.com/explore/search/keyword/?q=%23tdahadulto" TargetMode="External"/><Relationship Id="rId151" Type="http://schemas.openxmlformats.org/officeDocument/2006/relationships/hyperlink" Target="https://scontent-gru2-2.cdninstagram.com/v/t51.2885-19/491466744_653181534166337_3489187258337396588_n.jpg?stp=dst-jpg_s150x150_tt6&amp;efg=eyJ2ZW5jb2RlX3RhZyI6InByb2ZpbGVfcGljLmRqYW5nby4xMDgwLmMyIn0&amp;_nc_ht=scontent-gru2-2.cdninstagram.com&amp;_nc_cat=105&amp;_nc_oc=Q6cZ2QHIM57Vkz8sP2bRWgbQeBxsrbb3FfDicJ4c-cZaFeYqbOZ7_WPKh1iZVn8wmdvntjJe6L9TLGj2hkxB-TtCwsjC&amp;_nc_ohc=m-xeGGNmoxgQ7kNvwH4aK0J&amp;_nc_gid=mECJj3bvLNFJ797yZUcNFw&amp;edm=AI8qBrIBAAAA&amp;ccb=7-5&amp;oh=00_AfhL5hjSvej8-xVxHczAR-9AQ2vqXZ8KVEnw0G0LZ3K3MA&amp;oe=691BE27A&amp;_nc_sid=469e9a" TargetMode="External"/><Relationship Id="rId158" Type="http://schemas.openxmlformats.org/officeDocument/2006/relationships/hyperlink" Target="https://www.instagram.com/explore/search/keyword/?q=%23tdahadulto" TargetMode="External"/><Relationship Id="rId157" Type="http://schemas.openxmlformats.org/officeDocument/2006/relationships/hyperlink" Target="https://scontent-gru2-1.cdninstagram.com/v/t51.2885-19/527278772_18017214581748911_8002905120553186326_n.jpg?stp=dst-jpg_s150x150_tt6&amp;efg=eyJ2ZW5jb2RlX3RhZyI6InByb2ZpbGVfcGljLmRqYW5nby4xMDgwLmMyIn0&amp;_nc_ht=scontent-gru2-1.cdninstagram.com&amp;_nc_cat=111&amp;_nc_oc=Q6cZ2QHIM57Vkz8sP2bRWgbQeBxsrbb3FfDicJ4c-cZaFeYqbOZ7_WPKh1iZVn8wmdvntjJe6L9TLGj2hkxB-TtCwsjC&amp;_nc_ohc=ZKgXXR4KO54Q7kNvwHMxC06&amp;_nc_gid=mECJj3bvLNFJ797yZUcNFw&amp;edm=AI8qBrIBAAAA&amp;ccb=7-5&amp;oh=00_AfjgRPEWFdPDddFA8XwmMznZfVk6qSLkrWvV8zDs5MKdSw&amp;oe=691C012D&amp;_nc_sid=469e9a" TargetMode="External"/><Relationship Id="rId156" Type="http://schemas.openxmlformats.org/officeDocument/2006/relationships/hyperlink" Target="https://www.instagram.com/p/DQ363UjEZLE" TargetMode="External"/><Relationship Id="rId155" Type="http://schemas.openxmlformats.org/officeDocument/2006/relationships/hyperlink" Target="https://www.instagram.com/explore/search/keyword/?q=%23tdahadulto"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scontent.cdninstagram.com/v/t51.82787-15/548564344_18323114584232330_3713434289825880020_n.jpg?stp=dst-jpg_e35_tt6&amp;_nc_cat=102&amp;ig_cache_key=MzcyMTAzMzYyMTg5ODY0NDgzOQ%3D%3D.3-ccb7-5&amp;ccb=7-5&amp;_nc_sid=58cdad&amp;efg=eyJ2ZW5jb2RlX3RhZyI6InhwaWRzLjE2Mzd4MjA0OC5zZHIuQzMifQ%3D%3D&amp;_nc_ohc=bOdzcUZrQgIQ7kNvwF-xnO1&amp;_nc_oc=AdmNskDcbCuAjT0JAjNV9iDk6eTZi2oMPgVQcgg3ZNmT03wURtxKGN9zlAfFefw6yiSY_V3bcvuU-Z8-E8NDb5ks&amp;_nc_ad=z-m&amp;_nc_cid=0&amp;_nc_zt=23&amp;_nc_ht=scontent.cdninstagram.com&amp;_nc_gid=Pc-yOprRxmpD2PcEEeKiuQ&amp;oh=00_AfhgWuLeR5ZXnJicR7zu8-f9NXuarDRWockZFqELX0IqVw&amp;oe=6930D416" TargetMode="External"/><Relationship Id="rId190" Type="http://schemas.openxmlformats.org/officeDocument/2006/relationships/hyperlink" Target="https://instagram.fcgh9-1.fna.fbcdn.net/v/t51.2885-19/556796088_17965445144963777_7387558014503794404_n.jpg?stp=dst-jpg_s150x150_tt6&amp;efg=eyJ2ZW5jb2RlX3RhZyI6InByb2ZpbGVfcGljLmRqYW5nby4xMDI0LmMyIn0&amp;_nc_ht=instagram.fcgh9-1.fna.fbcdn.net&amp;_nc_cat=105&amp;_nc_oc=Q6cZ2QERNEnoMuVXC32T1GZhx1obJN6hyWG_t0Ip5ge_-avQ39NpfyF5_AM5sLTd-0gp5kIBcGpBDsiYsxipArnUeaoN&amp;_nc_ohc=U5ynRcfZGzEQ7kNvwGF7owQ&amp;_nc_gid=TBhjQ1j_IHNAbSCjJ_z1tA&amp;edm=AFlAz-oBAAAA&amp;ccb=7-5&amp;oh=00_Afg8NmnHZ7a9aVvO1-Zj5o6d_n09RbOL_39urZJCYpvtug&amp;oe=69322B5C&amp;_nc_sid=76c0fc" TargetMode="External"/><Relationship Id="rId42" Type="http://schemas.openxmlformats.org/officeDocument/2006/relationships/hyperlink" Target="https://www.instagram.com/p/DOhRjb6DSDz" TargetMode="External"/><Relationship Id="rId41" Type="http://schemas.openxmlformats.org/officeDocument/2006/relationships/hyperlink" Target="https://www.instagram.com/explore/search/keyword/?q=%23tdahadulto" TargetMode="External"/><Relationship Id="rId44" Type="http://schemas.openxmlformats.org/officeDocument/2006/relationships/hyperlink" Target="https://scontent.cdninstagram.com/v/t51.82787-15/546205617_18066856778213448_3602519716053271052_n.jpg?stp=dst-jpg_e35_tt6&amp;_nc_cat=101&amp;ig_cache_key=MzcyMDMzMTk2OTEyMjA4MzA1OQ%3D%3D.3-ccb7-5&amp;ccb=7-5&amp;_nc_sid=58cdad&amp;efg=eyJ2ZW5jb2RlX3RhZyI6InhwaWRzLjE0MDh4MTY5NC5zZHIuQzMifQ%3D%3D&amp;_nc_ohc=h-3HykDHDPYQ7kNvwEc3opS&amp;_nc_oc=AdkQNQ9bP27Hh7_qH8mCfXnzDeHHqvj19dnRQf9BZVNCZdp0rVZnqHIEEvbsv6iv120W9D1LDFXgwLSCPG1AGuKl&amp;_nc_ad=z-m&amp;_nc_cid=0&amp;_nc_zt=23&amp;_nc_ht=scontent.cdninstagram.com&amp;_nc_gid=Pc-yOprRxmpD2PcEEeKiuQ&amp;oh=00_AfjFcsqDV9Q0xD9KP-HoIFLsClh9KUUTs0L0QZcVfKJ7zg&amp;oe=6930CBFF" TargetMode="External"/><Relationship Id="rId194" Type="http://schemas.openxmlformats.org/officeDocument/2006/relationships/hyperlink" Target="https://www.instagram.com/explore/search/keyword/?q=%23tdahadulto" TargetMode="External"/><Relationship Id="rId43" Type="http://schemas.openxmlformats.org/officeDocument/2006/relationships/hyperlink" Target="https://instagram.fcgh9-1.fna.fbcdn.net/v/t51.2885-19/364276362_1017951822536379_2762309384634493842_n.jpg?stp=dst-jpg_s150x150_tt6&amp;efg=eyJ2ZW5jb2RlX3RhZyI6InByb2ZpbGVfcGljLmRqYW5nby43MjUuYzIifQ&amp;_nc_ht=instagram.fcgh9-1.fna.fbcdn.net&amp;_nc_cat=103&amp;_nc_oc=Q6cZ2QFPov7R9KkJkRWPhoul_WHPqgeeCzwRjTZJfLUvhQ7Ahn-FmGOPACvW2uuxfW4XFm6i_ZZl8_zjX6ppwx6UG-Ds&amp;_nc_ohc=mVLDBu0PhrcQ7kNvwEzZ-WQ&amp;_nc_gid=Pc-yOprRxmpD2PcEEeKiuQ&amp;edm=AFlAz-oBAAAA&amp;ccb=7-5&amp;oh=00_AfjCNDQOMutbI_e1UqPnoMhYrMrVU7NlZPbeJiNCMK1VDQ&amp;oe=6930D950&amp;_nc_sid=76c0fc" TargetMode="External"/><Relationship Id="rId193" Type="http://schemas.openxmlformats.org/officeDocument/2006/relationships/hyperlink" Target="https://instagram.fcgh9-1.fna.fbcdn.net/v/t51.2885-19/521225609_18070023599280911_2791653571434660971_n.jpg?stp=dst-jpg_s150x150_tt6&amp;efg=eyJ2ZW5jb2RlX3RhZyI6InByb2ZpbGVfcGljLmRqYW5nby4xMDgwLmMyIn0&amp;_nc_ht=instagram.fcgh9-1.fna.fbcdn.net&amp;_nc_cat=111&amp;_nc_oc=Q6cZ2QERNEnoMuVXC32T1GZhx1obJN6hyWG_t0Ip5ge_-avQ39NpfyF5_AM5sLTd-0gp5kIBcGpBDsiYsxipArnUeaoN&amp;_nc_ohc=ZEVJ8CV_wJsQ7kNvwFvn_An&amp;_nc_gid=TBhjQ1j_IHNAbSCjJ_z1tA&amp;edm=AFlAz-oBAAAA&amp;ccb=7-5&amp;oh=00_AfjuvL27EpTZ13IWmeeSyE5lTKN6bkWNzvRnM-rJWqAXwQ&amp;oe=69324732&amp;_nc_sid=76c0fc" TargetMode="External"/><Relationship Id="rId46" Type="http://schemas.openxmlformats.org/officeDocument/2006/relationships/hyperlink" Target="https://www.instagram.com/explore/search/keyword/?q=%23tdahadulto" TargetMode="External"/><Relationship Id="rId192" Type="http://schemas.openxmlformats.org/officeDocument/2006/relationships/hyperlink" Target="https://www.instagram.com/p/DRcTcG9kdTr" TargetMode="External"/><Relationship Id="rId45" Type="http://schemas.openxmlformats.org/officeDocument/2006/relationships/hyperlink" Target="https://scontent.cdninstagram.com/v/t51.82787-15/546205617_18066856778213448_3602519716053271052_n.jpg?stp=dst-jpg_e35_tt6&amp;_nc_cat=101&amp;ig_cache_key=MzcyMDMzMTk2OTEyMjA4MzA1OQ%3D%3D.3-ccb7-5&amp;ccb=7-5&amp;_nc_sid=58cdad&amp;efg=eyJ2ZW5jb2RlX3RhZyI6InhwaWRzLjE0MDh4MTY5NC5zZHIuQzMifQ%3D%3D&amp;_nc_ohc=h-3HykDHDPYQ7kNvwEc3opS&amp;_nc_oc=AdkQNQ9bP27Hh7_qH8mCfXnzDeHHqvj19dnRQf9BZVNCZdp0rVZnqHIEEvbsv6iv120W9D1LDFXgwLSCPG1AGuKl&amp;_nc_ad=z-m&amp;_nc_cid=0&amp;_nc_zt=23&amp;_nc_ht=scontent.cdninstagram.com&amp;_nc_gid=Pc-yOprRxmpD2PcEEeKiuQ&amp;oh=00_AfjFcsqDV9Q0xD9KP-HoIFLsClh9KUUTs0L0QZcVfKJ7zg&amp;oe=6930CBFF" TargetMode="External"/><Relationship Id="rId191" Type="http://schemas.openxmlformats.org/officeDocument/2006/relationships/hyperlink" Target="https://www.instagram.com/explore/search/keyword/?q=%23tdahadulto" TargetMode="External"/><Relationship Id="rId48" Type="http://schemas.openxmlformats.org/officeDocument/2006/relationships/hyperlink" Target="https://instagram.fcgh9-1.fna.fbcdn.net/v/t51.2885-19/541301317_18066670676242904_229664044403058617_n.jpg?stp=dst-jpg_s150x150_tt6&amp;efg=eyJ2ZW5jb2RlX3RhZyI6InByb2ZpbGVfcGljLmRqYW5nby4xMDgwLmMyIn0&amp;_nc_ht=instagram.fcgh9-1.fna.fbcdn.net&amp;_nc_cat=108&amp;_nc_oc=Q6cZ2QFPov7R9KkJkRWPhoul_WHPqgeeCzwRjTZJfLUvhQ7Ahn-FmGOPACvW2uuxfW4XFm6i_ZZl8_zjX6ppwx6UG-Ds&amp;_nc_ohc=2C9f9UoL2zEQ7kNvwEWxdPt&amp;_nc_gid=Pc-yOprRxmpD2PcEEeKiuQ&amp;edm=AFlAz-oBAAAA&amp;ccb=7-5&amp;oh=00_AfgXqlX3plij6IkPJID1LNORPkFkNfg13IO_Zy4VFaHRTg&amp;oe=6930CD3C&amp;_nc_sid=76c0fc" TargetMode="External"/><Relationship Id="rId187" Type="http://schemas.openxmlformats.org/officeDocument/2006/relationships/hyperlink" Target="https://instagram.fcgh9-1.fna.fbcdn.net/v/t51.2885-19/454655817_415212718224218_4878863477330946250_n.jpg?stp=dst-jpg_s150x150_tt6&amp;efg=eyJ2ZW5jb2RlX3RhZyI6InByb2ZpbGVfcGljLmRqYW5nby4xMDQwLmMyIn0&amp;_nc_ht=instagram.fcgh9-1.fna.fbcdn.net&amp;_nc_cat=102&amp;_nc_oc=Q6cZ2QERNEnoMuVXC32T1GZhx1obJN6hyWG_t0Ip5ge_-avQ39NpfyF5_AM5sLTd-0gp5kIBcGpBDsiYsxipArnUeaoN&amp;_nc_ohc=vvePLaUBoRUQ7kNvwHqfw3E&amp;_nc_gid=TBhjQ1j_IHNAbSCjJ_z1tA&amp;edm=AFlAz-oBAAAA&amp;ccb=7-5&amp;oh=00_Afgp9XOFV96HaKd0okv8qbqvIs9NDRWg3X4hwyaS-5_3bw&amp;oe=69324C80&amp;_nc_sid=76c0fc" TargetMode="External"/><Relationship Id="rId47" Type="http://schemas.openxmlformats.org/officeDocument/2006/relationships/hyperlink" Target="https://www.instagram.com/p/DOJ_ILSkbF-" TargetMode="External"/><Relationship Id="rId186" Type="http://schemas.openxmlformats.org/officeDocument/2006/relationships/hyperlink" Target="https://www.instagram.com/p/DOE3bzkD4YT" TargetMode="External"/><Relationship Id="rId185" Type="http://schemas.openxmlformats.org/officeDocument/2006/relationships/hyperlink" Target="https://www.instagram.com/explore/search/keyword/?q=%23tdahadulto" TargetMode="External"/><Relationship Id="rId49" Type="http://schemas.openxmlformats.org/officeDocument/2006/relationships/hyperlink" Target="https://www.instagram.com/explore/search/keyword/?q=%23tdahadulto" TargetMode="External"/><Relationship Id="rId184" Type="http://schemas.openxmlformats.org/officeDocument/2006/relationships/hyperlink" Target="https://instagram.fcgh9-1.fna.fbcdn.net/v/t51.2885-19/563113056_17865996573468056_8686642306378961642_n.jpg?stp=dst-jpg_s150x150_tt6&amp;efg=eyJ2ZW5jb2RlX3RhZyI6InByb2ZpbGVfcGljLmRqYW5nby44NjMuYzIifQ&amp;_nc_ht=instagram.fcgh9-1.fna.fbcdn.net&amp;_nc_cat=108&amp;_nc_oc=Q6cZ2QHb88vMM4fBKuDr0UsicE_Qh5s3n5SgfNAXUjswCxYMuWJuu2eLN_3shP2mdx8VZgI8lU3saV1CiQeAB_Kltn6T&amp;_nc_ohc=HcZIKEF2bvAQ7kNvwFYvYCH&amp;_nc_gid=C_ammdqm8Cu-IAKn6A5oVw&amp;edm=AFlAz-oBAAAA&amp;ccb=7-5&amp;oh=00_AfgTcz0oOSKH3TdIRJQxBMwXRuGhX-5RGedsaRbgwruPwg&amp;oe=6930E9A6&amp;_nc_sid=76c0fc" TargetMode="External"/><Relationship Id="rId189" Type="http://schemas.openxmlformats.org/officeDocument/2006/relationships/hyperlink" Target="https://www.instagram.com/p/DOj2GEsleCS" TargetMode="External"/><Relationship Id="rId188" Type="http://schemas.openxmlformats.org/officeDocument/2006/relationships/hyperlink" Target="https://www.instagram.com/explore/search/keyword/?q=%23tdahadulto" TargetMode="External"/><Relationship Id="rId31" Type="http://schemas.openxmlformats.org/officeDocument/2006/relationships/hyperlink" Target="https://www.instagram.com/p/DPrDvyckpsC" TargetMode="External"/><Relationship Id="rId30" Type="http://schemas.openxmlformats.org/officeDocument/2006/relationships/hyperlink" Target="https://www.instagram.com/explore/search/keyword/?q=%23tdahadulto" TargetMode="External"/><Relationship Id="rId33" Type="http://schemas.openxmlformats.org/officeDocument/2006/relationships/hyperlink" Target="https://www.instagram.com/explore/search/keyword/?q=%23tdahadulto" TargetMode="External"/><Relationship Id="rId183" Type="http://schemas.openxmlformats.org/officeDocument/2006/relationships/hyperlink" Target="https://www.instagram.com/p/DRfXhUhAgiC" TargetMode="External"/><Relationship Id="rId32" Type="http://schemas.openxmlformats.org/officeDocument/2006/relationships/hyperlink" Target="https://instagram.fcgh9-1.fna.fbcdn.net/v/t51.2885-19/520201116_18073496299963362_5659245198539464402_n.jpg?stp=dst-jpg_s150x150_tt6&amp;efg=eyJ2ZW5jb2RlX3RhZyI6InByb2ZpbGVfcGljLmRqYW5nby4xMDgwLmMyIn0&amp;_nc_ht=instagram.fcgh9-1.fna.fbcdn.net&amp;_nc_cat=106&amp;_nc_oc=Q6cZ2QFPov7R9KkJkRWPhoul_WHPqgeeCzwRjTZJfLUvhQ7Ahn-FmGOPACvW2uuxfW4XFm6i_ZZl8_zjX6ppwx6UG-Ds&amp;_nc_ohc=OeK8_0XFxLQQ7kNvwGRPpkL&amp;_nc_gid=Pc-yOprRxmpD2PcEEeKiuQ&amp;edm=AFlAz-oBAAAA&amp;ccb=7-5&amp;oh=00_AfimJSvb8fhu6HN70sn2IstxPSiL6q1Mep-zlt6xYE63YQ&amp;oe=6930EAD8&amp;_nc_sid=76c0fc" TargetMode="External"/><Relationship Id="rId182" Type="http://schemas.openxmlformats.org/officeDocument/2006/relationships/hyperlink" Target="https://www.instagram.com/explore/search/keyword/?q=%23tdahadulto" TargetMode="External"/><Relationship Id="rId35" Type="http://schemas.openxmlformats.org/officeDocument/2006/relationships/hyperlink" Target="https://instagram.fcgh9-1.fna.fbcdn.net/v/t51.2885-19/455013615_470449425912783_783811379615735835_n.jpg?stp=dst-jpg_s150x150_tt6&amp;efg=eyJ2ZW5jb2RlX3RhZyI6InByb2ZpbGVfcGljLmRqYW5nby4xMDgwLmMyIn0&amp;_nc_ht=instagram.fcgh9-1.fna.fbcdn.net&amp;_nc_cat=1&amp;_nc_oc=Q6cZ2QFPov7R9KkJkRWPhoul_WHPqgeeCzwRjTZJfLUvhQ7Ahn-FmGOPACvW2uuxfW4XFm6i_ZZl8_zjX6ppwx6UG-Ds&amp;_nc_ohc=wJDzXiC1A-MQ7kNvwHxjsNU&amp;_nc_gid=Pc-yOprRxmpD2PcEEeKiuQ&amp;edm=AFlAz-oBAAAA&amp;ccb=7-5&amp;oh=00_AfieYlD_G4D8ukn-eXfqnGfnZAn1S-8O0b1UOojb2yYBqg&amp;oe=6930D093&amp;_nc_sid=76c0fc" TargetMode="External"/><Relationship Id="rId181" Type="http://schemas.openxmlformats.org/officeDocument/2006/relationships/hyperlink" Target="https://scontent.cdninstagram.com/v/t51.82787-15/568506370_18102574840643121_2261497438537295132_n.heic?stp=dst-jpg_e35_tt6&amp;_nc_cat=102&amp;ig_cache_key=Mzc0OTMyNDM1ODc3NDk1ODcwNg%3D%3D.3-ccb7-5&amp;ccb=7-5&amp;_nc_sid=58cdad&amp;efg=eyJ2ZW5jb2RlX3RhZyI6InhwaWRzLjExNTJ4MTQ0MC5zZHIuQzMifQ%3D%3D&amp;_nc_ohc=qR91rcPgcYIQ7kNvwGRhMc1&amp;_nc_oc=AdmW6uLe8cgceZBw3AYjbJS1k5Vhd5vhvb5ltSjuo6irdv6B1dCIv2UplLypHnunUj8iribNuODxuxk5zBe2_oo8&amp;_nc_ad=z-m&amp;_nc_cid=0&amp;_nc_zt=23&amp;_nc_ht=scontent.cdninstagram.com&amp;_nc_gid=X0c6A6yxvy3D7-fJfMbGPg&amp;oh=00_AfiXQxviTqk25FHtW0vNYT_2BAi38pSPSmrkq_42Xe691w&amp;oe=6930EED3" TargetMode="External"/><Relationship Id="rId34" Type="http://schemas.openxmlformats.org/officeDocument/2006/relationships/hyperlink" Target="https://www.instagram.com/p/DPycsP2jsuh" TargetMode="External"/><Relationship Id="rId180" Type="http://schemas.openxmlformats.org/officeDocument/2006/relationships/hyperlink" Target="https://scontent.cdninstagram.com/v/t51.82787-15/568506370_18102574840643121_2261497438537295132_n.heic?stp=dst-jpg_e35_tt6&amp;_nc_cat=102&amp;ig_cache_key=Mzc0OTMyNDM1ODc3NDk1ODcwNg%3D%3D.3-ccb7-5&amp;ccb=7-5&amp;_nc_sid=58cdad&amp;efg=eyJ2ZW5jb2RlX3RhZyI6InhwaWRzLjExNTJ4MTQ0MC5zZHIuQzMifQ%3D%3D&amp;_nc_ohc=qR91rcPgcYIQ7kNvwGRhMc1&amp;_nc_oc=AdmW6uLe8cgceZBw3AYjbJS1k5Vhd5vhvb5ltSjuo6irdv6B1dCIv2UplLypHnunUj8iribNuODxuxk5zBe2_oo8&amp;_nc_ad=z-m&amp;_nc_cid=0&amp;_nc_zt=23&amp;_nc_ht=scontent.cdninstagram.com&amp;_nc_gid=X0c6A6yxvy3D7-fJfMbGPg&amp;oh=00_AfiXQxviTqk25FHtW0vNYT_2BAi38pSPSmrkq_42Xe691w&amp;oe=6930EED3" TargetMode="External"/><Relationship Id="rId37" Type="http://schemas.openxmlformats.org/officeDocument/2006/relationships/hyperlink" Target="https://www.instagram.com/p/DOjxF0-jc1n" TargetMode="External"/><Relationship Id="rId176" Type="http://schemas.openxmlformats.org/officeDocument/2006/relationships/hyperlink" Target="https://scontent.cdninstagram.com/v/t51.82787-15/561087159_18528620767060652_7647348723610481664_n.jpg?stp=dst-jpg_e35_tt6&amp;_nc_cat=107&amp;ig_cache_key=MzczODk5MDI5NDc5ODAxMDc5Mw%3D%3D.3-ccb7-5&amp;ccb=7-5&amp;_nc_sid=58cdad&amp;efg=eyJ2ZW5jb2RlX3RhZyI6InhwaWRzLjEzNDd4MTY3OS5zZHIuQzMifQ%3D%3D&amp;_nc_ohc=h63uWX5NNRAQ7kNvwHz4cmo&amp;_nc_oc=AdnCmeKrQNHu2mJ7fxb8dYlDP9_NYIMwvb4AXlFyJPEKXFuIN6lC5iB5jN7y3oHMVv3zNVygKV1CL6dj5cK1I3lN&amp;_nc_ad=z-m&amp;_nc_cid=0&amp;_nc_zt=23&amp;_nc_ht=scontent.cdninstagram.com&amp;_nc_gid=HM__j6W2vI9X4ogKNGdAlw&amp;oh=00_Afgtc3PnQ73FOXhRZcarUByFEtlSP8nAGvpc57l-EIy46A&amp;oe=6930FEA7" TargetMode="External"/><Relationship Id="rId36" Type="http://schemas.openxmlformats.org/officeDocument/2006/relationships/hyperlink" Target="https://www.instagram.com/explore/search/keyword/?q=%23tdahadulto" TargetMode="External"/><Relationship Id="rId175" Type="http://schemas.openxmlformats.org/officeDocument/2006/relationships/hyperlink" Target="https://scontent.cdninstagram.com/v/t51.82787-15/561087159_18528620767060652_7647348723610481664_n.jpg?stp=dst-jpg_e35_tt6&amp;_nc_cat=107&amp;ig_cache_key=MzczODk5MDI5NDc5ODAxMDc5Mw%3D%3D.3-ccb7-5&amp;ccb=7-5&amp;_nc_sid=58cdad&amp;efg=eyJ2ZW5jb2RlX3RhZyI6InhwaWRzLjEzNDd4MTY3OS5zZHIuQzMifQ%3D%3D&amp;_nc_ohc=h63uWX5NNRAQ7kNvwHz4cmo&amp;_nc_oc=AdnCmeKrQNHu2mJ7fxb8dYlDP9_NYIMwvb4AXlFyJPEKXFuIN6lC5iB5jN7y3oHMVv3zNVygKV1CL6dj5cK1I3lN&amp;_nc_ad=z-m&amp;_nc_cid=0&amp;_nc_zt=23&amp;_nc_ht=scontent.cdninstagram.com&amp;_nc_gid=HM__j6W2vI9X4ogKNGdAlw&amp;oh=00_Afgtc3PnQ73FOXhRZcarUByFEtlSP8nAGvpc57l-EIy46A&amp;oe=6930FEA7" TargetMode="External"/><Relationship Id="rId39" Type="http://schemas.openxmlformats.org/officeDocument/2006/relationships/hyperlink" Target="https://scontent.cdninstagram.com/v/t51.82787-15/548564344_18323114584232330_3713434289825880020_n.jpg?stp=dst-jpg_e35_tt6&amp;_nc_cat=102&amp;ig_cache_key=MzcyMTAzMzYyMTg5ODY0NDgzOQ%3D%3D.3-ccb7-5&amp;ccb=7-5&amp;_nc_sid=58cdad&amp;efg=eyJ2ZW5jb2RlX3RhZyI6InhwaWRzLjE2Mzd4MjA0OC5zZHIuQzMifQ%3D%3D&amp;_nc_ohc=bOdzcUZrQgIQ7kNvwF-xnO1&amp;_nc_oc=AdmNskDcbCuAjT0JAjNV9iDk6eTZi2oMPgVQcgg3ZNmT03wURtxKGN9zlAfFefw6yiSY_V3bcvuU-Z8-E8NDb5ks&amp;_nc_ad=z-m&amp;_nc_cid=0&amp;_nc_zt=23&amp;_nc_ht=scontent.cdninstagram.com&amp;_nc_gid=Pc-yOprRxmpD2PcEEeKiuQ&amp;oh=00_AfhgWuLeR5ZXnJicR7zu8-f9NXuarDRWockZFqELX0IqVw&amp;oe=6930D416" TargetMode="External"/><Relationship Id="rId174" Type="http://schemas.openxmlformats.org/officeDocument/2006/relationships/hyperlink" Target="https://instagram.fcgh9-1.fna.fbcdn.net/v/t51.2885-19/449846230_1457759718438327_1889620430896043926_n.jpg?stp=dst-jpg_s150x150_tt6&amp;efg=eyJ2ZW5jb2RlX3RhZyI6InByb2ZpbGVfcGljLmRqYW5nby42ODguZXhwZXJpbWVudGFsIn0&amp;_nc_ht=instagram.fcgh9-1.fna.fbcdn.net&amp;_nc_cat=103&amp;_nc_oc=Q6cZ2QH3Kw-XPXi5D5c8GKw3H0Ru0_JkmpZiWOpo1xfW4PC72ZiO6jXlE0NvMTnnCQBu4w2_Bf0BJZwXazp7RiFAug52&amp;_nc_ohc=BE-07E8Q3K4Q7kNvwFS0wS7&amp;_nc_gid=HM__j6W2vI9X4ogKNGdAlw&amp;edm=AFlAz-oBAAAA&amp;ccb=7-5&amp;oh=00_AfgbMqNqGCbXM-rPy-KqYRsixx4hMK6ccEwf0MjhGbZtaw&amp;oe=6930E84E&amp;_nc_sid=76c0fc" TargetMode="External"/><Relationship Id="rId38" Type="http://schemas.openxmlformats.org/officeDocument/2006/relationships/hyperlink" Target="https://instagram.fcgh9-1.fna.fbcdn.net/v/t51.2885-19/342896576_197390316393171_6767736904209467616_n.jpg?stp=dst-jpg_s150x150_tt6&amp;efg=eyJ2ZW5jb2RlX3RhZyI6InByb2ZpbGVfcGljLmRqYW5nby4xMDgwLmMyIn0&amp;_nc_ht=instagram.fcgh9-1.fna.fbcdn.net&amp;_nc_cat=103&amp;_nc_oc=Q6cZ2QFPov7R9KkJkRWPhoul_WHPqgeeCzwRjTZJfLUvhQ7Ahn-FmGOPACvW2uuxfW4XFm6i_ZZl8_zjX6ppwx6UG-Ds&amp;_nc_ohc=wGwHqzpeXyMQ7kNvwF0ropW&amp;_nc_gid=Pc-yOprRxmpD2PcEEeKiuQ&amp;edm=AFlAz-oBAAAA&amp;ccb=7-5&amp;oh=00_AfjY77tssC80CHqpbKqFIoDGbWbOQ_WEUhsBzlDDjH7kng&amp;oe=6930C7E4&amp;_nc_sid=76c0fc" TargetMode="External"/><Relationship Id="rId173" Type="http://schemas.openxmlformats.org/officeDocument/2006/relationships/hyperlink" Target="https://www.instagram.com/p/DPjj9z0EYmp" TargetMode="External"/><Relationship Id="rId179" Type="http://schemas.openxmlformats.org/officeDocument/2006/relationships/hyperlink" Target="https://instagram.fcgh9-1.fna.fbcdn.net/v/t51.2885-19/332994363_707471631055148_2966942488053252668_n.jpg?stp=dst-jpg_s150x150_tt6&amp;efg=eyJ2ZW5jb2RlX3RhZyI6InByb2ZpbGVfcGljLmRqYW5nby4xMDgwLmMyIn0&amp;_nc_ht=instagram.fcgh9-1.fna.fbcdn.net&amp;_nc_cat=108&amp;_nc_oc=Q6cZ2QES1rb80vf83f9RP8tHFfUYSDj7KG_tZ-6AyNwjOKRzNB8CS_iZb8lMD3s53wCsdokUCWor83epbCLE3KrOTyOL&amp;_nc_ohc=h3H69nEgtdUQ7kNvwGjAUaR&amp;_nc_gid=X0c6A6yxvy3D7-fJfMbGPg&amp;edm=AFlAz-oBAAAA&amp;ccb=7-5&amp;oh=00_AfiyKFr3CTOpMWP5GT4deHsAI8vd4y20FJ4m66qr-0vMeg&amp;oe=6931108B&amp;_nc_sid=76c0fc" TargetMode="External"/><Relationship Id="rId178" Type="http://schemas.openxmlformats.org/officeDocument/2006/relationships/hyperlink" Target="https://www.instagram.com/p/DQIRqO4gCpy" TargetMode="External"/><Relationship Id="rId177" Type="http://schemas.openxmlformats.org/officeDocument/2006/relationships/hyperlink" Target="https://www.instagram.com/explore/search/keyword/?q=%23tdahadulto" TargetMode="External"/><Relationship Id="rId20" Type="http://schemas.openxmlformats.org/officeDocument/2006/relationships/hyperlink" Target="https://www.instagram.com/p/DQ70aCGDEAD" TargetMode="External"/><Relationship Id="rId22" Type="http://schemas.openxmlformats.org/officeDocument/2006/relationships/hyperlink" Target="https://scontent.cdninstagram.com/v/t39.30808-6/576433730_1653247979327058_1914648284471783328_n.jpg?stp=dst-jpg_e35_tt6&amp;_nc_cat=110&amp;ig_cache_key=Mzc2MzgzMjQwMDk3MjEwMzY4Mw%3D%3D.3-ccb7-5&amp;ccb=7-5&amp;_nc_sid=58cdad&amp;efg=eyJ2ZW5jb2RlX3RhZyI6InhwaWRzLjEwODB4MTM1MC5zZHIuQzMifQ%3D%3D&amp;_nc_ohc=A4THNY-diF8Q7kNvwGWE_KZ&amp;_nc_oc=Adm27BZ50LVPCbl5dcnXi2Q1bo46E8e0UMzXINf3moWw_NXp1Rabkk7nC8G851syA6p-DsYaEDbloOeohhnT8zSS&amp;_nc_ad=z-m&amp;_nc_cid=0&amp;_nc_zt=23&amp;_nc_ht=scontent.cdninstagram.com&amp;_nc_gid=Pc-yOprRxmpD2PcEEeKiuQ&amp;oh=00_Afj0La-fYFBfw24d4TbPVeX035RV_vnRtNK9uX_MXgNJrA&amp;oe=6930D027" TargetMode="External"/><Relationship Id="rId21" Type="http://schemas.openxmlformats.org/officeDocument/2006/relationships/hyperlink" Target="https://instagram.fcgh9-1.fna.fbcdn.net/v/t51.2885-19/450346823_737391045066002_1178007830183780591_n.jpg?stp=dst-jpg_s150x150_tt6&amp;efg=eyJ2ZW5jb2RlX3RhZyI6InByb2ZpbGVfcGljLmRqYW5nby43NTYuYzIifQ&amp;_nc_ht=instagram.fcgh9-1.fna.fbcdn.net&amp;_nc_cat=102&amp;_nc_oc=Q6cZ2QFPov7R9KkJkRWPhoul_WHPqgeeCzwRjTZJfLUvhQ7Ahn-FmGOPACvW2uuxfW4XFm6i_ZZl8_zjX6ppwx6UG-Ds&amp;_nc_ohc=7BBDKiSRR5AQ7kNvwEPwGQe&amp;_nc_gid=Pc-yOprRxmpD2PcEEeKiuQ&amp;edm=AFlAz-oBAAAA&amp;ccb=7-5&amp;oh=00_AfiDrKYa3pMG7TtKCIxFuHz-YeB0KIHY3b997-1MFjAoNQ&amp;oe=6930F177&amp;_nc_sid=76c0fc" TargetMode="External"/><Relationship Id="rId24" Type="http://schemas.openxmlformats.org/officeDocument/2006/relationships/hyperlink" Target="https://www.instagram.com/explore/search/keyword/?q=%23tdahadulto" TargetMode="External"/><Relationship Id="rId23" Type="http://schemas.openxmlformats.org/officeDocument/2006/relationships/hyperlink" Target="https://scontent.cdninstagram.com/v/t39.30808-6/576433730_1653247979327058_1914648284471783328_n.jpg?stp=dst-jpg_e35_tt6&amp;_nc_cat=110&amp;ig_cache_key=Mzc2MzgzMjQwMDk3MjEwMzY4Mw%3D%3D.3-ccb7-5&amp;ccb=7-5&amp;_nc_sid=58cdad&amp;efg=eyJ2ZW5jb2RlX3RhZyI6InhwaWRzLjEwODB4MTM1MC5zZHIuQzMifQ%3D%3D&amp;_nc_ohc=A4THNY-diF8Q7kNvwGWE_KZ&amp;_nc_oc=Adm27BZ50LVPCbl5dcnXi2Q1bo46E8e0UMzXINf3moWw_NXp1Rabkk7nC8G851syA6p-DsYaEDbloOeohhnT8zSS&amp;_nc_ad=z-m&amp;_nc_cid=0&amp;_nc_zt=23&amp;_nc_ht=scontent.cdninstagram.com&amp;_nc_gid=Pc-yOprRxmpD2PcEEeKiuQ&amp;oh=00_Afj0La-fYFBfw24d4TbPVeX035RV_vnRtNK9uX_MXgNJrA&amp;oe=6930D027" TargetMode="External"/><Relationship Id="rId26" Type="http://schemas.openxmlformats.org/officeDocument/2006/relationships/hyperlink" Target="https://instagram.fcgh9-1.fna.fbcdn.net/v/t51.2885-19/541340529_18007903898795107_2806927687798919756_n.jpg?stp=dst-jpg_s150x150_tt6&amp;efg=eyJ2ZW5jb2RlX3RhZyI6InByb2ZpbGVfcGljLmRqYW5nby45OTAuYzIifQ&amp;_nc_ht=instagram.fcgh9-1.fna.fbcdn.net&amp;_nc_cat=107&amp;_nc_oc=Q6cZ2QFPov7R9KkJkRWPhoul_WHPqgeeCzwRjTZJfLUvhQ7Ahn-FmGOPACvW2uuxfW4XFm6i_ZZl8_zjX6ppwx6UG-Ds&amp;_nc_ohc=ff2YpJX16SMQ7kNvwEKPijZ&amp;_nc_gid=Pc-yOprRxmpD2PcEEeKiuQ&amp;edm=AFlAz-oBAAAA&amp;ccb=7-5&amp;oh=00_Afjy7kdACmqXG5HwUiW78YJZeC1VFEEkRxi1NOkKRwJO5g&amp;oe=6930C84B&amp;_nc_sid=76c0fc" TargetMode="External"/><Relationship Id="rId25" Type="http://schemas.openxmlformats.org/officeDocument/2006/relationships/hyperlink" Target="https://www.instagram.com/p/DRNvL8KESlS" TargetMode="External"/><Relationship Id="rId28" Type="http://schemas.openxmlformats.org/officeDocument/2006/relationships/hyperlink" Target="https://www.instagram.com/p/DPwBa_gjSKi" TargetMode="External"/><Relationship Id="rId27" Type="http://schemas.openxmlformats.org/officeDocument/2006/relationships/hyperlink" Target="https://www.instagram.com/explore/search/keyword/?q=%23tdahadulto" TargetMode="External"/><Relationship Id="rId29" Type="http://schemas.openxmlformats.org/officeDocument/2006/relationships/hyperlink" Target="https://instagram.fcgh9-1.fna.fbcdn.net/v/t51.2885-19/559001436_18024887939741299_6491809288109977911_n.jpg?stp=dst-jpg_s150x150_tt6&amp;efg=eyJ2ZW5jb2RlX3RhZyI6InByb2ZpbGVfcGljLmRqYW5nby4xMDgwLmMyIn0&amp;_nc_ht=instagram.fcgh9-1.fna.fbcdn.net&amp;_nc_cat=107&amp;_nc_oc=Q6cZ2QFPov7R9KkJkRWPhoul_WHPqgeeCzwRjTZJfLUvhQ7Ahn-FmGOPACvW2uuxfW4XFm6i_ZZl8_zjX6ppwx6UG-Ds&amp;_nc_ohc=PnpENg9d05cQ7kNvwE-IvxA&amp;_nc_gid=Pc-yOprRxmpD2PcEEeKiuQ&amp;edm=AFlAz-oBAAAA&amp;ccb=7-5&amp;oh=00_Afj1lVm1RTtmRP-peIlbiwlH0qLdGG9M1EDb192IuW_gGg&amp;oe=6930E5EE&amp;_nc_sid=76c0fc" TargetMode="External"/><Relationship Id="rId11" Type="http://schemas.openxmlformats.org/officeDocument/2006/relationships/hyperlink" Target="https://www.instagram.com/p/DRAl-15ka-1" TargetMode="External"/><Relationship Id="rId10" Type="http://schemas.openxmlformats.org/officeDocument/2006/relationships/hyperlink" Target="https://www.instagram.com/explore/search/keyword/?q=%23tdahadulto" TargetMode="External"/><Relationship Id="rId13" Type="http://schemas.openxmlformats.org/officeDocument/2006/relationships/hyperlink" Target="https://www.instagram.com/explore/search/keyword/?q=%23tdahadulto" TargetMode="External"/><Relationship Id="rId12" Type="http://schemas.openxmlformats.org/officeDocument/2006/relationships/hyperlink" Target="https://instagram.fcgh9-1.fna.fbcdn.net/v/t51.2885-19/451657023_4166843333546180_2546503847286835108_n.jpg?stp=dst-jpg_s150x150_tt6&amp;efg=eyJ2ZW5jb2RlX3RhZyI6InByb2ZpbGVfcGljLmRqYW5nby40MTEuYzIifQ&amp;_nc_ht=instagram.fcgh9-1.fna.fbcdn.net&amp;_nc_cat=108&amp;_nc_oc=Q6cZ2QFPov7R9KkJkRWPhoul_WHPqgeeCzwRjTZJfLUvhQ7Ahn-FmGOPACvW2uuxfW4XFm6i_ZZl8_zjX6ppwx6UG-Ds&amp;_nc_ohc=bagxgy2JW-oQ7kNvwHxIN2j&amp;_nc_gid=Pc-yOprRxmpD2PcEEeKiuQ&amp;edm=AFlAz-oBAAAA&amp;ccb=7-5&amp;oh=00_AfgFzRxcYyXT1LCWKcbwbguFJqxjLbxejOeJK_g34orO7A&amp;oe=6930DAE3&amp;_nc_sid=76c0fc" TargetMode="External"/><Relationship Id="rId15" Type="http://schemas.openxmlformats.org/officeDocument/2006/relationships/hyperlink" Target="https://instagram.fcgh9-1.fna.fbcdn.net/v/t51.2885-19/454655817_415212718224218_4878863477330946250_n.jpg?stp=dst-jpg_s150x150_tt6&amp;efg=eyJ2ZW5jb2RlX3RhZyI6InByb2ZpbGVfcGljLmRqYW5nby4xMDQwLmMyIn0&amp;_nc_ht=instagram.fcgh9-1.fna.fbcdn.net&amp;_nc_cat=102&amp;_nc_oc=Q6cZ2QFPov7R9KkJkRWPhoul_WHPqgeeCzwRjTZJfLUvhQ7Ahn-FmGOPACvW2uuxfW4XFm6i_ZZl8_zjX6ppwx6UG-Ds&amp;_nc_ohc=vvePLaUBoRUQ7kNvwHqfw3E&amp;_nc_gid=Pc-yOprRxmpD2PcEEeKiuQ&amp;edm=AFlAz-oBAAAA&amp;ccb=7-5&amp;oh=00_AfiwHFVeeE8DdfB7K65xybyU526ZU__Rb0oXpdIBBr9gFg&amp;oe=6930FB00&amp;_nc_sid=76c0fc" TargetMode="External"/><Relationship Id="rId198" Type="http://schemas.openxmlformats.org/officeDocument/2006/relationships/hyperlink" Target="https://www.instagram.com/p/DQWatMWDl3O" TargetMode="External"/><Relationship Id="rId14" Type="http://schemas.openxmlformats.org/officeDocument/2006/relationships/hyperlink" Target="https://www.instagram.com/p/DRNkaYrD1_p" TargetMode="External"/><Relationship Id="rId197" Type="http://schemas.openxmlformats.org/officeDocument/2006/relationships/hyperlink" Target="https://www.instagram.com/explore/search/keyword/?q=%23tdahadulto" TargetMode="External"/><Relationship Id="rId17" Type="http://schemas.openxmlformats.org/officeDocument/2006/relationships/hyperlink" Target="https://www.instagram.com/p/DOXBit6DGdz" TargetMode="External"/><Relationship Id="rId196" Type="http://schemas.openxmlformats.org/officeDocument/2006/relationships/hyperlink" Target="https://instagram.fcgh9-1.fna.fbcdn.net/v/t51.2885-19/401673128_678469827596659_4494033280894812917_n.jpg?stp=dst-jpg_s150x150_tt6&amp;efg=eyJ2ZW5jb2RlX3RhZyI6InByb2ZpbGVfcGljLmRqYW5nby4xMDgwLmMyIn0&amp;_nc_ht=instagram.fcgh9-1.fna.fbcdn.net&amp;_nc_cat=107&amp;_nc_oc=Q6cZ2QH8AGEJL08EMqhjhYPTZdOFWnVfGVowKyI-I_p0y-x2hl7SyS0ARuNuh7VRQ_YLPWfXXQLGp99CYlSQtepxjah-&amp;_nc_ohc=cUxgIgYn9XMQ7kNvwHcSgTM&amp;_nc_gid=anY-VbTnY8OQdMFyJeThGg&amp;edm=AFlAz-oBAAAA&amp;ccb=7-5&amp;oh=00_AfgCxmrY8JWXYqdPgp8xPKFCCgF4RH68lJWiPjrhWHVebQ&amp;oe=69324016&amp;_nc_sid=76c0fc" TargetMode="External"/><Relationship Id="rId16" Type="http://schemas.openxmlformats.org/officeDocument/2006/relationships/hyperlink" Target="https://www.instagram.com/explore/search/keyword/?q=%23tdahadulto" TargetMode="External"/><Relationship Id="rId195" Type="http://schemas.openxmlformats.org/officeDocument/2006/relationships/hyperlink" Target="https://www.instagram.com/p/DPUgD69j1LB" TargetMode="External"/><Relationship Id="rId19" Type="http://schemas.openxmlformats.org/officeDocument/2006/relationships/hyperlink" Target="https://www.instagram.com/explore/search/keyword/?q=%23tdahadulto" TargetMode="External"/><Relationship Id="rId18" Type="http://schemas.openxmlformats.org/officeDocument/2006/relationships/hyperlink" Target="https://instagram.fcgh9-1.fna.fbcdn.net/v/t51.2885-19/363500112_265279026131451_3375377597105336600_n.jpg?stp=dst-jpg_s150x150_tt6&amp;efg=eyJ2ZW5jb2RlX3RhZyI6InByb2ZpbGVfcGljLmRqYW5nby4xMDgwLmMyIn0&amp;_nc_ht=instagram.fcgh9-1.fna.fbcdn.net&amp;_nc_cat=103&amp;_nc_oc=Q6cZ2QFPov7R9KkJkRWPhoul_WHPqgeeCzwRjTZJfLUvhQ7Ahn-FmGOPACvW2uuxfW4XFm6i_ZZl8_zjX6ppwx6UG-Ds&amp;_nc_ohc=2ltg-AkWwkQQ7kNvwFPK4VM&amp;_nc_gid=Pc-yOprRxmpD2PcEEeKiuQ&amp;edm=AFlAz-oBAAAA&amp;ccb=7-5&amp;oh=00_AfgsX5wkZwN32uB43bTzMZo_ZK2H0yiZW1WlFNwSVP3aIw&amp;oe=6930E041&amp;_nc_sid=76c0fc" TargetMode="External"/><Relationship Id="rId199" Type="http://schemas.openxmlformats.org/officeDocument/2006/relationships/hyperlink" Target="https://instagram.fcgh9-1.fna.fbcdn.net/v/t51.2885-19/335795124_3548520618700910_5888096039141705614_n.jpg?stp=dst-jpg_s150x150_tt6&amp;efg=eyJ2ZW5jb2RlX3RhZyI6InByb2ZpbGVfcGljLmRqYW5nby4xMDQwLmMyIn0&amp;_nc_ht=instagram.fcgh9-1.fna.fbcdn.net&amp;_nc_cat=102&amp;_nc_oc=Q6cZ2QH8AGEJL08EMqhjhYPTZdOFWnVfGVowKyI-I_p0y-x2hl7SyS0ARuNuh7VRQ_YLPWfXXQLGp99CYlSQtepxjah-&amp;_nc_ohc=QsO5peUb3q0Q7kNvwHGn1h4&amp;_nc_gid=anY-VbTnY8OQdMFyJeThGg&amp;edm=AFlAz-oBAAAA&amp;ccb=7-5&amp;oh=00_AfgLVLmZpkFNYD3BNQVjuz00BUXC9LYDN7ym4ooHuIxPjQ&amp;oe=69321ED9&amp;_nc_sid=76c0fc" TargetMode="External"/><Relationship Id="rId84" Type="http://schemas.openxmlformats.org/officeDocument/2006/relationships/hyperlink" Target="https://www.instagram.com/p/DRk-1LOkktg" TargetMode="External"/><Relationship Id="rId83" Type="http://schemas.openxmlformats.org/officeDocument/2006/relationships/hyperlink" Target="https://www.instagram.com/explore/search/keyword/?q=%23tdahadulto" TargetMode="External"/><Relationship Id="rId86" Type="http://schemas.openxmlformats.org/officeDocument/2006/relationships/hyperlink" Target="https://scontent.cdninstagram.com/v/t39.30808-6/590570428_1672873360697853_3957748371944399196_n.jpg?stp=dst-jpg_e35_tt6&amp;_nc_cat=101&amp;ig_cache_key=Mzc3NTQxODcyMDcxNDkwMjM2OA%3D%3D.3-ccb7-5&amp;ccb=7-5&amp;_nc_sid=58cdad&amp;efg=eyJ2ZW5jb2RlX3RhZyI6InhwaWRzLjEwODB4MTM1MC5zZHIuQzMifQ%3D%3D&amp;_nc_ohc=WMg6_64kNiQQ7kNvwHiBcYK&amp;_nc_oc=AdmnAZxv1fO3dEr9qP4odhcV_uohesrhw33NDH6zVvJ5XlykNpJl4OI5hKMPrpERdA1jo0zSgyA0_NvN4xf6CBJ9&amp;_nc_ad=z-m&amp;_nc_cid=0&amp;_nc_zt=23&amp;_nc_ht=scontent.cdninstagram.com&amp;_nc_gid=i7XvFrG1tAxDq8sSzpjFtg&amp;oh=00_AfgX_2wkT1zp9nG76g2V1CcTfxmn4vIMAaRTttobLLhP-g&amp;oe=6930CB46" TargetMode="External"/><Relationship Id="rId85" Type="http://schemas.openxmlformats.org/officeDocument/2006/relationships/hyperlink" Target="https://instagram.fcgh9-1.fna.fbcdn.net/v/t51.2885-19/450346823_737391045066002_1178007830183780591_n.jpg?stp=dst-jpg_s150x150_tt6&amp;efg=eyJ2ZW5jb2RlX3RhZyI6InByb2ZpbGVfcGljLmRqYW5nby43NTYuYzIifQ&amp;_nc_ht=instagram.fcgh9-1.fna.fbcdn.net&amp;_nc_cat=102&amp;_nc_oc=Q6cZ2QEX0voY9harPU9QGVM6cZMZJyLfRPHdPHv81xplv5CH_btfJUrEGoqJPfiGOmXcDTLYORGbHd0FVxdxmnj934lc&amp;_nc_ohc=7BBDKiSRR5AQ7kNvwEPwGQe&amp;_nc_gid=i7XvFrG1tAxDq8sSzpjFtg&amp;edm=AFlAz-oBAAAA&amp;ccb=7-5&amp;oh=00_AfjtLUj7JOcQCgn9uRnrLx2cpnbUaAImsBvDL0HY4_VVrQ&amp;oe=6930F177&amp;_nc_sid=76c0fc" TargetMode="External"/><Relationship Id="rId88" Type="http://schemas.openxmlformats.org/officeDocument/2006/relationships/hyperlink" Target="https://www.instagram.com/explore/search/keyword/?q=%23tdahadulto" TargetMode="External"/><Relationship Id="rId150" Type="http://schemas.openxmlformats.org/officeDocument/2006/relationships/hyperlink" Target="https://scontent.cdninstagram.com/v/t39.30808-6/547739167_1332859212178548_2277358149879575446_n.jpg?stp=dst-jpg_e35_tt6&amp;_nc_cat=102&amp;ig_cache_key=MzcyNTE2NTEwMzA2Nzk5MzE4Ng%3D%3D.3-ccb7-5&amp;ccb=7-5&amp;_nc_sid=58cdad&amp;efg=eyJ2ZW5jb2RlX3RhZyI6InhwaWRzLjEwODB4MTM1MC5zZHIuQzMifQ%3D%3D&amp;_nc_ohc=tQKb7-bM8qkQ7kNvwHfMZLF&amp;_nc_oc=AdmLJLpEhGXWP2DfOypvUxxdemCt3T6TZhWS6XLSVvKfWw96-aEVGoLTybDQ6GJsiwiup8y-aQxj7NcEuCZfYsGH&amp;_nc_ad=z-m&amp;_nc_cid=0&amp;_nc_zt=23&amp;_nc_ht=scontent.cdninstagram.com&amp;_nc_gid=HM__j6W2vI9X4ogKNGdAlw&amp;oh=00_AfhHVw-8sE7-N0Ur01cZminzQnIWLX1kJTj9R6JnS3oGgA&amp;oe=6931018B" TargetMode="External"/><Relationship Id="rId87" Type="http://schemas.openxmlformats.org/officeDocument/2006/relationships/hyperlink" Target="https://scontent.cdninstagram.com/v/t39.30808-6/590570428_1672873360697853_3957748371944399196_n.jpg?stp=dst-jpg_e35_tt6&amp;_nc_cat=101&amp;ig_cache_key=Mzc3NTQxODcyMDcxNDkwMjM2OA%3D%3D.3-ccb7-5&amp;ccb=7-5&amp;_nc_sid=58cdad&amp;efg=eyJ2ZW5jb2RlX3RhZyI6InhwaWRzLjEwODB4MTM1MC5zZHIuQzMifQ%3D%3D&amp;_nc_ohc=WMg6_64kNiQQ7kNvwHiBcYK&amp;_nc_oc=AdmnAZxv1fO3dEr9qP4odhcV_uohesrhw33NDH6zVvJ5XlykNpJl4OI5hKMPrpERdA1jo0zSgyA0_NvN4xf6CBJ9&amp;_nc_ad=z-m&amp;_nc_cid=0&amp;_nc_zt=23&amp;_nc_ht=scontent.cdninstagram.com&amp;_nc_gid=i7XvFrG1tAxDq8sSzpjFtg&amp;oh=00_AfgX_2wkT1zp9nG76g2V1CcTfxmn4vIMAaRTttobLLhP-g&amp;oe=6930CB46" TargetMode="External"/><Relationship Id="rId89" Type="http://schemas.openxmlformats.org/officeDocument/2006/relationships/hyperlink" Target="https://www.instagram.com/p/DQnLykRD0qU" TargetMode="External"/><Relationship Id="rId80" Type="http://schemas.openxmlformats.org/officeDocument/2006/relationships/hyperlink" Target="https://www.instagram.com/explore/search/keyword/?q=%23tdahadulto" TargetMode="External"/><Relationship Id="rId82" Type="http://schemas.openxmlformats.org/officeDocument/2006/relationships/hyperlink" Target="https://instagram.fcgh9-1.fna.fbcdn.net/v/t51.2885-19/494665101_18074979502868396_5149972479216782979_n.jpg?stp=dst-jpg_s150x150_tt6&amp;efg=eyJ2ZW5jb2RlX3RhZyI6InByb2ZpbGVfcGljLmRqYW5nby41NTMuYzIifQ&amp;_nc_ht=instagram.fcgh9-1.fna.fbcdn.net&amp;_nc_cat=108&amp;_nc_oc=Q6cZ2QFPov7R9KkJkRWPhoul_WHPqgeeCzwRjTZJfLUvhQ7Ahn-FmGOPACvW2uuxfW4XFm6i_ZZl8_zjX6ppwx6UG-Ds&amp;_nc_ohc=Wd5EqmUU6y8Q7kNvwGjOxeJ&amp;_nc_gid=Pc-yOprRxmpD2PcEEeKiuQ&amp;edm=AFlAz-oBAAAA&amp;ccb=7-5&amp;oh=00_AfjM0SM5C4nZv-emtIOBTod13ySuK_tV3sdx8W4SWfrdyA&amp;oe=6930DFBB&amp;_nc_sid=76c0fc" TargetMode="External"/><Relationship Id="rId81" Type="http://schemas.openxmlformats.org/officeDocument/2006/relationships/hyperlink" Target="https://www.instagram.com/p/DOLz-2FEZIt" TargetMode="External"/><Relationship Id="rId1" Type="http://schemas.openxmlformats.org/officeDocument/2006/relationships/hyperlink" Target="https://www.instagram.com/explore/search/keyword/?q=%23tdahadulto" TargetMode="External"/><Relationship Id="rId2" Type="http://schemas.openxmlformats.org/officeDocument/2006/relationships/hyperlink" Target="https://www.instagram.com/p/DODha0QkZcC" TargetMode="External"/><Relationship Id="rId3" Type="http://schemas.openxmlformats.org/officeDocument/2006/relationships/hyperlink" Target="https://instagram.fcgh9-1.fna.fbcdn.net/v/t51.2885-19/491444026_17907918897137986_281999618680596715_n.jpg?stp=dst-jpg_s150x150_tt6&amp;efg=eyJ2ZW5jb2RlX3RhZyI6InByb2ZpbGVfcGljLmRqYW5nby4xMDI0LmMyIn0&amp;_nc_ht=instagram.fcgh9-1.fna.fbcdn.net&amp;_nc_cat=110&amp;_nc_oc=Q6cZ2QFPov7R9KkJkRWPhoul_WHPqgeeCzwRjTZJfLUvhQ7Ahn-FmGOPACvW2uuxfW4XFm6i_ZZl8_zjX6ppwx6UG-Ds&amp;_nc_ohc=5PE-P74z5mQQ7kNvwHsgfFC&amp;_nc_gid=Pc-yOprRxmpD2PcEEeKiuQ&amp;edm=AFlAz-oBAAAA&amp;ccb=7-5&amp;oh=00_Afj-hRP3rj6oMBlJnRvoLl_h5ilP86HT_eEPxiFtdi-nnA&amp;oe=6930F3CD&amp;_nc_sid=76c0fc" TargetMode="External"/><Relationship Id="rId149" Type="http://schemas.openxmlformats.org/officeDocument/2006/relationships/hyperlink" Target="https://instagram.fcgh9-1.fna.fbcdn.net/v/t51.2885-19/343300468_614553440272619_4120800574994471110_n.jpg?stp=dst-jpg_s150x150_tt6&amp;efg=eyJ2ZW5jb2RlX3RhZyI6InByb2ZpbGVfcGljLmRqYW5nby45MzIuZXhwZXJpbWVudGFsIn0&amp;_nc_ht=instagram.fcgh9-1.fna.fbcdn.net&amp;_nc_cat=111&amp;_nc_oc=Q6cZ2QH3Kw-XPXi5D5c8GKw3H0Ru0_JkmpZiWOpo1xfW4PC72ZiO6jXlE0NvMTnnCQBu4w2_Bf0BJZwXazp7RiFAug52&amp;_nc_ohc=QGCQI1Y7oggQ7kNvwEpnvJk&amp;_nc_gid=HM__j6W2vI9X4ogKNGdAlw&amp;edm=AFlAz-oBAAAA&amp;ccb=7-5&amp;oh=00_AfhfO6OBtYmUGl_z4vkNh5CEqUctNuTZZD8Cdtw6Su1TLQ&amp;oe=6930DBF9&amp;_nc_sid=76c0fc" TargetMode="External"/><Relationship Id="rId4" Type="http://schemas.openxmlformats.org/officeDocument/2006/relationships/hyperlink" Target="https://www.instagram.com/explore/search/keyword/?q=%23tdahadulto" TargetMode="External"/><Relationship Id="rId148" Type="http://schemas.openxmlformats.org/officeDocument/2006/relationships/hyperlink" Target="https://www.instagram.com/p/DOyceyqDJRi" TargetMode="External"/><Relationship Id="rId9" Type="http://schemas.openxmlformats.org/officeDocument/2006/relationships/hyperlink" Target="https://instagram.fcgh9-1.fna.fbcdn.net/v/t51.2885-19/522649308_18361687945146319_6372198072115768897_n.jpg?stp=dst-jpg_s150x150_tt6&amp;efg=eyJ2ZW5jb2RlX3RhZyI6InByb2ZpbGVfcGljLmRqYW5nby4xMDgwLmMyIn0&amp;_nc_ht=instagram.fcgh9-1.fna.fbcdn.net&amp;_nc_cat=107&amp;_nc_oc=Q6cZ2QFPov7R9KkJkRWPhoul_WHPqgeeCzwRjTZJfLUvhQ7Ahn-FmGOPACvW2uuxfW4XFm6i_ZZl8_zjX6ppwx6UG-Ds&amp;_nc_ohc=llv9Rv2ydOsQ7kNvwGNrGgf&amp;_nc_gid=Pc-yOprRxmpD2PcEEeKiuQ&amp;edm=AFlAz-oBAAAA&amp;ccb=7-5&amp;oh=00_AfgLrOmIG3MKr1ikFQJwWa8nFvLxyccRkgaVo6nNaEsnSA&amp;oe=6930F65D&amp;_nc_sid=76c0fc" TargetMode="External"/><Relationship Id="rId143" Type="http://schemas.openxmlformats.org/officeDocument/2006/relationships/hyperlink" Target="https://www.instagram.com/p/DQuNx3GkSO2" TargetMode="External"/><Relationship Id="rId142" Type="http://schemas.openxmlformats.org/officeDocument/2006/relationships/hyperlink" Target="https://www.instagram.com/explore/search/keyword/?q=%23tdahadulto" TargetMode="External"/><Relationship Id="rId141" Type="http://schemas.openxmlformats.org/officeDocument/2006/relationships/hyperlink" Target="https://scontent.cdninstagram.com/v/t39.30808-6/575187025_1892000008359855_17951880620498448_n.jpg?stp=dst-jpg_e35_tt6&amp;_nc_cat=108&amp;ig_cache_key=Mzc2NDU0NTA5NTQ4MDE3ODM5OA%3D%3D.3-ccb7-5&amp;ccb=7-5&amp;_nc_sid=58cdad&amp;efg=eyJ2ZW5jb2RlX3RhZyI6InhwaWRzLjEwODB4MTM1MC5zZHIuQzMifQ%3D%3D&amp;_nc_ohc=S_wkABxTkqwQ7kNvwGI8G2a&amp;_nc_oc=AdmSMTNqrdz3x690nGxD6xGmiutSoeBmHIJmblIKip19KXVPsjz6J0TYPb671Egu55nQwwbeGLdzStyX_RGz4XWB&amp;_nc_ad=z-m&amp;_nc_cid=0&amp;_nc_zt=23&amp;_nc_ht=scontent.cdninstagram.com&amp;_nc_gid=HM__j6W2vI9X4ogKNGdAlw&amp;oh=00_Afjwf9Q7RGNM3WaX2N0RYLDod7votU3pIEJJnoW5prpEdw&amp;oe=693105C4" TargetMode="External"/><Relationship Id="rId140" Type="http://schemas.openxmlformats.org/officeDocument/2006/relationships/hyperlink" Target="https://scontent.cdninstagram.com/v/t39.30808-6/575187025_1892000008359855_17951880620498448_n.jpg?stp=dst-jpg_e35_tt6&amp;_nc_cat=108&amp;ig_cache_key=Mzc2NDU0NTA5NTQ4MDE3ODM5OA%3D%3D.3-ccb7-5&amp;ccb=7-5&amp;_nc_sid=58cdad&amp;efg=eyJ2ZW5jb2RlX3RhZyI6InhwaWRzLjEwODB4MTM1MC5zZHIuQzMifQ%3D%3D&amp;_nc_ohc=S_wkABxTkqwQ7kNvwGI8G2a&amp;_nc_oc=AdmSMTNqrdz3x690nGxD6xGmiutSoeBmHIJmblIKip19KXVPsjz6J0TYPb671Egu55nQwwbeGLdzStyX_RGz4XWB&amp;_nc_ad=z-m&amp;_nc_cid=0&amp;_nc_zt=23&amp;_nc_ht=scontent.cdninstagram.com&amp;_nc_gid=HM__j6W2vI9X4ogKNGdAlw&amp;oh=00_Afjwf9Q7RGNM3WaX2N0RYLDod7votU3pIEJJnoW5prpEdw&amp;oe=693105C4" TargetMode="External"/><Relationship Id="rId5" Type="http://schemas.openxmlformats.org/officeDocument/2006/relationships/hyperlink" Target="https://www.instagram.com/p/DRFPAuGkbO-" TargetMode="External"/><Relationship Id="rId147" Type="http://schemas.openxmlformats.org/officeDocument/2006/relationships/hyperlink" Target="https://www.instagram.com/explore/search/keyword/?q=%23tdahadulto" TargetMode="External"/><Relationship Id="rId6" Type="http://schemas.openxmlformats.org/officeDocument/2006/relationships/hyperlink" Target="https://instagram.fcgh9-1.fna.fbcdn.net/v/t51.2885-19/498693367_18082900702816454_933490820489866059_n.jpg?stp=dst-jpg_s150x150_tt6&amp;efg=eyJ2ZW5jb2RlX3RhZyI6InByb2ZpbGVfcGljLmRqYW5nby43NjguYzIifQ&amp;_nc_ht=instagram.fcgh9-1.fna.fbcdn.net&amp;_nc_cat=102&amp;_nc_oc=Q6cZ2QFPov7R9KkJkRWPhoul_WHPqgeeCzwRjTZJfLUvhQ7Ahn-FmGOPACvW2uuxfW4XFm6i_ZZl8_zjX6ppwx6UG-Ds&amp;_nc_ohc=df7gORrg7Z8Q7kNvwFwXJM1&amp;_nc_gid=Pc-yOprRxmpD2PcEEeKiuQ&amp;edm=AFlAz-oBAAAA&amp;ccb=7-5&amp;oh=00_Afgw-OqlsZybyajmB0S45CDA5Vl56gtxpzJkvNYWLkbthA&amp;oe=6930C8E7&amp;_nc_sid=76c0fc" TargetMode="External"/><Relationship Id="rId146" Type="http://schemas.openxmlformats.org/officeDocument/2006/relationships/hyperlink" Target="https://scontent.cdninstagram.com/v/t51.82787-15/573577376_18512514280065764_7242524435122476091_n.webp?_nc_cat=108&amp;ig_cache_key=Mzc2MDAwMzMzOTkyNTkyMjc0Mg%3D%3D.3-ccb7-5&amp;ccb=7-5&amp;_nc_sid=58cdad&amp;efg=eyJ2ZW5jb2RlX3RhZyI6InhwaWRzLjE0NDB4MTgwMC5zZHIuQzMifQ%3D%3D&amp;_nc_ohc=AYjiSkS9XvkQ7kNvwEAPGjy&amp;_nc_oc=AdmWaoBavHuT6qjIbJS8mu3GOP-cemK_d-kufEcn3peucFVHhOCweewRhOAZgolV9wDUl2F7w1qniw4uPelDE31j&amp;_nc_ad=z-m&amp;_nc_cid=0&amp;_nc_zt=23&amp;_nc_ht=scontent.cdninstagram.com&amp;_nc_gid=HM__j6W2vI9X4ogKNGdAlw&amp;oh=00_Afju5Pk9cSu36uwjk5qnAP9XaWMwW7oZ-DVz3oo6phMo8g&amp;oe=6930EACE" TargetMode="External"/><Relationship Id="rId7" Type="http://schemas.openxmlformats.org/officeDocument/2006/relationships/hyperlink" Target="https://www.instagram.com/explore/search/keyword/?q=%23tdahadulto" TargetMode="External"/><Relationship Id="rId145" Type="http://schemas.openxmlformats.org/officeDocument/2006/relationships/hyperlink" Target="https://scontent.cdninstagram.com/v/t51.82787-15/573577376_18512514280065764_7242524435122476091_n.webp?_nc_cat=108&amp;ig_cache_key=Mzc2MDAwMzMzOTkyNTkyMjc0Mg%3D%3D.3-ccb7-5&amp;ccb=7-5&amp;_nc_sid=58cdad&amp;efg=eyJ2ZW5jb2RlX3RhZyI6InhwaWRzLjE0NDB4MTgwMC5zZHIuQzMifQ%3D%3D&amp;_nc_ohc=AYjiSkS9XvkQ7kNvwEAPGjy&amp;_nc_oc=AdmWaoBavHuT6qjIbJS8mu3GOP-cemK_d-kufEcn3peucFVHhOCweewRhOAZgolV9wDUl2F7w1qniw4uPelDE31j&amp;_nc_ad=z-m&amp;_nc_cid=0&amp;_nc_zt=23&amp;_nc_ht=scontent.cdninstagram.com&amp;_nc_gid=HM__j6W2vI9X4ogKNGdAlw&amp;oh=00_Afju5Pk9cSu36uwjk5qnAP9XaWMwW7oZ-DVz3oo6phMo8g&amp;oe=6930EACE" TargetMode="External"/><Relationship Id="rId8" Type="http://schemas.openxmlformats.org/officeDocument/2006/relationships/hyperlink" Target="https://www.instagram.com/p/DQclsw8jwId" TargetMode="External"/><Relationship Id="rId144" Type="http://schemas.openxmlformats.org/officeDocument/2006/relationships/hyperlink" Target="https://instagram.fcgh9-1.fna.fbcdn.net/v/t51.2885-19/332467891_870732753989791_7019283026228548322_n.jpg?stp=dst-jpg_s150x150_tt6&amp;efg=eyJ2ZW5jb2RlX3RhZyI6InByb2ZpbGVfcGljLmRqYW5nby44OTkuZXhwZXJpbWVudGFsIn0&amp;_nc_ht=instagram.fcgh9-1.fna.fbcdn.net&amp;_nc_cat=107&amp;_nc_oc=Q6cZ2QH3Kw-XPXi5D5c8GKw3H0Ru0_JkmpZiWOpo1xfW4PC72ZiO6jXlE0NvMTnnCQBu4w2_Bf0BJZwXazp7RiFAug52&amp;_nc_ohc=a9Ac8DJluv8Q7kNvwE3k6rX&amp;_nc_gid=HM__j6W2vI9X4ogKNGdAlw&amp;edm=AFlAz-oBAAAA&amp;ccb=7-5&amp;oh=00_Afh3q2jPTHAMZah4sDMlaOl52op-7DB-m_t6caN0YAPS6w&amp;oe=6930F78B&amp;_nc_sid=76c0fc" TargetMode="External"/><Relationship Id="rId73" Type="http://schemas.openxmlformats.org/officeDocument/2006/relationships/hyperlink" Target="https://scontent.cdninstagram.com/v/t51.82787-15/543679299_18369042544194854_7950416378460197396_n.jpg?stp=dst-jpg_e35_tt6&amp;_nc_cat=110&amp;ig_cache_key=MzcxMzM0NTU3NjA4ODkzODM1OA%3D%3D.3-ccb7-5&amp;ccb=7-5&amp;_nc_sid=58cdad&amp;efg=eyJ2ZW5jb2RlX3RhZyI6InhwaWRzLjEzNTB4MTY4Ny5zZHIuQzMifQ%3D%3D&amp;_nc_ohc=dQ0-peXSsZIQ7kNvwHBp-v8&amp;_nc_oc=AdliUrWZolFJ3DtdSVdsQMMApeuAHvhuMQVy-aj-EjP8qlJh0Z05-PeAjmT0j5TNAL2kkEUf8-XHILHwPPydWN6X&amp;_nc_ad=z-m&amp;_nc_cid=0&amp;_nc_zt=23&amp;_nc_ht=scontent.cdninstagram.com&amp;_nc_gid=Pc-yOprRxmpD2PcEEeKiuQ&amp;oh=00_AfgdvBfoD26P_5xUDy1P5qKf6ua1xeF_vF3qHryi6qTHSQ&amp;oe=6930F9CC" TargetMode="External"/><Relationship Id="rId72" Type="http://schemas.openxmlformats.org/officeDocument/2006/relationships/hyperlink" Target="https://scontent.cdninstagram.com/v/t51.82787-15/543679299_18369042544194854_7950416378460197396_n.jpg?stp=dst-jpg_e35_tt6&amp;_nc_cat=110&amp;ig_cache_key=MzcxMzM0NTU3NjA4ODkzODM1OA%3D%3D.3-ccb7-5&amp;ccb=7-5&amp;_nc_sid=58cdad&amp;efg=eyJ2ZW5jb2RlX3RhZyI6InhwaWRzLjEzNTB4MTY4Ny5zZHIuQzMifQ%3D%3D&amp;_nc_ohc=dQ0-peXSsZIQ7kNvwHBp-v8&amp;_nc_oc=AdliUrWZolFJ3DtdSVdsQMMApeuAHvhuMQVy-aj-EjP8qlJh0Z05-PeAjmT0j5TNAL2kkEUf8-XHILHwPPydWN6X&amp;_nc_ad=z-m&amp;_nc_cid=0&amp;_nc_zt=23&amp;_nc_ht=scontent.cdninstagram.com&amp;_nc_gid=Pc-yOprRxmpD2PcEEeKiuQ&amp;oh=00_AfgdvBfoD26P_5xUDy1P5qKf6ua1xeF_vF3qHryi6qTHSQ&amp;oe=6930F9CC" TargetMode="External"/><Relationship Id="rId75" Type="http://schemas.openxmlformats.org/officeDocument/2006/relationships/hyperlink" Target="https://www.instagram.com/p/DPYvP8rABLy" TargetMode="External"/><Relationship Id="rId74" Type="http://schemas.openxmlformats.org/officeDocument/2006/relationships/hyperlink" Target="https://www.instagram.com/explore/search/keyword/?q=%23tdahadulto" TargetMode="External"/><Relationship Id="rId77" Type="http://schemas.openxmlformats.org/officeDocument/2006/relationships/hyperlink" Target="https://www.instagram.com/explore/search/keyword/?q=%23tdahadulto" TargetMode="External"/><Relationship Id="rId76" Type="http://schemas.openxmlformats.org/officeDocument/2006/relationships/hyperlink" Target="https://instagram.fcgh9-1.fna.fbcdn.net/v/t51.2885-19/350239533_216152491273993_5056076351766949515_n.jpg?stp=dst-jpg_s150x150_tt6&amp;efg=eyJ2ZW5jb2RlX3RhZyI6InByb2ZpbGVfcGljLmRqYW5nby4xMDgwLmMyIn0&amp;_nc_ht=instagram.fcgh9-1.fna.fbcdn.net&amp;_nc_cat=101&amp;_nc_oc=Q6cZ2QFPov7R9KkJkRWPhoul_WHPqgeeCzwRjTZJfLUvhQ7Ahn-FmGOPACvW2uuxfW4XFm6i_ZZl8_zjX6ppwx6UG-Ds&amp;_nc_ohc=4f_cdtm4sWEQ7kNvwHMVaU8&amp;_nc_gid=Pc-yOprRxmpD2PcEEeKiuQ&amp;edm=AFlAz-oBAAAA&amp;ccb=7-5&amp;oh=00_Afjya1qrsvD45vPy8E-rhx-xintkKxmyjxeBiukEOiJhew&amp;oe=6930F5BC&amp;_nc_sid=76c0fc" TargetMode="External"/><Relationship Id="rId79" Type="http://schemas.openxmlformats.org/officeDocument/2006/relationships/hyperlink" Target="https://instagram.fcgh9-1.fna.fbcdn.net/v/t51.2885-19/556796088_17965445144963777_7387558014503794404_n.jpg?stp=dst-jpg_s150x150_tt6&amp;efg=eyJ2ZW5jb2RlX3RhZyI6InByb2ZpbGVfcGljLmRqYW5nby4xMDI0LmMyIn0&amp;_nc_ht=instagram.fcgh9-1.fna.fbcdn.net&amp;_nc_cat=105&amp;_nc_oc=Q6cZ2QFPov7R9KkJkRWPhoul_WHPqgeeCzwRjTZJfLUvhQ7Ahn-FmGOPACvW2uuxfW4XFm6i_ZZl8_zjX6ppwx6UG-Ds&amp;_nc_ohc=N3_7k1z3i2MQ7kNvwEPyJqm&amp;_nc_gid=Pc-yOprRxmpD2PcEEeKiuQ&amp;edm=AFlAz-oBAAAA&amp;ccb=7-5&amp;oh=00_Afg7mI5w87qjOOTfzsaL2xR8lI7QpN0VFfgb2dXFG-xH0A&amp;oe=6930D9DC&amp;_nc_sid=76c0fc" TargetMode="External"/><Relationship Id="rId78" Type="http://schemas.openxmlformats.org/officeDocument/2006/relationships/hyperlink" Target="https://www.instagram.com/p/DP9pXOWlKBX" TargetMode="External"/><Relationship Id="rId71" Type="http://schemas.openxmlformats.org/officeDocument/2006/relationships/hyperlink" Target="https://instagram.fcgh9-1.fna.fbcdn.net/v/t51.2885-19/457494908_1027006752394675_3148156006850334450_n.jpg?stp=dst-jpg_s150x150_tt6&amp;efg=eyJ2ZW5jb2RlX3RhZyI6InByb2ZpbGVfcGljLmRqYW5nby4xMDgwLmMyIn0&amp;_nc_ht=instagram.fcgh9-1.fna.fbcdn.net&amp;_nc_cat=107&amp;_nc_oc=Q6cZ2QFPov7R9KkJkRWPhoul_WHPqgeeCzwRjTZJfLUvhQ7Ahn-FmGOPACvW2uuxfW4XFm6i_ZZl8_zjX6ppwx6UG-Ds&amp;_nc_ohc=dWDoDWdPsUMQ7kNvwHlc_Ae&amp;_nc_gid=Pc-yOprRxmpD2PcEEeKiuQ&amp;edm=AFlAz-oBAAAA&amp;ccb=7-5&amp;oh=00_Afg3HTxxrGBRKnyZ-5rYK2b4dwt4YQxHZ_XBmmTSrj4q_Q&amp;oe=6930FAF6&amp;_nc_sid=76c0fc" TargetMode="External"/><Relationship Id="rId70" Type="http://schemas.openxmlformats.org/officeDocument/2006/relationships/hyperlink" Target="https://www.instagram.com/p/DOIdCCXDKd2" TargetMode="External"/><Relationship Id="rId139" Type="http://schemas.openxmlformats.org/officeDocument/2006/relationships/hyperlink" Target="https://instagram.fcgh9-1.fna.fbcdn.net/v/t51.2885-19/363500112_265279026131451_3375377597105336600_n.jpg?stp=dst-jpg_s150x150_tt6&amp;efg=eyJ2ZW5jb2RlX3RhZyI6InByb2ZpbGVfcGljLmRqYW5nby4xMDgwLmV4cGVyaW1lbnRhbCJ9&amp;_nc_ht=instagram.fcgh9-1.fna.fbcdn.net&amp;_nc_cat=103&amp;_nc_oc=Q6cZ2QH3Kw-XPXi5D5c8GKw3H0Ru0_JkmpZiWOpo1xfW4PC72ZiO6jXlE0NvMTnnCQBu4w2_Bf0BJZwXazp7RiFAug52&amp;_nc_ohc=2ltg-AkWwkQQ7kNvwFPK4VM&amp;_nc_gid=HM__j6W2vI9X4ogKNGdAlw&amp;edm=AFlAz-oBAAAA&amp;ccb=7-5&amp;oh=00_AfiAFo9__FeSJmhHETUbXcv962MFTl3AvlWXjptfBFO3pg&amp;oe=6930E041&amp;_nc_sid=76c0fc" TargetMode="External"/><Relationship Id="rId138" Type="http://schemas.openxmlformats.org/officeDocument/2006/relationships/hyperlink" Target="https://www.instagram.com/p/DQ-WdGlCPbe" TargetMode="External"/><Relationship Id="rId137" Type="http://schemas.openxmlformats.org/officeDocument/2006/relationships/hyperlink" Target="https://www.instagram.com/explore/search/keyword/?q=%23tdahadulto" TargetMode="External"/><Relationship Id="rId132" Type="http://schemas.openxmlformats.org/officeDocument/2006/relationships/hyperlink" Target="https://www.instagram.com/explore/search/keyword/?q=%23tdahadulto" TargetMode="External"/><Relationship Id="rId131" Type="http://schemas.openxmlformats.org/officeDocument/2006/relationships/hyperlink" Target="https://scontent.cdninstagram.com/v/t39.30808-6/571169192_1645007356817787_6927086819044496893_n.jpg?stp=dst-jpg_e35_tt6&amp;_nc_cat=107&amp;ig_cache_key=Mzc1Mjk0NzE1Nzk0MzkzNDE3Ng%3D%3D.3-ccb7-5&amp;ccb=7-5&amp;_nc_sid=58cdad&amp;efg=eyJ2ZW5jb2RlX3RhZyI6InhwaWRzLjEwODB4MTM1MC5zZHIuQzMifQ%3D%3D&amp;_nc_ohc=yV2qzE4eDjUQ7kNvwHyWlba&amp;_nc_oc=Adl90VR5WEXPlnpMx7ZVOKKSyDNcQ4_wWkFvCl0hk2FFl5_2koaKAt1fConvdbqezqZnb_vRVcVYZeNaf858AtT7&amp;_nc_ad=z-m&amp;_nc_cid=0&amp;_nc_zt=23&amp;_nc_ht=scontent.cdninstagram.com&amp;_nc_gid=HM__j6W2vI9X4ogKNGdAlw&amp;oh=00_AfjdxwRKraNSdXxOHtRwEUq_eKlnlnTSAI8U7qEmL4D_Qw&amp;oe=6930FAA4" TargetMode="External"/><Relationship Id="rId130" Type="http://schemas.openxmlformats.org/officeDocument/2006/relationships/hyperlink" Target="https://scontent.cdninstagram.com/v/t39.30808-6/571169192_1645007356817787_6927086819044496893_n.jpg?stp=dst-jpg_e35_tt6&amp;_nc_cat=107&amp;ig_cache_key=Mzc1Mjk0NzE1Nzk0MzkzNDE3Ng%3D%3D.3-ccb7-5&amp;ccb=7-5&amp;_nc_sid=58cdad&amp;efg=eyJ2ZW5jb2RlX3RhZyI6InhwaWRzLjEwODB4MTM1MC5zZHIuQzMifQ%3D%3D&amp;_nc_ohc=yV2qzE4eDjUQ7kNvwHyWlba&amp;_nc_oc=Adl90VR5WEXPlnpMx7ZVOKKSyDNcQ4_wWkFvCl0hk2FFl5_2koaKAt1fConvdbqezqZnb_vRVcVYZeNaf858AtT7&amp;_nc_ad=z-m&amp;_nc_cid=0&amp;_nc_zt=23&amp;_nc_ht=scontent.cdninstagram.com&amp;_nc_gid=HM__j6W2vI9X4ogKNGdAlw&amp;oh=00_AfjdxwRKraNSdXxOHtRwEUq_eKlnlnTSAI8U7qEmL4D_Qw&amp;oe=6930FAA4" TargetMode="External"/><Relationship Id="rId136" Type="http://schemas.openxmlformats.org/officeDocument/2006/relationships/hyperlink" Target="https://scontent.cdninstagram.com/v/t39.30808-6/515071425_1065829075693228_5475962296548202175_n.jpg?stp=dst-jpg_e35_tt6&amp;_nc_cat=104&amp;ig_cache_key=MzY4ODQ0MTIzMTI5MzUwNTU5OA%3D%3D.3-ccb7-5&amp;ccb=7-5&amp;_nc_sid=58cdad&amp;efg=eyJ2ZW5jb2RlX3RhZyI6InhwaWRzLjEwODB4MTM1MC5zZHIuQzMifQ%3D%3D&amp;_nc_ohc=uUs-9NDaiBIQ7kNvwE316DJ&amp;_nc_oc=AdkZ0-kF-spRinRzoPlhWD2enCdsyOAPzdMRFdxc0KpHMOQHFK-s1h5BQyNhR0g38McbuTzM0P1Xfdg5wG6nQQy3&amp;_nc_ad=z-m&amp;_nc_cid=0&amp;_nc_zt=23&amp;_nc_ht=scontent.cdninstagram.com&amp;_nc_gid=HM__j6W2vI9X4ogKNGdAlw&amp;oh=00_AfhHnhdrGPYMQqS0WfdGQCYzIgtfpm-lmvq1dlr3SxhMhQ&amp;oe=6930DD7C" TargetMode="External"/><Relationship Id="rId135" Type="http://schemas.openxmlformats.org/officeDocument/2006/relationships/hyperlink" Target="https://scontent.cdninstagram.com/v/t39.30808-6/515071425_1065829075693228_5475962296548202175_n.jpg?stp=dst-jpg_e35_tt6&amp;_nc_cat=104&amp;ig_cache_key=MzY4ODQ0MTIzMTI5MzUwNTU5OA%3D%3D.3-ccb7-5&amp;ccb=7-5&amp;_nc_sid=58cdad&amp;efg=eyJ2ZW5jb2RlX3RhZyI6InhwaWRzLjEwODB4MTM1MC5zZHIuQzMifQ%3D%3D&amp;_nc_ohc=uUs-9NDaiBIQ7kNvwE316DJ&amp;_nc_oc=AdkZ0-kF-spRinRzoPlhWD2enCdsyOAPzdMRFdxc0KpHMOQHFK-s1h5BQyNhR0g38McbuTzM0P1Xfdg5wG6nQQy3&amp;_nc_ad=z-m&amp;_nc_cid=0&amp;_nc_zt=23&amp;_nc_ht=scontent.cdninstagram.com&amp;_nc_gid=HM__j6W2vI9X4ogKNGdAlw&amp;oh=00_AfhHnhdrGPYMQqS0WfdGQCYzIgtfpm-lmvq1dlr3SxhMhQ&amp;oe=6930DD7C" TargetMode="External"/><Relationship Id="rId134" Type="http://schemas.openxmlformats.org/officeDocument/2006/relationships/hyperlink" Target="https://instagram.fcgh9-1.fna.fbcdn.net/v/t51.2885-19/475684928_937823348493528_5729673631702983615_n.jpg?stp=dst-jpg_s150x150_tt6&amp;efg=eyJ2ZW5jb2RlX3RhZyI6InByb2ZpbGVfcGljLmRqYW5nby4xMDgwLmV4cGVyaW1lbnRhbCJ9&amp;_nc_ht=instagram.fcgh9-1.fna.fbcdn.net&amp;_nc_cat=100&amp;_nc_oc=Q6cZ2QH3Kw-XPXi5D5c8GKw3H0Ru0_JkmpZiWOpo1xfW4PC72ZiO6jXlE0NvMTnnCQBu4w2_Bf0BJZwXazp7RiFAug52&amp;_nc_ohc=jdS3y4KVZNQQ7kNvwFgzXn6&amp;_nc_gid=HM__j6W2vI9X4ogKNGdAlw&amp;edm=AFlAz-oBAAAA&amp;ccb=7-5&amp;oh=00_AfgOAzPCJsuORBHm6tEY1nU8VDo2ZzuoTypofU6HHM99UQ&amp;oe=6930DDD3&amp;_nc_sid=76c0fc" TargetMode="External"/><Relationship Id="rId133" Type="http://schemas.openxmlformats.org/officeDocument/2006/relationships/hyperlink" Target="https://www.instagram.com/p/DMv-cH2J2A-" TargetMode="External"/><Relationship Id="rId62" Type="http://schemas.openxmlformats.org/officeDocument/2006/relationships/hyperlink" Target="https://instagram.fcgh9-1.fna.fbcdn.net/v/t51.2885-19/561752671_17946541092047747_4685719665481876069_n.jpg?stp=dst-jpg_s150x150_tt6&amp;efg=eyJ2ZW5jb2RlX3RhZyI6InByb2ZpbGVfcGljLmRqYW5nby4xMDgwLmMyIn0&amp;_nc_ht=instagram.fcgh9-1.fna.fbcdn.net&amp;_nc_cat=111&amp;_nc_oc=Q6cZ2QFPov7R9KkJkRWPhoul_WHPqgeeCzwRjTZJfLUvhQ7Ahn-FmGOPACvW2uuxfW4XFm6i_ZZl8_zjX6ppwx6UG-Ds&amp;_nc_ohc=IM7c1wpWnd4Q7kNvwGrAdlY&amp;_nc_gid=Pc-yOprRxmpD2PcEEeKiuQ&amp;edm=AFlAz-oBAAAA&amp;ccb=7-5&amp;oh=00_AfiPT1kIevE9mL8oKVE_Bb26_csfJKkujSPI_s3KhAgi8g&amp;oe=6930ECBB&amp;_nc_sid=76c0fc" TargetMode="External"/><Relationship Id="rId61" Type="http://schemas.openxmlformats.org/officeDocument/2006/relationships/hyperlink" Target="https://www.instagram.com/p/DQMLtd2jQmo" TargetMode="External"/><Relationship Id="rId64" Type="http://schemas.openxmlformats.org/officeDocument/2006/relationships/hyperlink" Target="https://www.instagram.com/p/DAqzHR3Nm8N" TargetMode="External"/><Relationship Id="rId63" Type="http://schemas.openxmlformats.org/officeDocument/2006/relationships/hyperlink" Target="https://www.instagram.com/explore/search/keyword/?q=%23tdahadulto" TargetMode="External"/><Relationship Id="rId66" Type="http://schemas.openxmlformats.org/officeDocument/2006/relationships/hyperlink" Target="https://www.instagram.com/explore/search/keyword/?q=%23tdahadulto" TargetMode="External"/><Relationship Id="rId172" Type="http://schemas.openxmlformats.org/officeDocument/2006/relationships/hyperlink" Target="https://www.instagram.com/explore/search/keyword/?q=%23tdahadulto" TargetMode="External"/><Relationship Id="rId65" Type="http://schemas.openxmlformats.org/officeDocument/2006/relationships/hyperlink" Target="https://instagram.fcgh9-1.fna.fbcdn.net/v/t51.2885-19/419980358_289800883715767_6089219814531033544_n.jpg?stp=dst-jpg_s150x150_tt6&amp;efg=eyJ2ZW5jb2RlX3RhZyI6InByb2ZpbGVfcGljLmRqYW5nby40OTkuYzIifQ&amp;_nc_ht=instagram.fcgh9-1.fna.fbcdn.net&amp;_nc_cat=107&amp;_nc_oc=Q6cZ2QFPov7R9KkJkRWPhoul_WHPqgeeCzwRjTZJfLUvhQ7Ahn-FmGOPACvW2uuxfW4XFm6i_ZZl8_zjX6ppwx6UG-Ds&amp;_nc_ohc=6BxneSBPTboQ7kNvwH37We_&amp;_nc_gid=Pc-yOprRxmpD2PcEEeKiuQ&amp;edm=AFlAz-oBAAAA&amp;ccb=7-5&amp;oh=00_AfiMU1g2L1QIhNOyiHwqRrWCrrJ2-CVNIDZmkAZNxyzMxw&amp;oe=6930E809&amp;_nc_sid=76c0fc" TargetMode="External"/><Relationship Id="rId171" Type="http://schemas.openxmlformats.org/officeDocument/2006/relationships/hyperlink" Target="https://scontent.cdninstagram.com/v/t51.82787-15/558939780_17867278698460143_2479073363277710614_n.webp?_nc_cat=101&amp;ig_cache_key=MzczNjkxNjA2MzkzMTE0NzEyMw%3D%3D.3-ccb7-5&amp;ccb=7-5&amp;_nc_sid=58cdad&amp;efg=eyJ2ZW5jb2RlX3RhZyI6InhwaWRzLjE0NDB4MTQ0MC5zZHIuQzMifQ%3D%3D&amp;_nc_ohc=4M8-GlbAym0Q7kNvwGqjJqI&amp;_nc_oc=AdmhDDyvf89H7y1dXxTNjWGRtRRWnD98gKCuUcgBEKg18Qd6RWWeNEOHzv7joeEpsHLLPICva9BNeLJkz75dG8WF&amp;_nc_ad=z-m&amp;_nc_cid=0&amp;_nc_zt=23&amp;_nc_ht=scontent.cdninstagram.com&amp;_nc_gid=HM__j6W2vI9X4ogKNGdAlw&amp;oh=00_AfgaLXHim9ow8qQ21O0a4w11J5UaufpuVoI627rV9fR0iw&amp;oe=6930F8C0" TargetMode="External"/><Relationship Id="rId68" Type="http://schemas.openxmlformats.org/officeDocument/2006/relationships/hyperlink" Target="https://instagram.fcgh9-1.fna.fbcdn.net/v/t51.2885-19/401673128_678469827596659_4494033280894812917_n.jpg?stp=dst-jpg_s150x150_tt6&amp;efg=eyJ2ZW5jb2RlX3RhZyI6InByb2ZpbGVfcGljLmRqYW5nby4xMDgwLmMyIn0&amp;_nc_ht=instagram.fcgh9-1.fna.fbcdn.net&amp;_nc_cat=107&amp;_nc_oc=Q6cZ2QFPov7R9KkJkRWPhoul_WHPqgeeCzwRjTZJfLUvhQ7Ahn-FmGOPACvW2uuxfW4XFm6i_ZZl8_zjX6ppwx6UG-Ds&amp;_nc_ohc=cUxgIgYn9XMQ7kNvwHcSgTM&amp;_nc_gid=Pc-yOprRxmpD2PcEEeKiuQ&amp;edm=AFlAz-oBAAAA&amp;ccb=7-5&amp;oh=00_Afhtz0KT3r3n7emnKv95eUNSSOCTnpkQfEANjLCLUAmATg&amp;oe=6930EE96&amp;_nc_sid=76c0fc" TargetMode="External"/><Relationship Id="rId170" Type="http://schemas.openxmlformats.org/officeDocument/2006/relationships/hyperlink" Target="https://scontent.cdninstagram.com/v/t51.82787-15/558939780_17867278698460143_2479073363277710614_n.webp?_nc_cat=101&amp;ig_cache_key=MzczNjkxNjA2MzkzMTE0NzEyMw%3D%3D.3-ccb7-5&amp;ccb=7-5&amp;_nc_sid=58cdad&amp;efg=eyJ2ZW5jb2RlX3RhZyI6InhwaWRzLjE0NDB4MTQ0MC5zZHIuQzMifQ%3D%3D&amp;_nc_ohc=4M8-GlbAym0Q7kNvwGqjJqI&amp;_nc_oc=AdmhDDyvf89H7y1dXxTNjWGRtRRWnD98gKCuUcgBEKg18Qd6RWWeNEOHzv7joeEpsHLLPICva9BNeLJkz75dG8WF&amp;_nc_ad=z-m&amp;_nc_cid=0&amp;_nc_zt=23&amp;_nc_ht=scontent.cdninstagram.com&amp;_nc_gid=HM__j6W2vI9X4ogKNGdAlw&amp;oh=00_AfgaLXHim9ow8qQ21O0a4w11J5UaufpuVoI627rV9fR0iw&amp;oe=6930F8C0" TargetMode="External"/><Relationship Id="rId67" Type="http://schemas.openxmlformats.org/officeDocument/2006/relationships/hyperlink" Target="https://www.instagram.com/p/DQmvlNlD7Yd" TargetMode="External"/><Relationship Id="rId60" Type="http://schemas.openxmlformats.org/officeDocument/2006/relationships/hyperlink" Target="https://www.instagram.com/explore/search/keyword/?q=%23tdahadulto" TargetMode="External"/><Relationship Id="rId165" Type="http://schemas.openxmlformats.org/officeDocument/2006/relationships/hyperlink" Target="https://scontent.cdninstagram.com/v/t51.82787-15/544977434_18078864022963362_4666333819026233002_n.jpg?stp=dst-jpg_e35_tt6&amp;_nc_cat=109&amp;ig_cache_key=MzcyNjgxODkzMjUwMzUyNTQxNw%3D%3D.3-ccb7-5&amp;ccb=7-5&amp;_nc_sid=58cdad&amp;efg=eyJ2ZW5jb2RlX3RhZyI6InhwaWRzLjE0NDB4MTc5Ni5zZHIuQzMifQ%3D%3D&amp;_nc_ohc=bs_hjfdFxmcQ7kNvwH7g7TT&amp;_nc_oc=AdlCswUZQPwfWYNlDO_NCnfE0skgUXdl1HgcUoPXQo_2ekRYscDe6mD66y1Zvg8TsTvVU6sJWjrM4hGLZnVPzUPL&amp;_nc_ad=z-m&amp;_nc_cid=0&amp;_nc_zt=23&amp;_nc_ht=scontent.cdninstagram.com&amp;_nc_gid=HM__j6W2vI9X4ogKNGdAlw&amp;oh=00_AfivCZ1MI9WFUt2oxoxOuvW_NUdbjHx0MqKsJGzEZuuL8g&amp;oe=6930E881" TargetMode="External"/><Relationship Id="rId69" Type="http://schemas.openxmlformats.org/officeDocument/2006/relationships/hyperlink" Target="https://www.instagram.com/explore/search/keyword/?q=%23tdahadulto" TargetMode="External"/><Relationship Id="rId164" Type="http://schemas.openxmlformats.org/officeDocument/2006/relationships/hyperlink" Target="https://instagram.fcgh9-1.fna.fbcdn.net/v/t51.2885-19/520201116_18073496299963362_5659245198539464402_n.jpg?stp=dst-jpg_s150x150_tt6&amp;efg=eyJ2ZW5jb2RlX3RhZyI6InByb2ZpbGVfcGljLmRqYW5nby4xMDgwLmV4cGVyaW1lbnRhbCJ9&amp;_nc_ht=instagram.fcgh9-1.fna.fbcdn.net&amp;_nc_cat=106&amp;_nc_oc=Q6cZ2QH3Kw-XPXi5D5c8GKw3H0Ru0_JkmpZiWOpo1xfW4PC72ZiO6jXlE0NvMTnnCQBu4w2_Bf0BJZwXazp7RiFAug52&amp;_nc_ohc=OeK8_0XFxLQQ7kNvwGRPpkL&amp;_nc_gid=HM__j6W2vI9X4ogKNGdAlw&amp;edm=AFlAz-oBAAAA&amp;ccb=7-5&amp;oh=00_AfhHiEV6QdnMI9IpCGQtDAbGsP_R6nXCsO7RKvmXnlpMDg&amp;oe=6930EAD8&amp;_nc_sid=76c0fc" TargetMode="External"/><Relationship Id="rId163" Type="http://schemas.openxmlformats.org/officeDocument/2006/relationships/hyperlink" Target="https://www.instagram.com/p/DO4UhLWErgp" TargetMode="External"/><Relationship Id="rId162" Type="http://schemas.openxmlformats.org/officeDocument/2006/relationships/hyperlink" Target="https://www.instagram.com/explore/search/keyword/?q=%23tdahadulto" TargetMode="External"/><Relationship Id="rId169" Type="http://schemas.openxmlformats.org/officeDocument/2006/relationships/hyperlink" Target="https://instagram.fcgh9-1.fna.fbcdn.net/v/t51.2885-19/488434015_1165869318363807_1822785379407117536_n.jpg?stp=dst-jpg_s150x150_tt6&amp;efg=eyJ2ZW5jb2RlX3RhZyI6InByb2ZpbGVfcGljLmRqYW5nby4xMDgwLmV4cGVyaW1lbnRhbCJ9&amp;_nc_ht=instagram.fcgh9-1.fna.fbcdn.net&amp;_nc_cat=103&amp;_nc_oc=Q6cZ2QH3Kw-XPXi5D5c8GKw3H0Ru0_JkmpZiWOpo1xfW4PC72ZiO6jXlE0NvMTnnCQBu4w2_Bf0BJZwXazp7RiFAug52&amp;_nc_ohc=Dt_o4wuSQecQ7kNvwGhgeZu&amp;_nc_gid=HM__j6W2vI9X4ogKNGdAlw&amp;edm=AFlAz-oBAAAA&amp;ccb=7-5&amp;oh=00_Afil0-KOiY6CFvUhNafyaTola1wQEYIn5M0zB-2ieQOLzw&amp;oe=69310082&amp;_nc_sid=76c0fc" TargetMode="External"/><Relationship Id="rId168" Type="http://schemas.openxmlformats.org/officeDocument/2006/relationships/hyperlink" Target="https://www.instagram.com/p/DPcMVxyESNz" TargetMode="External"/><Relationship Id="rId167" Type="http://schemas.openxmlformats.org/officeDocument/2006/relationships/hyperlink" Target="https://www.instagram.com/explore/search/keyword/?q=%23tdahadulto" TargetMode="External"/><Relationship Id="rId166" Type="http://schemas.openxmlformats.org/officeDocument/2006/relationships/hyperlink" Target="https://scontent.cdninstagram.com/v/t51.82787-15/544977434_18078864022963362_4666333819026233002_n.jpg?stp=dst-jpg_e35_tt6&amp;_nc_cat=109&amp;ig_cache_key=MzcyNjgxODkzMjUwMzUyNTQxNw%3D%3D.3-ccb7-5&amp;ccb=7-5&amp;_nc_sid=58cdad&amp;efg=eyJ2ZW5jb2RlX3RhZyI6InhwaWRzLjE0NDB4MTc5Ni5zZHIuQzMifQ%3D%3D&amp;_nc_ohc=bs_hjfdFxmcQ7kNvwH7g7TT&amp;_nc_oc=AdlCswUZQPwfWYNlDO_NCnfE0skgUXdl1HgcUoPXQo_2ekRYscDe6mD66y1Zvg8TsTvVU6sJWjrM4hGLZnVPzUPL&amp;_nc_ad=z-m&amp;_nc_cid=0&amp;_nc_zt=23&amp;_nc_ht=scontent.cdninstagram.com&amp;_nc_gid=HM__j6W2vI9X4ogKNGdAlw&amp;oh=00_AfivCZ1MI9WFUt2oxoxOuvW_NUdbjHx0MqKsJGzEZuuL8g&amp;oe=6930E881" TargetMode="External"/><Relationship Id="rId51" Type="http://schemas.openxmlformats.org/officeDocument/2006/relationships/hyperlink" Target="https://instagram.fcgh9-1.fna.fbcdn.net/v/t51.2885-19/463306506_578019911247247_6027540863326158088_n.jpg?stp=dst-jpg_s150x150_tt6&amp;efg=eyJ2ZW5jb2RlX3RhZyI6InByb2ZpbGVfcGljLmRqYW5nby4zMjAuYzIifQ&amp;_nc_ht=instagram.fcgh9-1.fna.fbcdn.net&amp;_nc_cat=107&amp;_nc_oc=Q6cZ2QFPov7R9KkJkRWPhoul_WHPqgeeCzwRjTZJfLUvhQ7Ahn-FmGOPACvW2uuxfW4XFm6i_ZZl8_zjX6ppwx6UG-Ds&amp;_nc_ohc=O5mH1VKyKE8Q7kNvwF8NWun&amp;_nc_gid=Pc-yOprRxmpD2PcEEeKiuQ&amp;edm=AFlAz-oBAAAA&amp;ccb=7-5&amp;oh=00_AfgVASYQDGsWAs7MF6kp6QIvTdBiEw2iJq-L9nPEu8Xjlw&amp;oe=6930CB11&amp;_nc_sid=76c0fc" TargetMode="External"/><Relationship Id="rId50" Type="http://schemas.openxmlformats.org/officeDocument/2006/relationships/hyperlink" Target="https://www.instagram.com/p/DKIHo__JhS1" TargetMode="External"/><Relationship Id="rId53" Type="http://schemas.openxmlformats.org/officeDocument/2006/relationships/hyperlink" Target="https://scontent.cdninstagram.com/v/t51.75761-15/501427063_18509343841016235_7451810044767480491_n.webp?_nc_cat=108&amp;ig_cache_key=MzY0MTE5MzkwMjUzODg4ODM3Mw%3D%3D.3-ccb7-5&amp;ccb=7-5&amp;_nc_sid=58cdad&amp;efg=eyJ2ZW5jb2RlX3RhZyI6InhwaWRzLjEwODB4MTA4MC5zZHIuQzMifQ%3D%3D&amp;_nc_ohc=jbl8BZRE6K8Q7kNvwFLeax8&amp;_nc_oc=AdmFnQ2W2p73XDWgPd30cAVtyK1N8w3gW3vjTXUAfSddyv8Cr4I6eee_qr125sZe4Akph2IGmufi5n5DZJQc7eCh&amp;_nc_ad=z-m&amp;_nc_cid=0&amp;_nc_zt=23&amp;_nc_ht=scontent.cdninstagram.com&amp;_nc_gid=Pc-yOprRxmpD2PcEEeKiuQ&amp;oh=00_AfgQ3e-8P0pIt56FxLzAX2mZCL9JRLd-6Jv2Ce5RcP2crg&amp;oe=6930E531" TargetMode="External"/><Relationship Id="rId52" Type="http://schemas.openxmlformats.org/officeDocument/2006/relationships/hyperlink" Target="https://scontent.cdninstagram.com/v/t51.75761-15/501427063_18509343841016235_7451810044767480491_n.webp?_nc_cat=108&amp;ig_cache_key=MzY0MTE5MzkwMjUzODg4ODM3Mw%3D%3D.3-ccb7-5&amp;ccb=7-5&amp;_nc_sid=58cdad&amp;efg=eyJ2ZW5jb2RlX3RhZyI6InhwaWRzLjEwODB4MTA4MC5zZHIuQzMifQ%3D%3D&amp;_nc_ohc=jbl8BZRE6K8Q7kNvwFLeax8&amp;_nc_oc=AdmFnQ2W2p73XDWgPd30cAVtyK1N8w3gW3vjTXUAfSddyv8Cr4I6eee_qr125sZe4Akph2IGmufi5n5DZJQc7eCh&amp;_nc_ad=z-m&amp;_nc_cid=0&amp;_nc_zt=23&amp;_nc_ht=scontent.cdninstagram.com&amp;_nc_gid=Pc-yOprRxmpD2PcEEeKiuQ&amp;oh=00_AfgQ3e-8P0pIt56FxLzAX2mZCL9JRLd-6Jv2Ce5RcP2crg&amp;oe=6930E531" TargetMode="External"/><Relationship Id="rId55" Type="http://schemas.openxmlformats.org/officeDocument/2006/relationships/hyperlink" Target="https://www.instagram.com/p/DQ4CKwpEVt1" TargetMode="External"/><Relationship Id="rId161" Type="http://schemas.openxmlformats.org/officeDocument/2006/relationships/hyperlink" Target="https://scontent.cdninstagram.com/v/t51.82787-15/573183869_18546510979056012_8445509204532759725_n.webp?_nc_cat=100&amp;ig_cache_key=Mzc1NTYwODQ3MjMwMjgyOTE5MQ%3D%3D.3-ccb7-5&amp;ccb=7-5&amp;_nc_sid=58cdad&amp;efg=eyJ2ZW5jb2RlX3RhZyI6InhwaWRzLjE0NDB4MTgwMC5zZHIuQzMifQ%3D%3D&amp;_nc_ohc=b_6aXIpgpUwQ7kNvwE0_vAZ&amp;_nc_oc=AdkWOJQGi0ZY3ayIpS5AaTaXMAZKeq3Df1-IrQfRtKq8mcpEUkzzxAX7UiKsRq9i2pycL0g5EZ4-wYMlHywgq_Hd&amp;_nc_ad=z-m&amp;_nc_cid=0&amp;_nc_zt=23&amp;_nc_ht=scontent.cdninstagram.com&amp;_nc_gid=HM__j6W2vI9X4ogKNGdAlw&amp;oh=00_AfjA2zoHjItVsIbzIuuF0-9qeuKajeGwNifttHak8OsV9Q&amp;oe=6930F02B" TargetMode="External"/><Relationship Id="rId54" Type="http://schemas.openxmlformats.org/officeDocument/2006/relationships/hyperlink" Target="https://www.instagram.com/explore/search/keyword/?q=%23tdahadulto" TargetMode="External"/><Relationship Id="rId160" Type="http://schemas.openxmlformats.org/officeDocument/2006/relationships/hyperlink" Target="https://scontent.cdninstagram.com/v/t51.82787-15/573183869_18546510979056012_8445509204532759725_n.webp?_nc_cat=100&amp;ig_cache_key=Mzc1NTYwODQ3MjMwMjgyOTE5MQ%3D%3D.3-ccb7-5&amp;ccb=7-5&amp;_nc_sid=58cdad&amp;efg=eyJ2ZW5jb2RlX3RhZyI6InhwaWRzLjE0NDB4MTgwMC5zZHIuQzMifQ%3D%3D&amp;_nc_ohc=b_6aXIpgpUwQ7kNvwE0_vAZ&amp;_nc_oc=AdkWOJQGi0ZY3ayIpS5AaTaXMAZKeq3Df1-IrQfRtKq8mcpEUkzzxAX7UiKsRq9i2pycL0g5EZ4-wYMlHywgq_Hd&amp;_nc_ad=z-m&amp;_nc_cid=0&amp;_nc_zt=23&amp;_nc_ht=scontent.cdninstagram.com&amp;_nc_gid=HM__j6W2vI9X4ogKNGdAlw&amp;oh=00_AfjA2zoHjItVsIbzIuuF0-9qeuKajeGwNifttHak8OsV9Q&amp;oe=6930F02B" TargetMode="External"/><Relationship Id="rId57" Type="http://schemas.openxmlformats.org/officeDocument/2006/relationships/hyperlink" Target="https://www.instagram.com/explore/search/keyword/?q=%23tdahadulto" TargetMode="External"/><Relationship Id="rId56" Type="http://schemas.openxmlformats.org/officeDocument/2006/relationships/hyperlink" Target="https://instagram.fcgh9-1.fna.fbcdn.net/v/t51.2885-19/464563669_1203077240771007_4761419916236182529_n.jpg?stp=dst-jpg_s150x150_tt6&amp;efg=eyJ2ZW5jb2RlX3RhZyI6InByb2ZpbGVfcGljLmRqYW5nby4xMDgwLmMyIn0&amp;_nc_ht=instagram.fcgh9-1.fna.fbcdn.net&amp;_nc_cat=103&amp;_nc_oc=Q6cZ2QFPov7R9KkJkRWPhoul_WHPqgeeCzwRjTZJfLUvhQ7Ahn-FmGOPACvW2uuxfW4XFm6i_ZZl8_zjX6ppwx6UG-Ds&amp;_nc_ohc=4iUGCCEou4QQ7kNvwFc0Ips&amp;_nc_gid=Pc-yOprRxmpD2PcEEeKiuQ&amp;edm=AFlAz-oBAAAA&amp;ccb=7-5&amp;oh=00_Afh6AlRXIW4eciHRKon7DE3p23KSlGkwqqOkDW0qhTishQ&amp;oe=6930EA7E&amp;_nc_sid=76c0fc" TargetMode="External"/><Relationship Id="rId159" Type="http://schemas.openxmlformats.org/officeDocument/2006/relationships/hyperlink" Target="https://instagram.fcgh9-1.fna.fbcdn.net/v/t51.2885-19/450502028_364227709756384_5207360741911199062_n.jpg?stp=dst-jpg_s150x150_tt6&amp;efg=eyJ2ZW5jb2RlX3RhZyI6InByb2ZpbGVfcGljLmRqYW5nby4xMDgwLmV4cGVyaW1lbnRhbCJ9&amp;_nc_ht=instagram.fcgh9-1.fna.fbcdn.net&amp;_nc_cat=104&amp;_nc_oc=Q6cZ2QH3Kw-XPXi5D5c8GKw3H0Ru0_JkmpZiWOpo1xfW4PC72ZiO6jXlE0NvMTnnCQBu4w2_Bf0BJZwXazp7RiFAug52&amp;_nc_ohc=lQMLGrDCqrgQ7kNvwERFYoX&amp;_nc_gid=HM__j6W2vI9X4ogKNGdAlw&amp;edm=AFlAz-oBAAAA&amp;ccb=7-5&amp;oh=00_AfgTO5vFyXsnvldm5TVtxUduAdjJvpHyTULIWSiaU-iTGw&amp;oe=6930E38C&amp;_nc_sid=76c0fc" TargetMode="External"/><Relationship Id="rId59" Type="http://schemas.openxmlformats.org/officeDocument/2006/relationships/hyperlink" Target="https://instagram.fcgh9-1.fna.fbcdn.net/v/t51.2885-19/533955389_18072947732089832_1852310563428573706_n.jpg?stp=dst-jpg_s150x150_tt6&amp;efg=eyJ2ZW5jb2RlX3RhZyI6InByb2ZpbGVfcGljLmRqYW5nby4xMDgwLmMyIn0&amp;_nc_ht=instagram.fcgh9-1.fna.fbcdn.net&amp;_nc_cat=108&amp;_nc_oc=Q6cZ2QFPov7R9KkJkRWPhoul_WHPqgeeCzwRjTZJfLUvhQ7Ahn-FmGOPACvW2uuxfW4XFm6i_ZZl8_zjX6ppwx6UG-Ds&amp;_nc_ohc=XLWR_A_N7aQQ7kNvwGGdKk8&amp;_nc_gid=Pc-yOprRxmpD2PcEEeKiuQ&amp;edm=AFlAz-oBAAAA&amp;ccb=7-5&amp;oh=00_AfhpQpnx0IFV33UzqotWEr6eQkyuzH7WguIYaE5x_aLcuA&amp;oe=6930D248&amp;_nc_sid=76c0fc" TargetMode="External"/><Relationship Id="rId154" Type="http://schemas.openxmlformats.org/officeDocument/2006/relationships/hyperlink" Target="https://instagram.fcgh9-1.fna.fbcdn.net/v/t51.2885-19/342896576_197390316393171_6767736904209467616_n.jpg?stp=dst-jpg_s150x150_tt6&amp;efg=eyJ2ZW5jb2RlX3RhZyI6InByb2ZpbGVfcGljLmRqYW5nby4xMDgwLmV4cGVyaW1lbnRhbCJ9&amp;_nc_ht=instagram.fcgh9-1.fna.fbcdn.net&amp;_nc_cat=103&amp;_nc_oc=Q6cZ2QH3Kw-XPXi5D5c8GKw3H0Ru0_JkmpZiWOpo1xfW4PC72ZiO6jXlE0NvMTnnCQBu4w2_Bf0BJZwXazp7RiFAug52&amp;_nc_ohc=wGwHqzpeXyMQ7kNvwF0ropW&amp;_nc_gid=HM__j6W2vI9X4ogKNGdAlw&amp;edm=AFlAz-oBAAAA&amp;ccb=7-5&amp;oh=00_Afi3ZvZ-ejhooQz_Cmd1RJd8a-jVwQeM5rldwus03jKfaA&amp;oe=69310024&amp;_nc_sid=76c0fc" TargetMode="External"/><Relationship Id="rId58" Type="http://schemas.openxmlformats.org/officeDocument/2006/relationships/hyperlink" Target="https://www.instagram.com/p/DOwCENwkZHz" TargetMode="External"/><Relationship Id="rId153" Type="http://schemas.openxmlformats.org/officeDocument/2006/relationships/hyperlink" Target="https://www.instagram.com/p/DOe-JP-jH1b" TargetMode="External"/><Relationship Id="rId152" Type="http://schemas.openxmlformats.org/officeDocument/2006/relationships/hyperlink" Target="https://www.instagram.com/explore/search/keyword/?q=%23tdahadulto" TargetMode="External"/><Relationship Id="rId151" Type="http://schemas.openxmlformats.org/officeDocument/2006/relationships/hyperlink" Target="https://scontent.cdninstagram.com/v/t39.30808-6/547739167_1332859212178548_2277358149879575446_n.jpg?stp=dst-jpg_e35_tt6&amp;_nc_cat=102&amp;ig_cache_key=MzcyNTE2NTEwMzA2Nzk5MzE4Ng%3D%3D.3-ccb7-5&amp;ccb=7-5&amp;_nc_sid=58cdad&amp;efg=eyJ2ZW5jb2RlX3RhZyI6InhwaWRzLjEwODB4MTM1MC5zZHIuQzMifQ%3D%3D&amp;_nc_ohc=tQKb7-bM8qkQ7kNvwHfMZLF&amp;_nc_oc=AdmLJLpEhGXWP2DfOypvUxxdemCt3T6TZhWS6XLSVvKfWw96-aEVGoLTybDQ6GJsiwiup8y-aQxj7NcEuCZfYsGH&amp;_nc_ad=z-m&amp;_nc_cid=0&amp;_nc_zt=23&amp;_nc_ht=scontent.cdninstagram.com&amp;_nc_gid=HM__j6W2vI9X4ogKNGdAlw&amp;oh=00_AfhHVw-8sE7-N0Ur01cZminzQnIWLX1kJTj9R6JnS3oGgA&amp;oe=6931018B" TargetMode="External"/><Relationship Id="rId158" Type="http://schemas.openxmlformats.org/officeDocument/2006/relationships/hyperlink" Target="https://www.instagram.com/p/DQemgHrDr6H" TargetMode="External"/><Relationship Id="rId157" Type="http://schemas.openxmlformats.org/officeDocument/2006/relationships/hyperlink" Target="https://www.instagram.com/explore/search/keyword/?q=%23tdahadulto" TargetMode="External"/><Relationship Id="rId156" Type="http://schemas.openxmlformats.org/officeDocument/2006/relationships/hyperlink" Target="https://scontent.cdninstagram.com/v/t51.82787-15/545249987_18322911049232330_7601460859877635477_n.jpg?stp=dst-jpg_e35_tt6&amp;_nc_cat=110&amp;ig_cache_key=MzcxOTY4MzY1Njc2OTEwOTMzOQ%3D%3D.3-ccb7-5&amp;ccb=7-5&amp;_nc_sid=58cdad&amp;efg=eyJ2ZW5jb2RlX3RhZyI6InhwaWRzLjE0NDB4MTc5Ni5zZHIuQzMifQ%3D%3D&amp;_nc_ohc=XzBlhVopIXkQ7kNvwFVukWU&amp;_nc_oc=AdluH5xEXLVqiKu7LLjtGlig74DcVOqAtpl4mNO4g68_nup9gC8yCvERXbK3IP6YnOG0Ymx56PnJqDuKM-GDfCgZ&amp;_nc_ad=z-m&amp;_nc_cid=0&amp;_nc_zt=23&amp;_nc_ht=scontent.cdninstagram.com&amp;_nc_gid=HM__j6W2vI9X4ogKNGdAlw&amp;oh=00_AfjkrCcINubMGsR1ZDX7oWgohDE02-nPZCW7FvR3JpEImA&amp;oe=69310EE7" TargetMode="External"/><Relationship Id="rId155" Type="http://schemas.openxmlformats.org/officeDocument/2006/relationships/hyperlink" Target="https://scontent.cdninstagram.com/v/t51.82787-15/545249987_18322911049232330_7601460859877635477_n.jpg?stp=dst-jpg_e35_tt6&amp;_nc_cat=110&amp;ig_cache_key=MzcxOTY4MzY1Njc2OTEwOTMzOQ%3D%3D.3-ccb7-5&amp;ccb=7-5&amp;_nc_sid=58cdad&amp;efg=eyJ2ZW5jb2RlX3RhZyI6InhwaWRzLjE0NDB4MTc5Ni5zZHIuQzMifQ%3D%3D&amp;_nc_ohc=XzBlhVopIXkQ7kNvwFVukWU&amp;_nc_oc=AdluH5xEXLVqiKu7LLjtGlig74DcVOqAtpl4mNO4g68_nup9gC8yCvERXbK3IP6YnOG0Ymx56PnJqDuKM-GDfCgZ&amp;_nc_ad=z-m&amp;_nc_cid=0&amp;_nc_zt=23&amp;_nc_ht=scontent.cdninstagram.com&amp;_nc_gid=HM__j6W2vI9X4ogKNGdAlw&amp;oh=00_AfjkrCcINubMGsR1ZDX7oWgohDE02-nPZCW7FvR3JpEImA&amp;oe=69310EE7" TargetMode="External"/><Relationship Id="rId107" Type="http://schemas.openxmlformats.org/officeDocument/2006/relationships/hyperlink" Target="https://instagram.fcgh9-1.fna.fbcdn.net/v/t51.2885-19/563603693_17867246910461738_3880063453732155811_n.jpg?stp=dst-jpg_s150x150_tt6&amp;efg=eyJ2ZW5jb2RlX3RhZyI6InByb2ZpbGVfcGljLmRqYW5nby4xMDA5LmMyIn0&amp;_nc_ht=instagram.fcgh9-1.fna.fbcdn.net&amp;_nc_cat=102&amp;_nc_oc=Q6cZ2QElEyj1RJuHC4XNRGJvxURGi0_teIXmsC7OadDD4iSa9mNqpOSPHlUrpefs9doggwW3V1ONorpquop1BOTLN5he&amp;_nc_ohc=D_mLDFiJbdEQ7kNvwHzgRRW&amp;_nc_gid=jewD4_Dtudyf0ZkgOhb44Q&amp;edm=AFlAz-oBAAAA&amp;ccb=7-5&amp;oh=00_Afiyeow5wutq3oTPkQDLXu3LAvTbNfbJ9lAiJOyaNnYyvQ&amp;oe=6930D5CF&amp;_nc_sid=76c0fc" TargetMode="External"/><Relationship Id="rId106" Type="http://schemas.openxmlformats.org/officeDocument/2006/relationships/hyperlink" Target="https://www.instagram.com/p/DOgZnB3iLB0" TargetMode="External"/><Relationship Id="rId105" Type="http://schemas.openxmlformats.org/officeDocument/2006/relationships/hyperlink" Target="https://www.instagram.com/explore/search/keyword/?q=%23tdahadulto" TargetMode="External"/><Relationship Id="rId104" Type="http://schemas.openxmlformats.org/officeDocument/2006/relationships/hyperlink" Target="https://instagram.fcgh9-1.fna.fbcdn.net/v/t51.2885-19/450346823_737391045066002_1178007830183780591_n.jpg?stp=dst-jpg_s150x150_tt6&amp;efg=eyJ2ZW5jb2RlX3RhZyI6InByb2ZpbGVfcGljLmRqYW5nby43NTYuYzIifQ&amp;_nc_ht=instagram.fcgh9-1.fna.fbcdn.net&amp;_nc_cat=102&amp;_nc_oc=Q6cZ2QElEyj1RJuHC4XNRGJvxURGi0_teIXmsC7OadDD4iSa9mNqpOSPHlUrpefs9doggwW3V1ONorpquop1BOTLN5he&amp;_nc_ohc=7BBDKiSRR5AQ7kNvwEPwGQe&amp;_nc_gid=jewD4_Dtudyf0ZkgOhb44Q&amp;edm=AFlAz-oBAAAA&amp;ccb=7-5&amp;oh=00_Afjs2l9_hnwQvnfIpMoWOk9PMdQM846hLMxOLzlj8AkLSQ&amp;oe=6930F177&amp;_nc_sid=76c0fc" TargetMode="External"/><Relationship Id="rId109" Type="http://schemas.openxmlformats.org/officeDocument/2006/relationships/hyperlink" Target="https://scontent.cdninstagram.com/v/t51.82787-15/547623651_17864128950461738_7245927873960600877_n.jpg?stp=dst-jpg_e35_tt6&amp;_nc_cat=105&amp;ig_cache_key=MzcyMDA4NTkyNTQzNTg0Njc3Mg%3D%3D.3-ccb7-5&amp;ccb=7-5&amp;_nc_sid=58cdad&amp;efg=eyJ2ZW5jb2RlX3RhZyI6InhwaWRzLjExMjV4MTQwNi5zZHIuQzMifQ%3D%3D&amp;_nc_ohc=Z5gMFN12itUQ7kNvwEEXRim&amp;_nc_oc=AdnnX7r0SvzHa5hkf0O7-o7Q7Q-4BRo-CLwV-HTnLN3jYvGN5MCeSZR1pDnbM4kHotenRYFLnQulZjoAQGuBz9Wa&amp;_nc_ad=z-m&amp;_nc_cid=0&amp;_nc_zt=23&amp;_nc_ht=scontent.cdninstagram.com&amp;_nc_gid=jewD4_Dtudyf0ZkgOhb44Q&amp;oh=00_AfhW-Y0TRlUM277Ca_ioReERJ9gou1mmwFncMPf2wwQ1qA&amp;oe=6930D3F5" TargetMode="External"/><Relationship Id="rId108" Type="http://schemas.openxmlformats.org/officeDocument/2006/relationships/hyperlink" Target="https://scontent.cdninstagram.com/v/t51.82787-15/547623651_17864128950461738_7245927873960600877_n.jpg?stp=dst-jpg_e35_tt6&amp;_nc_cat=105&amp;ig_cache_key=MzcyMDA4NTkyNTQzNTg0Njc3Mg%3D%3D.3-ccb7-5&amp;ccb=7-5&amp;_nc_sid=58cdad&amp;efg=eyJ2ZW5jb2RlX3RhZyI6InhwaWRzLjExMjV4MTQwNi5zZHIuQzMifQ%3D%3D&amp;_nc_ohc=Z5gMFN12itUQ7kNvwEEXRim&amp;_nc_oc=AdnnX7r0SvzHa5hkf0O7-o7Q7Q-4BRo-CLwV-HTnLN3jYvGN5MCeSZR1pDnbM4kHotenRYFLnQulZjoAQGuBz9Wa&amp;_nc_ad=z-m&amp;_nc_cid=0&amp;_nc_zt=23&amp;_nc_ht=scontent.cdninstagram.com&amp;_nc_gid=jewD4_Dtudyf0ZkgOhb44Q&amp;oh=00_AfhW-Y0TRlUM277Ca_ioReERJ9gou1mmwFncMPf2wwQ1qA&amp;oe=6930D3F5" TargetMode="External"/><Relationship Id="rId103" Type="http://schemas.openxmlformats.org/officeDocument/2006/relationships/hyperlink" Target="https://www.instagram.com/p/DQsQyU9jhX3" TargetMode="External"/><Relationship Id="rId102" Type="http://schemas.openxmlformats.org/officeDocument/2006/relationships/hyperlink" Target="https://www.instagram.com/explore/search/keyword/?q=%23tdahadulto" TargetMode="External"/><Relationship Id="rId101" Type="http://schemas.openxmlformats.org/officeDocument/2006/relationships/hyperlink" Target="https://instagram.fcgh9-1.fna.fbcdn.net/v/t51.2885-19/541301317_18066670676242904_229664044403058617_n.jpg?stp=dst-jpg_s150x150_tt6&amp;efg=eyJ2ZW5jb2RlX3RhZyI6InByb2ZpbGVfcGljLmRqYW5nby4xMDgwLmMyIn0&amp;_nc_ht=instagram.fcgh9-1.fna.fbcdn.net&amp;_nc_cat=108&amp;_nc_oc=Q6cZ2QEX0voY9harPU9QGVM6cZMZJyLfRPHdPHv81xplv5CH_btfJUrEGoqJPfiGOmXcDTLYORGbHd0FVxdxmnj934lc&amp;_nc_ohc=2C9f9UoL2zEQ7kNvwEWxdPt&amp;_nc_gid=i7XvFrG1tAxDq8sSzpjFtg&amp;edm=AFlAz-oBAAAA&amp;ccb=7-5&amp;oh=00_AfhKUZJ3xrhXZbdAeXxqMJ0iTeDVpEOI4MYLeVhed875Zw&amp;oe=6930CD3C&amp;_nc_sid=76c0fc" TargetMode="External"/><Relationship Id="rId100" Type="http://schemas.openxmlformats.org/officeDocument/2006/relationships/hyperlink" Target="https://www.instagram.com/p/DO9W2D6kYCJ" TargetMode="External"/><Relationship Id="rId129" Type="http://schemas.openxmlformats.org/officeDocument/2006/relationships/hyperlink" Target="https://instagram.fcgh9-1.fna.fbcdn.net/v/t51.2885-19/450346823_737391045066002_1178007830183780591_n.jpg?stp=dst-jpg_s150x150_tt6&amp;efg=eyJ2ZW5jb2RlX3RhZyI6InByb2ZpbGVfcGljLmRqYW5nby43NTYuZXhwZXJpbWVudGFsIn0&amp;_nc_ht=instagram.fcgh9-1.fna.fbcdn.net&amp;_nc_cat=102&amp;_nc_oc=Q6cZ2QH3Kw-XPXi5D5c8GKw3H0Ru0_JkmpZiWOpo1xfW4PC72ZiO6jXlE0NvMTnnCQBu4w2_Bf0BJZwXazp7RiFAug52&amp;_nc_ohc=7BBDKiSRR5AQ7kNvwEPwGQe&amp;_nc_gid=HM__j6W2vI9X4ogKNGdAlw&amp;edm=AFlAz-oBAAAA&amp;ccb=7-5&amp;oh=00_Afhzxnn3byXmRIzRuATFyS0snAh2Rw7kHyUW01WpORjwpw&amp;oe=6930F177&amp;_nc_sid=76c0fc" TargetMode="External"/><Relationship Id="rId128" Type="http://schemas.openxmlformats.org/officeDocument/2006/relationships/hyperlink" Target="https://www.instagram.com/p/DQVJY5iD1zg" TargetMode="External"/><Relationship Id="rId127" Type="http://schemas.openxmlformats.org/officeDocument/2006/relationships/hyperlink" Target="https://www.instagram.com/explore/search/keyword/?q=%23tdahadulto" TargetMode="External"/><Relationship Id="rId126" Type="http://schemas.openxmlformats.org/officeDocument/2006/relationships/hyperlink" Target="https://instagram.fcgh9-1.fna.fbcdn.net/v/t51.2885-19/454655817_415212718224218_4878863477330946250_n.jpg?stp=dst-jpg_s150x150_tt6&amp;efg=eyJ2ZW5jb2RlX3RhZyI6InByb2ZpbGVfcGljLmRqYW5nby4xMDQwLmMyIn0&amp;_nc_ht=instagram.fcgh9-1.fna.fbcdn.net&amp;_nc_cat=102&amp;_nc_oc=Q6cZ2QF0xN9m9A-yJeRSaiuC5y4e24AtMlizEBa_ONhaU34yDq_cSbxZzKNrYg80a3hX1JGemtp9pOigDNrWDAi-CBnJ&amp;_nc_ohc=vvePLaUBoRUQ7kNvwHqfw3E&amp;_nc_gid=qer7AwFlfyVxDKRfrq4gJg&amp;edm=AFlAz-oBAAAA&amp;ccb=7-5&amp;oh=00_AfjhPifSMXD0cWqusy4HuCzU2wKVK0auejlorfDaDdXLqQ&amp;oe=6930FB00&amp;_nc_sid=76c0fc" TargetMode="External"/><Relationship Id="rId121" Type="http://schemas.openxmlformats.org/officeDocument/2006/relationships/hyperlink" Target="https://www.instagram.com/explore/search/keyword/?q=%23tdahadulto" TargetMode="External"/><Relationship Id="rId120" Type="http://schemas.openxmlformats.org/officeDocument/2006/relationships/hyperlink" Target="https://instagram.fcgh9-1.fna.fbcdn.net/v/t51.2885-19/335795124_3548520618700910_5888096039141705614_n.jpg?stp=dst-jpg_s150x150_tt6&amp;efg=eyJ2ZW5jb2RlX3RhZyI6InByb2ZpbGVfcGljLmRqYW5nby4xMDQwLmMyIn0&amp;_nc_ht=instagram.fcgh9-1.fna.fbcdn.net&amp;_nc_cat=102&amp;_nc_oc=Q6cZ2QELripIcfuq3vB7XQGrYpbG2sRNXWXxqfq-cWOCMya6nr0ApFAdjr8WmldNw8jskLrznbadhGIOIxX6K5kEhjLA&amp;_nc_ohc=QsO5peUb3q0Q7kNvwHGn1h4&amp;_nc_gid=oq3SpMGyqhLBinfU16bx7Q&amp;edm=AFlAz-oBAAAA&amp;ccb=7-5&amp;oh=00_AfipNPXI4BPyymvSFIh86M2U9ZYXYmc5PD-Zz8L6iE-K4g&amp;oe=6930CD59&amp;_nc_sid=76c0fc" TargetMode="External"/><Relationship Id="rId125" Type="http://schemas.openxmlformats.org/officeDocument/2006/relationships/hyperlink" Target="https://www.instagram.com/p/DOUWJuTj6Ox" TargetMode="External"/><Relationship Id="rId124" Type="http://schemas.openxmlformats.org/officeDocument/2006/relationships/hyperlink" Target="https://www.instagram.com/explore/search/keyword/?q=%23tdahadulto" TargetMode="External"/><Relationship Id="rId123" Type="http://schemas.openxmlformats.org/officeDocument/2006/relationships/hyperlink" Target="https://instagram.fcgh9-1.fna.fbcdn.net/v/t51.2885-19/364276362_1017951822536379_2762309384634493842_n.jpg?stp=dst-jpg_s150x150_tt6&amp;efg=eyJ2ZW5jb2RlX3RhZyI6InByb2ZpbGVfcGljLmRqYW5nby43MjUuYzIifQ&amp;_nc_ht=instagram.fcgh9-1.fna.fbcdn.net&amp;_nc_cat=103&amp;_nc_oc=Q6cZ2QELripIcfuq3vB7XQGrYpbG2sRNXWXxqfq-cWOCMya6nr0ApFAdjr8WmldNw8jskLrznbadhGIOIxX6K5kEhjLA&amp;_nc_ohc=mVLDBu0PhrcQ7kNvwEzZ-WQ&amp;_nc_gid=oq3SpMGyqhLBinfU16bx7Q&amp;edm=AFlAz-oBAAAA&amp;ccb=7-5&amp;oh=00_Afhz1qow7tLwCbetOhVDSoUrhz8iylAxEqbn7CRZpIXobw&amp;oe=6930D950&amp;_nc_sid=76c0fc" TargetMode="External"/><Relationship Id="rId122" Type="http://schemas.openxmlformats.org/officeDocument/2006/relationships/hyperlink" Target="https://www.instagram.com/p/DOCi4CXjRPa" TargetMode="External"/><Relationship Id="rId95" Type="http://schemas.openxmlformats.org/officeDocument/2006/relationships/hyperlink" Target="https://instagram.fcgh9-1.fna.fbcdn.net/v/t51.2885-19/431964426_1180889359987842_3264316669986268732_n.jpg?stp=dst-jpg_s150x150_tt6&amp;efg=eyJ2ZW5jb2RlX3RhZyI6InByb2ZpbGVfcGljLmRqYW5nby4xMDgwLmMyIn0&amp;_nc_ht=instagram.fcgh9-1.fna.fbcdn.net&amp;_nc_cat=106&amp;_nc_oc=Q6cZ2QEX0voY9harPU9QGVM6cZMZJyLfRPHdPHv81xplv5CH_btfJUrEGoqJPfiGOmXcDTLYORGbHd0FVxdxmnj934lc&amp;_nc_ohc=cdGTRgfoD98Q7kNvwGl_opG&amp;_nc_gid=i7XvFrG1tAxDq8sSzpjFtg&amp;edm=AFlAz-oBAAAA&amp;ccb=7-5&amp;oh=00_AfgTnlsT01aJIV7AmOIxGletIFu4HT_Af1ds85x5j2V6LQ&amp;oe=6930C428&amp;_nc_sid=76c0fc" TargetMode="External"/><Relationship Id="rId94" Type="http://schemas.openxmlformats.org/officeDocument/2006/relationships/hyperlink" Target="https://www.instagram.com/p/Cq8HaScMgqQ" TargetMode="External"/><Relationship Id="rId97" Type="http://schemas.openxmlformats.org/officeDocument/2006/relationships/hyperlink" Target="https://www.instagram.com/p/DQmdkIvDuGI" TargetMode="External"/><Relationship Id="rId96" Type="http://schemas.openxmlformats.org/officeDocument/2006/relationships/hyperlink" Target="https://www.instagram.com/explore/search/keyword/?q=%23tdahadulto" TargetMode="External"/><Relationship Id="rId99" Type="http://schemas.openxmlformats.org/officeDocument/2006/relationships/hyperlink" Target="https://www.instagram.com/explore/search/keyword/?q=%23tdahadulto" TargetMode="External"/><Relationship Id="rId98" Type="http://schemas.openxmlformats.org/officeDocument/2006/relationships/hyperlink" Target="https://instagram.fcgh9-1.fna.fbcdn.net/v/t51.2885-19/419966317_2034897496883497_3859836952302701172_n.jpg?stp=dst-jpg_s150x150_tt6&amp;efg=eyJ2ZW5jb2RlX3RhZyI6InByb2ZpbGVfcGljLmRqYW5nby4xMDgwLmMyIn0&amp;_nc_ht=instagram.fcgh9-1.fna.fbcdn.net&amp;_nc_cat=101&amp;_nc_oc=Q6cZ2QEX0voY9harPU9QGVM6cZMZJyLfRPHdPHv81xplv5CH_btfJUrEGoqJPfiGOmXcDTLYORGbHd0FVxdxmnj934lc&amp;_nc_ohc=oQt62kcyI2oQ7kNvwHuMkU4&amp;_nc_gid=i7XvFrG1tAxDq8sSzpjFtg&amp;edm=AFlAz-oBAAAA&amp;ccb=7-5&amp;oh=00_AfjQKdcfBXNBibFznHRtVRRrJii9NQCis24hIAnR15y65g&amp;oe=6930DDF4&amp;_nc_sid=76c0fc" TargetMode="External"/><Relationship Id="rId91" Type="http://schemas.openxmlformats.org/officeDocument/2006/relationships/hyperlink" Target="https://scontent.cdninstagram.com/v/t51.82787-15/570694495_18331920751232330_3354523922651692177_n.jpg?stp=dst-jpg_e35_tt6&amp;_nc_cat=108&amp;ig_cache_key=Mzc1ODAyNDI2NzQ5MDM0NzY2OA%3D%3D.3-ccb7-5&amp;ccb=7-5&amp;_nc_sid=58cdad&amp;efg=eyJ2ZW5jb2RlX3RhZyI6InhwaWRzLjE0NDB4MTc5Ni5zZHIuQzMifQ%3D%3D&amp;_nc_ohc=yxt4Bm3xoZkQ7kNvwEdhgY9&amp;_nc_oc=Adlr-qnAF5glkM3HTz60fFT2o_VhwXGUyxE8g_yzGOJ0d0A44qnrXr6ITrzmJeq0NPKMFC09uI4VFmR3wEYSguan&amp;_nc_ad=z-m&amp;_nc_cid=0&amp;_nc_zt=23&amp;_nc_ht=scontent.cdninstagram.com&amp;_nc_gid=i7XvFrG1tAxDq8sSzpjFtg&amp;oh=00_Afhyx-B70s0_b2gc5O5tkFK3qqS7h1F8lhJAGvQRQj02_A&amp;oe=6930F7A4" TargetMode="External"/><Relationship Id="rId90" Type="http://schemas.openxmlformats.org/officeDocument/2006/relationships/hyperlink" Target="https://instagram.fcgh9-1.fna.fbcdn.net/v/t51.2885-19/342896576_197390316393171_6767736904209467616_n.jpg?stp=dst-jpg_s150x150_tt6&amp;efg=eyJ2ZW5jb2RlX3RhZyI6InByb2ZpbGVfcGljLmRqYW5nby4xMDgwLmMyIn0&amp;_nc_ht=instagram.fcgh9-1.fna.fbcdn.net&amp;_nc_cat=103&amp;_nc_oc=Q6cZ2QEX0voY9harPU9QGVM6cZMZJyLfRPHdPHv81xplv5CH_btfJUrEGoqJPfiGOmXcDTLYORGbHd0FVxdxmnj934lc&amp;_nc_ohc=wGwHqzpeXyMQ7kNvwF0ropW&amp;_nc_gid=i7XvFrG1tAxDq8sSzpjFtg&amp;edm=AFlAz-oBAAAA&amp;ccb=7-5&amp;oh=00_AfhA1MB3_etwczmyjI0-nsOeFEGce7saF71IBoI9GiNJzA&amp;oe=6930C7E4&amp;_nc_sid=76c0fc" TargetMode="External"/><Relationship Id="rId93" Type="http://schemas.openxmlformats.org/officeDocument/2006/relationships/hyperlink" Target="https://www.instagram.com/explore/search/keyword/?q=%23tdahadulto" TargetMode="External"/><Relationship Id="rId92" Type="http://schemas.openxmlformats.org/officeDocument/2006/relationships/hyperlink" Target="https://scontent.cdninstagram.com/v/t51.82787-15/570694495_18331920751232330_3354523922651692177_n.jpg?stp=dst-jpg_e35_tt6&amp;_nc_cat=108&amp;ig_cache_key=Mzc1ODAyNDI2NzQ5MDM0NzY2OA%3D%3D.3-ccb7-5&amp;ccb=7-5&amp;_nc_sid=58cdad&amp;efg=eyJ2ZW5jb2RlX3RhZyI6InhwaWRzLjE0NDB4MTc5Ni5zZHIuQzMifQ%3D%3D&amp;_nc_ohc=yxt4Bm3xoZkQ7kNvwEdhgY9&amp;_nc_oc=Adlr-qnAF5glkM3HTz60fFT2o_VhwXGUyxE8g_yzGOJ0d0A44qnrXr6ITrzmJeq0NPKMFC09uI4VFmR3wEYSguan&amp;_nc_ad=z-m&amp;_nc_cid=0&amp;_nc_zt=23&amp;_nc_ht=scontent.cdninstagram.com&amp;_nc_gid=i7XvFrG1tAxDq8sSzpjFtg&amp;oh=00_Afhyx-B70s0_b2gc5O5tkFK3qqS7h1F8lhJAGvQRQj02_A&amp;oe=6930F7A4" TargetMode="External"/><Relationship Id="rId118" Type="http://schemas.openxmlformats.org/officeDocument/2006/relationships/hyperlink" Target="https://www.instagram.com/explore/search/keyword/?q=%23tdahadulto" TargetMode="External"/><Relationship Id="rId117" Type="http://schemas.openxmlformats.org/officeDocument/2006/relationships/hyperlink" Target="https://instagram.fcgh9-1.fna.fbcdn.net/v/t51.29350-15/269816699_423740752791633_6115385163159472300_n.jpg?stp=dst-jpg_e35_tt6&amp;efg=eyJ2ZW5jb2RlX3RhZyI6IkZFRUQuaW1hZ2VfdXJsZ2VuLjExMzJ4MTEzMi5zZHIuZjI5MzUwLmRlZmF1bHRfaW1hZ2UuYzIifQ&amp;_nc_ht=instagram.fcgh9-1.fna.fbcdn.net&amp;_nc_cat=109&amp;_nc_oc=Q6cZ2QHeyHNY5OwB0Z59YpLINll7yuqbFR5KDZ1CO0j89qQTzpkOjWQdmqSegBi6hlKkfs4Kn08mjKUKqVnVmQXKqQEE&amp;_nc_ohc=SbWbUjDbzksQ7kNvwFYNnI6&amp;_nc_gid=Jep4rn5UeP4JwWcjYPhFyw&amp;edm=AFlAz-oBAAAA&amp;ccb=7-5&amp;ig_cache_key=MjczNDM0ODE3Mzk0MTI1NDcxMA%3D%3D.3-ccb7-5&amp;oh=00_AfhoX_2p-DuAPoRfn4pXtOn39S4YGo4rvJmD3VtnB3cKUg&amp;oe=6930EBD1&amp;_nc_sid=76c0fc" TargetMode="External"/><Relationship Id="rId116" Type="http://schemas.openxmlformats.org/officeDocument/2006/relationships/hyperlink" Target="https://instagram.fcgh9-1.fna.fbcdn.net/v/t51.29350-15/269816699_423740752791633_6115385163159472300_n.jpg?stp=dst-jpg_e35_tt6&amp;efg=eyJ2ZW5jb2RlX3RhZyI6IkZFRUQuaW1hZ2VfdXJsZ2VuLjExMzJ4MTEzMi5zZHIuZjI5MzUwLmRlZmF1bHRfaW1hZ2UuYzIifQ&amp;_nc_ht=instagram.fcgh9-1.fna.fbcdn.net&amp;_nc_cat=109&amp;_nc_oc=Q6cZ2QHeyHNY5OwB0Z59YpLINll7yuqbFR5KDZ1CO0j89qQTzpkOjWQdmqSegBi6hlKkfs4Kn08mjKUKqVnVmQXKqQEE&amp;_nc_ohc=SbWbUjDbzksQ7kNvwFYNnI6&amp;_nc_gid=Jep4rn5UeP4JwWcjYPhFyw&amp;edm=AFlAz-oBAAAA&amp;ccb=7-5&amp;ig_cache_key=MjczNDM0ODE3Mzk0MTI1NDcxMA%3D%3D.3-ccb7-5&amp;oh=00_AfhoX_2p-DuAPoRfn4pXtOn39S4YGo4rvJmD3VtnB3cKUg&amp;oe=6930EBD1&amp;_nc_sid=76c0fc" TargetMode="External"/><Relationship Id="rId115" Type="http://schemas.openxmlformats.org/officeDocument/2006/relationships/hyperlink" Target="https://instagram.fcgh9-1.fna.fbcdn.net/v/t51.2885-19/342896576_197390316393171_6767736904209467616_n.jpg?stp=dst-jpg_s150x150_tt6&amp;efg=eyJ2ZW5jb2RlX3RhZyI6InByb2ZpbGVfcGljLmRqYW5nby4xMDgwLmMyIn0&amp;_nc_ht=instagram.fcgh9-1.fna.fbcdn.net&amp;_nc_cat=103&amp;_nc_oc=Q6cZ2QHeyHNY5OwB0Z59YpLINll7yuqbFR5KDZ1CO0j89qQTzpkOjWQdmqSegBi6hlKkfs4Kn08mjKUKqVnVmQXKqQEE&amp;_nc_ohc=wGwHqzpeXyMQ7kNvwF0ropW&amp;_nc_gid=Jep4rn5UeP4JwWcjYPhFyw&amp;edm=AFlAz-oBAAAA&amp;ccb=7-5&amp;oh=00_Afg3-tphYvolaNeNabiDTmKSV8dMZNAmL5Ri-_29qhuPwQ&amp;oe=6930C7E4&amp;_nc_sid=76c0fc" TargetMode="External"/><Relationship Id="rId119" Type="http://schemas.openxmlformats.org/officeDocument/2006/relationships/hyperlink" Target="https://www.instagram.com/p/DRJ7C9ajpNk" TargetMode="External"/><Relationship Id="rId110" Type="http://schemas.openxmlformats.org/officeDocument/2006/relationships/hyperlink" Target="https://www.instagram.com/explore/search/keyword/?q=%23tdahadulto" TargetMode="External"/><Relationship Id="rId114" Type="http://schemas.openxmlformats.org/officeDocument/2006/relationships/hyperlink" Target="https://www.instagram.com/p/CXyWy1QAao2" TargetMode="External"/><Relationship Id="rId113" Type="http://schemas.openxmlformats.org/officeDocument/2006/relationships/hyperlink" Target="https://www.instagram.com/explore/search/keyword/?q=%23tdahadulto" TargetMode="External"/><Relationship Id="rId112" Type="http://schemas.openxmlformats.org/officeDocument/2006/relationships/hyperlink" Target="https://instagram.fcgh9-1.fna.fbcdn.net/v/t51.2885-19/332467891_870732753989791_7019283026228548322_n.jpg?stp=dst-jpg_s150x150_tt6&amp;efg=eyJ2ZW5jb2RlX3RhZyI6InByb2ZpbGVfcGljLmRqYW5nby44OTkuYzIifQ&amp;_nc_ht=instagram.fcgh9-1.fna.fbcdn.net&amp;_nc_cat=107&amp;_nc_oc=Q6cZ2QFZ-c0UuJlcwHPDIA2BdjJKmgNn4CeWSWMUIxVZk2AoKlE_37K-5VrwydkDYJn2hE8McrVkR5bi5lX5qFMsuGNl&amp;_nc_ohc=a9Ac8DJluv8Q7kNvwE3k6rX&amp;_nc_gid=ygfcAI-yWoRnVAIWTLIPJw&amp;edm=AFlAz-oBAAAA&amp;ccb=7-5&amp;oh=00_AfiAoNQXh4FhHGVnDDC7gIidET8Q0TSIHo7z5yKLa-LLGA&amp;oe=6930F78B&amp;_nc_sid=76c0fc" TargetMode="External"/><Relationship Id="rId111" Type="http://schemas.openxmlformats.org/officeDocument/2006/relationships/hyperlink" Target="https://www.instagram.com/p/DOV6J_TDTdY" TargetMode="External"/><Relationship Id="rId206" Type="http://schemas.openxmlformats.org/officeDocument/2006/relationships/drawing" Target="../drawings/drawing2.xml"/><Relationship Id="rId205" Type="http://schemas.openxmlformats.org/officeDocument/2006/relationships/hyperlink" Target="https://instagram.fcgh9-1.fna.fbcdn.net/v/t51.2885-19/454655817_415212718224218_4878863477330946250_n.jpg?stp=dst-jpg_s150x150_tt6&amp;efg=eyJ2ZW5jb2RlX3RhZyI6InByb2ZpbGVfcGljLmRqYW5nby4xMDQwLmMyIn0&amp;_nc_ht=instagram.fcgh9-1.fna.fbcdn.net&amp;_nc_cat=102&amp;_nc_oc=Q6cZ2QF5D8vQf6YgKIFRQxx35oOC9EF5EJARy_1IYprr96oKyh0ng5aDYWewgY1CGYl103UrQ64V5K1i-kTEkZDVberF&amp;_nc_ohc=vvePLaUBoRUQ7kNvwHqfw3E&amp;_nc_gid=UhQrESB-GEngFnoJR8aAug&amp;edm=AFlAz-oBAAAA&amp;ccb=7-5&amp;oh=00_Afi_6tmDOdTO85zL271IrYp_xrK7UvQ5G_MZEpUiwkZIRA&amp;oe=693284C0&amp;_nc_sid=76c0fc" TargetMode="External"/><Relationship Id="rId204" Type="http://schemas.openxmlformats.org/officeDocument/2006/relationships/hyperlink" Target="https://www.instagram.com/p/DQpjMtDD7AC" TargetMode="External"/><Relationship Id="rId203" Type="http://schemas.openxmlformats.org/officeDocument/2006/relationships/hyperlink" Target="https://www.instagram.com/explore/search/keyword/?q=%23tdahadulto" TargetMode="External"/><Relationship Id="rId202" Type="http://schemas.openxmlformats.org/officeDocument/2006/relationships/hyperlink" Target="https://instagram.fcgh9-1.fna.fbcdn.net/v/t51.2885-19/443240567_774311021434802_553914116016468372_n.jpg?stp=dst-jpg_s150x150_tt6&amp;efg=eyJ2ZW5jb2RlX3RhZyI6InByb2ZpbGVfcGljLmRqYW5nby4xMDgwLmMyIn0&amp;_nc_ht=instagram.fcgh9-1.fna.fbcdn.net&amp;_nc_cat=102&amp;_nc_oc=Q6cZ2QH8AGEJL08EMqhjhYPTZdOFWnVfGVowKyI-I_p0y-x2hl7SyS0ARuNuh7VRQ_YLPWfXXQLGp99CYlSQtepxjah-&amp;_nc_ohc=dr14T5Rsfg4Q7kNvwFBv8Y9&amp;_nc_gid=anY-VbTnY8OQdMFyJeThGg&amp;edm=AFlAz-oBAAAA&amp;ccb=7-5&amp;oh=00_AfjXgByiIPX8yuVp0_2AHb6zn-whlY5Rz9XpKrvDlN8SsQ&amp;oe=693238A5&amp;_nc_sid=76c0fc" TargetMode="External"/><Relationship Id="rId201" Type="http://schemas.openxmlformats.org/officeDocument/2006/relationships/hyperlink" Target="https://www.instagram.com/p/DQ33QGBjuXf" TargetMode="External"/><Relationship Id="rId200" Type="http://schemas.openxmlformats.org/officeDocument/2006/relationships/hyperlink" Target="https://www.instagram.com/explore/search/keyword/?q=%23tdahadulto"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768.63"/>
    <col customWidth="1" min="18" max="18" width="10634.75"/>
    <col customWidth="1" min="19" max="19" width="215.5"/>
    <col customWidth="1" min="20" max="20" width="22.5"/>
  </cols>
  <sheetData>
    <row r="1">
      <c r="A1" s="2" t="s">
        <v>0</v>
      </c>
      <c r="B1" s="2" t="s">
        <v>2</v>
      </c>
      <c r="C1" s="2" t="s">
        <v>3</v>
      </c>
      <c r="D1" s="2" t="s">
        <v>4</v>
      </c>
      <c r="E1" s="2" t="s">
        <v>5</v>
      </c>
      <c r="F1" s="2" t="s">
        <v>6</v>
      </c>
      <c r="G1" s="2" t="s">
        <v>7</v>
      </c>
      <c r="H1" s="2" t="s">
        <v>8</v>
      </c>
      <c r="I1" s="2" t="s">
        <v>9</v>
      </c>
      <c r="J1" s="2" t="s">
        <v>10</v>
      </c>
      <c r="K1" s="2" t="s">
        <v>11</v>
      </c>
      <c r="L1" s="2" t="s">
        <v>12</v>
      </c>
      <c r="M1" s="2" t="s">
        <v>13</v>
      </c>
      <c r="N1" s="2" t="s">
        <v>15</v>
      </c>
      <c r="O1" s="2" t="s">
        <v>16</v>
      </c>
      <c r="P1" s="2" t="s">
        <v>17</v>
      </c>
      <c r="Q1" s="2" t="s">
        <v>19</v>
      </c>
      <c r="R1" s="2" t="s">
        <v>20</v>
      </c>
      <c r="S1" s="2" t="s">
        <v>21</v>
      </c>
      <c r="T1" s="2" t="s">
        <v>22</v>
      </c>
      <c r="U1" s="2" t="s">
        <v>23</v>
      </c>
      <c r="V1" s="2" t="s">
        <v>24</v>
      </c>
      <c r="W1" s="2" t="s">
        <v>25</v>
      </c>
      <c r="X1" s="2" t="s">
        <v>26</v>
      </c>
      <c r="Y1" s="2" t="s">
        <v>27</v>
      </c>
      <c r="Z1" s="2" t="s">
        <v>28</v>
      </c>
      <c r="AA1" s="2" t="s">
        <v>29</v>
      </c>
      <c r="AB1" s="2" t="s">
        <v>30</v>
      </c>
      <c r="AC1" s="2" t="s">
        <v>31</v>
      </c>
      <c r="AD1" s="2" t="s">
        <v>32</v>
      </c>
    </row>
    <row r="2">
      <c r="A2" s="2" t="s">
        <v>33</v>
      </c>
      <c r="B2" s="7" t="s">
        <v>34</v>
      </c>
      <c r="C2" s="9">
        <v>45901.40552083333</v>
      </c>
      <c r="D2" s="2" t="s">
        <v>33</v>
      </c>
      <c r="E2" s="2" t="s">
        <v>33</v>
      </c>
      <c r="F2" s="7" t="s">
        <v>70</v>
      </c>
      <c r="G2" s="2" t="s">
        <v>61</v>
      </c>
      <c r="H2" s="2" t="s">
        <v>62</v>
      </c>
      <c r="I2" s="2" t="s">
        <v>63</v>
      </c>
      <c r="J2" s="2" t="b">
        <v>1</v>
      </c>
      <c r="K2" s="7" t="s">
        <v>80</v>
      </c>
      <c r="O2" s="2" t="s">
        <v>127</v>
      </c>
      <c r="P2" s="2">
        <v>9.0</v>
      </c>
      <c r="Q2" s="2" t="s">
        <v>136</v>
      </c>
      <c r="R2" s="2" t="s">
        <v>136</v>
      </c>
      <c r="S2" s="2" t="s">
        <v>64</v>
      </c>
      <c r="U2" s="2" t="s">
        <v>138</v>
      </c>
      <c r="V2" s="2">
        <v>14107.0</v>
      </c>
      <c r="W2" s="2">
        <v>3153.0</v>
      </c>
      <c r="AB2" s="2">
        <v>1.756719837E9</v>
      </c>
    </row>
    <row r="3">
      <c r="A3" s="2" t="s">
        <v>139</v>
      </c>
      <c r="B3" s="7" t="s">
        <v>34</v>
      </c>
      <c r="C3" s="9">
        <v>45883.895162037035</v>
      </c>
      <c r="D3" s="2" t="s">
        <v>139</v>
      </c>
      <c r="E3" s="2" t="s">
        <v>139</v>
      </c>
      <c r="F3" s="7" t="s">
        <v>140</v>
      </c>
      <c r="G3" s="2" t="s">
        <v>142</v>
      </c>
      <c r="H3" s="2" t="s">
        <v>143</v>
      </c>
      <c r="I3" s="2" t="s">
        <v>144</v>
      </c>
      <c r="J3" s="2" t="b">
        <v>0</v>
      </c>
      <c r="K3" s="7" t="s">
        <v>145</v>
      </c>
      <c r="O3" s="2" t="s">
        <v>127</v>
      </c>
      <c r="P3" s="2">
        <v>9.0</v>
      </c>
      <c r="Q3" s="2" t="s">
        <v>150</v>
      </c>
      <c r="R3" s="2" t="s">
        <v>150</v>
      </c>
      <c r="S3" s="2" t="s">
        <v>151</v>
      </c>
      <c r="U3" s="2" t="s">
        <v>138</v>
      </c>
      <c r="V3" s="2">
        <v>5627.0</v>
      </c>
      <c r="W3" s="2">
        <v>602.0</v>
      </c>
      <c r="AB3" s="2">
        <v>1.755206942E9</v>
      </c>
    </row>
    <row r="4">
      <c r="A4" s="2" t="s">
        <v>152</v>
      </c>
      <c r="B4" s="7" t="s">
        <v>34</v>
      </c>
      <c r="C4" s="9">
        <v>45897.63946759259</v>
      </c>
      <c r="D4" s="2" t="s">
        <v>152</v>
      </c>
      <c r="E4" s="2" t="s">
        <v>152</v>
      </c>
      <c r="F4" s="7" t="s">
        <v>153</v>
      </c>
      <c r="G4" s="2" t="s">
        <v>155</v>
      </c>
      <c r="H4" s="2" t="s">
        <v>156</v>
      </c>
      <c r="I4" s="2" t="s">
        <v>157</v>
      </c>
      <c r="J4" s="2" t="b">
        <v>1</v>
      </c>
      <c r="K4" s="7" t="s">
        <v>158</v>
      </c>
      <c r="O4" s="2" t="s">
        <v>127</v>
      </c>
      <c r="P4" s="2">
        <v>9.0</v>
      </c>
      <c r="Q4" s="2" t="s">
        <v>166</v>
      </c>
      <c r="R4" s="2" t="s">
        <v>166</v>
      </c>
      <c r="S4" s="2" t="s">
        <v>167</v>
      </c>
      <c r="U4" s="2" t="s">
        <v>138</v>
      </c>
      <c r="V4" s="2">
        <v>4824.0</v>
      </c>
      <c r="W4" s="2">
        <v>104.0</v>
      </c>
      <c r="AB4" s="2">
        <v>1.75639445E9</v>
      </c>
    </row>
    <row r="5">
      <c r="A5" s="2" t="s">
        <v>168</v>
      </c>
      <c r="B5" s="7" t="s">
        <v>34</v>
      </c>
      <c r="C5" s="9">
        <v>45889.87232638889</v>
      </c>
      <c r="D5" s="2" t="s">
        <v>168</v>
      </c>
      <c r="E5" s="2" t="s">
        <v>168</v>
      </c>
      <c r="F5" s="7" t="s">
        <v>169</v>
      </c>
      <c r="G5" s="2" t="s">
        <v>170</v>
      </c>
      <c r="H5" s="2" t="s">
        <v>171</v>
      </c>
      <c r="I5" s="2" t="s">
        <v>172</v>
      </c>
      <c r="J5" s="2" t="b">
        <v>1</v>
      </c>
      <c r="K5" s="7" t="s">
        <v>173</v>
      </c>
      <c r="O5" s="2" t="s">
        <v>127</v>
      </c>
      <c r="P5" s="2">
        <v>11.0</v>
      </c>
      <c r="Q5" s="2" t="s">
        <v>174</v>
      </c>
      <c r="R5" s="2" t="s">
        <v>174</v>
      </c>
      <c r="S5" s="2" t="s">
        <v>175</v>
      </c>
      <c r="U5" s="2" t="s">
        <v>138</v>
      </c>
      <c r="V5" s="2">
        <v>7765.0</v>
      </c>
      <c r="W5" s="2">
        <v>925.0</v>
      </c>
      <c r="AB5" s="2">
        <v>1.755723369E9</v>
      </c>
    </row>
    <row r="6">
      <c r="A6" s="2" t="s">
        <v>106</v>
      </c>
      <c r="B6" s="7" t="s">
        <v>34</v>
      </c>
      <c r="C6" s="9">
        <v>45901.92747685185</v>
      </c>
      <c r="D6" s="2" t="s">
        <v>106</v>
      </c>
      <c r="E6" s="2" t="s">
        <v>106</v>
      </c>
      <c r="F6" s="7" t="s">
        <v>176</v>
      </c>
      <c r="G6" s="2" t="s">
        <v>107</v>
      </c>
      <c r="H6" s="2" t="s">
        <v>108</v>
      </c>
      <c r="I6" s="2" t="s">
        <v>109</v>
      </c>
      <c r="J6" s="2" t="b">
        <v>1</v>
      </c>
      <c r="K6" s="7" t="s">
        <v>177</v>
      </c>
      <c r="O6" s="2" t="s">
        <v>127</v>
      </c>
      <c r="P6" s="2">
        <v>8.0</v>
      </c>
      <c r="Q6" s="2" t="s">
        <v>181</v>
      </c>
      <c r="R6" s="2" t="s">
        <v>181</v>
      </c>
      <c r="S6" s="2" t="s">
        <v>110</v>
      </c>
      <c r="U6" s="2" t="s">
        <v>138</v>
      </c>
      <c r="V6" s="2">
        <v>9967.0</v>
      </c>
      <c r="W6" s="2">
        <v>124.0</v>
      </c>
      <c r="AB6" s="2">
        <v>1.756764934E9</v>
      </c>
    </row>
    <row r="7">
      <c r="A7" s="2" t="s">
        <v>79</v>
      </c>
      <c r="B7" s="7" t="s">
        <v>34</v>
      </c>
      <c r="C7" s="9">
        <v>45919.62855324074</v>
      </c>
      <c r="D7" s="2" t="s">
        <v>79</v>
      </c>
      <c r="E7" s="2" t="s">
        <v>79</v>
      </c>
      <c r="F7" s="7" t="s">
        <v>183</v>
      </c>
      <c r="G7" s="2" t="s">
        <v>81</v>
      </c>
      <c r="H7" s="2" t="s">
        <v>82</v>
      </c>
      <c r="I7" s="2" t="s">
        <v>83</v>
      </c>
      <c r="J7" s="2" t="b">
        <v>0</v>
      </c>
      <c r="K7" s="7" t="s">
        <v>184</v>
      </c>
      <c r="O7" s="2" t="s">
        <v>127</v>
      </c>
      <c r="P7" s="2">
        <v>1.0</v>
      </c>
      <c r="Q7" s="7" t="s">
        <v>187</v>
      </c>
      <c r="R7" s="7" t="s">
        <v>187</v>
      </c>
      <c r="S7" s="2" t="s">
        <v>84</v>
      </c>
      <c r="U7" s="2" t="s">
        <v>138</v>
      </c>
      <c r="V7" s="2">
        <v>463.0</v>
      </c>
      <c r="W7" s="2">
        <v>5.0</v>
      </c>
      <c r="X7" s="2" t="s">
        <v>188</v>
      </c>
      <c r="Y7" s="2">
        <v>1.10144590741018E14</v>
      </c>
      <c r="Z7" s="2" t="s">
        <v>189</v>
      </c>
      <c r="AB7" s="2">
        <v>1.758294307E9</v>
      </c>
    </row>
    <row r="8">
      <c r="A8" s="2" t="s">
        <v>190</v>
      </c>
      <c r="B8" s="7" t="s">
        <v>34</v>
      </c>
      <c r="C8" s="9">
        <v>45908.91327546296</v>
      </c>
      <c r="D8" s="2" t="s">
        <v>190</v>
      </c>
      <c r="E8" s="2" t="s">
        <v>190</v>
      </c>
      <c r="F8" s="7" t="s">
        <v>192</v>
      </c>
      <c r="G8" s="2" t="s">
        <v>195</v>
      </c>
      <c r="H8" s="2" t="s">
        <v>196</v>
      </c>
      <c r="I8" s="2" t="s">
        <v>197</v>
      </c>
      <c r="J8" s="2" t="b">
        <v>0</v>
      </c>
      <c r="K8" s="7" t="s">
        <v>198</v>
      </c>
      <c r="O8" s="2" t="s">
        <v>127</v>
      </c>
      <c r="P8" s="2">
        <v>1.0</v>
      </c>
      <c r="Q8" s="7" t="s">
        <v>202</v>
      </c>
      <c r="R8" s="7" t="s">
        <v>202</v>
      </c>
      <c r="S8" s="2" t="s">
        <v>204</v>
      </c>
      <c r="U8" s="2" t="s">
        <v>138</v>
      </c>
      <c r="V8" s="2">
        <v>297.0</v>
      </c>
      <c r="W8" s="2">
        <v>5.0</v>
      </c>
      <c r="AB8" s="2">
        <v>1.757368507E9</v>
      </c>
    </row>
    <row r="9">
      <c r="A9" s="2" t="s">
        <v>65</v>
      </c>
      <c r="B9" s="7" t="s">
        <v>34</v>
      </c>
      <c r="C9" s="9">
        <v>45908.979317129626</v>
      </c>
      <c r="D9" s="2" t="s">
        <v>65</v>
      </c>
      <c r="E9" s="2" t="s">
        <v>65</v>
      </c>
      <c r="F9" s="7" t="s">
        <v>205</v>
      </c>
      <c r="G9" s="2" t="s">
        <v>66</v>
      </c>
      <c r="H9" s="2" t="s">
        <v>67</v>
      </c>
      <c r="I9" s="2" t="s">
        <v>68</v>
      </c>
      <c r="J9" s="2" t="b">
        <v>1</v>
      </c>
      <c r="K9" s="7" t="s">
        <v>206</v>
      </c>
      <c r="O9" s="2" t="s">
        <v>127</v>
      </c>
      <c r="P9" s="2">
        <v>2.0</v>
      </c>
      <c r="Q9" s="2" t="s">
        <v>208</v>
      </c>
      <c r="R9" s="2" t="s">
        <v>208</v>
      </c>
      <c r="S9" s="2" t="s">
        <v>69</v>
      </c>
      <c r="U9" s="2" t="s">
        <v>138</v>
      </c>
      <c r="V9" s="2">
        <v>5409.0</v>
      </c>
      <c r="W9" s="2">
        <v>52.0</v>
      </c>
      <c r="AB9" s="2">
        <v>1.757374213E9</v>
      </c>
    </row>
    <row r="10">
      <c r="A10" s="2" t="s">
        <v>121</v>
      </c>
      <c r="B10" s="7" t="s">
        <v>34</v>
      </c>
      <c r="C10" s="9">
        <v>45964.794386574074</v>
      </c>
      <c r="D10" s="2" t="s">
        <v>121</v>
      </c>
      <c r="E10" s="2" t="s">
        <v>121</v>
      </c>
      <c r="F10" s="7" t="s">
        <v>209</v>
      </c>
      <c r="G10" s="2" t="s">
        <v>122</v>
      </c>
      <c r="H10" s="2" t="s">
        <v>123</v>
      </c>
      <c r="I10" s="2" t="s">
        <v>124</v>
      </c>
      <c r="J10" s="2" t="b">
        <v>0</v>
      </c>
      <c r="K10" s="7" t="s">
        <v>210</v>
      </c>
      <c r="L10" s="2" t="s">
        <v>213</v>
      </c>
      <c r="M10" s="2" t="s">
        <v>214</v>
      </c>
      <c r="N10" s="2" t="s">
        <v>215</v>
      </c>
      <c r="O10" s="2" t="s">
        <v>127</v>
      </c>
      <c r="P10" s="2">
        <v>9.0</v>
      </c>
      <c r="Q10" s="2" t="s">
        <v>217</v>
      </c>
      <c r="R10" s="2" t="s">
        <v>217</v>
      </c>
      <c r="S10" s="2" t="s">
        <v>125</v>
      </c>
      <c r="T10" s="2" t="s">
        <v>213</v>
      </c>
      <c r="U10" s="2" t="s">
        <v>138</v>
      </c>
      <c r="V10" s="2">
        <v>7757.0</v>
      </c>
      <c r="W10" s="2">
        <v>82.0</v>
      </c>
      <c r="X10" s="2" t="s">
        <v>218</v>
      </c>
      <c r="Y10" s="2">
        <v>1.67267413401439E14</v>
      </c>
      <c r="Z10" s="2" t="s">
        <v>219</v>
      </c>
      <c r="AB10" s="2">
        <v>1.762196635E9</v>
      </c>
    </row>
    <row r="11">
      <c r="A11" s="2" t="s">
        <v>220</v>
      </c>
      <c r="B11" s="7" t="s">
        <v>34</v>
      </c>
      <c r="C11" s="9">
        <v>45914.592094907406</v>
      </c>
      <c r="D11" s="2" t="s">
        <v>220</v>
      </c>
      <c r="E11" s="2" t="s">
        <v>220</v>
      </c>
      <c r="F11" s="7" t="s">
        <v>221</v>
      </c>
      <c r="G11" s="2" t="s">
        <v>222</v>
      </c>
      <c r="H11" s="2" t="s">
        <v>98</v>
      </c>
      <c r="I11" s="2" t="s">
        <v>99</v>
      </c>
      <c r="J11" s="2" t="b">
        <v>0</v>
      </c>
      <c r="K11" s="7" t="s">
        <v>223</v>
      </c>
      <c r="O11" s="2" t="s">
        <v>127</v>
      </c>
      <c r="P11" s="2">
        <v>1.0</v>
      </c>
      <c r="Q11" s="7" t="s">
        <v>225</v>
      </c>
      <c r="R11" s="7" t="s">
        <v>225</v>
      </c>
      <c r="S11" s="2" t="s">
        <v>226</v>
      </c>
      <c r="T11" s="2" t="s">
        <v>227</v>
      </c>
      <c r="U11" s="2" t="s">
        <v>138</v>
      </c>
      <c r="V11" s="2">
        <v>1796.0</v>
      </c>
      <c r="W11" s="2">
        <v>38.0</v>
      </c>
      <c r="X11" s="2" t="s">
        <v>230</v>
      </c>
      <c r="Y11" s="2">
        <v>2.54191223E8</v>
      </c>
      <c r="Z11" s="2" t="s">
        <v>231</v>
      </c>
      <c r="AB11" s="2">
        <v>1.757859157E9</v>
      </c>
    </row>
    <row r="12">
      <c r="A12" s="2" t="s">
        <v>51</v>
      </c>
      <c r="B12" s="7" t="s">
        <v>34</v>
      </c>
      <c r="C12" s="9">
        <v>45904.62505787037</v>
      </c>
      <c r="D12" s="2" t="s">
        <v>51</v>
      </c>
      <c r="E12" s="2" t="s">
        <v>51</v>
      </c>
      <c r="F12" s="7" t="s">
        <v>234</v>
      </c>
      <c r="G12" s="2" t="s">
        <v>52</v>
      </c>
      <c r="H12" s="2" t="s">
        <v>53</v>
      </c>
      <c r="I12" s="2" t="s">
        <v>54</v>
      </c>
      <c r="J12" s="2" t="b">
        <v>1</v>
      </c>
      <c r="K12" s="7" t="s">
        <v>235</v>
      </c>
      <c r="O12" s="2" t="s">
        <v>127</v>
      </c>
      <c r="P12" s="2">
        <v>9.0</v>
      </c>
      <c r="Q12" s="2" t="s">
        <v>240</v>
      </c>
      <c r="R12" s="2" t="s">
        <v>240</v>
      </c>
      <c r="S12" s="2" t="s">
        <v>55</v>
      </c>
      <c r="U12" s="2" t="s">
        <v>138</v>
      </c>
      <c r="V12" s="2">
        <v>1336.0</v>
      </c>
      <c r="W12" s="2">
        <v>23.0</v>
      </c>
      <c r="AB12" s="2">
        <v>1.756998005E9</v>
      </c>
    </row>
    <row r="13">
      <c r="A13" s="2" t="s">
        <v>71</v>
      </c>
      <c r="B13" s="7" t="s">
        <v>34</v>
      </c>
      <c r="C13" s="9">
        <v>45972.97925925926</v>
      </c>
      <c r="D13" s="2" t="s">
        <v>71</v>
      </c>
      <c r="E13" s="2" t="s">
        <v>71</v>
      </c>
      <c r="F13" s="7" t="s">
        <v>212</v>
      </c>
      <c r="G13" s="2" t="s">
        <v>72</v>
      </c>
      <c r="H13" s="2" t="s">
        <v>58</v>
      </c>
      <c r="I13" s="2" t="s">
        <v>59</v>
      </c>
      <c r="J13" s="2" t="b">
        <v>1</v>
      </c>
      <c r="K13" s="7" t="s">
        <v>243</v>
      </c>
      <c r="O13" s="2" t="s">
        <v>127</v>
      </c>
      <c r="P13" s="2">
        <v>1.0</v>
      </c>
      <c r="Q13" s="7" t="s">
        <v>248</v>
      </c>
      <c r="R13" s="7" t="s">
        <v>248</v>
      </c>
      <c r="S13" s="2" t="s">
        <v>73</v>
      </c>
      <c r="U13" s="2" t="s">
        <v>138</v>
      </c>
      <c r="V13" s="2">
        <v>602.0</v>
      </c>
      <c r="W13" s="2">
        <v>2.0</v>
      </c>
      <c r="X13" s="2" t="s">
        <v>228</v>
      </c>
      <c r="Y13" s="2">
        <v>2.17086525E8</v>
      </c>
      <c r="Z13" s="2" t="s">
        <v>229</v>
      </c>
      <c r="AB13" s="2">
        <v>1.762903808E9</v>
      </c>
    </row>
    <row r="14">
      <c r="A14" s="2" t="s">
        <v>126</v>
      </c>
      <c r="B14" s="7" t="s">
        <v>34</v>
      </c>
      <c r="C14" s="9">
        <v>45944.48496527778</v>
      </c>
      <c r="D14" s="2" t="s">
        <v>126</v>
      </c>
      <c r="E14" s="2" t="s">
        <v>126</v>
      </c>
      <c r="F14" s="7" t="s">
        <v>252</v>
      </c>
      <c r="G14" s="2" t="s">
        <v>128</v>
      </c>
      <c r="H14" s="2" t="s">
        <v>129</v>
      </c>
      <c r="I14" s="2" t="s">
        <v>130</v>
      </c>
      <c r="J14" s="2" t="b">
        <v>1</v>
      </c>
      <c r="K14" s="7" t="s">
        <v>257</v>
      </c>
      <c r="O14" s="2" t="s">
        <v>127</v>
      </c>
      <c r="P14" s="2">
        <v>8.0</v>
      </c>
      <c r="Q14" s="2" t="s">
        <v>258</v>
      </c>
      <c r="R14" s="2" t="s">
        <v>258</v>
      </c>
      <c r="S14" s="2" t="s">
        <v>131</v>
      </c>
      <c r="U14" s="2" t="s">
        <v>138</v>
      </c>
      <c r="V14" s="2">
        <v>1546.0</v>
      </c>
      <c r="W14" s="2">
        <v>28.0</v>
      </c>
      <c r="X14" s="2" t="s">
        <v>260</v>
      </c>
      <c r="Y14" s="2" t="s">
        <v>261</v>
      </c>
      <c r="Z14" s="2" t="s">
        <v>262</v>
      </c>
      <c r="AB14" s="2">
        <v>1.760441901E9</v>
      </c>
    </row>
    <row r="15">
      <c r="A15" s="2" t="s">
        <v>36</v>
      </c>
      <c r="B15" s="7" t="s">
        <v>34</v>
      </c>
      <c r="C15" s="9">
        <v>45943.542766203704</v>
      </c>
      <c r="D15" s="2" t="s">
        <v>36</v>
      </c>
      <c r="E15" s="2" t="s">
        <v>36</v>
      </c>
      <c r="F15" s="7" t="s">
        <v>246</v>
      </c>
      <c r="G15" s="2" t="s">
        <v>37</v>
      </c>
      <c r="H15" s="2" t="s">
        <v>38</v>
      </c>
      <c r="I15" s="2" t="s">
        <v>39</v>
      </c>
      <c r="J15" s="2" t="b">
        <v>1</v>
      </c>
      <c r="K15" s="7" t="s">
        <v>265</v>
      </c>
      <c r="O15" s="2" t="s">
        <v>127</v>
      </c>
      <c r="P15" s="2">
        <v>7.0</v>
      </c>
      <c r="Q15" s="2" t="s">
        <v>267</v>
      </c>
      <c r="R15" s="2" t="s">
        <v>267</v>
      </c>
      <c r="S15" s="2" t="s">
        <v>40</v>
      </c>
      <c r="U15" s="2" t="s">
        <v>138</v>
      </c>
      <c r="V15" s="2">
        <v>3722.0</v>
      </c>
      <c r="W15" s="2">
        <v>24.0</v>
      </c>
      <c r="AB15" s="2">
        <v>1.760360495E9</v>
      </c>
    </row>
    <row r="16">
      <c r="A16" s="2" t="s">
        <v>90</v>
      </c>
      <c r="B16" s="7" t="s">
        <v>34</v>
      </c>
      <c r="C16" s="9">
        <v>45903.915972222225</v>
      </c>
      <c r="D16" s="2" t="s">
        <v>90</v>
      </c>
      <c r="E16" s="2" t="s">
        <v>90</v>
      </c>
      <c r="F16" s="7" t="s">
        <v>268</v>
      </c>
      <c r="G16" s="2" t="s">
        <v>91</v>
      </c>
      <c r="H16" s="2" t="s">
        <v>92</v>
      </c>
      <c r="I16" s="2" t="s">
        <v>93</v>
      </c>
      <c r="J16" s="2" t="b">
        <v>1</v>
      </c>
      <c r="K16" s="7" t="s">
        <v>269</v>
      </c>
      <c r="O16" s="2" t="s">
        <v>127</v>
      </c>
      <c r="P16" s="2">
        <v>13.0</v>
      </c>
      <c r="Q16" s="2" t="s">
        <v>273</v>
      </c>
      <c r="R16" s="2" t="s">
        <v>273</v>
      </c>
      <c r="S16" s="2" t="s">
        <v>95</v>
      </c>
      <c r="U16" s="2" t="s">
        <v>138</v>
      </c>
      <c r="V16" s="2">
        <v>124255.0</v>
      </c>
      <c r="W16" s="2">
        <v>1874.0</v>
      </c>
      <c r="AB16" s="2">
        <v>1.75693674E9</v>
      </c>
    </row>
    <row r="17">
      <c r="A17" s="2" t="s">
        <v>274</v>
      </c>
      <c r="B17" s="7" t="s">
        <v>34</v>
      </c>
      <c r="C17" s="9">
        <v>45947.95365740741</v>
      </c>
      <c r="D17" s="2" t="s">
        <v>274</v>
      </c>
      <c r="E17" s="2" t="s">
        <v>274</v>
      </c>
      <c r="F17" s="7" t="s">
        <v>275</v>
      </c>
      <c r="G17" s="2" t="s">
        <v>278</v>
      </c>
      <c r="H17" s="2" t="s">
        <v>279</v>
      </c>
      <c r="I17" s="2" t="s">
        <v>280</v>
      </c>
      <c r="J17" s="2" t="b">
        <v>1</v>
      </c>
      <c r="K17" s="7" t="s">
        <v>282</v>
      </c>
      <c r="L17" s="2" t="s">
        <v>283</v>
      </c>
      <c r="M17" s="2" t="s">
        <v>284</v>
      </c>
      <c r="N17" s="2">
        <v>5.4808824328E10</v>
      </c>
      <c r="O17" s="2" t="s">
        <v>127</v>
      </c>
      <c r="P17" s="2">
        <v>8.0</v>
      </c>
      <c r="Q17" s="2" t="s">
        <v>285</v>
      </c>
      <c r="R17" s="2" t="s">
        <v>285</v>
      </c>
      <c r="S17" s="2" t="s">
        <v>286</v>
      </c>
      <c r="T17" s="2" t="s">
        <v>283</v>
      </c>
      <c r="U17" s="2" t="s">
        <v>138</v>
      </c>
      <c r="V17" s="2">
        <v>735.0</v>
      </c>
      <c r="W17" s="2">
        <v>42.0</v>
      </c>
      <c r="AB17" s="2">
        <v>1.760741596E9</v>
      </c>
    </row>
    <row r="18">
      <c r="A18" s="2" t="s">
        <v>85</v>
      </c>
      <c r="B18" s="7" t="s">
        <v>34</v>
      </c>
      <c r="C18" s="9">
        <v>45803.7703587963</v>
      </c>
      <c r="D18" s="2" t="s">
        <v>85</v>
      </c>
      <c r="E18" s="2" t="s">
        <v>85</v>
      </c>
      <c r="F18" s="7" t="s">
        <v>288</v>
      </c>
      <c r="G18" s="2" t="s">
        <v>86</v>
      </c>
      <c r="H18" s="2" t="s">
        <v>87</v>
      </c>
      <c r="I18" s="2" t="s">
        <v>88</v>
      </c>
      <c r="J18" s="2" t="b">
        <v>0</v>
      </c>
      <c r="K18" s="7" t="s">
        <v>289</v>
      </c>
      <c r="O18" s="2" t="s">
        <v>127</v>
      </c>
      <c r="P18" s="2">
        <v>1.0</v>
      </c>
      <c r="Q18" s="7" t="s">
        <v>295</v>
      </c>
      <c r="R18" s="7" t="s">
        <v>295</v>
      </c>
      <c r="S18" s="2" t="s">
        <v>89</v>
      </c>
      <c r="U18" s="2" t="s">
        <v>138</v>
      </c>
      <c r="V18" s="2">
        <v>14.0</v>
      </c>
      <c r="W18" s="2">
        <v>0.0</v>
      </c>
      <c r="AB18" s="2">
        <v>1.748284159E9</v>
      </c>
    </row>
    <row r="19">
      <c r="A19" s="2" t="s">
        <v>111</v>
      </c>
      <c r="B19" s="7" t="s">
        <v>34</v>
      </c>
      <c r="C19" s="9">
        <v>45913.958553240744</v>
      </c>
      <c r="D19" s="2" t="s">
        <v>111</v>
      </c>
      <c r="E19" s="2" t="s">
        <v>111</v>
      </c>
      <c r="F19" s="7" t="s">
        <v>298</v>
      </c>
      <c r="G19" s="2" t="s">
        <v>112</v>
      </c>
      <c r="H19" s="2" t="s">
        <v>113</v>
      </c>
      <c r="I19" s="2" t="s">
        <v>114</v>
      </c>
      <c r="J19" s="2" t="b">
        <v>0</v>
      </c>
      <c r="K19" s="7" t="s">
        <v>299</v>
      </c>
      <c r="O19" s="2" t="s">
        <v>127</v>
      </c>
      <c r="P19" s="2">
        <v>6.0</v>
      </c>
      <c r="Q19" s="2" t="s">
        <v>300</v>
      </c>
      <c r="R19" s="2" t="s">
        <v>300</v>
      </c>
      <c r="S19" s="2" t="s">
        <v>115</v>
      </c>
      <c r="U19" s="2" t="s">
        <v>138</v>
      </c>
      <c r="V19" s="2">
        <v>3222.0</v>
      </c>
      <c r="W19" s="2">
        <v>37.0</v>
      </c>
      <c r="AB19" s="2">
        <v>1.757804419E9</v>
      </c>
    </row>
    <row r="20">
      <c r="A20" s="2" t="s">
        <v>301</v>
      </c>
      <c r="B20" s="7" t="s">
        <v>34</v>
      </c>
      <c r="C20" s="9">
        <v>45973.74024305555</v>
      </c>
      <c r="D20" s="2" t="s">
        <v>301</v>
      </c>
      <c r="E20" s="2" t="s">
        <v>301</v>
      </c>
      <c r="F20" s="7" t="s">
        <v>302</v>
      </c>
      <c r="G20" s="2" t="s">
        <v>304</v>
      </c>
      <c r="H20" s="2" t="s">
        <v>305</v>
      </c>
      <c r="I20" s="2" t="s">
        <v>306</v>
      </c>
      <c r="J20" s="2" t="b">
        <v>0</v>
      </c>
      <c r="K20" s="7" t="s">
        <v>307</v>
      </c>
      <c r="O20" s="2" t="s">
        <v>127</v>
      </c>
      <c r="P20" s="2">
        <v>1.0</v>
      </c>
      <c r="Q20" s="7" t="s">
        <v>309</v>
      </c>
      <c r="R20" s="7" t="s">
        <v>309</v>
      </c>
      <c r="S20" s="2" t="s">
        <v>311</v>
      </c>
      <c r="U20" s="2" t="s">
        <v>138</v>
      </c>
      <c r="V20" s="2">
        <v>23.0</v>
      </c>
      <c r="W20" s="2">
        <v>2.0</v>
      </c>
      <c r="AB20" s="2">
        <v>1.762969557E9</v>
      </c>
    </row>
    <row r="21">
      <c r="A21" s="2" t="s">
        <v>312</v>
      </c>
      <c r="B21" s="7" t="s">
        <v>34</v>
      </c>
      <c r="C21" s="9">
        <v>45926.01697916666</v>
      </c>
      <c r="D21" s="2" t="s">
        <v>312</v>
      </c>
      <c r="E21" s="2" t="s">
        <v>312</v>
      </c>
      <c r="F21" s="7" t="s">
        <v>313</v>
      </c>
      <c r="G21" s="2" t="s">
        <v>314</v>
      </c>
      <c r="H21" s="2" t="s">
        <v>315</v>
      </c>
      <c r="I21" s="2" t="s">
        <v>316</v>
      </c>
      <c r="J21" s="2" t="b">
        <v>0</v>
      </c>
      <c r="K21" s="7" t="s">
        <v>317</v>
      </c>
      <c r="O21" s="2" t="s">
        <v>127</v>
      </c>
      <c r="P21" s="2">
        <v>1.0</v>
      </c>
      <c r="Q21" s="7" t="s">
        <v>319</v>
      </c>
      <c r="R21" s="7" t="s">
        <v>319</v>
      </c>
      <c r="S21" s="2" t="s">
        <v>326</v>
      </c>
      <c r="U21" s="2" t="s">
        <v>138</v>
      </c>
      <c r="V21" s="2">
        <v>454.0</v>
      </c>
      <c r="W21" s="2">
        <v>3.0</v>
      </c>
      <c r="X21" s="2" t="s">
        <v>327</v>
      </c>
      <c r="Y21" s="2">
        <v>9.80018672169364E14</v>
      </c>
      <c r="Z21" s="2" t="s">
        <v>328</v>
      </c>
      <c r="AB21" s="2">
        <v>1.758846267E9</v>
      </c>
    </row>
    <row r="22">
      <c r="A22" s="2" t="s">
        <v>329</v>
      </c>
      <c r="B22" s="7" t="s">
        <v>34</v>
      </c>
      <c r="C22" s="9">
        <v>45915.613125</v>
      </c>
      <c r="D22" s="2" t="s">
        <v>329</v>
      </c>
      <c r="E22" s="2" t="s">
        <v>329</v>
      </c>
      <c r="F22" s="7" t="s">
        <v>330</v>
      </c>
      <c r="G22" s="2" t="s">
        <v>331</v>
      </c>
      <c r="H22" s="2" t="s">
        <v>332</v>
      </c>
      <c r="I22" s="2" t="s">
        <v>333</v>
      </c>
      <c r="J22" s="2" t="b">
        <v>0</v>
      </c>
      <c r="K22" s="7" t="s">
        <v>334</v>
      </c>
      <c r="O22" s="2" t="s">
        <v>127</v>
      </c>
      <c r="P22" s="2">
        <v>7.0</v>
      </c>
      <c r="Q22" s="2" t="s">
        <v>338</v>
      </c>
      <c r="R22" s="2" t="s">
        <v>338</v>
      </c>
      <c r="S22" s="2" t="s">
        <v>339</v>
      </c>
      <c r="U22" s="2" t="s">
        <v>138</v>
      </c>
      <c r="V22" s="2">
        <v>14140.0</v>
      </c>
      <c r="W22" s="2">
        <v>51.0</v>
      </c>
      <c r="AB22" s="2">
        <v>1.757947374E9</v>
      </c>
    </row>
    <row r="23">
      <c r="A23" s="2" t="s">
        <v>340</v>
      </c>
      <c r="B23" s="7" t="s">
        <v>34</v>
      </c>
      <c r="C23" s="9">
        <v>45883.81888888889</v>
      </c>
      <c r="D23" s="2" t="s">
        <v>340</v>
      </c>
      <c r="E23" s="2" t="s">
        <v>340</v>
      </c>
      <c r="F23" s="7" t="s">
        <v>342</v>
      </c>
      <c r="G23" s="2" t="s">
        <v>343</v>
      </c>
      <c r="H23" s="2" t="s">
        <v>344</v>
      </c>
      <c r="I23" s="2" t="s">
        <v>345</v>
      </c>
      <c r="J23" s="2" t="b">
        <v>1</v>
      </c>
      <c r="K23" s="7" t="s">
        <v>346</v>
      </c>
      <c r="L23" s="2" t="s">
        <v>347</v>
      </c>
      <c r="M23" s="2" t="s">
        <v>348</v>
      </c>
      <c r="N23" s="2">
        <v>2.24743226E8</v>
      </c>
      <c r="O23" s="2" t="s">
        <v>127</v>
      </c>
      <c r="P23" s="2">
        <v>1.0</v>
      </c>
      <c r="Q23" s="7" t="s">
        <v>352</v>
      </c>
      <c r="R23" s="7" t="s">
        <v>352</v>
      </c>
      <c r="S23" s="2" t="s">
        <v>359</v>
      </c>
      <c r="T23" s="2" t="s">
        <v>347</v>
      </c>
      <c r="U23" s="2" t="s">
        <v>138</v>
      </c>
      <c r="V23" s="2">
        <v>66.0</v>
      </c>
      <c r="W23" s="2">
        <v>2.0</v>
      </c>
      <c r="AB23" s="2">
        <v>1.755200352E9</v>
      </c>
    </row>
    <row r="24">
      <c r="A24" s="2" t="s">
        <v>46</v>
      </c>
      <c r="B24" s="7" t="s">
        <v>34</v>
      </c>
      <c r="C24" s="9">
        <v>45958.45392361111</v>
      </c>
      <c r="D24" s="2" t="s">
        <v>46</v>
      </c>
      <c r="E24" s="2" t="s">
        <v>46</v>
      </c>
      <c r="F24" s="7" t="s">
        <v>363</v>
      </c>
      <c r="G24" s="2" t="s">
        <v>47</v>
      </c>
      <c r="H24" s="2" t="s">
        <v>48</v>
      </c>
      <c r="I24" s="2" t="s">
        <v>49</v>
      </c>
      <c r="J24" s="2" t="b">
        <v>1</v>
      </c>
      <c r="K24" s="7" t="s">
        <v>364</v>
      </c>
      <c r="O24" s="2" t="s">
        <v>127</v>
      </c>
      <c r="P24" s="2">
        <v>9.0</v>
      </c>
      <c r="Q24" s="2" t="s">
        <v>366</v>
      </c>
      <c r="R24" s="2" t="s">
        <v>366</v>
      </c>
      <c r="S24" s="2" t="s">
        <v>50</v>
      </c>
      <c r="U24" s="2" t="s">
        <v>138</v>
      </c>
      <c r="V24" s="2">
        <v>695.0</v>
      </c>
      <c r="W24" s="2">
        <v>18.0</v>
      </c>
      <c r="AB24" s="2">
        <v>1.761648819E9</v>
      </c>
    </row>
    <row r="25">
      <c r="A25" s="2" t="s">
        <v>132</v>
      </c>
      <c r="B25" s="7" t="s">
        <v>34</v>
      </c>
      <c r="C25" s="9">
        <v>45964.68505787037</v>
      </c>
      <c r="D25" s="2" t="s">
        <v>132</v>
      </c>
      <c r="E25" s="2" t="s">
        <v>132</v>
      </c>
      <c r="F25" s="7" t="s">
        <v>368</v>
      </c>
      <c r="G25" s="2" t="s">
        <v>133</v>
      </c>
      <c r="H25" s="2" t="s">
        <v>134</v>
      </c>
      <c r="I25" s="2" t="s">
        <v>135</v>
      </c>
      <c r="J25" s="2" t="b">
        <v>0</v>
      </c>
      <c r="K25" s="7" t="s">
        <v>370</v>
      </c>
      <c r="L25" s="2" t="s">
        <v>371</v>
      </c>
      <c r="M25" s="2" t="s">
        <v>372</v>
      </c>
      <c r="N25" s="2">
        <v>7.635866997E10</v>
      </c>
      <c r="O25" s="2" t="s">
        <v>127</v>
      </c>
      <c r="P25" s="2">
        <v>13.0</v>
      </c>
      <c r="Q25" s="2" t="s">
        <v>374</v>
      </c>
      <c r="R25" s="2" t="s">
        <v>374</v>
      </c>
      <c r="S25" s="2" t="s">
        <v>137</v>
      </c>
      <c r="T25" s="2" t="s">
        <v>371</v>
      </c>
      <c r="U25" s="2" t="s">
        <v>138</v>
      </c>
      <c r="V25" s="2">
        <v>4580.0</v>
      </c>
      <c r="W25" s="2">
        <v>167.0</v>
      </c>
      <c r="AB25" s="2">
        <v>1.762187189E9</v>
      </c>
    </row>
    <row r="26">
      <c r="A26" s="2" t="s">
        <v>101</v>
      </c>
      <c r="B26" s="7" t="s">
        <v>34</v>
      </c>
      <c r="C26" s="9">
        <v>45961.63209490741</v>
      </c>
      <c r="D26" s="2" t="s">
        <v>101</v>
      </c>
      <c r="E26" s="2" t="s">
        <v>101</v>
      </c>
      <c r="F26" s="7" t="s">
        <v>375</v>
      </c>
      <c r="G26" s="2" t="s">
        <v>102</v>
      </c>
      <c r="H26" s="2" t="s">
        <v>103</v>
      </c>
      <c r="I26" s="2" t="s">
        <v>104</v>
      </c>
      <c r="J26" s="2" t="b">
        <v>1</v>
      </c>
      <c r="K26" s="7" t="s">
        <v>376</v>
      </c>
      <c r="O26" s="2" t="s">
        <v>127</v>
      </c>
      <c r="P26" s="2">
        <v>1.0</v>
      </c>
      <c r="Q26" s="7" t="s">
        <v>378</v>
      </c>
      <c r="R26" s="7" t="s">
        <v>378</v>
      </c>
      <c r="S26" s="2" t="s">
        <v>105</v>
      </c>
      <c r="U26" s="2" t="s">
        <v>138</v>
      </c>
      <c r="V26" s="2">
        <v>333.0</v>
      </c>
      <c r="W26" s="2">
        <v>0.0</v>
      </c>
      <c r="X26" s="2" t="s">
        <v>379</v>
      </c>
      <c r="Y26" s="2">
        <v>1.31399200731233E14</v>
      </c>
      <c r="Z26" s="2" t="s">
        <v>380</v>
      </c>
      <c r="AB26" s="2">
        <v>1.761923413E9</v>
      </c>
    </row>
    <row r="27">
      <c r="A27" s="2" t="s">
        <v>381</v>
      </c>
      <c r="B27" s="7" t="s">
        <v>34</v>
      </c>
      <c r="C27" s="9">
        <v>45954.67689814815</v>
      </c>
      <c r="D27" s="2" t="s">
        <v>381</v>
      </c>
      <c r="E27" s="2" t="s">
        <v>381</v>
      </c>
      <c r="F27" s="7" t="s">
        <v>382</v>
      </c>
      <c r="G27" s="2" t="s">
        <v>383</v>
      </c>
      <c r="H27" s="2" t="s">
        <v>384</v>
      </c>
      <c r="I27" s="2" t="s">
        <v>386</v>
      </c>
      <c r="J27" s="2" t="b">
        <v>1</v>
      </c>
      <c r="K27" s="7" t="s">
        <v>387</v>
      </c>
      <c r="O27" s="2" t="s">
        <v>127</v>
      </c>
      <c r="P27" s="2">
        <v>1.0</v>
      </c>
      <c r="Q27" s="7" t="s">
        <v>390</v>
      </c>
      <c r="R27" s="7" t="s">
        <v>390</v>
      </c>
      <c r="S27" s="2" t="s">
        <v>395</v>
      </c>
      <c r="U27" s="2" t="s">
        <v>138</v>
      </c>
      <c r="V27" s="2">
        <v>391.0</v>
      </c>
      <c r="W27" s="2">
        <v>1.0</v>
      </c>
      <c r="X27" s="2" t="s">
        <v>396</v>
      </c>
      <c r="Y27" s="2">
        <v>4866587.0</v>
      </c>
      <c r="Z27" s="2" t="s">
        <v>397</v>
      </c>
      <c r="AB27" s="2">
        <v>1.761322484E9</v>
      </c>
    </row>
    <row r="28">
      <c r="A28" s="2" t="s">
        <v>96</v>
      </c>
      <c r="B28" s="7" t="s">
        <v>34</v>
      </c>
      <c r="C28" s="9">
        <v>45912.96009259259</v>
      </c>
      <c r="D28" s="2" t="s">
        <v>96</v>
      </c>
      <c r="E28" s="2" t="s">
        <v>96</v>
      </c>
      <c r="F28" s="7" t="s">
        <v>294</v>
      </c>
      <c r="G28" s="2" t="s">
        <v>97</v>
      </c>
      <c r="H28" s="2" t="s">
        <v>98</v>
      </c>
      <c r="I28" s="2" t="s">
        <v>99</v>
      </c>
      <c r="J28" s="2" t="b">
        <v>0</v>
      </c>
      <c r="K28" s="7" t="s">
        <v>398</v>
      </c>
      <c r="O28" s="2" t="s">
        <v>127</v>
      </c>
      <c r="P28" s="2">
        <v>1.0</v>
      </c>
      <c r="Q28" s="7" t="s">
        <v>399</v>
      </c>
      <c r="R28" s="7" t="s">
        <v>399</v>
      </c>
      <c r="S28" s="2" t="s">
        <v>100</v>
      </c>
      <c r="T28" s="2" t="s">
        <v>227</v>
      </c>
      <c r="U28" s="2" t="s">
        <v>138</v>
      </c>
      <c r="V28" s="2">
        <v>1022.0</v>
      </c>
      <c r="W28" s="2">
        <v>4.0</v>
      </c>
      <c r="X28" s="2" t="s">
        <v>230</v>
      </c>
      <c r="Y28" s="2">
        <v>2.54191223E8</v>
      </c>
      <c r="Z28" s="2" t="s">
        <v>231</v>
      </c>
      <c r="AB28" s="2">
        <v>1.757718152E9</v>
      </c>
    </row>
    <row r="29">
      <c r="A29" s="2" t="s">
        <v>56</v>
      </c>
      <c r="B29" s="7" t="s">
        <v>34</v>
      </c>
      <c r="C29" s="9">
        <v>45966.937685185185</v>
      </c>
      <c r="D29" s="2" t="s">
        <v>56</v>
      </c>
      <c r="E29" s="2" t="s">
        <v>56</v>
      </c>
      <c r="F29" s="7" t="s">
        <v>400</v>
      </c>
      <c r="G29" s="2" t="s">
        <v>57</v>
      </c>
      <c r="H29" s="2" t="s">
        <v>58</v>
      </c>
      <c r="I29" s="2" t="s">
        <v>59</v>
      </c>
      <c r="J29" s="2" t="b">
        <v>1</v>
      </c>
      <c r="K29" s="7" t="s">
        <v>401</v>
      </c>
      <c r="O29" s="2" t="s">
        <v>127</v>
      </c>
      <c r="P29" s="2">
        <v>6.0</v>
      </c>
      <c r="Q29" s="2" t="s">
        <v>403</v>
      </c>
      <c r="R29" s="2" t="s">
        <v>403</v>
      </c>
      <c r="S29" s="2" t="s">
        <v>60</v>
      </c>
      <c r="U29" s="2" t="s">
        <v>138</v>
      </c>
      <c r="V29" s="2">
        <v>555.0</v>
      </c>
      <c r="W29" s="2">
        <v>3.0</v>
      </c>
      <c r="AB29" s="2">
        <v>1.762381816E9</v>
      </c>
    </row>
    <row r="30">
      <c r="A30" s="2" t="s">
        <v>404</v>
      </c>
      <c r="B30" s="7" t="s">
        <v>34</v>
      </c>
      <c r="C30" s="9">
        <v>45904.44923611111</v>
      </c>
      <c r="D30" s="2" t="s">
        <v>404</v>
      </c>
      <c r="E30" s="2" t="s">
        <v>404</v>
      </c>
      <c r="F30" s="7" t="s">
        <v>405</v>
      </c>
      <c r="G30" s="2" t="s">
        <v>406</v>
      </c>
      <c r="H30" s="2" t="s">
        <v>407</v>
      </c>
      <c r="I30" s="2" t="s">
        <v>408</v>
      </c>
      <c r="J30" s="2" t="b">
        <v>1</v>
      </c>
      <c r="K30" s="7" t="s">
        <v>409</v>
      </c>
      <c r="O30" s="2" t="s">
        <v>127</v>
      </c>
      <c r="P30" s="2">
        <v>1.0</v>
      </c>
      <c r="Q30" s="7" t="s">
        <v>410</v>
      </c>
      <c r="R30" s="7" t="s">
        <v>410</v>
      </c>
      <c r="S30" s="2" t="s">
        <v>413</v>
      </c>
      <c r="U30" s="2" t="s">
        <v>138</v>
      </c>
      <c r="V30" s="2">
        <v>400.0</v>
      </c>
      <c r="W30" s="2">
        <v>10.0</v>
      </c>
      <c r="AB30" s="2">
        <v>1.756982814E9</v>
      </c>
    </row>
    <row r="31">
      <c r="A31" s="2" t="s">
        <v>116</v>
      </c>
      <c r="B31" s="7" t="s">
        <v>34</v>
      </c>
      <c r="C31" s="9">
        <v>45918.69153935185</v>
      </c>
      <c r="D31" s="2" t="s">
        <v>116</v>
      </c>
      <c r="E31" s="2" t="s">
        <v>116</v>
      </c>
      <c r="F31" s="7" t="s">
        <v>337</v>
      </c>
      <c r="G31" s="2" t="s">
        <v>117</v>
      </c>
      <c r="H31" s="2" t="s">
        <v>118</v>
      </c>
      <c r="I31" s="2" t="s">
        <v>119</v>
      </c>
      <c r="J31" s="2" t="b">
        <v>0</v>
      </c>
      <c r="K31" s="7" t="s">
        <v>415</v>
      </c>
      <c r="L31" s="2" t="s">
        <v>349</v>
      </c>
      <c r="M31" s="2" t="s">
        <v>350</v>
      </c>
      <c r="N31" s="2" t="s">
        <v>351</v>
      </c>
      <c r="O31" s="2" t="s">
        <v>127</v>
      </c>
      <c r="P31" s="2">
        <v>5.0</v>
      </c>
      <c r="Q31" s="2" t="s">
        <v>416</v>
      </c>
      <c r="R31" s="2" t="s">
        <v>416</v>
      </c>
      <c r="S31" s="2" t="s">
        <v>120</v>
      </c>
      <c r="T31" s="2" t="s">
        <v>349</v>
      </c>
      <c r="U31" s="2" t="s">
        <v>138</v>
      </c>
      <c r="V31" s="2">
        <v>1478.0</v>
      </c>
      <c r="W31" s="2">
        <v>16.0</v>
      </c>
      <c r="X31" s="2" t="s">
        <v>354</v>
      </c>
      <c r="Y31" s="2">
        <v>9.20637601463294E14</v>
      </c>
      <c r="Z31" s="2" t="s">
        <v>355</v>
      </c>
      <c r="AB31" s="2">
        <v>1.758213349E9</v>
      </c>
    </row>
    <row r="32">
      <c r="A32" s="2" t="s">
        <v>417</v>
      </c>
      <c r="B32" s="7" t="s">
        <v>34</v>
      </c>
      <c r="C32" s="9">
        <v>45889.86494212963</v>
      </c>
      <c r="D32" s="2" t="s">
        <v>417</v>
      </c>
      <c r="E32" s="2" t="s">
        <v>417</v>
      </c>
      <c r="F32" s="7" t="s">
        <v>418</v>
      </c>
      <c r="G32" s="2" t="s">
        <v>420</v>
      </c>
      <c r="H32" s="2" t="s">
        <v>92</v>
      </c>
      <c r="I32" s="2" t="s">
        <v>93</v>
      </c>
      <c r="J32" s="2" t="b">
        <v>1</v>
      </c>
      <c r="K32" s="7" t="s">
        <v>421</v>
      </c>
      <c r="O32" s="2" t="s">
        <v>127</v>
      </c>
      <c r="P32" s="2">
        <v>9.0</v>
      </c>
      <c r="Q32" s="2" t="s">
        <v>425</v>
      </c>
      <c r="R32" s="2" t="s">
        <v>425</v>
      </c>
      <c r="S32" s="2" t="s">
        <v>427</v>
      </c>
      <c r="U32" s="2" t="s">
        <v>138</v>
      </c>
      <c r="V32" s="2">
        <v>1604.0</v>
      </c>
      <c r="W32" s="2">
        <v>26.0</v>
      </c>
      <c r="AB32" s="2">
        <v>1.755722731E9</v>
      </c>
    </row>
    <row r="33">
      <c r="A33" s="2" t="s">
        <v>428</v>
      </c>
      <c r="B33" s="7" t="s">
        <v>34</v>
      </c>
      <c r="C33" s="9">
        <v>45921.524305555555</v>
      </c>
      <c r="D33" s="2" t="s">
        <v>428</v>
      </c>
      <c r="E33" s="2" t="s">
        <v>428</v>
      </c>
      <c r="F33" s="7" t="s">
        <v>429</v>
      </c>
      <c r="G33" s="2" t="s">
        <v>430</v>
      </c>
      <c r="H33" s="2" t="s">
        <v>431</v>
      </c>
      <c r="I33" s="2" t="s">
        <v>432</v>
      </c>
      <c r="J33" s="2" t="b">
        <v>1</v>
      </c>
      <c r="K33" s="7" t="s">
        <v>433</v>
      </c>
      <c r="O33" s="2" t="s">
        <v>127</v>
      </c>
      <c r="P33" s="2">
        <v>5.0</v>
      </c>
      <c r="Q33" s="2" t="s">
        <v>436</v>
      </c>
      <c r="R33" s="2" t="s">
        <v>436</v>
      </c>
      <c r="S33" s="2" t="s">
        <v>437</v>
      </c>
      <c r="U33" s="2" t="s">
        <v>138</v>
      </c>
      <c r="V33" s="2">
        <v>219.0</v>
      </c>
      <c r="W33" s="2">
        <v>1.0</v>
      </c>
      <c r="AB33" s="2">
        <v>1.7584581E9</v>
      </c>
    </row>
    <row r="34">
      <c r="A34" s="2" t="s">
        <v>438</v>
      </c>
      <c r="B34" s="7" t="s">
        <v>34</v>
      </c>
      <c r="C34" s="9">
        <v>45969.819560185184</v>
      </c>
      <c r="D34" s="2" t="s">
        <v>438</v>
      </c>
      <c r="E34" s="2" t="s">
        <v>438</v>
      </c>
      <c r="F34" s="7" t="s">
        <v>439</v>
      </c>
      <c r="G34" s="2" t="s">
        <v>440</v>
      </c>
      <c r="H34" s="2" t="s">
        <v>323</v>
      </c>
      <c r="I34" s="2" t="s">
        <v>324</v>
      </c>
      <c r="J34" s="2" t="b">
        <v>0</v>
      </c>
      <c r="K34" s="7" t="s">
        <v>441</v>
      </c>
      <c r="O34" s="2" t="s">
        <v>127</v>
      </c>
      <c r="P34" s="2">
        <v>6.0</v>
      </c>
      <c r="Q34" s="2" t="s">
        <v>443</v>
      </c>
      <c r="R34" s="2" t="s">
        <v>443</v>
      </c>
      <c r="S34" s="2" t="s">
        <v>444</v>
      </c>
      <c r="U34" s="2" t="s">
        <v>138</v>
      </c>
      <c r="V34" s="2">
        <v>4700.0</v>
      </c>
      <c r="W34" s="2">
        <v>64.0</v>
      </c>
      <c r="AB34" s="2">
        <v>1.76263081E9</v>
      </c>
    </row>
    <row r="35">
      <c r="A35" s="2" t="s">
        <v>445</v>
      </c>
      <c r="B35" s="7" t="s">
        <v>34</v>
      </c>
      <c r="C35" s="9">
        <v>45911.54832175926</v>
      </c>
      <c r="D35" s="2" t="s">
        <v>445</v>
      </c>
      <c r="E35" s="2" t="s">
        <v>445</v>
      </c>
      <c r="F35" s="7" t="s">
        <v>446</v>
      </c>
      <c r="G35" s="2" t="s">
        <v>447</v>
      </c>
      <c r="H35" s="2" t="s">
        <v>448</v>
      </c>
      <c r="I35" s="2" t="s">
        <v>449</v>
      </c>
      <c r="J35" s="2" t="b">
        <v>1</v>
      </c>
      <c r="K35" s="7" t="s">
        <v>450</v>
      </c>
      <c r="O35" s="2" t="s">
        <v>127</v>
      </c>
      <c r="P35" s="2">
        <v>6.0</v>
      </c>
      <c r="Q35" s="2" t="s">
        <v>452</v>
      </c>
      <c r="R35" s="2" t="s">
        <v>452</v>
      </c>
      <c r="S35" s="2" t="s">
        <v>454</v>
      </c>
      <c r="U35" s="2" t="s">
        <v>138</v>
      </c>
      <c r="V35" s="2">
        <v>72.0</v>
      </c>
      <c r="W35" s="2">
        <v>1.0</v>
      </c>
      <c r="AB35" s="2">
        <v>1.757596175E9</v>
      </c>
    </row>
    <row r="36">
      <c r="A36" s="2" t="s">
        <v>41</v>
      </c>
      <c r="B36" s="7" t="s">
        <v>34</v>
      </c>
      <c r="C36" s="9">
        <v>45568.687106481484</v>
      </c>
      <c r="D36" s="2" t="s">
        <v>41</v>
      </c>
      <c r="E36" s="2" t="s">
        <v>41</v>
      </c>
      <c r="F36" s="7" t="s">
        <v>367</v>
      </c>
      <c r="G36" s="2" t="s">
        <v>42</v>
      </c>
      <c r="H36" s="2" t="s">
        <v>43</v>
      </c>
      <c r="I36" s="2" t="s">
        <v>44</v>
      </c>
      <c r="J36" s="2" t="b">
        <v>1</v>
      </c>
      <c r="K36" s="7" t="s">
        <v>456</v>
      </c>
      <c r="O36" s="2" t="s">
        <v>127</v>
      </c>
      <c r="P36" s="2">
        <v>7.0</v>
      </c>
      <c r="Q36" s="2" t="s">
        <v>459</v>
      </c>
      <c r="R36" s="2" t="s">
        <v>459</v>
      </c>
      <c r="S36" s="2" t="s">
        <v>45</v>
      </c>
      <c r="U36" s="2" t="s">
        <v>138</v>
      </c>
      <c r="V36" s="2">
        <v>9522.0</v>
      </c>
      <c r="W36" s="2">
        <v>55.0</v>
      </c>
      <c r="AB36" s="2">
        <v>1.727972966E9</v>
      </c>
    </row>
    <row r="37">
      <c r="A37" s="2" t="s">
        <v>74</v>
      </c>
      <c r="B37" s="7" t="s">
        <v>34</v>
      </c>
      <c r="C37" s="9">
        <v>45934.5</v>
      </c>
      <c r="D37" s="2" t="s">
        <v>74</v>
      </c>
      <c r="E37" s="2" t="s">
        <v>74</v>
      </c>
      <c r="F37" s="7" t="s">
        <v>412</v>
      </c>
      <c r="G37" s="2" t="s">
        <v>75</v>
      </c>
      <c r="H37" s="2" t="s">
        <v>76</v>
      </c>
      <c r="I37" s="2" t="s">
        <v>77</v>
      </c>
      <c r="J37" s="2" t="b">
        <v>0</v>
      </c>
      <c r="K37" s="7" t="s">
        <v>461</v>
      </c>
      <c r="O37" s="2" t="s">
        <v>127</v>
      </c>
      <c r="P37" s="2">
        <v>7.0</v>
      </c>
      <c r="Q37" s="2" t="s">
        <v>462</v>
      </c>
      <c r="R37" s="2" t="s">
        <v>462</v>
      </c>
      <c r="S37" s="2" t="s">
        <v>78</v>
      </c>
      <c r="U37" s="2" t="s">
        <v>138</v>
      </c>
      <c r="V37" s="2">
        <v>576.0</v>
      </c>
      <c r="W37" s="2">
        <v>4.0</v>
      </c>
      <c r="AB37" s="2">
        <v>1.7595792E9</v>
      </c>
    </row>
    <row r="38">
      <c r="A38" s="2" t="s">
        <v>463</v>
      </c>
      <c r="B38" s="7" t="s">
        <v>34</v>
      </c>
      <c r="C38" s="9">
        <v>45967.98465277778</v>
      </c>
      <c r="D38" s="2" t="s">
        <v>463</v>
      </c>
      <c r="E38" s="2" t="s">
        <v>463</v>
      </c>
      <c r="F38" s="7" t="s">
        <v>464</v>
      </c>
      <c r="G38" s="2" t="s">
        <v>465</v>
      </c>
      <c r="H38" s="2" t="s">
        <v>466</v>
      </c>
      <c r="I38" s="2" t="s">
        <v>467</v>
      </c>
      <c r="J38" s="2" t="b">
        <v>0</v>
      </c>
      <c r="K38" s="7" t="s">
        <v>468</v>
      </c>
      <c r="O38" s="2" t="s">
        <v>127</v>
      </c>
      <c r="P38" s="2">
        <v>1.0</v>
      </c>
      <c r="Q38" s="7" t="s">
        <v>474</v>
      </c>
      <c r="R38" s="7" t="s">
        <v>474</v>
      </c>
      <c r="U38" s="2" t="s">
        <v>138</v>
      </c>
      <c r="V38" s="2">
        <v>6212.0</v>
      </c>
      <c r="W38" s="2">
        <v>32.0</v>
      </c>
      <c r="AB38" s="2">
        <v>1.762472274E9</v>
      </c>
    </row>
    <row r="39">
      <c r="A39" s="2" t="s">
        <v>475</v>
      </c>
      <c r="B39" s="7" t="s">
        <v>34</v>
      </c>
      <c r="C39" s="9">
        <v>45970.899375</v>
      </c>
      <c r="D39" s="2" t="s">
        <v>475</v>
      </c>
      <c r="E39" s="2" t="s">
        <v>475</v>
      </c>
      <c r="F39" s="7" t="s">
        <v>476</v>
      </c>
      <c r="G39" s="2" t="s">
        <v>478</v>
      </c>
      <c r="H39" s="2" t="s">
        <v>479</v>
      </c>
      <c r="I39" s="2" t="s">
        <v>480</v>
      </c>
      <c r="J39" s="2" t="b">
        <v>1</v>
      </c>
      <c r="K39" s="7" t="s">
        <v>481</v>
      </c>
      <c r="O39" s="2" t="s">
        <v>127</v>
      </c>
      <c r="P39" s="2">
        <v>7.0</v>
      </c>
      <c r="Q39" s="2" t="s">
        <v>482</v>
      </c>
      <c r="R39" s="2" t="s">
        <v>482</v>
      </c>
      <c r="S39" s="2" t="s">
        <v>483</v>
      </c>
      <c r="U39" s="2" t="s">
        <v>138</v>
      </c>
      <c r="V39" s="2">
        <v>6528.0</v>
      </c>
      <c r="W39" s="2">
        <v>72.0</v>
      </c>
      <c r="AB39" s="2">
        <v>1.762724106E9</v>
      </c>
    </row>
    <row r="40">
      <c r="A40" s="2" t="s">
        <v>484</v>
      </c>
      <c r="B40" s="7" t="s">
        <v>34</v>
      </c>
      <c r="C40" s="9">
        <v>45970.55049768519</v>
      </c>
      <c r="D40" s="2" t="s">
        <v>484</v>
      </c>
      <c r="E40" s="2" t="s">
        <v>484</v>
      </c>
      <c r="F40" s="7" t="s">
        <v>485</v>
      </c>
      <c r="G40" s="2" t="s">
        <v>486</v>
      </c>
      <c r="H40" s="2" t="s">
        <v>487</v>
      </c>
      <c r="I40" s="2" t="s">
        <v>488</v>
      </c>
      <c r="J40" s="2" t="b">
        <v>0</v>
      </c>
      <c r="K40" s="7" t="s">
        <v>491</v>
      </c>
      <c r="O40" s="2" t="s">
        <v>127</v>
      </c>
      <c r="P40" s="2">
        <v>1.0</v>
      </c>
      <c r="Q40" s="7" t="s">
        <v>498</v>
      </c>
      <c r="R40" s="7" t="s">
        <v>498</v>
      </c>
      <c r="S40" s="2" t="s">
        <v>499</v>
      </c>
      <c r="U40" s="2" t="s">
        <v>138</v>
      </c>
      <c r="V40" s="2">
        <v>4028.0</v>
      </c>
      <c r="W40" s="2">
        <v>10.0</v>
      </c>
      <c r="AB40" s="2">
        <v>1.762693963E9</v>
      </c>
    </row>
    <row r="41">
      <c r="A41" s="2" t="s">
        <v>500</v>
      </c>
      <c r="B41" s="7" t="s">
        <v>34</v>
      </c>
      <c r="C41" s="9">
        <v>45969.56238425926</v>
      </c>
      <c r="D41" s="2" t="s">
        <v>500</v>
      </c>
      <c r="E41" s="2" t="s">
        <v>500</v>
      </c>
      <c r="F41" s="7" t="s">
        <v>501</v>
      </c>
      <c r="G41" s="2" t="s">
        <v>502</v>
      </c>
      <c r="H41" s="2" t="s">
        <v>503</v>
      </c>
      <c r="I41" s="2" t="s">
        <v>504</v>
      </c>
      <c r="J41" s="2" t="b">
        <v>0</v>
      </c>
      <c r="K41" s="7" t="s">
        <v>505</v>
      </c>
      <c r="O41" s="2" t="s">
        <v>127</v>
      </c>
      <c r="P41" s="2">
        <v>4.0</v>
      </c>
      <c r="Q41" s="2" t="s">
        <v>509</v>
      </c>
      <c r="R41" s="2" t="s">
        <v>509</v>
      </c>
      <c r="U41" s="2" t="s">
        <v>138</v>
      </c>
      <c r="V41" s="2">
        <v>2229.0</v>
      </c>
      <c r="W41" s="2">
        <v>0.0</v>
      </c>
      <c r="AB41" s="2">
        <v>1.76260859E9</v>
      </c>
    </row>
    <row r="42">
      <c r="A42" s="2" t="s">
        <v>510</v>
      </c>
      <c r="B42" s="7" t="s">
        <v>34</v>
      </c>
      <c r="C42" s="9">
        <v>45970.247199074074</v>
      </c>
      <c r="D42" s="2" t="s">
        <v>510</v>
      </c>
      <c r="E42" s="2" t="s">
        <v>510</v>
      </c>
      <c r="F42" s="7" t="s">
        <v>511</v>
      </c>
      <c r="G42" s="2" t="s">
        <v>513</v>
      </c>
      <c r="H42" s="2" t="s">
        <v>514</v>
      </c>
      <c r="I42" s="2" t="s">
        <v>515</v>
      </c>
      <c r="J42" s="2" t="b">
        <v>0</v>
      </c>
      <c r="K42" s="7" t="s">
        <v>516</v>
      </c>
      <c r="L42" s="2" t="s">
        <v>517</v>
      </c>
      <c r="M42" s="2" t="s">
        <v>518</v>
      </c>
      <c r="N42" s="2">
        <v>5.8333225085E10</v>
      </c>
      <c r="O42" s="2" t="s">
        <v>127</v>
      </c>
      <c r="P42" s="2">
        <v>6.0</v>
      </c>
      <c r="Q42" s="2" t="s">
        <v>519</v>
      </c>
      <c r="R42" s="2" t="s">
        <v>519</v>
      </c>
      <c r="T42" s="2" t="s">
        <v>517</v>
      </c>
      <c r="U42" s="2" t="s">
        <v>138</v>
      </c>
      <c r="V42" s="2">
        <v>8461.0</v>
      </c>
      <c r="W42" s="2">
        <v>52.0</v>
      </c>
      <c r="AB42" s="2">
        <v>1.762667758E9</v>
      </c>
    </row>
    <row r="43">
      <c r="A43" s="2" t="s">
        <v>520</v>
      </c>
      <c r="B43" s="7" t="s">
        <v>34</v>
      </c>
      <c r="C43" s="9">
        <v>45972.90152777778</v>
      </c>
      <c r="D43" s="2" t="s">
        <v>520</v>
      </c>
      <c r="E43" s="2" t="s">
        <v>520</v>
      </c>
      <c r="F43" s="7" t="s">
        <v>521</v>
      </c>
      <c r="G43" s="2" t="s">
        <v>522</v>
      </c>
      <c r="H43" s="2" t="s">
        <v>523</v>
      </c>
      <c r="I43" s="2" t="s">
        <v>524</v>
      </c>
      <c r="J43" s="2" t="b">
        <v>1</v>
      </c>
      <c r="K43" s="7" t="s">
        <v>525</v>
      </c>
      <c r="O43" s="2" t="s">
        <v>127</v>
      </c>
      <c r="P43" s="2">
        <v>2.0</v>
      </c>
      <c r="Q43" s="2" t="s">
        <v>529</v>
      </c>
      <c r="R43" s="2" t="s">
        <v>529</v>
      </c>
      <c r="U43" s="2" t="s">
        <v>138</v>
      </c>
      <c r="V43" s="2">
        <v>232103.0</v>
      </c>
      <c r="W43" s="2">
        <v>1605.0</v>
      </c>
      <c r="AB43" s="2">
        <v>1.762897092E9</v>
      </c>
    </row>
    <row r="44">
      <c r="A44" s="2" t="s">
        <v>530</v>
      </c>
      <c r="B44" s="7" t="s">
        <v>34</v>
      </c>
      <c r="C44" s="9">
        <v>45971.465</v>
      </c>
      <c r="D44" s="2" t="s">
        <v>530</v>
      </c>
      <c r="E44" s="2" t="s">
        <v>530</v>
      </c>
      <c r="F44" s="7" t="s">
        <v>531</v>
      </c>
      <c r="G44" s="2" t="s">
        <v>533</v>
      </c>
      <c r="H44" s="2" t="s">
        <v>534</v>
      </c>
      <c r="I44" s="2" t="s">
        <v>535</v>
      </c>
      <c r="J44" s="2" t="b">
        <v>0</v>
      </c>
      <c r="K44" s="7" t="s">
        <v>536</v>
      </c>
      <c r="O44" s="2" t="s">
        <v>127</v>
      </c>
      <c r="P44" s="2">
        <v>5.0</v>
      </c>
      <c r="Q44" s="2" t="s">
        <v>538</v>
      </c>
      <c r="R44" s="2" t="s">
        <v>538</v>
      </c>
      <c r="U44" s="2" t="s">
        <v>264</v>
      </c>
      <c r="V44" s="2">
        <v>0.0</v>
      </c>
      <c r="W44" s="2">
        <v>66.0</v>
      </c>
      <c r="X44" s="2" t="s">
        <v>539</v>
      </c>
      <c r="Y44" s="2">
        <v>2.13062567E8</v>
      </c>
      <c r="Z44" s="2" t="s">
        <v>540</v>
      </c>
      <c r="AB44" s="2">
        <v>1.762772976E9</v>
      </c>
      <c r="AD44" s="2" t="s">
        <v>24</v>
      </c>
    </row>
    <row r="45">
      <c r="A45" s="2" t="s">
        <v>541</v>
      </c>
      <c r="B45" s="7" t="s">
        <v>34</v>
      </c>
      <c r="C45" s="9">
        <v>45969.79587962963</v>
      </c>
      <c r="D45" s="2" t="s">
        <v>541</v>
      </c>
      <c r="E45" s="2" t="s">
        <v>541</v>
      </c>
      <c r="F45" s="7" t="s">
        <v>542</v>
      </c>
      <c r="G45" s="2" t="s">
        <v>543</v>
      </c>
      <c r="H45" s="2" t="s">
        <v>544</v>
      </c>
      <c r="I45" s="2" t="s">
        <v>545</v>
      </c>
      <c r="J45" s="2" t="b">
        <v>0</v>
      </c>
      <c r="K45" s="7" t="s">
        <v>546</v>
      </c>
      <c r="O45" s="2" t="s">
        <v>127</v>
      </c>
      <c r="P45" s="2">
        <v>3.0</v>
      </c>
      <c r="Q45" s="2" t="s">
        <v>549</v>
      </c>
      <c r="R45" s="2" t="s">
        <v>549</v>
      </c>
      <c r="S45" s="2" t="s">
        <v>550</v>
      </c>
      <c r="U45" s="2" t="s">
        <v>138</v>
      </c>
      <c r="V45" s="2">
        <v>8557.0</v>
      </c>
      <c r="W45" s="2">
        <v>89.0</v>
      </c>
      <c r="AB45" s="2">
        <v>1.762628764E9</v>
      </c>
    </row>
    <row r="46">
      <c r="A46" s="2" t="s">
        <v>551</v>
      </c>
      <c r="B46" s="7" t="s">
        <v>34</v>
      </c>
      <c r="C46" s="9">
        <v>45971.58390046296</v>
      </c>
      <c r="D46" s="2" t="s">
        <v>551</v>
      </c>
      <c r="E46" s="2" t="s">
        <v>551</v>
      </c>
      <c r="F46" s="7" t="s">
        <v>552</v>
      </c>
      <c r="G46" s="2" t="s">
        <v>554</v>
      </c>
      <c r="H46" s="2" t="s">
        <v>555</v>
      </c>
      <c r="I46" s="2" t="s">
        <v>556</v>
      </c>
      <c r="J46" s="2" t="b">
        <v>1</v>
      </c>
      <c r="K46" s="7" t="s">
        <v>557</v>
      </c>
      <c r="O46" s="2" t="s">
        <v>127</v>
      </c>
      <c r="P46" s="2">
        <v>6.0</v>
      </c>
      <c r="Q46" s="2" t="s">
        <v>561</v>
      </c>
      <c r="R46" s="2" t="s">
        <v>561</v>
      </c>
      <c r="S46" s="2" t="s">
        <v>562</v>
      </c>
      <c r="U46" s="2" t="s">
        <v>138</v>
      </c>
      <c r="V46" s="2">
        <v>4624.0</v>
      </c>
      <c r="W46" s="2">
        <v>13.0</v>
      </c>
      <c r="AB46" s="2">
        <v>1.762783249E9</v>
      </c>
    </row>
    <row r="47">
      <c r="A47" s="2" t="s">
        <v>563</v>
      </c>
      <c r="B47" s="7" t="s">
        <v>34</v>
      </c>
      <c r="C47" s="9">
        <v>45971.86767361111</v>
      </c>
      <c r="D47" s="2" t="s">
        <v>563</v>
      </c>
      <c r="E47" s="2" t="s">
        <v>563</v>
      </c>
      <c r="F47" s="7" t="s">
        <v>564</v>
      </c>
      <c r="G47" s="2" t="s">
        <v>567</v>
      </c>
      <c r="H47" s="2" t="s">
        <v>568</v>
      </c>
      <c r="I47" s="2" t="s">
        <v>569</v>
      </c>
      <c r="J47" s="2" t="b">
        <v>1</v>
      </c>
      <c r="K47" s="7" t="s">
        <v>570</v>
      </c>
      <c r="O47" s="2" t="s">
        <v>572</v>
      </c>
      <c r="P47" s="2">
        <v>1.0</v>
      </c>
      <c r="Q47" s="7" t="s">
        <v>573</v>
      </c>
      <c r="R47" s="2" t="s">
        <v>576</v>
      </c>
      <c r="S47" s="2" t="s">
        <v>577</v>
      </c>
      <c r="U47" s="2" t="s">
        <v>138</v>
      </c>
      <c r="V47" s="2">
        <v>27773.0</v>
      </c>
      <c r="W47" s="2">
        <v>49.0</v>
      </c>
      <c r="AB47" s="2">
        <v>1.762807767E9</v>
      </c>
    </row>
    <row r="48">
      <c r="A48" s="2" t="s">
        <v>578</v>
      </c>
      <c r="B48" s="7" t="s">
        <v>34</v>
      </c>
      <c r="C48" s="9">
        <v>45969.70427083333</v>
      </c>
      <c r="D48" s="2" t="s">
        <v>578</v>
      </c>
      <c r="E48" s="2" t="s">
        <v>578</v>
      </c>
      <c r="F48" s="7" t="s">
        <v>579</v>
      </c>
      <c r="G48" s="2" t="s">
        <v>582</v>
      </c>
      <c r="H48" s="2" t="s">
        <v>583</v>
      </c>
      <c r="I48" s="2" t="s">
        <v>584</v>
      </c>
      <c r="J48" s="2" t="b">
        <v>0</v>
      </c>
      <c r="K48" s="7" t="s">
        <v>585</v>
      </c>
      <c r="O48" s="2" t="s">
        <v>127</v>
      </c>
      <c r="P48" s="2">
        <v>3.0</v>
      </c>
      <c r="Q48" s="2" t="s">
        <v>587</v>
      </c>
      <c r="R48" s="2" t="s">
        <v>587</v>
      </c>
      <c r="U48" s="2" t="s">
        <v>138</v>
      </c>
      <c r="V48" s="2">
        <v>2474.0</v>
      </c>
      <c r="W48" s="2">
        <v>0.0</v>
      </c>
      <c r="AB48" s="2">
        <v>1.762620849E9</v>
      </c>
    </row>
    <row r="49">
      <c r="A49" s="2" t="s">
        <v>588</v>
      </c>
      <c r="B49" s="7" t="s">
        <v>34</v>
      </c>
      <c r="C49" s="9">
        <v>45970.72872685185</v>
      </c>
      <c r="D49" s="2" t="s">
        <v>588</v>
      </c>
      <c r="E49" s="2" t="s">
        <v>588</v>
      </c>
      <c r="F49" s="7" t="s">
        <v>590</v>
      </c>
      <c r="G49" s="2" t="s">
        <v>592</v>
      </c>
      <c r="H49" s="2" t="s">
        <v>593</v>
      </c>
      <c r="I49" s="2" t="s">
        <v>594</v>
      </c>
      <c r="J49" s="2" t="b">
        <v>0</v>
      </c>
      <c r="K49" s="7" t="s">
        <v>595</v>
      </c>
      <c r="O49" s="2" t="s">
        <v>127</v>
      </c>
      <c r="P49" s="2">
        <v>2.0</v>
      </c>
      <c r="Q49" s="2" t="s">
        <v>598</v>
      </c>
      <c r="R49" s="2" t="s">
        <v>598</v>
      </c>
      <c r="S49" s="2" t="s">
        <v>599</v>
      </c>
      <c r="U49" s="2" t="s">
        <v>138</v>
      </c>
      <c r="V49" s="2">
        <v>9232.0</v>
      </c>
      <c r="W49" s="2">
        <v>14.0</v>
      </c>
      <c r="AB49" s="2">
        <v>1.762709362E9</v>
      </c>
    </row>
    <row r="50">
      <c r="A50" s="2" t="s">
        <v>600</v>
      </c>
      <c r="B50" s="7" t="s">
        <v>34</v>
      </c>
      <c r="C50" s="9">
        <v>45971.85658564815</v>
      </c>
      <c r="D50" s="2" t="s">
        <v>600</v>
      </c>
      <c r="E50" s="2" t="s">
        <v>600</v>
      </c>
      <c r="F50" s="7" t="s">
        <v>603</v>
      </c>
      <c r="G50" s="2" t="s">
        <v>605</v>
      </c>
      <c r="H50" s="2" t="s">
        <v>606</v>
      </c>
      <c r="I50" s="2" t="s">
        <v>607</v>
      </c>
      <c r="J50" s="2" t="b">
        <v>1</v>
      </c>
      <c r="K50" s="7" t="s">
        <v>608</v>
      </c>
      <c r="O50" s="2" t="s">
        <v>572</v>
      </c>
      <c r="P50" s="2">
        <v>1.0</v>
      </c>
      <c r="Q50" s="7" t="s">
        <v>613</v>
      </c>
      <c r="R50" s="2" t="s">
        <v>617</v>
      </c>
      <c r="S50" s="2" t="s">
        <v>618</v>
      </c>
      <c r="U50" s="2" t="s">
        <v>138</v>
      </c>
      <c r="V50" s="2">
        <v>196925.0</v>
      </c>
      <c r="W50" s="2">
        <v>908.0</v>
      </c>
      <c r="X50" s="2" t="s">
        <v>619</v>
      </c>
      <c r="Y50" s="2">
        <v>1.12047398814697E14</v>
      </c>
      <c r="Z50" s="2" t="s">
        <v>620</v>
      </c>
      <c r="AB50" s="2">
        <v>1.762806809E9</v>
      </c>
    </row>
    <row r="51">
      <c r="A51" s="2" t="s">
        <v>621</v>
      </c>
      <c r="B51" s="7" t="s">
        <v>34</v>
      </c>
      <c r="C51" s="9">
        <v>45971.47096064815</v>
      </c>
      <c r="D51" s="2" t="s">
        <v>621</v>
      </c>
      <c r="E51" s="2" t="s">
        <v>621</v>
      </c>
      <c r="F51" s="7" t="s">
        <v>622</v>
      </c>
      <c r="G51" s="2" t="s">
        <v>623</v>
      </c>
      <c r="H51" s="2" t="s">
        <v>624</v>
      </c>
      <c r="I51" s="2" t="s">
        <v>625</v>
      </c>
      <c r="J51" s="2" t="b">
        <v>1</v>
      </c>
      <c r="K51" s="13" t="s">
        <v>626</v>
      </c>
      <c r="O51" s="2" t="s">
        <v>127</v>
      </c>
      <c r="P51" s="2">
        <v>5.0</v>
      </c>
      <c r="Q51" s="2" t="s">
        <v>632</v>
      </c>
      <c r="R51" s="2" t="s">
        <v>632</v>
      </c>
      <c r="S51" s="2" t="s">
        <v>633</v>
      </c>
      <c r="U51" s="2" t="s">
        <v>138</v>
      </c>
      <c r="V51" s="2">
        <v>3828.0</v>
      </c>
      <c r="W51" s="2">
        <v>356.0</v>
      </c>
      <c r="AB51" s="2">
        <v>1.762773491E9</v>
      </c>
    </row>
    <row r="52">
      <c r="A52" s="2" t="s">
        <v>634</v>
      </c>
      <c r="B52" s="7" t="s">
        <v>34</v>
      </c>
      <c r="C52" s="9">
        <v>45970.084652777776</v>
      </c>
      <c r="D52" s="2" t="s">
        <v>634</v>
      </c>
      <c r="E52" s="2" t="s">
        <v>634</v>
      </c>
      <c r="F52" s="7" t="s">
        <v>635</v>
      </c>
      <c r="G52" s="2" t="s">
        <v>636</v>
      </c>
      <c r="H52" s="2" t="s">
        <v>637</v>
      </c>
      <c r="I52" s="2" t="s">
        <v>638</v>
      </c>
      <c r="J52" s="2" t="b">
        <v>0</v>
      </c>
      <c r="K52" s="7" t="s">
        <v>639</v>
      </c>
      <c r="O52" s="2" t="s">
        <v>127</v>
      </c>
      <c r="P52" s="2">
        <v>2.0</v>
      </c>
      <c r="Q52" s="2" t="s">
        <v>646</v>
      </c>
      <c r="R52" s="2" t="s">
        <v>646</v>
      </c>
      <c r="S52" s="2" t="s">
        <v>647</v>
      </c>
      <c r="U52" s="2" t="s">
        <v>138</v>
      </c>
      <c r="V52" s="2">
        <v>1969.0</v>
      </c>
      <c r="W52" s="2">
        <v>7.0</v>
      </c>
      <c r="AB52" s="2">
        <v>1.762653714E9</v>
      </c>
    </row>
    <row r="53">
      <c r="A53" s="2" t="s">
        <v>648</v>
      </c>
      <c r="B53" s="7" t="s">
        <v>34</v>
      </c>
      <c r="C53" s="9">
        <v>45971.51741898148</v>
      </c>
      <c r="D53" s="2" t="s">
        <v>648</v>
      </c>
      <c r="E53" s="2" t="s">
        <v>648</v>
      </c>
      <c r="F53" s="7" t="s">
        <v>649</v>
      </c>
      <c r="G53" s="2" t="s">
        <v>650</v>
      </c>
      <c r="H53" s="2" t="s">
        <v>651</v>
      </c>
      <c r="I53" s="2" t="s">
        <v>652</v>
      </c>
      <c r="J53" s="2" t="b">
        <v>1</v>
      </c>
      <c r="K53" s="7" t="s">
        <v>653</v>
      </c>
      <c r="O53" s="2" t="s">
        <v>127</v>
      </c>
      <c r="P53" s="2">
        <v>20.0</v>
      </c>
      <c r="Q53" s="2" t="s">
        <v>660</v>
      </c>
      <c r="R53" s="2" t="s">
        <v>660</v>
      </c>
      <c r="U53" s="2" t="s">
        <v>264</v>
      </c>
      <c r="V53" s="2">
        <v>0.0</v>
      </c>
      <c r="W53" s="2">
        <v>970.0</v>
      </c>
      <c r="X53" s="2" t="s">
        <v>619</v>
      </c>
      <c r="Y53" s="2">
        <v>1.12047398814697E14</v>
      </c>
      <c r="Z53" s="2" t="s">
        <v>620</v>
      </c>
      <c r="AB53" s="2">
        <v>1.762777505E9</v>
      </c>
      <c r="AD53" s="2" t="s">
        <v>24</v>
      </c>
    </row>
  </sheetData>
  <hyperlinks>
    <hyperlink r:id="rId1" ref="B2"/>
    <hyperlink r:id="rId2" ref="F2"/>
    <hyperlink r:id="rId3" ref="K2"/>
    <hyperlink r:id="rId4" ref="B3"/>
    <hyperlink r:id="rId5" ref="F3"/>
    <hyperlink r:id="rId6" ref="K3"/>
    <hyperlink r:id="rId7" ref="B4"/>
    <hyperlink r:id="rId8" ref="F4"/>
    <hyperlink r:id="rId9" ref="K4"/>
    <hyperlink r:id="rId10" ref="B5"/>
    <hyperlink r:id="rId11" ref="F5"/>
    <hyperlink r:id="rId12" ref="K5"/>
    <hyperlink r:id="rId13" ref="B6"/>
    <hyperlink r:id="rId14" ref="F6"/>
    <hyperlink r:id="rId15" ref="K6"/>
    <hyperlink r:id="rId16" ref="B7"/>
    <hyperlink r:id="rId17" ref="F7"/>
    <hyperlink r:id="rId18" ref="K7"/>
    <hyperlink r:id="rId19" ref="Q7"/>
    <hyperlink r:id="rId20" ref="R7"/>
    <hyperlink r:id="rId21" ref="B8"/>
    <hyperlink r:id="rId22" ref="F8"/>
    <hyperlink r:id="rId23" ref="K8"/>
    <hyperlink r:id="rId24" ref="Q8"/>
    <hyperlink r:id="rId25" ref="R8"/>
    <hyperlink r:id="rId26" ref="B9"/>
    <hyperlink r:id="rId27" ref="F9"/>
    <hyperlink r:id="rId28" ref="K9"/>
    <hyperlink r:id="rId29" ref="B10"/>
    <hyperlink r:id="rId30" ref="F10"/>
    <hyperlink r:id="rId31" ref="K10"/>
    <hyperlink r:id="rId32" ref="B11"/>
    <hyperlink r:id="rId33" ref="F11"/>
    <hyperlink r:id="rId34" ref="K11"/>
    <hyperlink r:id="rId35" ref="Q11"/>
    <hyperlink r:id="rId36" ref="R11"/>
    <hyperlink r:id="rId37" ref="B12"/>
    <hyperlink r:id="rId38" ref="F12"/>
    <hyperlink r:id="rId39" ref="K12"/>
    <hyperlink r:id="rId40" ref="B13"/>
    <hyperlink r:id="rId41" ref="F13"/>
    <hyperlink r:id="rId42" ref="K13"/>
    <hyperlink r:id="rId43" ref="Q13"/>
    <hyperlink r:id="rId44" ref="R13"/>
    <hyperlink r:id="rId45" ref="B14"/>
    <hyperlink r:id="rId46" ref="F14"/>
    <hyperlink r:id="rId47" ref="K14"/>
    <hyperlink r:id="rId48" ref="B15"/>
    <hyperlink r:id="rId49" ref="F15"/>
    <hyperlink r:id="rId50" ref="K15"/>
    <hyperlink r:id="rId51" ref="B16"/>
    <hyperlink r:id="rId52" ref="F16"/>
    <hyperlink r:id="rId53" ref="K16"/>
    <hyperlink r:id="rId54" ref="B17"/>
    <hyperlink r:id="rId55" ref="F17"/>
    <hyperlink r:id="rId56" ref="K17"/>
    <hyperlink r:id="rId57" ref="B18"/>
    <hyperlink r:id="rId58" ref="F18"/>
    <hyperlink r:id="rId59" ref="K18"/>
    <hyperlink r:id="rId60" ref="Q18"/>
    <hyperlink r:id="rId61" ref="R18"/>
    <hyperlink r:id="rId62" ref="B19"/>
    <hyperlink r:id="rId63" ref="F19"/>
    <hyperlink r:id="rId64" ref="K19"/>
    <hyperlink r:id="rId65" ref="B20"/>
    <hyperlink r:id="rId66" ref="F20"/>
    <hyperlink r:id="rId67" ref="K20"/>
    <hyperlink r:id="rId68" ref="Q20"/>
    <hyperlink r:id="rId69" ref="R20"/>
    <hyperlink r:id="rId70" ref="B21"/>
    <hyperlink r:id="rId71" ref="F21"/>
    <hyperlink r:id="rId72" ref="K21"/>
    <hyperlink r:id="rId73" ref="Q21"/>
    <hyperlink r:id="rId74" ref="R21"/>
    <hyperlink r:id="rId75" ref="B22"/>
    <hyperlink r:id="rId76" ref="F22"/>
    <hyperlink r:id="rId77" ref="K22"/>
    <hyperlink r:id="rId78" ref="B23"/>
    <hyperlink r:id="rId79" ref="F23"/>
    <hyperlink r:id="rId80" ref="K23"/>
    <hyperlink r:id="rId81" ref="Q23"/>
    <hyperlink r:id="rId82" ref="R23"/>
    <hyperlink r:id="rId83" ref="B24"/>
    <hyperlink r:id="rId84" ref="F24"/>
    <hyperlink r:id="rId85" ref="K24"/>
    <hyperlink r:id="rId86" ref="B25"/>
    <hyperlink r:id="rId87" ref="F25"/>
    <hyperlink r:id="rId88" ref="K25"/>
    <hyperlink r:id="rId89" ref="B26"/>
    <hyperlink r:id="rId90" ref="F26"/>
    <hyperlink r:id="rId91" ref="K26"/>
    <hyperlink r:id="rId92" ref="Q26"/>
    <hyperlink r:id="rId93" ref="R26"/>
    <hyperlink r:id="rId94" ref="B27"/>
    <hyperlink r:id="rId95" ref="F27"/>
    <hyperlink r:id="rId96" ref="K27"/>
    <hyperlink r:id="rId97" ref="Q27"/>
    <hyperlink r:id="rId98" ref="R27"/>
    <hyperlink r:id="rId99" ref="B28"/>
    <hyperlink r:id="rId100" ref="F28"/>
    <hyperlink r:id="rId101" ref="K28"/>
    <hyperlink r:id="rId102" ref="Q28"/>
    <hyperlink r:id="rId103" ref="R28"/>
    <hyperlink r:id="rId104" ref="B29"/>
    <hyperlink r:id="rId105" ref="F29"/>
    <hyperlink r:id="rId106" ref="K29"/>
    <hyperlink r:id="rId107" ref="B30"/>
    <hyperlink r:id="rId108" ref="F30"/>
    <hyperlink r:id="rId109" ref="K30"/>
    <hyperlink r:id="rId110" ref="Q30"/>
    <hyperlink r:id="rId111" ref="R30"/>
    <hyperlink r:id="rId112" ref="B31"/>
    <hyperlink r:id="rId113" ref="F31"/>
    <hyperlink r:id="rId114" ref="K31"/>
    <hyperlink r:id="rId115" ref="B32"/>
    <hyperlink r:id="rId116" ref="F32"/>
    <hyperlink r:id="rId117" ref="K32"/>
    <hyperlink r:id="rId118" ref="B33"/>
    <hyperlink r:id="rId119" ref="F33"/>
    <hyperlink r:id="rId120" ref="K33"/>
    <hyperlink r:id="rId121" ref="B34"/>
    <hyperlink r:id="rId122" ref="F34"/>
    <hyperlink r:id="rId123" ref="K34"/>
    <hyperlink r:id="rId124" ref="B35"/>
    <hyperlink r:id="rId125" ref="F35"/>
    <hyperlink r:id="rId126" ref="K35"/>
    <hyperlink r:id="rId127" ref="B36"/>
    <hyperlink r:id="rId128" ref="F36"/>
    <hyperlink r:id="rId129" ref="K36"/>
    <hyperlink r:id="rId130" ref="B37"/>
    <hyperlink r:id="rId131" ref="F37"/>
    <hyperlink r:id="rId132" ref="K37"/>
    <hyperlink r:id="rId133" ref="B38"/>
    <hyperlink r:id="rId134" ref="F38"/>
    <hyperlink r:id="rId135" ref="K38"/>
    <hyperlink r:id="rId136" ref="Q38"/>
    <hyperlink r:id="rId137" ref="R38"/>
    <hyperlink r:id="rId138" ref="B39"/>
    <hyperlink r:id="rId139" ref="F39"/>
    <hyperlink r:id="rId140" ref="K39"/>
    <hyperlink r:id="rId141" ref="B40"/>
    <hyperlink r:id="rId142" ref="F40"/>
    <hyperlink r:id="rId143" ref="K40"/>
    <hyperlink r:id="rId144" ref="Q40"/>
    <hyperlink r:id="rId145" ref="R40"/>
    <hyperlink r:id="rId146" ref="B41"/>
    <hyperlink r:id="rId147" ref="F41"/>
    <hyperlink r:id="rId148" ref="K41"/>
    <hyperlink r:id="rId149" ref="B42"/>
    <hyperlink r:id="rId150" ref="F42"/>
    <hyperlink r:id="rId151" ref="K42"/>
    <hyperlink r:id="rId152" ref="B43"/>
    <hyperlink r:id="rId153" ref="F43"/>
    <hyperlink r:id="rId154" ref="K43"/>
    <hyperlink r:id="rId155" ref="B44"/>
    <hyperlink r:id="rId156" ref="F44"/>
    <hyperlink r:id="rId157" ref="K44"/>
    <hyperlink r:id="rId158" ref="B45"/>
    <hyperlink r:id="rId159" ref="F45"/>
    <hyperlink r:id="rId160" ref="K45"/>
    <hyperlink r:id="rId161" ref="B46"/>
    <hyperlink r:id="rId162" ref="F46"/>
    <hyperlink r:id="rId163" ref="K46"/>
    <hyperlink r:id="rId164" ref="B47"/>
    <hyperlink r:id="rId165" ref="F47"/>
    <hyperlink r:id="rId166" ref="K47"/>
    <hyperlink r:id="rId167" ref="Q47"/>
    <hyperlink r:id="rId168" ref="B48"/>
    <hyperlink r:id="rId169" ref="F48"/>
    <hyperlink r:id="rId170" ref="K48"/>
    <hyperlink r:id="rId171" ref="B49"/>
    <hyperlink r:id="rId172" ref="F49"/>
    <hyperlink r:id="rId173" ref="K49"/>
    <hyperlink r:id="rId174" ref="B50"/>
    <hyperlink r:id="rId175" ref="F50"/>
    <hyperlink r:id="rId176" ref="K50"/>
    <hyperlink r:id="rId177" ref="Q50"/>
    <hyperlink r:id="rId178" ref="B51"/>
    <hyperlink r:id="rId179" ref="F51"/>
    <hyperlink r:id="rId180" ref="K51"/>
    <hyperlink r:id="rId181" ref="B52"/>
    <hyperlink r:id="rId182" ref="F52"/>
    <hyperlink r:id="rId183" ref="K52"/>
    <hyperlink r:id="rId184" ref="B53"/>
    <hyperlink r:id="rId185" ref="F53"/>
    <hyperlink r:id="rId186" ref="K53"/>
  </hyperlinks>
  <drawing r:id="rId18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E1" s="1" t="s">
        <v>5</v>
      </c>
      <c r="F1" s="1" t="s">
        <v>6</v>
      </c>
      <c r="G1" s="1" t="s">
        <v>7</v>
      </c>
      <c r="H1" s="1" t="s">
        <v>8</v>
      </c>
      <c r="I1" s="1" t="s">
        <v>9</v>
      </c>
      <c r="J1" s="1" t="s">
        <v>10</v>
      </c>
      <c r="K1" s="1" t="s">
        <v>11</v>
      </c>
      <c r="L1" s="1" t="s">
        <v>12</v>
      </c>
      <c r="M1" s="1" t="s">
        <v>13</v>
      </c>
      <c r="N1" s="1" t="s">
        <v>15</v>
      </c>
      <c r="O1" s="1" t="s">
        <v>16</v>
      </c>
      <c r="P1" s="1" t="s">
        <v>17</v>
      </c>
      <c r="Q1" s="1" t="s">
        <v>19</v>
      </c>
      <c r="R1" s="1" t="s">
        <v>20</v>
      </c>
      <c r="S1" s="1" t="s">
        <v>21</v>
      </c>
      <c r="T1" s="1" t="s">
        <v>22</v>
      </c>
      <c r="U1" s="1" t="s">
        <v>23</v>
      </c>
      <c r="V1" s="1" t="s">
        <v>24</v>
      </c>
      <c r="W1" s="1" t="s">
        <v>25</v>
      </c>
      <c r="X1" s="1" t="s">
        <v>26</v>
      </c>
      <c r="Y1" s="1" t="s">
        <v>27</v>
      </c>
      <c r="Z1" s="1" t="s">
        <v>28</v>
      </c>
      <c r="AA1" s="1" t="s">
        <v>29</v>
      </c>
      <c r="AB1" s="1" t="s">
        <v>30</v>
      </c>
      <c r="AC1" s="1" t="s">
        <v>31</v>
      </c>
      <c r="AD1" s="1" t="s">
        <v>32</v>
      </c>
    </row>
    <row r="2">
      <c r="A2" s="1" t="s">
        <v>33</v>
      </c>
      <c r="B2" s="8" t="s">
        <v>34</v>
      </c>
      <c r="C2" s="10">
        <v>45901.40552083333</v>
      </c>
      <c r="D2" s="1" t="s">
        <v>33</v>
      </c>
      <c r="E2" s="1" t="s">
        <v>33</v>
      </c>
      <c r="F2" s="8" t="s">
        <v>70</v>
      </c>
      <c r="G2" s="1" t="s">
        <v>61</v>
      </c>
      <c r="H2" s="1" t="s">
        <v>62</v>
      </c>
      <c r="I2" s="1" t="s">
        <v>63</v>
      </c>
      <c r="J2" s="11" t="b">
        <v>1</v>
      </c>
      <c r="K2" s="8" t="s">
        <v>94</v>
      </c>
      <c r="L2" s="1"/>
      <c r="M2" s="1"/>
      <c r="N2" s="1"/>
      <c r="O2" s="1" t="s">
        <v>127</v>
      </c>
      <c r="P2" s="12">
        <v>9.0</v>
      </c>
      <c r="Q2" s="1" t="s">
        <v>141</v>
      </c>
      <c r="R2" s="1" t="s">
        <v>141</v>
      </c>
      <c r="S2" s="1" t="s">
        <v>64</v>
      </c>
      <c r="T2" s="1"/>
      <c r="U2" s="1" t="s">
        <v>138</v>
      </c>
      <c r="V2" s="12">
        <v>14297.0</v>
      </c>
      <c r="W2" s="12">
        <v>3218.0</v>
      </c>
      <c r="X2" s="1"/>
      <c r="Y2" s="1"/>
      <c r="Z2" s="1"/>
      <c r="AA2" s="1"/>
      <c r="AB2" s="12">
        <v>1.756719837E9</v>
      </c>
      <c r="AC2" s="1"/>
      <c r="AD2" s="1"/>
    </row>
    <row r="3">
      <c r="A3" s="1" t="s">
        <v>146</v>
      </c>
      <c r="B3" s="8" t="s">
        <v>34</v>
      </c>
      <c r="C3" s="10">
        <v>45976.635416666664</v>
      </c>
      <c r="D3" s="1" t="s">
        <v>146</v>
      </c>
      <c r="E3" s="1" t="s">
        <v>146</v>
      </c>
      <c r="F3" s="8" t="s">
        <v>147</v>
      </c>
      <c r="G3" s="1" t="s">
        <v>148</v>
      </c>
      <c r="H3" s="1" t="s">
        <v>143</v>
      </c>
      <c r="I3" s="1" t="s">
        <v>144</v>
      </c>
      <c r="J3" s="11" t="b">
        <v>0</v>
      </c>
      <c r="K3" s="8" t="s">
        <v>149</v>
      </c>
      <c r="L3" s="1"/>
      <c r="M3" s="1"/>
      <c r="N3" s="1"/>
      <c r="O3" s="1" t="s">
        <v>127</v>
      </c>
      <c r="P3" s="12">
        <v>10.0</v>
      </c>
      <c r="Q3" s="1" t="s">
        <v>154</v>
      </c>
      <c r="R3" s="1" t="s">
        <v>154</v>
      </c>
      <c r="S3" s="1" t="s">
        <v>159</v>
      </c>
      <c r="T3" s="1"/>
      <c r="U3" s="1" t="s">
        <v>138</v>
      </c>
      <c r="V3" s="12">
        <v>726.0</v>
      </c>
      <c r="W3" s="12">
        <v>3.0</v>
      </c>
      <c r="X3" s="1"/>
      <c r="Y3" s="1"/>
      <c r="Z3" s="1"/>
      <c r="AA3" s="1"/>
      <c r="AB3" s="12">
        <v>1.7632197E9</v>
      </c>
      <c r="AC3" s="1"/>
      <c r="AD3" s="1"/>
    </row>
    <row r="4">
      <c r="A4" s="1" t="s">
        <v>160</v>
      </c>
      <c r="B4" s="8" t="s">
        <v>34</v>
      </c>
      <c r="C4" s="10">
        <v>45960.850798611114</v>
      </c>
      <c r="D4" s="1" t="s">
        <v>160</v>
      </c>
      <c r="E4" s="1" t="s">
        <v>160</v>
      </c>
      <c r="F4" s="8" t="s">
        <v>161</v>
      </c>
      <c r="G4" s="1" t="s">
        <v>162</v>
      </c>
      <c r="H4" s="1" t="s">
        <v>163</v>
      </c>
      <c r="I4" s="1" t="s">
        <v>164</v>
      </c>
      <c r="J4" s="11" t="b">
        <v>0</v>
      </c>
      <c r="K4" s="8" t="s">
        <v>165</v>
      </c>
      <c r="L4" s="1"/>
      <c r="M4" s="1"/>
      <c r="N4" s="1"/>
      <c r="O4" s="1" t="s">
        <v>127</v>
      </c>
      <c r="P4" s="12">
        <v>9.0</v>
      </c>
      <c r="Q4" s="1" t="s">
        <v>178</v>
      </c>
      <c r="R4" s="1" t="s">
        <v>178</v>
      </c>
      <c r="S4" s="1" t="s">
        <v>179</v>
      </c>
      <c r="T4" s="1"/>
      <c r="U4" s="1" t="s">
        <v>138</v>
      </c>
      <c r="V4" s="12">
        <v>9839.0</v>
      </c>
      <c r="W4" s="12">
        <v>118.0</v>
      </c>
      <c r="X4" s="1"/>
      <c r="Y4" s="1"/>
      <c r="Z4" s="1"/>
      <c r="AA4" s="1"/>
      <c r="AB4" s="12">
        <v>1.761855909E9</v>
      </c>
      <c r="AC4" s="1"/>
      <c r="AD4" s="1"/>
    </row>
    <row r="5">
      <c r="A5" s="1" t="s">
        <v>180</v>
      </c>
      <c r="B5" s="8" t="s">
        <v>34</v>
      </c>
      <c r="C5" s="10">
        <v>45974.833333333336</v>
      </c>
      <c r="D5" s="1" t="s">
        <v>180</v>
      </c>
      <c r="E5" s="1" t="s">
        <v>180</v>
      </c>
      <c r="F5" s="8" t="s">
        <v>182</v>
      </c>
      <c r="G5" s="1" t="s">
        <v>185</v>
      </c>
      <c r="H5" s="1" t="s">
        <v>171</v>
      </c>
      <c r="I5" s="1" t="s">
        <v>172</v>
      </c>
      <c r="J5" s="11" t="b">
        <v>1</v>
      </c>
      <c r="K5" s="8" t="s">
        <v>186</v>
      </c>
      <c r="L5" s="1"/>
      <c r="M5" s="1"/>
      <c r="N5" s="1"/>
      <c r="O5" s="1" t="s">
        <v>127</v>
      </c>
      <c r="P5" s="12">
        <v>10.0</v>
      </c>
      <c r="Q5" s="1" t="s">
        <v>191</v>
      </c>
      <c r="R5" s="1" t="s">
        <v>191</v>
      </c>
      <c r="S5" s="1" t="s">
        <v>193</v>
      </c>
      <c r="T5" s="1"/>
      <c r="U5" s="1" t="s">
        <v>138</v>
      </c>
      <c r="V5" s="12">
        <v>1916.0</v>
      </c>
      <c r="W5" s="12">
        <v>69.0</v>
      </c>
      <c r="X5" s="1"/>
      <c r="Y5" s="1"/>
      <c r="Z5" s="1"/>
      <c r="AA5" s="1"/>
      <c r="AB5" s="12">
        <v>1.763064E9</v>
      </c>
      <c r="AC5" s="1"/>
      <c r="AD5" s="1"/>
    </row>
    <row r="6">
      <c r="A6" s="1" t="s">
        <v>194</v>
      </c>
      <c r="B6" s="8" t="s">
        <v>34</v>
      </c>
      <c r="C6" s="10">
        <v>45979.872708333336</v>
      </c>
      <c r="D6" s="1" t="s">
        <v>194</v>
      </c>
      <c r="E6" s="1" t="s">
        <v>194</v>
      </c>
      <c r="F6" s="8" t="s">
        <v>199</v>
      </c>
      <c r="G6" s="1" t="s">
        <v>200</v>
      </c>
      <c r="H6" s="1" t="s">
        <v>108</v>
      </c>
      <c r="I6" s="1" t="s">
        <v>109</v>
      </c>
      <c r="J6" s="11" t="b">
        <v>1</v>
      </c>
      <c r="K6" s="8" t="s">
        <v>201</v>
      </c>
      <c r="L6" s="1"/>
      <c r="M6" s="1"/>
      <c r="N6" s="1"/>
      <c r="O6" s="1" t="s">
        <v>127</v>
      </c>
      <c r="P6" s="12">
        <v>7.0</v>
      </c>
      <c r="Q6" s="1" t="s">
        <v>203</v>
      </c>
      <c r="R6" s="1" t="s">
        <v>203</v>
      </c>
      <c r="S6" s="1"/>
      <c r="T6" s="1"/>
      <c r="U6" s="1" t="s">
        <v>138</v>
      </c>
      <c r="V6" s="12">
        <v>2642.0</v>
      </c>
      <c r="W6" s="12">
        <v>25.0</v>
      </c>
      <c r="X6" s="1"/>
      <c r="Y6" s="1"/>
      <c r="Z6" s="1"/>
      <c r="AA6" s="1"/>
      <c r="AB6" s="12">
        <v>1.763499402E9</v>
      </c>
      <c r="AC6" s="1"/>
      <c r="AD6" s="1"/>
    </row>
    <row r="7">
      <c r="A7" s="1" t="s">
        <v>65</v>
      </c>
      <c r="B7" s="8" t="s">
        <v>34</v>
      </c>
      <c r="C7" s="10">
        <v>45908.979317129626</v>
      </c>
      <c r="D7" s="1" t="s">
        <v>65</v>
      </c>
      <c r="E7" s="1" t="s">
        <v>65</v>
      </c>
      <c r="F7" s="8" t="s">
        <v>205</v>
      </c>
      <c r="G7" s="1" t="s">
        <v>66</v>
      </c>
      <c r="H7" s="1" t="s">
        <v>67</v>
      </c>
      <c r="I7" s="1" t="s">
        <v>68</v>
      </c>
      <c r="J7" s="11" t="b">
        <v>1</v>
      </c>
      <c r="K7" s="8" t="s">
        <v>207</v>
      </c>
      <c r="L7" s="1"/>
      <c r="M7" s="1"/>
      <c r="N7" s="1"/>
      <c r="O7" s="1" t="s">
        <v>127</v>
      </c>
      <c r="P7" s="12">
        <v>2.0</v>
      </c>
      <c r="Q7" s="1" t="s">
        <v>211</v>
      </c>
      <c r="R7" s="1" t="s">
        <v>211</v>
      </c>
      <c r="S7" s="1" t="s">
        <v>69</v>
      </c>
      <c r="T7" s="1"/>
      <c r="U7" s="1" t="s">
        <v>138</v>
      </c>
      <c r="V7" s="12">
        <v>5410.0</v>
      </c>
      <c r="W7" s="12">
        <v>52.0</v>
      </c>
      <c r="X7" s="1"/>
      <c r="Y7" s="1"/>
      <c r="Z7" s="1"/>
      <c r="AA7" s="1"/>
      <c r="AB7" s="12">
        <v>1.757374213E9</v>
      </c>
      <c r="AC7" s="1"/>
      <c r="AD7" s="1"/>
    </row>
    <row r="8">
      <c r="A8" s="1" t="s">
        <v>71</v>
      </c>
      <c r="B8" s="8" t="s">
        <v>34</v>
      </c>
      <c r="C8" s="10">
        <v>45972.97925925926</v>
      </c>
      <c r="D8" s="1" t="s">
        <v>71</v>
      </c>
      <c r="E8" s="1" t="s">
        <v>71</v>
      </c>
      <c r="F8" s="8" t="s">
        <v>212</v>
      </c>
      <c r="G8" s="1" t="s">
        <v>72</v>
      </c>
      <c r="H8" s="1" t="s">
        <v>58</v>
      </c>
      <c r="I8" s="1" t="s">
        <v>59</v>
      </c>
      <c r="J8" s="11" t="b">
        <v>1</v>
      </c>
      <c r="K8" s="8" t="s">
        <v>216</v>
      </c>
      <c r="L8" s="1"/>
      <c r="M8" s="1"/>
      <c r="N8" s="1"/>
      <c r="O8" s="1" t="s">
        <v>127</v>
      </c>
      <c r="P8" s="12">
        <v>1.0</v>
      </c>
      <c r="Q8" s="8" t="s">
        <v>224</v>
      </c>
      <c r="R8" s="8" t="s">
        <v>224</v>
      </c>
      <c r="S8" s="1" t="s">
        <v>73</v>
      </c>
      <c r="T8" s="1"/>
      <c r="U8" s="1" t="s">
        <v>138</v>
      </c>
      <c r="V8" s="12">
        <v>1540.0</v>
      </c>
      <c r="W8" s="12">
        <v>13.0</v>
      </c>
      <c r="X8" s="1" t="s">
        <v>228</v>
      </c>
      <c r="Y8" s="12">
        <v>2.17086525E8</v>
      </c>
      <c r="Z8" s="1" t="s">
        <v>229</v>
      </c>
      <c r="AA8" s="1"/>
      <c r="AB8" s="12">
        <v>1.762903808E9</v>
      </c>
      <c r="AC8" s="1"/>
      <c r="AD8" s="1"/>
    </row>
    <row r="9">
      <c r="A9" s="1" t="s">
        <v>232</v>
      </c>
      <c r="B9" s="8" t="s">
        <v>34</v>
      </c>
      <c r="C9" s="10">
        <v>45979.93809027778</v>
      </c>
      <c r="D9" s="1" t="s">
        <v>232</v>
      </c>
      <c r="E9" s="1" t="s">
        <v>232</v>
      </c>
      <c r="F9" s="8" t="s">
        <v>233</v>
      </c>
      <c r="G9" s="1" t="s">
        <v>236</v>
      </c>
      <c r="H9" s="1" t="s">
        <v>237</v>
      </c>
      <c r="I9" s="1" t="s">
        <v>238</v>
      </c>
      <c r="J9" s="11" t="b">
        <v>1</v>
      </c>
      <c r="K9" s="8" t="s">
        <v>239</v>
      </c>
      <c r="L9" s="1"/>
      <c r="M9" s="1"/>
      <c r="N9" s="1"/>
      <c r="O9" s="1" t="s">
        <v>127</v>
      </c>
      <c r="P9" s="12">
        <v>7.0</v>
      </c>
      <c r="Q9" s="1" t="s">
        <v>241</v>
      </c>
      <c r="R9" s="1" t="s">
        <v>241</v>
      </c>
      <c r="S9" s="1" t="s">
        <v>242</v>
      </c>
      <c r="T9" s="1"/>
      <c r="U9" s="1" t="s">
        <v>138</v>
      </c>
      <c r="V9" s="12">
        <v>1705.0</v>
      </c>
      <c r="W9" s="12">
        <v>68.0</v>
      </c>
      <c r="X9" s="1" t="s">
        <v>244</v>
      </c>
      <c r="Y9" s="12">
        <v>2.13108496E8</v>
      </c>
      <c r="Z9" s="1" t="s">
        <v>245</v>
      </c>
      <c r="AA9" s="1"/>
      <c r="AB9" s="12">
        <v>1.763505051E9</v>
      </c>
      <c r="AC9" s="1"/>
      <c r="AD9" s="1"/>
    </row>
    <row r="10">
      <c r="A10" s="1" t="s">
        <v>36</v>
      </c>
      <c r="B10" s="8" t="s">
        <v>34</v>
      </c>
      <c r="C10" s="10">
        <v>45943.542766203704</v>
      </c>
      <c r="D10" s="1" t="s">
        <v>36</v>
      </c>
      <c r="E10" s="1" t="s">
        <v>36</v>
      </c>
      <c r="F10" s="8" t="s">
        <v>246</v>
      </c>
      <c r="G10" s="1" t="s">
        <v>37</v>
      </c>
      <c r="H10" s="1" t="s">
        <v>38</v>
      </c>
      <c r="I10" s="1" t="s">
        <v>39</v>
      </c>
      <c r="J10" s="11" t="b">
        <v>1</v>
      </c>
      <c r="K10" s="8" t="s">
        <v>247</v>
      </c>
      <c r="L10" s="1"/>
      <c r="M10" s="1"/>
      <c r="N10" s="1"/>
      <c r="O10" s="1" t="s">
        <v>127</v>
      </c>
      <c r="P10" s="12">
        <v>7.0</v>
      </c>
      <c r="Q10" s="1" t="s">
        <v>249</v>
      </c>
      <c r="R10" s="1" t="s">
        <v>249</v>
      </c>
      <c r="S10" s="1" t="s">
        <v>40</v>
      </c>
      <c r="T10" s="1"/>
      <c r="U10" s="1" t="s">
        <v>138</v>
      </c>
      <c r="V10" s="12">
        <v>3725.0</v>
      </c>
      <c r="W10" s="12">
        <v>24.0</v>
      </c>
      <c r="X10" s="1"/>
      <c r="Y10" s="1"/>
      <c r="Z10" s="1"/>
      <c r="AA10" s="1"/>
      <c r="AB10" s="12">
        <v>1.760360495E9</v>
      </c>
      <c r="AC10" s="1"/>
      <c r="AD10" s="1"/>
    </row>
    <row r="11">
      <c r="A11" s="1" t="s">
        <v>250</v>
      </c>
      <c r="B11" s="8" t="s">
        <v>34</v>
      </c>
      <c r="C11" s="10">
        <v>45941.614583333336</v>
      </c>
      <c r="D11" s="1" t="s">
        <v>250</v>
      </c>
      <c r="E11" s="1" t="s">
        <v>250</v>
      </c>
      <c r="F11" s="8" t="s">
        <v>251</v>
      </c>
      <c r="G11" s="1" t="s">
        <v>253</v>
      </c>
      <c r="H11" s="1" t="s">
        <v>254</v>
      </c>
      <c r="I11" s="1" t="s">
        <v>255</v>
      </c>
      <c r="J11" s="11" t="b">
        <v>0</v>
      </c>
      <c r="K11" s="8" t="s">
        <v>256</v>
      </c>
      <c r="L11" s="1"/>
      <c r="M11" s="1"/>
      <c r="N11" s="1"/>
      <c r="O11" s="1" t="s">
        <v>127</v>
      </c>
      <c r="P11" s="12">
        <v>5.0</v>
      </c>
      <c r="Q11" s="1" t="s">
        <v>259</v>
      </c>
      <c r="R11" s="1" t="s">
        <v>259</v>
      </c>
      <c r="S11" s="1" t="s">
        <v>263</v>
      </c>
      <c r="T11" s="1"/>
      <c r="U11" s="1" t="s">
        <v>264</v>
      </c>
      <c r="V11" s="12">
        <v>0.0</v>
      </c>
      <c r="W11" s="12">
        <v>1.0</v>
      </c>
      <c r="X11" s="1" t="s">
        <v>260</v>
      </c>
      <c r="Y11" s="1" t="s">
        <v>261</v>
      </c>
      <c r="Z11" s="1" t="s">
        <v>262</v>
      </c>
      <c r="AA11" s="1"/>
      <c r="AB11" s="12">
        <v>1.7601939E9</v>
      </c>
      <c r="AC11" s="1"/>
      <c r="AD11" s="1" t="s">
        <v>24</v>
      </c>
    </row>
    <row r="12">
      <c r="A12" s="1" t="s">
        <v>126</v>
      </c>
      <c r="B12" s="8" t="s">
        <v>34</v>
      </c>
      <c r="C12" s="10">
        <v>45944.48496527778</v>
      </c>
      <c r="D12" s="1" t="s">
        <v>126</v>
      </c>
      <c r="E12" s="1" t="s">
        <v>126</v>
      </c>
      <c r="F12" s="8" t="s">
        <v>252</v>
      </c>
      <c r="G12" s="1" t="s">
        <v>128</v>
      </c>
      <c r="H12" s="1" t="s">
        <v>129</v>
      </c>
      <c r="I12" s="1" t="s">
        <v>130</v>
      </c>
      <c r="J12" s="11" t="b">
        <v>1</v>
      </c>
      <c r="K12" s="8" t="s">
        <v>266</v>
      </c>
      <c r="L12" s="1"/>
      <c r="M12" s="1"/>
      <c r="N12" s="1"/>
      <c r="O12" s="1" t="s">
        <v>127</v>
      </c>
      <c r="P12" s="12">
        <v>8.0</v>
      </c>
      <c r="Q12" s="1" t="s">
        <v>270</v>
      </c>
      <c r="R12" s="1" t="s">
        <v>270</v>
      </c>
      <c r="S12" s="1" t="s">
        <v>131</v>
      </c>
      <c r="T12" s="1"/>
      <c r="U12" s="1" t="s">
        <v>138</v>
      </c>
      <c r="V12" s="12">
        <v>1547.0</v>
      </c>
      <c r="W12" s="12">
        <v>28.0</v>
      </c>
      <c r="X12" s="1" t="s">
        <v>260</v>
      </c>
      <c r="Y12" s="1" t="s">
        <v>261</v>
      </c>
      <c r="Z12" s="1" t="s">
        <v>262</v>
      </c>
      <c r="AA12" s="1"/>
      <c r="AB12" s="12">
        <v>1.760441901E9</v>
      </c>
      <c r="AC12" s="1"/>
      <c r="AD12" s="1"/>
    </row>
    <row r="13">
      <c r="A13" s="1" t="s">
        <v>271</v>
      </c>
      <c r="B13" s="8" t="s">
        <v>34</v>
      </c>
      <c r="C13" s="10">
        <v>45913.928194444445</v>
      </c>
      <c r="D13" s="1" t="s">
        <v>271</v>
      </c>
      <c r="E13" s="1" t="s">
        <v>271</v>
      </c>
      <c r="F13" s="8" t="s">
        <v>272</v>
      </c>
      <c r="G13" s="1" t="s">
        <v>276</v>
      </c>
      <c r="H13" s="1" t="s">
        <v>227</v>
      </c>
      <c r="I13" s="1" t="s">
        <v>277</v>
      </c>
      <c r="J13" s="11" t="b">
        <v>1</v>
      </c>
      <c r="K13" s="8" t="s">
        <v>281</v>
      </c>
      <c r="L13" s="1" t="s">
        <v>103</v>
      </c>
      <c r="M13" s="1" t="s">
        <v>104</v>
      </c>
      <c r="N13" s="12">
        <v>1.528248011E9</v>
      </c>
      <c r="O13" s="1" t="s">
        <v>127</v>
      </c>
      <c r="P13" s="12">
        <v>1.0</v>
      </c>
      <c r="Q13" s="8" t="s">
        <v>287</v>
      </c>
      <c r="R13" s="8" t="s">
        <v>287</v>
      </c>
      <c r="S13" s="1" t="s">
        <v>290</v>
      </c>
      <c r="T13" s="1" t="s">
        <v>291</v>
      </c>
      <c r="U13" s="1" t="s">
        <v>138</v>
      </c>
      <c r="V13" s="12">
        <v>936.0</v>
      </c>
      <c r="W13" s="12">
        <v>15.0</v>
      </c>
      <c r="X13" s="1" t="s">
        <v>292</v>
      </c>
      <c r="Y13" s="12">
        <v>2.13255513E8</v>
      </c>
      <c r="Z13" s="1" t="s">
        <v>293</v>
      </c>
      <c r="AA13" s="1"/>
      <c r="AB13" s="12">
        <v>1.757801796E9</v>
      </c>
      <c r="AC13" s="1"/>
      <c r="AD13" s="1"/>
    </row>
    <row r="14">
      <c r="A14" s="1" t="s">
        <v>96</v>
      </c>
      <c r="B14" s="8" t="s">
        <v>34</v>
      </c>
      <c r="C14" s="10">
        <v>45912.96009259259</v>
      </c>
      <c r="D14" s="1" t="s">
        <v>96</v>
      </c>
      <c r="E14" s="1" t="s">
        <v>96</v>
      </c>
      <c r="F14" s="8" t="s">
        <v>294</v>
      </c>
      <c r="G14" s="1" t="s">
        <v>97</v>
      </c>
      <c r="H14" s="1" t="s">
        <v>98</v>
      </c>
      <c r="I14" s="1" t="s">
        <v>99</v>
      </c>
      <c r="J14" s="11" t="b">
        <v>0</v>
      </c>
      <c r="K14" s="8" t="s">
        <v>296</v>
      </c>
      <c r="L14" s="1"/>
      <c r="M14" s="1"/>
      <c r="N14" s="1"/>
      <c r="O14" s="1" t="s">
        <v>127</v>
      </c>
      <c r="P14" s="12">
        <v>1.0</v>
      </c>
      <c r="Q14" s="8" t="s">
        <v>297</v>
      </c>
      <c r="R14" s="8" t="s">
        <v>297</v>
      </c>
      <c r="S14" s="1" t="s">
        <v>100</v>
      </c>
      <c r="T14" s="1" t="s">
        <v>227</v>
      </c>
      <c r="U14" s="1" t="s">
        <v>138</v>
      </c>
      <c r="V14" s="12">
        <v>1020.0</v>
      </c>
      <c r="W14" s="12">
        <v>4.0</v>
      </c>
      <c r="X14" s="1" t="s">
        <v>230</v>
      </c>
      <c r="Y14" s="12">
        <v>2.54191223E8</v>
      </c>
      <c r="Z14" s="1" t="s">
        <v>231</v>
      </c>
      <c r="AA14" s="1"/>
      <c r="AB14" s="12">
        <v>1.757718152E9</v>
      </c>
      <c r="AC14" s="1"/>
      <c r="AD14" s="1"/>
    </row>
    <row r="15">
      <c r="A15" s="1" t="s">
        <v>90</v>
      </c>
      <c r="B15" s="8" t="s">
        <v>34</v>
      </c>
      <c r="C15" s="10">
        <v>45903.915972222225</v>
      </c>
      <c r="D15" s="1" t="s">
        <v>90</v>
      </c>
      <c r="E15" s="1" t="s">
        <v>90</v>
      </c>
      <c r="F15" s="8" t="s">
        <v>268</v>
      </c>
      <c r="G15" s="1" t="s">
        <v>91</v>
      </c>
      <c r="H15" s="1" t="s">
        <v>92</v>
      </c>
      <c r="I15" s="1" t="s">
        <v>93</v>
      </c>
      <c r="J15" s="11" t="b">
        <v>1</v>
      </c>
      <c r="K15" s="8" t="s">
        <v>303</v>
      </c>
      <c r="L15" s="1"/>
      <c r="M15" s="1"/>
      <c r="N15" s="1"/>
      <c r="O15" s="1" t="s">
        <v>127</v>
      </c>
      <c r="P15" s="12">
        <v>13.0</v>
      </c>
      <c r="Q15" s="1" t="s">
        <v>308</v>
      </c>
      <c r="R15" s="1" t="s">
        <v>308</v>
      </c>
      <c r="S15" s="1" t="s">
        <v>95</v>
      </c>
      <c r="T15" s="1"/>
      <c r="U15" s="1" t="s">
        <v>138</v>
      </c>
      <c r="V15" s="12">
        <v>124183.0</v>
      </c>
      <c r="W15" s="12">
        <v>1874.0</v>
      </c>
      <c r="X15" s="1"/>
      <c r="Y15" s="1"/>
      <c r="Z15" s="1"/>
      <c r="AA15" s="1"/>
      <c r="AB15" s="12">
        <v>1.75693674E9</v>
      </c>
      <c r="AC15" s="1"/>
      <c r="AD15" s="1"/>
    </row>
    <row r="16">
      <c r="A16" s="1" t="s">
        <v>85</v>
      </c>
      <c r="B16" s="8" t="s">
        <v>34</v>
      </c>
      <c r="C16" s="10">
        <v>45803.7703587963</v>
      </c>
      <c r="D16" s="1" t="s">
        <v>85</v>
      </c>
      <c r="E16" s="1" t="s">
        <v>85</v>
      </c>
      <c r="F16" s="8" t="s">
        <v>288</v>
      </c>
      <c r="G16" s="1" t="s">
        <v>86</v>
      </c>
      <c r="H16" s="1" t="s">
        <v>87</v>
      </c>
      <c r="I16" s="1" t="s">
        <v>88</v>
      </c>
      <c r="J16" s="11" t="b">
        <v>0</v>
      </c>
      <c r="K16" s="8" t="s">
        <v>310</v>
      </c>
      <c r="L16" s="1"/>
      <c r="M16" s="1"/>
      <c r="N16" s="1"/>
      <c r="O16" s="1" t="s">
        <v>127</v>
      </c>
      <c r="P16" s="12">
        <v>1.0</v>
      </c>
      <c r="Q16" s="8" t="s">
        <v>318</v>
      </c>
      <c r="R16" s="8" t="s">
        <v>318</v>
      </c>
      <c r="S16" s="1" t="s">
        <v>89</v>
      </c>
      <c r="T16" s="1"/>
      <c r="U16" s="1" t="s">
        <v>138</v>
      </c>
      <c r="V16" s="12">
        <v>15.0</v>
      </c>
      <c r="W16" s="12">
        <v>0.0</v>
      </c>
      <c r="X16" s="1"/>
      <c r="Y16" s="1"/>
      <c r="Z16" s="1"/>
      <c r="AA16" s="1"/>
      <c r="AB16" s="12">
        <v>1.748284159E9</v>
      </c>
      <c r="AC16" s="1"/>
      <c r="AD16" s="1"/>
    </row>
    <row r="17">
      <c r="A17" s="1" t="s">
        <v>320</v>
      </c>
      <c r="B17" s="8" t="s">
        <v>34</v>
      </c>
      <c r="C17" s="10">
        <v>45971.50931712963</v>
      </c>
      <c r="D17" s="1" t="s">
        <v>320</v>
      </c>
      <c r="E17" s="1" t="s">
        <v>320</v>
      </c>
      <c r="F17" s="8" t="s">
        <v>321</v>
      </c>
      <c r="G17" s="1" t="s">
        <v>322</v>
      </c>
      <c r="H17" s="1" t="s">
        <v>323</v>
      </c>
      <c r="I17" s="1" t="s">
        <v>324</v>
      </c>
      <c r="J17" s="11" t="b">
        <v>0</v>
      </c>
      <c r="K17" s="8" t="s">
        <v>325</v>
      </c>
      <c r="L17" s="1"/>
      <c r="M17" s="1"/>
      <c r="N17" s="1"/>
      <c r="O17" s="1" t="s">
        <v>127</v>
      </c>
      <c r="P17" s="12">
        <v>7.0</v>
      </c>
      <c r="Q17" s="1" t="s">
        <v>335</v>
      </c>
      <c r="R17" s="1" t="s">
        <v>335</v>
      </c>
      <c r="S17" s="1" t="s">
        <v>336</v>
      </c>
      <c r="T17" s="1"/>
      <c r="U17" s="1" t="s">
        <v>138</v>
      </c>
      <c r="V17" s="12">
        <v>51152.0</v>
      </c>
      <c r="W17" s="12">
        <v>324.0</v>
      </c>
      <c r="X17" s="1"/>
      <c r="Y17" s="1"/>
      <c r="Z17" s="1"/>
      <c r="AA17" s="1"/>
      <c r="AB17" s="12">
        <v>1.762776805E9</v>
      </c>
      <c r="AC17" s="1"/>
      <c r="AD17" s="1"/>
    </row>
    <row r="18">
      <c r="A18" s="1" t="s">
        <v>116</v>
      </c>
      <c r="B18" s="8" t="s">
        <v>34</v>
      </c>
      <c r="C18" s="10">
        <v>45918.69153935185</v>
      </c>
      <c r="D18" s="1" t="s">
        <v>116</v>
      </c>
      <c r="E18" s="1" t="s">
        <v>116</v>
      </c>
      <c r="F18" s="8" t="s">
        <v>337</v>
      </c>
      <c r="G18" s="1" t="s">
        <v>117</v>
      </c>
      <c r="H18" s="1" t="s">
        <v>118</v>
      </c>
      <c r="I18" s="1" t="s">
        <v>119</v>
      </c>
      <c r="J18" s="11" t="b">
        <v>0</v>
      </c>
      <c r="K18" s="8" t="s">
        <v>341</v>
      </c>
      <c r="L18" s="1" t="s">
        <v>349</v>
      </c>
      <c r="M18" s="1" t="s">
        <v>350</v>
      </c>
      <c r="N18" s="1" t="s">
        <v>351</v>
      </c>
      <c r="O18" s="1" t="s">
        <v>127</v>
      </c>
      <c r="P18" s="12">
        <v>5.0</v>
      </c>
      <c r="Q18" s="1" t="s">
        <v>353</v>
      </c>
      <c r="R18" s="1" t="s">
        <v>353</v>
      </c>
      <c r="S18" s="1" t="s">
        <v>120</v>
      </c>
      <c r="T18" s="1" t="s">
        <v>349</v>
      </c>
      <c r="U18" s="1" t="s">
        <v>138</v>
      </c>
      <c r="V18" s="12">
        <v>1487.0</v>
      </c>
      <c r="W18" s="12">
        <v>17.0</v>
      </c>
      <c r="X18" s="1" t="s">
        <v>354</v>
      </c>
      <c r="Y18" s="12">
        <v>9.20637601463294E14</v>
      </c>
      <c r="Z18" s="1" t="s">
        <v>355</v>
      </c>
      <c r="AA18" s="1"/>
      <c r="AB18" s="12">
        <v>1.758213349E9</v>
      </c>
      <c r="AC18" s="1"/>
      <c r="AD18" s="1"/>
    </row>
    <row r="19">
      <c r="A19" s="1" t="s">
        <v>356</v>
      </c>
      <c r="B19" s="8" t="s">
        <v>34</v>
      </c>
      <c r="C19" s="10">
        <v>45954.479166666664</v>
      </c>
      <c r="D19" s="1" t="s">
        <v>356</v>
      </c>
      <c r="E19" s="1" t="s">
        <v>356</v>
      </c>
      <c r="F19" s="8" t="s">
        <v>357</v>
      </c>
      <c r="G19" s="1" t="s">
        <v>358</v>
      </c>
      <c r="H19" s="1" t="s">
        <v>360</v>
      </c>
      <c r="I19" s="1" t="s">
        <v>361</v>
      </c>
      <c r="J19" s="11" t="b">
        <v>0</v>
      </c>
      <c r="K19" s="8" t="s">
        <v>362</v>
      </c>
      <c r="L19" s="1" t="s">
        <v>38</v>
      </c>
      <c r="M19" s="1" t="s">
        <v>39</v>
      </c>
      <c r="N19" s="12">
        <v>5.2276949298E10</v>
      </c>
      <c r="O19" s="1" t="s">
        <v>127</v>
      </c>
      <c r="P19" s="12">
        <v>8.0</v>
      </c>
      <c r="Q19" s="1" t="s">
        <v>365</v>
      </c>
      <c r="R19" s="1" t="s">
        <v>365</v>
      </c>
      <c r="S19" s="1" t="s">
        <v>40</v>
      </c>
      <c r="T19" s="1" t="s">
        <v>38</v>
      </c>
      <c r="U19" s="1" t="s">
        <v>138</v>
      </c>
      <c r="V19" s="12">
        <v>1725.0</v>
      </c>
      <c r="W19" s="12">
        <v>29.0</v>
      </c>
      <c r="X19" s="1"/>
      <c r="Y19" s="1"/>
      <c r="Z19" s="1"/>
      <c r="AA19" s="1"/>
      <c r="AB19" s="12">
        <v>1.7613054E9</v>
      </c>
      <c r="AC19" s="1"/>
      <c r="AD19" s="1"/>
    </row>
    <row r="20">
      <c r="A20" s="1" t="s">
        <v>41</v>
      </c>
      <c r="B20" s="8" t="s">
        <v>34</v>
      </c>
      <c r="C20" s="10">
        <v>45568.687106481484</v>
      </c>
      <c r="D20" s="1" t="s">
        <v>41</v>
      </c>
      <c r="E20" s="1" t="s">
        <v>41</v>
      </c>
      <c r="F20" s="8" t="s">
        <v>367</v>
      </c>
      <c r="G20" s="1" t="s">
        <v>42</v>
      </c>
      <c r="H20" s="1" t="s">
        <v>43</v>
      </c>
      <c r="I20" s="1" t="s">
        <v>44</v>
      </c>
      <c r="J20" s="11" t="b">
        <v>1</v>
      </c>
      <c r="K20" s="8" t="s">
        <v>369</v>
      </c>
      <c r="L20" s="1"/>
      <c r="M20" s="1"/>
      <c r="N20" s="1"/>
      <c r="O20" s="1" t="s">
        <v>127</v>
      </c>
      <c r="P20" s="12">
        <v>7.0</v>
      </c>
      <c r="Q20" s="1" t="s">
        <v>373</v>
      </c>
      <c r="R20" s="1" t="s">
        <v>373</v>
      </c>
      <c r="S20" s="1" t="s">
        <v>45</v>
      </c>
      <c r="T20" s="1"/>
      <c r="U20" s="1" t="s">
        <v>138</v>
      </c>
      <c r="V20" s="12">
        <v>9515.0</v>
      </c>
      <c r="W20" s="12">
        <v>54.0</v>
      </c>
      <c r="X20" s="1"/>
      <c r="Y20" s="1"/>
      <c r="Z20" s="1"/>
      <c r="AA20" s="1"/>
      <c r="AB20" s="12">
        <v>1.727972966E9</v>
      </c>
      <c r="AC20" s="1"/>
      <c r="AD20" s="1"/>
    </row>
    <row r="21">
      <c r="A21" s="1" t="s">
        <v>121</v>
      </c>
      <c r="B21" s="8" t="s">
        <v>34</v>
      </c>
      <c r="C21" s="10">
        <v>45964.794386574074</v>
      </c>
      <c r="D21" s="1" t="s">
        <v>121</v>
      </c>
      <c r="E21" s="1" t="s">
        <v>121</v>
      </c>
      <c r="F21" s="8" t="s">
        <v>209</v>
      </c>
      <c r="G21" s="1" t="s">
        <v>122</v>
      </c>
      <c r="H21" s="1" t="s">
        <v>123</v>
      </c>
      <c r="I21" s="1" t="s">
        <v>124</v>
      </c>
      <c r="J21" s="11" t="b">
        <v>0</v>
      </c>
      <c r="K21" s="8" t="s">
        <v>377</v>
      </c>
      <c r="L21" s="1" t="s">
        <v>213</v>
      </c>
      <c r="M21" s="1" t="s">
        <v>214</v>
      </c>
      <c r="N21" s="1" t="s">
        <v>215</v>
      </c>
      <c r="O21" s="1" t="s">
        <v>127</v>
      </c>
      <c r="P21" s="12">
        <v>9.0</v>
      </c>
      <c r="Q21" s="1" t="s">
        <v>385</v>
      </c>
      <c r="R21" s="1" t="s">
        <v>385</v>
      </c>
      <c r="S21" s="1" t="s">
        <v>125</v>
      </c>
      <c r="T21" s="1" t="s">
        <v>213</v>
      </c>
      <c r="U21" s="1" t="s">
        <v>138</v>
      </c>
      <c r="V21" s="12">
        <v>9001.0</v>
      </c>
      <c r="W21" s="12">
        <v>89.0</v>
      </c>
      <c r="X21" s="1" t="s">
        <v>218</v>
      </c>
      <c r="Y21" s="12">
        <v>1.67267413401439E14</v>
      </c>
      <c r="Z21" s="1" t="s">
        <v>219</v>
      </c>
      <c r="AA21" s="1"/>
      <c r="AB21" s="12">
        <v>1.762196635E9</v>
      </c>
      <c r="AC21" s="1"/>
      <c r="AD21" s="1"/>
    </row>
    <row r="22">
      <c r="A22" s="1" t="s">
        <v>388</v>
      </c>
      <c r="B22" s="8" t="s">
        <v>34</v>
      </c>
      <c r="C22" s="10">
        <v>45903.320706018516</v>
      </c>
      <c r="D22" s="1" t="s">
        <v>388</v>
      </c>
      <c r="E22" s="1" t="s">
        <v>388</v>
      </c>
      <c r="F22" s="8" t="s">
        <v>389</v>
      </c>
      <c r="G22" s="1" t="s">
        <v>391</v>
      </c>
      <c r="H22" s="1" t="s">
        <v>392</v>
      </c>
      <c r="I22" s="1" t="s">
        <v>393</v>
      </c>
      <c r="J22" s="11" t="b">
        <v>0</v>
      </c>
      <c r="K22" s="8" t="s">
        <v>394</v>
      </c>
      <c r="L22" s="1"/>
      <c r="M22" s="1"/>
      <c r="N22" s="1"/>
      <c r="O22" s="1" t="s">
        <v>127</v>
      </c>
      <c r="P22" s="12">
        <v>1.0</v>
      </c>
      <c r="Q22" s="8" t="s">
        <v>402</v>
      </c>
      <c r="R22" s="8" t="s">
        <v>402</v>
      </c>
      <c r="S22" s="1" t="s">
        <v>411</v>
      </c>
      <c r="T22" s="1"/>
      <c r="U22" s="1" t="s">
        <v>138</v>
      </c>
      <c r="V22" s="12">
        <v>3183.0</v>
      </c>
      <c r="W22" s="12">
        <v>53.0</v>
      </c>
      <c r="X22" s="1"/>
      <c r="Y22" s="1"/>
      <c r="Z22" s="1"/>
      <c r="AA22" s="1"/>
      <c r="AB22" s="12">
        <v>1.756885309E9</v>
      </c>
      <c r="AC22" s="1"/>
      <c r="AD22" s="1"/>
    </row>
    <row r="23">
      <c r="A23" s="1" t="s">
        <v>74</v>
      </c>
      <c r="B23" s="8" t="s">
        <v>34</v>
      </c>
      <c r="C23" s="10">
        <v>45934.5</v>
      </c>
      <c r="D23" s="1" t="s">
        <v>74</v>
      </c>
      <c r="E23" s="1" t="s">
        <v>74</v>
      </c>
      <c r="F23" s="8" t="s">
        <v>412</v>
      </c>
      <c r="G23" s="1" t="s">
        <v>75</v>
      </c>
      <c r="H23" s="1" t="s">
        <v>76</v>
      </c>
      <c r="I23" s="1" t="s">
        <v>77</v>
      </c>
      <c r="J23" s="11" t="b">
        <v>0</v>
      </c>
      <c r="K23" s="8" t="s">
        <v>414</v>
      </c>
      <c r="L23" s="1"/>
      <c r="M23" s="1"/>
      <c r="N23" s="1"/>
      <c r="O23" s="1" t="s">
        <v>127</v>
      </c>
      <c r="P23" s="12">
        <v>7.0</v>
      </c>
      <c r="Q23" s="1" t="s">
        <v>419</v>
      </c>
      <c r="R23" s="1" t="s">
        <v>419</v>
      </c>
      <c r="S23" s="1" t="s">
        <v>78</v>
      </c>
      <c r="T23" s="1"/>
      <c r="U23" s="1" t="s">
        <v>138</v>
      </c>
      <c r="V23" s="12">
        <v>577.0</v>
      </c>
      <c r="W23" s="12">
        <v>4.0</v>
      </c>
      <c r="X23" s="1"/>
      <c r="Y23" s="1"/>
      <c r="Z23" s="1"/>
      <c r="AA23" s="1"/>
      <c r="AB23" s="12">
        <v>1.7595792E9</v>
      </c>
      <c r="AC23" s="1"/>
      <c r="AD23" s="1"/>
    </row>
    <row r="24">
      <c r="A24" s="1" t="s">
        <v>422</v>
      </c>
      <c r="B24" s="8" t="s">
        <v>34</v>
      </c>
      <c r="C24" s="10">
        <v>45948.83383101852</v>
      </c>
      <c r="D24" s="1" t="s">
        <v>422</v>
      </c>
      <c r="E24" s="1" t="s">
        <v>422</v>
      </c>
      <c r="F24" s="8" t="s">
        <v>423</v>
      </c>
      <c r="G24" s="1" t="s">
        <v>424</v>
      </c>
      <c r="H24" s="1" t="s">
        <v>113</v>
      </c>
      <c r="I24" s="1" t="s">
        <v>114</v>
      </c>
      <c r="J24" s="11" t="b">
        <v>0</v>
      </c>
      <c r="K24" s="8" t="s">
        <v>426</v>
      </c>
      <c r="L24" s="1"/>
      <c r="M24" s="1"/>
      <c r="N24" s="1"/>
      <c r="O24" s="1" t="s">
        <v>127</v>
      </c>
      <c r="P24" s="12">
        <v>9.0</v>
      </c>
      <c r="Q24" s="1" t="s">
        <v>434</v>
      </c>
      <c r="R24" s="1" t="s">
        <v>434</v>
      </c>
      <c r="S24" s="1" t="s">
        <v>435</v>
      </c>
      <c r="T24" s="1"/>
      <c r="U24" s="1" t="s">
        <v>138</v>
      </c>
      <c r="V24" s="12">
        <v>535.0</v>
      </c>
      <c r="W24" s="12">
        <v>2.0</v>
      </c>
      <c r="X24" s="1"/>
      <c r="Y24" s="1"/>
      <c r="Z24" s="1"/>
      <c r="AA24" s="1"/>
      <c r="AB24" s="12">
        <v>1.760817643E9</v>
      </c>
      <c r="AC24" s="1"/>
      <c r="AD24" s="1"/>
    </row>
    <row r="25">
      <c r="A25" s="1" t="s">
        <v>51</v>
      </c>
      <c r="B25" s="8" t="s">
        <v>34</v>
      </c>
      <c r="C25" s="10">
        <v>45904.62505787037</v>
      </c>
      <c r="D25" s="1" t="s">
        <v>51</v>
      </c>
      <c r="E25" s="1" t="s">
        <v>51</v>
      </c>
      <c r="F25" s="8" t="s">
        <v>234</v>
      </c>
      <c r="G25" s="1" t="s">
        <v>52</v>
      </c>
      <c r="H25" s="1" t="s">
        <v>53</v>
      </c>
      <c r="I25" s="1" t="s">
        <v>54</v>
      </c>
      <c r="J25" s="11" t="b">
        <v>1</v>
      </c>
      <c r="K25" s="8" t="s">
        <v>442</v>
      </c>
      <c r="L25" s="1"/>
      <c r="M25" s="1"/>
      <c r="N25" s="1"/>
      <c r="O25" s="1" t="s">
        <v>127</v>
      </c>
      <c r="P25" s="12">
        <v>9.0</v>
      </c>
      <c r="Q25" s="1" t="s">
        <v>451</v>
      </c>
      <c r="R25" s="1" t="s">
        <v>451</v>
      </c>
      <c r="S25" s="1" t="s">
        <v>55</v>
      </c>
      <c r="T25" s="1"/>
      <c r="U25" s="1" t="s">
        <v>138</v>
      </c>
      <c r="V25" s="12">
        <v>1337.0</v>
      </c>
      <c r="W25" s="12">
        <v>23.0</v>
      </c>
      <c r="X25" s="1"/>
      <c r="Y25" s="1"/>
      <c r="Z25" s="1"/>
      <c r="AA25" s="1"/>
      <c r="AB25" s="12">
        <v>1.756998005E9</v>
      </c>
      <c r="AC25" s="1"/>
      <c r="AD25" s="1"/>
    </row>
    <row r="26">
      <c r="A26" s="1" t="s">
        <v>453</v>
      </c>
      <c r="B26" s="8" t="s">
        <v>34</v>
      </c>
      <c r="C26" s="10">
        <v>45988.96533564815</v>
      </c>
      <c r="D26" s="1" t="s">
        <v>453</v>
      </c>
      <c r="E26" s="1" t="s">
        <v>453</v>
      </c>
      <c r="F26" s="8" t="s">
        <v>455</v>
      </c>
      <c r="G26" s="1" t="s">
        <v>457</v>
      </c>
      <c r="H26" s="1" t="s">
        <v>58</v>
      </c>
      <c r="I26" s="1" t="s">
        <v>59</v>
      </c>
      <c r="J26" s="11" t="b">
        <v>1</v>
      </c>
      <c r="K26" s="8" t="s">
        <v>458</v>
      </c>
      <c r="L26" s="1"/>
      <c r="M26" s="1"/>
      <c r="N26" s="1"/>
      <c r="O26" s="1" t="s">
        <v>127</v>
      </c>
      <c r="P26" s="12">
        <v>1.0</v>
      </c>
      <c r="Q26" s="8" t="s">
        <v>460</v>
      </c>
      <c r="R26" s="8" t="s">
        <v>460</v>
      </c>
      <c r="S26" s="1" t="s">
        <v>469</v>
      </c>
      <c r="T26" s="1"/>
      <c r="U26" s="1" t="s">
        <v>138</v>
      </c>
      <c r="V26" s="12">
        <v>89.0</v>
      </c>
      <c r="W26" s="12">
        <v>2.0</v>
      </c>
      <c r="X26" s="1"/>
      <c r="Y26" s="1"/>
      <c r="Z26" s="1"/>
      <c r="AA26" s="1"/>
      <c r="AB26" s="12">
        <v>1.764285005E9</v>
      </c>
      <c r="AC26" s="1"/>
      <c r="AD26" s="1"/>
    </row>
    <row r="27">
      <c r="A27" s="1" t="s">
        <v>470</v>
      </c>
      <c r="B27" s="8" t="s">
        <v>34</v>
      </c>
      <c r="C27" s="10">
        <v>45964.96527777778</v>
      </c>
      <c r="D27" s="1" t="s">
        <v>470</v>
      </c>
      <c r="E27" s="1" t="s">
        <v>470</v>
      </c>
      <c r="F27" s="8" t="s">
        <v>471</v>
      </c>
      <c r="G27" s="1" t="s">
        <v>472</v>
      </c>
      <c r="H27" s="1" t="s">
        <v>227</v>
      </c>
      <c r="I27" s="1" t="s">
        <v>277</v>
      </c>
      <c r="J27" s="11" t="b">
        <v>1</v>
      </c>
      <c r="K27" s="8" t="s">
        <v>473</v>
      </c>
      <c r="L27" s="1"/>
      <c r="M27" s="1"/>
      <c r="N27" s="1"/>
      <c r="O27" s="1" t="s">
        <v>127</v>
      </c>
      <c r="P27" s="12">
        <v>1.0</v>
      </c>
      <c r="Q27" s="8" t="s">
        <v>477</v>
      </c>
      <c r="R27" s="8" t="s">
        <v>477</v>
      </c>
      <c r="S27" s="1" t="s">
        <v>489</v>
      </c>
      <c r="T27" s="1" t="s">
        <v>490</v>
      </c>
      <c r="U27" s="1" t="s">
        <v>138</v>
      </c>
      <c r="V27" s="12">
        <v>210.0</v>
      </c>
      <c r="W27" s="12">
        <v>1.0</v>
      </c>
      <c r="X27" s="1" t="s">
        <v>292</v>
      </c>
      <c r="Y27" s="12">
        <v>2.13255513E8</v>
      </c>
      <c r="Z27" s="1" t="s">
        <v>293</v>
      </c>
      <c r="AA27" s="1"/>
      <c r="AB27" s="12">
        <v>1.7622114E9</v>
      </c>
      <c r="AC27" s="1"/>
      <c r="AD27" s="1"/>
    </row>
    <row r="28">
      <c r="A28" s="1" t="s">
        <v>492</v>
      </c>
      <c r="B28" s="8" t="s">
        <v>34</v>
      </c>
      <c r="C28" s="10">
        <v>45028.59945601852</v>
      </c>
      <c r="D28" s="1" t="s">
        <v>492</v>
      </c>
      <c r="E28" s="1" t="s">
        <v>492</v>
      </c>
      <c r="F28" s="8" t="s">
        <v>493</v>
      </c>
      <c r="G28" s="1" t="s">
        <v>494</v>
      </c>
      <c r="H28" s="1" t="s">
        <v>495</v>
      </c>
      <c r="I28" s="1" t="s">
        <v>496</v>
      </c>
      <c r="J28" s="11" t="b">
        <v>1</v>
      </c>
      <c r="K28" s="8" t="s">
        <v>497</v>
      </c>
      <c r="L28" s="1"/>
      <c r="M28" s="1"/>
      <c r="N28" s="1"/>
      <c r="O28" s="1" t="s">
        <v>127</v>
      </c>
      <c r="P28" s="12">
        <v>10.0</v>
      </c>
      <c r="Q28" s="1" t="s">
        <v>506</v>
      </c>
      <c r="R28" s="1" t="s">
        <v>506</v>
      </c>
      <c r="S28" s="1" t="s">
        <v>507</v>
      </c>
      <c r="T28" s="1" t="s">
        <v>508</v>
      </c>
      <c r="U28" s="1" t="s">
        <v>138</v>
      </c>
      <c r="V28" s="12">
        <v>4221.0</v>
      </c>
      <c r="W28" s="12">
        <v>270.0</v>
      </c>
      <c r="X28" s="1"/>
      <c r="Y28" s="1"/>
      <c r="Z28" s="1"/>
      <c r="AA28" s="1"/>
      <c r="AB28" s="12">
        <v>1.681309393E9</v>
      </c>
      <c r="AC28" s="1"/>
      <c r="AD28" s="1"/>
    </row>
    <row r="29">
      <c r="A29" s="1" t="s">
        <v>132</v>
      </c>
      <c r="B29" s="8" t="s">
        <v>34</v>
      </c>
      <c r="C29" s="10">
        <v>45964.68505787037</v>
      </c>
      <c r="D29" s="1" t="s">
        <v>132</v>
      </c>
      <c r="E29" s="1" t="s">
        <v>132</v>
      </c>
      <c r="F29" s="8" t="s">
        <v>368</v>
      </c>
      <c r="G29" s="1" t="s">
        <v>133</v>
      </c>
      <c r="H29" s="1" t="s">
        <v>134</v>
      </c>
      <c r="I29" s="1" t="s">
        <v>135</v>
      </c>
      <c r="J29" s="11" t="b">
        <v>0</v>
      </c>
      <c r="K29" s="8" t="s">
        <v>512</v>
      </c>
      <c r="L29" s="1" t="s">
        <v>371</v>
      </c>
      <c r="M29" s="1" t="s">
        <v>372</v>
      </c>
      <c r="N29" s="12">
        <v>7.635866997E10</v>
      </c>
      <c r="O29" s="1" t="s">
        <v>127</v>
      </c>
      <c r="P29" s="12">
        <v>13.0</v>
      </c>
      <c r="Q29" s="1" t="s">
        <v>526</v>
      </c>
      <c r="R29" s="1" t="s">
        <v>526</v>
      </c>
      <c r="S29" s="1" t="s">
        <v>137</v>
      </c>
      <c r="T29" s="1" t="s">
        <v>371</v>
      </c>
      <c r="U29" s="1" t="s">
        <v>138</v>
      </c>
      <c r="V29" s="12">
        <v>6777.0</v>
      </c>
      <c r="W29" s="12">
        <v>261.0</v>
      </c>
      <c r="X29" s="1"/>
      <c r="Y29" s="1"/>
      <c r="Z29" s="1"/>
      <c r="AA29" s="1"/>
      <c r="AB29" s="12">
        <v>1.762187189E9</v>
      </c>
      <c r="AC29" s="1"/>
      <c r="AD29" s="1"/>
    </row>
    <row r="30">
      <c r="A30" s="1" t="s">
        <v>527</v>
      </c>
      <c r="B30" s="8" t="s">
        <v>34</v>
      </c>
      <c r="C30" s="10">
        <v>45923.866319444445</v>
      </c>
      <c r="D30" s="1" t="s">
        <v>527</v>
      </c>
      <c r="E30" s="1" t="s">
        <v>527</v>
      </c>
      <c r="F30" s="8" t="s">
        <v>528</v>
      </c>
      <c r="G30" s="1" t="s">
        <v>532</v>
      </c>
      <c r="H30" s="1" t="s">
        <v>92</v>
      </c>
      <c r="I30" s="1" t="s">
        <v>93</v>
      </c>
      <c r="J30" s="11" t="b">
        <v>1</v>
      </c>
      <c r="K30" s="8" t="s">
        <v>537</v>
      </c>
      <c r="L30" s="1"/>
      <c r="M30" s="1"/>
      <c r="N30" s="1"/>
      <c r="O30" s="1" t="s">
        <v>127</v>
      </c>
      <c r="P30" s="12">
        <v>9.0</v>
      </c>
      <c r="Q30" s="1" t="s">
        <v>547</v>
      </c>
      <c r="R30" s="1" t="s">
        <v>547</v>
      </c>
      <c r="S30" s="1" t="s">
        <v>548</v>
      </c>
      <c r="T30" s="1"/>
      <c r="U30" s="1" t="s">
        <v>138</v>
      </c>
      <c r="V30" s="12">
        <v>2485.0</v>
      </c>
      <c r="W30" s="12">
        <v>34.0</v>
      </c>
      <c r="X30" s="1"/>
      <c r="Y30" s="1"/>
      <c r="Z30" s="1"/>
      <c r="AA30" s="1"/>
      <c r="AB30" s="12">
        <v>1.75866045E9</v>
      </c>
      <c r="AC30" s="1"/>
      <c r="AD30" s="1"/>
    </row>
    <row r="31">
      <c r="A31" s="1" t="s">
        <v>56</v>
      </c>
      <c r="B31" s="8" t="s">
        <v>34</v>
      </c>
      <c r="C31" s="10">
        <v>45966.937685185185</v>
      </c>
      <c r="D31" s="1" t="s">
        <v>56</v>
      </c>
      <c r="E31" s="1" t="s">
        <v>56</v>
      </c>
      <c r="F31" s="8" t="s">
        <v>400</v>
      </c>
      <c r="G31" s="1" t="s">
        <v>57</v>
      </c>
      <c r="H31" s="1" t="s">
        <v>58</v>
      </c>
      <c r="I31" s="1" t="s">
        <v>59</v>
      </c>
      <c r="J31" s="11" t="b">
        <v>1</v>
      </c>
      <c r="K31" s="8" t="s">
        <v>553</v>
      </c>
      <c r="L31" s="1"/>
      <c r="M31" s="1"/>
      <c r="N31" s="1"/>
      <c r="O31" s="1" t="s">
        <v>127</v>
      </c>
      <c r="P31" s="12">
        <v>6.0</v>
      </c>
      <c r="Q31" s="1" t="s">
        <v>558</v>
      </c>
      <c r="R31" s="1" t="s">
        <v>558</v>
      </c>
      <c r="S31" s="1" t="s">
        <v>60</v>
      </c>
      <c r="T31" s="1"/>
      <c r="U31" s="1" t="s">
        <v>138</v>
      </c>
      <c r="V31" s="12">
        <v>775.0</v>
      </c>
      <c r="W31" s="12">
        <v>6.0</v>
      </c>
      <c r="X31" s="1"/>
      <c r="Y31" s="1"/>
      <c r="Z31" s="1"/>
      <c r="AA31" s="1"/>
      <c r="AB31" s="12">
        <v>1.762381816E9</v>
      </c>
      <c r="AC31" s="1"/>
      <c r="AD31" s="1"/>
    </row>
    <row r="32">
      <c r="A32" s="1" t="s">
        <v>559</v>
      </c>
      <c r="B32" s="8" t="s">
        <v>34</v>
      </c>
      <c r="C32" s="10">
        <v>45912.62061342593</v>
      </c>
      <c r="D32" s="1" t="s">
        <v>559</v>
      </c>
      <c r="E32" s="1" t="s">
        <v>559</v>
      </c>
      <c r="F32" s="8" t="s">
        <v>560</v>
      </c>
      <c r="G32" s="1" t="s">
        <v>565</v>
      </c>
      <c r="H32" s="1" t="s">
        <v>332</v>
      </c>
      <c r="I32" s="1" t="s">
        <v>333</v>
      </c>
      <c r="J32" s="11" t="b">
        <v>0</v>
      </c>
      <c r="K32" s="8" t="s">
        <v>566</v>
      </c>
      <c r="L32" s="1"/>
      <c r="M32" s="1"/>
      <c r="N32" s="1"/>
      <c r="O32" s="1" t="s">
        <v>127</v>
      </c>
      <c r="P32" s="12">
        <v>1.0</v>
      </c>
      <c r="Q32" s="8" t="s">
        <v>571</v>
      </c>
      <c r="R32" s="8" t="s">
        <v>571</v>
      </c>
      <c r="S32" s="1" t="s">
        <v>339</v>
      </c>
      <c r="T32" s="1"/>
      <c r="U32" s="1" t="s">
        <v>138</v>
      </c>
      <c r="V32" s="12">
        <v>610.0</v>
      </c>
      <c r="W32" s="12">
        <v>4.0</v>
      </c>
      <c r="X32" s="1"/>
      <c r="Y32" s="1"/>
      <c r="Z32" s="1"/>
      <c r="AA32" s="1"/>
      <c r="AB32" s="12">
        <v>1.757688821E9</v>
      </c>
      <c r="AC32" s="1"/>
      <c r="AD32" s="1"/>
    </row>
    <row r="33">
      <c r="A33" s="1" t="s">
        <v>574</v>
      </c>
      <c r="B33" s="8" t="s">
        <v>34</v>
      </c>
      <c r="C33" s="10">
        <v>45908.54613425926</v>
      </c>
      <c r="D33" s="1" t="s">
        <v>574</v>
      </c>
      <c r="E33" s="1" t="s">
        <v>574</v>
      </c>
      <c r="F33" s="8" t="s">
        <v>575</v>
      </c>
      <c r="G33" s="1" t="s">
        <v>580</v>
      </c>
      <c r="H33" s="1" t="s">
        <v>156</v>
      </c>
      <c r="I33" s="1" t="s">
        <v>157</v>
      </c>
      <c r="J33" s="11" t="b">
        <v>1</v>
      </c>
      <c r="K33" s="8" t="s">
        <v>581</v>
      </c>
      <c r="L33" s="1"/>
      <c r="M33" s="1"/>
      <c r="N33" s="1"/>
      <c r="O33" s="1" t="s">
        <v>127</v>
      </c>
      <c r="P33" s="12">
        <v>7.0</v>
      </c>
      <c r="Q33" s="1" t="s">
        <v>586</v>
      </c>
      <c r="R33" s="1" t="s">
        <v>586</v>
      </c>
      <c r="S33" s="1" t="s">
        <v>167</v>
      </c>
      <c r="T33" s="1"/>
      <c r="U33" s="1" t="s">
        <v>138</v>
      </c>
      <c r="V33" s="12">
        <v>698.0</v>
      </c>
      <c r="W33" s="12">
        <v>49.0</v>
      </c>
      <c r="X33" s="1"/>
      <c r="Y33" s="1"/>
      <c r="Z33" s="1"/>
      <c r="AA33" s="1"/>
      <c r="AB33" s="12">
        <v>1.757336786E9</v>
      </c>
      <c r="AC33" s="1"/>
      <c r="AD33" s="1"/>
    </row>
    <row r="34">
      <c r="A34" s="1" t="s">
        <v>589</v>
      </c>
      <c r="B34" s="8" t="s">
        <v>34</v>
      </c>
      <c r="C34" s="10">
        <v>44552.56162037037</v>
      </c>
      <c r="D34" s="1" t="s">
        <v>589</v>
      </c>
      <c r="E34" s="1" t="s">
        <v>589</v>
      </c>
      <c r="F34" s="8" t="s">
        <v>591</v>
      </c>
      <c r="G34" s="1" t="s">
        <v>596</v>
      </c>
      <c r="H34" s="1" t="s">
        <v>227</v>
      </c>
      <c r="I34" s="1" t="s">
        <v>277</v>
      </c>
      <c r="J34" s="11" t="b">
        <v>1</v>
      </c>
      <c r="K34" s="8" t="s">
        <v>597</v>
      </c>
      <c r="L34" s="1" t="s">
        <v>601</v>
      </c>
      <c r="M34" s="1" t="s">
        <v>602</v>
      </c>
      <c r="N34" s="12">
        <v>8.533431532E9</v>
      </c>
      <c r="O34" s="1" t="s">
        <v>127</v>
      </c>
      <c r="P34" s="12">
        <v>1.0</v>
      </c>
      <c r="Q34" s="8" t="s">
        <v>604</v>
      </c>
      <c r="R34" s="8" t="s">
        <v>604</v>
      </c>
      <c r="S34" s="1" t="s">
        <v>609</v>
      </c>
      <c r="T34" s="1" t="s">
        <v>601</v>
      </c>
      <c r="U34" s="1" t="s">
        <v>138</v>
      </c>
      <c r="V34" s="12">
        <v>1119.0</v>
      </c>
      <c r="W34" s="12">
        <v>7.0</v>
      </c>
      <c r="X34" s="1" t="s">
        <v>610</v>
      </c>
      <c r="Y34" s="12">
        <v>2.37394071E8</v>
      </c>
      <c r="Z34" s="1" t="s">
        <v>611</v>
      </c>
      <c r="AA34" s="1"/>
      <c r="AB34" s="12">
        <v>1.640179724E9</v>
      </c>
      <c r="AC34" s="1"/>
      <c r="AD34" s="1"/>
    </row>
    <row r="35">
      <c r="A35" s="1" t="s">
        <v>612</v>
      </c>
      <c r="B35" s="8" t="s">
        <v>34</v>
      </c>
      <c r="C35" s="10">
        <v>45978.456608796296</v>
      </c>
      <c r="D35" s="1" t="s">
        <v>612</v>
      </c>
      <c r="E35" s="1" t="s">
        <v>612</v>
      </c>
      <c r="F35" s="8" t="s">
        <v>614</v>
      </c>
      <c r="G35" s="1" t="s">
        <v>615</v>
      </c>
      <c r="H35" s="1" t="s">
        <v>48</v>
      </c>
      <c r="I35" s="1" t="s">
        <v>49</v>
      </c>
      <c r="J35" s="11" t="b">
        <v>1</v>
      </c>
      <c r="K35" s="8" t="s">
        <v>616</v>
      </c>
      <c r="L35" s="1"/>
      <c r="M35" s="1"/>
      <c r="N35" s="1"/>
      <c r="O35" s="1" t="s">
        <v>127</v>
      </c>
      <c r="P35" s="12">
        <v>9.0</v>
      </c>
      <c r="Q35" s="1" t="s">
        <v>627</v>
      </c>
      <c r="R35" s="1" t="s">
        <v>627</v>
      </c>
      <c r="S35" s="1" t="s">
        <v>50</v>
      </c>
      <c r="T35" s="1"/>
      <c r="U35" s="1" t="s">
        <v>138</v>
      </c>
      <c r="V35" s="12">
        <v>1278.0</v>
      </c>
      <c r="W35" s="12">
        <v>55.0</v>
      </c>
      <c r="X35" s="1"/>
      <c r="Y35" s="1"/>
      <c r="Z35" s="1"/>
      <c r="AA35" s="1"/>
      <c r="AB35" s="12">
        <v>1.763377051E9</v>
      </c>
      <c r="AC35" s="1"/>
      <c r="AD35" s="1"/>
    </row>
    <row r="36">
      <c r="A36" s="1" t="s">
        <v>628</v>
      </c>
      <c r="B36" s="8" t="s">
        <v>34</v>
      </c>
      <c r="C36" s="10">
        <v>45901.02599537037</v>
      </c>
      <c r="D36" s="1" t="s">
        <v>628</v>
      </c>
      <c r="E36" s="1" t="s">
        <v>628</v>
      </c>
      <c r="F36" s="8" t="s">
        <v>629</v>
      </c>
      <c r="G36" s="1" t="s">
        <v>630</v>
      </c>
      <c r="H36" s="1" t="s">
        <v>98</v>
      </c>
      <c r="I36" s="1" t="s">
        <v>99</v>
      </c>
      <c r="J36" s="11" t="b">
        <v>0</v>
      </c>
      <c r="K36" s="8" t="s">
        <v>631</v>
      </c>
      <c r="L36" s="1"/>
      <c r="M36" s="1"/>
      <c r="N36" s="1"/>
      <c r="O36" s="1" t="s">
        <v>127</v>
      </c>
      <c r="P36" s="12">
        <v>7.0</v>
      </c>
      <c r="Q36" s="1" t="s">
        <v>640</v>
      </c>
      <c r="R36" s="1" t="s">
        <v>640</v>
      </c>
      <c r="S36" s="1" t="s">
        <v>641</v>
      </c>
      <c r="T36" s="1"/>
      <c r="U36" s="1" t="s">
        <v>138</v>
      </c>
      <c r="V36" s="12">
        <v>1375.0</v>
      </c>
      <c r="W36" s="12">
        <v>20.0</v>
      </c>
      <c r="X36" s="1" t="s">
        <v>230</v>
      </c>
      <c r="Y36" s="12">
        <v>2.54191223E8</v>
      </c>
      <c r="Z36" s="1" t="s">
        <v>231</v>
      </c>
      <c r="AA36" s="1"/>
      <c r="AB36" s="12">
        <v>1.756687046E9</v>
      </c>
      <c r="AC36" s="1"/>
      <c r="AD36" s="1"/>
    </row>
    <row r="37">
      <c r="A37" s="1" t="s">
        <v>642</v>
      </c>
      <c r="B37" s="8" t="s">
        <v>34</v>
      </c>
      <c r="C37" s="10">
        <v>45907.93929398148</v>
      </c>
      <c r="D37" s="1" t="s">
        <v>642</v>
      </c>
      <c r="E37" s="1" t="s">
        <v>642</v>
      </c>
      <c r="F37" s="8" t="s">
        <v>643</v>
      </c>
      <c r="G37" s="1" t="s">
        <v>644</v>
      </c>
      <c r="H37" s="1" t="s">
        <v>108</v>
      </c>
      <c r="I37" s="1" t="s">
        <v>109</v>
      </c>
      <c r="J37" s="11" t="b">
        <v>1</v>
      </c>
      <c r="K37" s="8" t="s">
        <v>645</v>
      </c>
      <c r="L37" s="1"/>
      <c r="M37" s="1"/>
      <c r="N37" s="1"/>
      <c r="O37" s="1" t="s">
        <v>127</v>
      </c>
      <c r="P37" s="12">
        <v>8.0</v>
      </c>
      <c r="Q37" s="1" t="s">
        <v>654</v>
      </c>
      <c r="R37" s="1" t="s">
        <v>654</v>
      </c>
      <c r="S37" s="1" t="s">
        <v>655</v>
      </c>
      <c r="T37" s="1"/>
      <c r="U37" s="1" t="s">
        <v>138</v>
      </c>
      <c r="V37" s="12">
        <v>4399.0</v>
      </c>
      <c r="W37" s="12">
        <v>75.0</v>
      </c>
      <c r="X37" s="1"/>
      <c r="Y37" s="1"/>
      <c r="Z37" s="1"/>
      <c r="AA37" s="1"/>
      <c r="AB37" s="12">
        <v>1.757284355E9</v>
      </c>
      <c r="AC37" s="1"/>
      <c r="AD37" s="1"/>
    </row>
    <row r="38">
      <c r="A38" s="1" t="s">
        <v>656</v>
      </c>
      <c r="B38" s="8" t="s">
        <v>34</v>
      </c>
      <c r="C38" s="10">
        <v>45957.960486111115</v>
      </c>
      <c r="D38" s="1" t="s">
        <v>656</v>
      </c>
      <c r="E38" s="1" t="s">
        <v>656</v>
      </c>
      <c r="F38" s="8" t="s">
        <v>657</v>
      </c>
      <c r="G38" s="1" t="s">
        <v>658</v>
      </c>
      <c r="H38" s="1" t="s">
        <v>58</v>
      </c>
      <c r="I38" s="1" t="s">
        <v>59</v>
      </c>
      <c r="J38" s="11" t="b">
        <v>1</v>
      </c>
      <c r="K38" s="8" t="s">
        <v>659</v>
      </c>
      <c r="L38" s="1"/>
      <c r="M38" s="1"/>
      <c r="N38" s="1"/>
      <c r="O38" s="1" t="s">
        <v>127</v>
      </c>
      <c r="P38" s="12">
        <v>1.0</v>
      </c>
      <c r="Q38" s="8" t="s">
        <v>661</v>
      </c>
      <c r="R38" s="8" t="s">
        <v>661</v>
      </c>
      <c r="S38" s="1" t="s">
        <v>662</v>
      </c>
      <c r="T38" s="1"/>
      <c r="U38" s="1" t="s">
        <v>138</v>
      </c>
      <c r="V38" s="12">
        <v>4993.0</v>
      </c>
      <c r="W38" s="12">
        <v>50.0</v>
      </c>
      <c r="X38" s="1"/>
      <c r="Y38" s="1"/>
      <c r="Z38" s="1"/>
      <c r="AA38" s="1"/>
      <c r="AB38" s="12">
        <v>1.761606186E9</v>
      </c>
      <c r="AC38" s="1"/>
      <c r="AD38" s="1"/>
    </row>
    <row r="39">
      <c r="A39" s="1" t="s">
        <v>663</v>
      </c>
      <c r="B39" s="8" t="s">
        <v>34</v>
      </c>
      <c r="C39" s="10">
        <v>45868.95925925926</v>
      </c>
      <c r="D39" s="1" t="s">
        <v>663</v>
      </c>
      <c r="E39" s="1" t="s">
        <v>663</v>
      </c>
      <c r="F39" s="8" t="s">
        <v>664</v>
      </c>
      <c r="G39" s="1" t="s">
        <v>665</v>
      </c>
      <c r="H39" s="1" t="s">
        <v>666</v>
      </c>
      <c r="I39" s="1" t="s">
        <v>667</v>
      </c>
      <c r="J39" s="11" t="b">
        <v>1</v>
      </c>
      <c r="K39" s="8" t="s">
        <v>668</v>
      </c>
      <c r="L39" s="1"/>
      <c r="M39" s="1"/>
      <c r="N39" s="1"/>
      <c r="O39" s="1" t="s">
        <v>127</v>
      </c>
      <c r="P39" s="12">
        <v>1.0</v>
      </c>
      <c r="Q39" s="8" t="s">
        <v>669</v>
      </c>
      <c r="R39" s="8" t="s">
        <v>669</v>
      </c>
      <c r="S39" s="1" t="s">
        <v>670</v>
      </c>
      <c r="T39" s="1"/>
      <c r="U39" s="1" t="s">
        <v>138</v>
      </c>
      <c r="V39" s="12">
        <v>4493.0</v>
      </c>
      <c r="W39" s="12">
        <v>35.0</v>
      </c>
      <c r="X39" s="1"/>
      <c r="Y39" s="1"/>
      <c r="Z39" s="1"/>
      <c r="AA39" s="1"/>
      <c r="AB39" s="12">
        <v>1.75391648E9</v>
      </c>
      <c r="AC39" s="1"/>
      <c r="AD39" s="1"/>
    </row>
    <row r="40">
      <c r="A40" s="1" t="s">
        <v>671</v>
      </c>
      <c r="B40" s="8" t="s">
        <v>34</v>
      </c>
      <c r="C40" s="10">
        <v>45973.96260416666</v>
      </c>
      <c r="D40" s="1" t="s">
        <v>671</v>
      </c>
      <c r="E40" s="1" t="s">
        <v>671</v>
      </c>
      <c r="F40" s="8" t="s">
        <v>672</v>
      </c>
      <c r="G40" s="1" t="s">
        <v>673</v>
      </c>
      <c r="H40" s="1" t="s">
        <v>67</v>
      </c>
      <c r="I40" s="1" t="s">
        <v>68</v>
      </c>
      <c r="J40" s="11" t="b">
        <v>1</v>
      </c>
      <c r="K40" s="8" t="s">
        <v>674</v>
      </c>
      <c r="L40" s="1"/>
      <c r="M40" s="1"/>
      <c r="N40" s="1"/>
      <c r="O40" s="1" t="s">
        <v>127</v>
      </c>
      <c r="P40" s="12">
        <v>1.0</v>
      </c>
      <c r="Q40" s="8" t="s">
        <v>675</v>
      </c>
      <c r="R40" s="8" t="s">
        <v>675</v>
      </c>
      <c r="S40" s="1" t="s">
        <v>676</v>
      </c>
      <c r="T40" s="1"/>
      <c r="U40" s="1" t="s">
        <v>138</v>
      </c>
      <c r="V40" s="12">
        <v>2172.0</v>
      </c>
      <c r="W40" s="12">
        <v>22.0</v>
      </c>
      <c r="X40" s="1"/>
      <c r="Y40" s="1"/>
      <c r="Z40" s="1"/>
      <c r="AA40" s="1"/>
      <c r="AB40" s="12">
        <v>1.762988769E9</v>
      </c>
      <c r="AC40" s="1"/>
      <c r="AD40" s="1"/>
    </row>
    <row r="41">
      <c r="A41" s="1" t="s">
        <v>677</v>
      </c>
      <c r="B41" s="8" t="s">
        <v>34</v>
      </c>
      <c r="C41" s="10">
        <v>45967.69615740741</v>
      </c>
      <c r="D41" s="1" t="s">
        <v>677</v>
      </c>
      <c r="E41" s="1" t="s">
        <v>677</v>
      </c>
      <c r="F41" s="8" t="s">
        <v>678</v>
      </c>
      <c r="G41" s="1" t="s">
        <v>679</v>
      </c>
      <c r="H41" s="1" t="s">
        <v>156</v>
      </c>
      <c r="I41" s="1" t="s">
        <v>157</v>
      </c>
      <c r="J41" s="11" t="b">
        <v>1</v>
      </c>
      <c r="K41" s="8" t="s">
        <v>680</v>
      </c>
      <c r="L41" s="1"/>
      <c r="M41" s="1"/>
      <c r="N41" s="1"/>
      <c r="O41" s="1" t="s">
        <v>127</v>
      </c>
      <c r="P41" s="12">
        <v>1.0</v>
      </c>
      <c r="Q41" s="8" t="s">
        <v>681</v>
      </c>
      <c r="R41" s="8" t="s">
        <v>681</v>
      </c>
      <c r="S41" s="1" t="s">
        <v>682</v>
      </c>
      <c r="T41" s="1"/>
      <c r="U41" s="1" t="s">
        <v>138</v>
      </c>
      <c r="V41" s="12">
        <v>3807.0</v>
      </c>
      <c r="W41" s="12">
        <v>16.0</v>
      </c>
      <c r="X41" s="1"/>
      <c r="Y41" s="1"/>
      <c r="Z41" s="1"/>
      <c r="AA41" s="1"/>
      <c r="AB41" s="12">
        <v>1.762447348E9</v>
      </c>
      <c r="AC41" s="1"/>
      <c r="AD41" s="1"/>
    </row>
    <row r="42">
      <c r="A42" s="1" t="s">
        <v>79</v>
      </c>
      <c r="B42" s="8" t="s">
        <v>34</v>
      </c>
      <c r="C42" s="10">
        <v>45919.62855324074</v>
      </c>
      <c r="D42" s="1" t="s">
        <v>79</v>
      </c>
      <c r="E42" s="1" t="s">
        <v>79</v>
      </c>
      <c r="F42" s="8" t="s">
        <v>183</v>
      </c>
      <c r="G42" s="1" t="s">
        <v>81</v>
      </c>
      <c r="H42" s="1" t="s">
        <v>82</v>
      </c>
      <c r="I42" s="1" t="s">
        <v>83</v>
      </c>
      <c r="J42" s="11" t="b">
        <v>0</v>
      </c>
      <c r="K42" s="8" t="s">
        <v>683</v>
      </c>
      <c r="L42" s="1"/>
      <c r="M42" s="1"/>
      <c r="N42" s="1"/>
      <c r="O42" s="1" t="s">
        <v>127</v>
      </c>
      <c r="P42" s="12">
        <v>1.0</v>
      </c>
      <c r="Q42" s="8" t="s">
        <v>684</v>
      </c>
      <c r="R42" s="8" t="s">
        <v>684</v>
      </c>
      <c r="S42" s="1" t="s">
        <v>84</v>
      </c>
      <c r="T42" s="1"/>
      <c r="U42" s="1" t="s">
        <v>138</v>
      </c>
      <c r="V42" s="12">
        <v>468.0</v>
      </c>
      <c r="W42" s="12">
        <v>5.0</v>
      </c>
      <c r="X42" s="1" t="s">
        <v>188</v>
      </c>
      <c r="Y42" s="12">
        <v>1.10144590741018E14</v>
      </c>
      <c r="Z42" s="1" t="s">
        <v>189</v>
      </c>
      <c r="AA42" s="1"/>
      <c r="AB42" s="12">
        <v>1.758294307E9</v>
      </c>
      <c r="AC42" s="1"/>
      <c r="AD42" s="1"/>
    </row>
    <row r="43">
      <c r="A43" s="1" t="s">
        <v>685</v>
      </c>
      <c r="B43" s="8" t="s">
        <v>34</v>
      </c>
      <c r="C43" s="10">
        <v>45912.06559027778</v>
      </c>
      <c r="D43" s="1" t="s">
        <v>685</v>
      </c>
      <c r="E43" s="1" t="s">
        <v>685</v>
      </c>
      <c r="F43" s="8" t="s">
        <v>686</v>
      </c>
      <c r="G43" s="1" t="s">
        <v>687</v>
      </c>
      <c r="H43" s="1" t="s">
        <v>227</v>
      </c>
      <c r="I43" s="1" t="s">
        <v>277</v>
      </c>
      <c r="J43" s="11" t="b">
        <v>1</v>
      </c>
      <c r="K43" s="8" t="s">
        <v>688</v>
      </c>
      <c r="L43" s="1" t="s">
        <v>490</v>
      </c>
      <c r="M43" s="1" t="s">
        <v>689</v>
      </c>
      <c r="N43" s="12">
        <v>6.152956308E9</v>
      </c>
      <c r="O43" s="1" t="s">
        <v>127</v>
      </c>
      <c r="P43" s="12">
        <v>1.0</v>
      </c>
      <c r="Q43" s="8" t="s">
        <v>690</v>
      </c>
      <c r="R43" s="8" t="s">
        <v>690</v>
      </c>
      <c r="S43" s="1" t="s">
        <v>691</v>
      </c>
      <c r="T43" s="1" t="s">
        <v>490</v>
      </c>
      <c r="U43" s="1" t="s">
        <v>138</v>
      </c>
      <c r="V43" s="12">
        <v>1020.0</v>
      </c>
      <c r="W43" s="12">
        <v>6.0</v>
      </c>
      <c r="X43" s="1" t="s">
        <v>292</v>
      </c>
      <c r="Y43" s="12">
        <v>2.13255513E8</v>
      </c>
      <c r="Z43" s="1" t="s">
        <v>293</v>
      </c>
      <c r="AA43" s="1"/>
      <c r="AB43" s="12">
        <v>1.757640867E9</v>
      </c>
      <c r="AC43" s="1"/>
      <c r="AD43" s="1"/>
    </row>
    <row r="44">
      <c r="A44" s="1" t="s">
        <v>101</v>
      </c>
      <c r="B44" s="8" t="s">
        <v>34</v>
      </c>
      <c r="C44" s="10">
        <v>45961.63209490741</v>
      </c>
      <c r="D44" s="1" t="s">
        <v>101</v>
      </c>
      <c r="E44" s="1" t="s">
        <v>101</v>
      </c>
      <c r="F44" s="8" t="s">
        <v>375</v>
      </c>
      <c r="G44" s="1" t="s">
        <v>102</v>
      </c>
      <c r="H44" s="1" t="s">
        <v>103</v>
      </c>
      <c r="I44" s="1" t="s">
        <v>104</v>
      </c>
      <c r="J44" s="11" t="b">
        <v>1</v>
      </c>
      <c r="K44" s="8" t="s">
        <v>692</v>
      </c>
      <c r="L44" s="1"/>
      <c r="M44" s="1"/>
      <c r="N44" s="1"/>
      <c r="O44" s="1" t="s">
        <v>127</v>
      </c>
      <c r="P44" s="12">
        <v>1.0</v>
      </c>
      <c r="Q44" s="8" t="s">
        <v>693</v>
      </c>
      <c r="R44" s="8" t="s">
        <v>693</v>
      </c>
      <c r="S44" s="1" t="s">
        <v>105</v>
      </c>
      <c r="T44" s="1"/>
      <c r="U44" s="1" t="s">
        <v>138</v>
      </c>
      <c r="V44" s="12">
        <v>472.0</v>
      </c>
      <c r="W44" s="12">
        <v>1.0</v>
      </c>
      <c r="X44" s="1" t="s">
        <v>379</v>
      </c>
      <c r="Y44" s="12">
        <v>1.31399200731233E14</v>
      </c>
      <c r="Z44" s="1" t="s">
        <v>380</v>
      </c>
      <c r="AA44" s="1"/>
      <c r="AB44" s="12">
        <v>1.761923413E9</v>
      </c>
      <c r="AC44" s="1"/>
      <c r="AD44" s="1"/>
    </row>
    <row r="45">
      <c r="A45" s="1" t="s">
        <v>694</v>
      </c>
      <c r="B45" s="8" t="s">
        <v>34</v>
      </c>
      <c r="C45" s="10">
        <v>45921.90972222222</v>
      </c>
      <c r="D45" s="1" t="s">
        <v>694</v>
      </c>
      <c r="E45" s="1" t="s">
        <v>694</v>
      </c>
      <c r="F45" s="8" t="s">
        <v>695</v>
      </c>
      <c r="G45" s="1" t="s">
        <v>696</v>
      </c>
      <c r="H45" s="1" t="s">
        <v>254</v>
      </c>
      <c r="I45" s="1" t="s">
        <v>255</v>
      </c>
      <c r="J45" s="11" t="b">
        <v>0</v>
      </c>
      <c r="K45" s="8" t="s">
        <v>697</v>
      </c>
      <c r="L45" s="1"/>
      <c r="M45" s="1"/>
      <c r="N45" s="1"/>
      <c r="O45" s="1" t="s">
        <v>127</v>
      </c>
      <c r="P45" s="12">
        <v>1.0</v>
      </c>
      <c r="Q45" s="8" t="s">
        <v>698</v>
      </c>
      <c r="R45" s="8" t="s">
        <v>698</v>
      </c>
      <c r="S45" s="1" t="s">
        <v>263</v>
      </c>
      <c r="T45" s="1"/>
      <c r="U45" s="1" t="s">
        <v>264</v>
      </c>
      <c r="V45" s="12">
        <v>0.0</v>
      </c>
      <c r="W45" s="12">
        <v>4.0</v>
      </c>
      <c r="X45" s="1" t="s">
        <v>260</v>
      </c>
      <c r="Y45" s="1" t="s">
        <v>261</v>
      </c>
      <c r="Z45" s="1" t="s">
        <v>262</v>
      </c>
      <c r="AA45" s="1"/>
      <c r="AB45" s="12">
        <v>1.7584914E9</v>
      </c>
      <c r="AC45" s="1"/>
      <c r="AD45" s="1" t="s">
        <v>24</v>
      </c>
    </row>
    <row r="46">
      <c r="A46" s="1" t="s">
        <v>699</v>
      </c>
      <c r="B46" s="8" t="s">
        <v>34</v>
      </c>
      <c r="C46" s="10">
        <v>45935.841782407406</v>
      </c>
      <c r="D46" s="1" t="s">
        <v>699</v>
      </c>
      <c r="E46" s="1" t="s">
        <v>699</v>
      </c>
      <c r="F46" s="8" t="s">
        <v>700</v>
      </c>
      <c r="G46" s="1" t="s">
        <v>701</v>
      </c>
      <c r="H46" s="1" t="s">
        <v>702</v>
      </c>
      <c r="I46" s="1" t="s">
        <v>703</v>
      </c>
      <c r="J46" s="11" t="b">
        <v>0</v>
      </c>
      <c r="K46" s="8" t="s">
        <v>704</v>
      </c>
      <c r="L46" s="1"/>
      <c r="M46" s="1"/>
      <c r="N46" s="1"/>
      <c r="O46" s="1" t="s">
        <v>127</v>
      </c>
      <c r="P46" s="12">
        <v>1.0</v>
      </c>
      <c r="Q46" s="8" t="s">
        <v>705</v>
      </c>
      <c r="R46" s="8" t="s">
        <v>705</v>
      </c>
      <c r="S46" s="1" t="s">
        <v>706</v>
      </c>
      <c r="T46" s="1"/>
      <c r="U46" s="1" t="s">
        <v>138</v>
      </c>
      <c r="V46" s="12">
        <v>851.0</v>
      </c>
      <c r="W46" s="12">
        <v>4.0</v>
      </c>
      <c r="X46" s="1"/>
      <c r="Y46" s="1"/>
      <c r="Z46" s="1"/>
      <c r="AA46" s="1"/>
      <c r="AB46" s="12">
        <v>1.75969513E9</v>
      </c>
      <c r="AC46" s="1"/>
      <c r="AD46" s="1"/>
    </row>
    <row r="47">
      <c r="A47" s="1" t="s">
        <v>707</v>
      </c>
      <c r="B47" s="8" t="s">
        <v>34</v>
      </c>
      <c r="C47" s="10">
        <v>45938.703680555554</v>
      </c>
      <c r="D47" s="1" t="s">
        <v>707</v>
      </c>
      <c r="E47" s="1" t="s">
        <v>707</v>
      </c>
      <c r="F47" s="8" t="s">
        <v>708</v>
      </c>
      <c r="G47" s="1" t="s">
        <v>709</v>
      </c>
      <c r="H47" s="1" t="s">
        <v>710</v>
      </c>
      <c r="I47" s="1" t="s">
        <v>711</v>
      </c>
      <c r="J47" s="11" t="b">
        <v>1</v>
      </c>
      <c r="K47" s="8" t="s">
        <v>712</v>
      </c>
      <c r="L47" s="1"/>
      <c r="M47" s="1"/>
      <c r="N47" s="1"/>
      <c r="O47" s="1" t="s">
        <v>127</v>
      </c>
      <c r="P47" s="12">
        <v>1.0</v>
      </c>
      <c r="Q47" s="8" t="s">
        <v>713</v>
      </c>
      <c r="R47" s="8" t="s">
        <v>713</v>
      </c>
      <c r="S47" s="1" t="s">
        <v>714</v>
      </c>
      <c r="T47" s="1"/>
      <c r="U47" s="1" t="s">
        <v>138</v>
      </c>
      <c r="V47" s="12">
        <v>2030.0</v>
      </c>
      <c r="W47" s="12">
        <v>36.0</v>
      </c>
      <c r="X47" s="1" t="s">
        <v>715</v>
      </c>
      <c r="Y47" s="12">
        <v>2.29263794E8</v>
      </c>
      <c r="Z47" s="1" t="s">
        <v>716</v>
      </c>
      <c r="AA47" s="1"/>
      <c r="AB47" s="12">
        <v>1.759942398E9</v>
      </c>
      <c r="AC47" s="1"/>
      <c r="AD47" s="1"/>
    </row>
    <row r="48">
      <c r="A48" s="1" t="s">
        <v>717</v>
      </c>
      <c r="B48" s="8" t="s">
        <v>34</v>
      </c>
      <c r="C48" s="10">
        <v>45952.96196759259</v>
      </c>
      <c r="D48" s="1" t="s">
        <v>717</v>
      </c>
      <c r="E48" s="1" t="s">
        <v>717</v>
      </c>
      <c r="F48" s="8" t="s">
        <v>718</v>
      </c>
      <c r="G48" s="1" t="s">
        <v>719</v>
      </c>
      <c r="H48" s="1" t="s">
        <v>315</v>
      </c>
      <c r="I48" s="1" t="s">
        <v>316</v>
      </c>
      <c r="J48" s="11" t="b">
        <v>0</v>
      </c>
      <c r="K48" s="8" t="s">
        <v>720</v>
      </c>
      <c r="L48" s="1"/>
      <c r="M48" s="1"/>
      <c r="N48" s="1"/>
      <c r="O48" s="1" t="s">
        <v>127</v>
      </c>
      <c r="P48" s="12">
        <v>1.0</v>
      </c>
      <c r="Q48" s="8" t="s">
        <v>721</v>
      </c>
      <c r="R48" s="8" t="s">
        <v>721</v>
      </c>
      <c r="S48" s="1" t="s">
        <v>722</v>
      </c>
      <c r="T48" s="1"/>
      <c r="U48" s="1" t="s">
        <v>138</v>
      </c>
      <c r="V48" s="12">
        <v>1248.0</v>
      </c>
      <c r="W48" s="12">
        <v>9.0</v>
      </c>
      <c r="X48" s="1" t="s">
        <v>327</v>
      </c>
      <c r="Y48" s="12">
        <v>9.80018672169364E14</v>
      </c>
      <c r="Z48" s="1" t="s">
        <v>328</v>
      </c>
      <c r="AA48" s="1"/>
      <c r="AB48" s="12">
        <v>1.761174314E9</v>
      </c>
      <c r="AC48" s="1"/>
      <c r="AD48" s="1"/>
    </row>
    <row r="49">
      <c r="A49" s="1" t="s">
        <v>723</v>
      </c>
      <c r="B49" s="8" t="s">
        <v>34</v>
      </c>
      <c r="C49" s="10">
        <v>45986.78498842593</v>
      </c>
      <c r="D49" s="1" t="s">
        <v>723</v>
      </c>
      <c r="E49" s="1" t="s">
        <v>723</v>
      </c>
      <c r="F49" s="8" t="s">
        <v>724</v>
      </c>
      <c r="G49" s="1" t="s">
        <v>725</v>
      </c>
      <c r="H49" s="1" t="s">
        <v>726</v>
      </c>
      <c r="I49" s="1" t="s">
        <v>727</v>
      </c>
      <c r="J49" s="11" t="b">
        <v>1</v>
      </c>
      <c r="K49" s="8" t="s">
        <v>728</v>
      </c>
      <c r="L49" s="1"/>
      <c r="M49" s="1"/>
      <c r="N49" s="1"/>
      <c r="O49" s="1" t="s">
        <v>127</v>
      </c>
      <c r="P49" s="12">
        <v>15.0</v>
      </c>
      <c r="Q49" s="1" t="s">
        <v>729</v>
      </c>
      <c r="R49" s="1" t="s">
        <v>729</v>
      </c>
      <c r="S49" s="1" t="s">
        <v>730</v>
      </c>
      <c r="T49" s="1"/>
      <c r="U49" s="1" t="s">
        <v>264</v>
      </c>
      <c r="V49" s="12">
        <v>0.0</v>
      </c>
      <c r="W49" s="12">
        <v>104.0</v>
      </c>
      <c r="X49" s="1"/>
      <c r="Y49" s="1"/>
      <c r="Z49" s="1"/>
      <c r="AA49" s="1"/>
      <c r="AB49" s="12">
        <v>1.764096623E9</v>
      </c>
      <c r="AC49" s="1"/>
      <c r="AD49" s="1" t="s">
        <v>24</v>
      </c>
    </row>
    <row r="50">
      <c r="A50" s="1" t="s">
        <v>106</v>
      </c>
      <c r="B50" s="8" t="s">
        <v>34</v>
      </c>
      <c r="C50" s="10">
        <v>45901.92747685185</v>
      </c>
      <c r="D50" s="1" t="s">
        <v>106</v>
      </c>
      <c r="E50" s="1" t="s">
        <v>106</v>
      </c>
      <c r="F50" s="8" t="s">
        <v>176</v>
      </c>
      <c r="G50" s="1" t="s">
        <v>107</v>
      </c>
      <c r="H50" s="1" t="s">
        <v>108</v>
      </c>
      <c r="I50" s="1" t="s">
        <v>109</v>
      </c>
      <c r="J50" s="11" t="b">
        <v>1</v>
      </c>
      <c r="K50" s="8" t="s">
        <v>731</v>
      </c>
      <c r="L50" s="1"/>
      <c r="M50" s="1"/>
      <c r="N50" s="1"/>
      <c r="O50" s="1" t="s">
        <v>127</v>
      </c>
      <c r="P50" s="12">
        <v>8.0</v>
      </c>
      <c r="Q50" s="1" t="s">
        <v>732</v>
      </c>
      <c r="R50" s="1" t="s">
        <v>732</v>
      </c>
      <c r="S50" s="1" t="s">
        <v>110</v>
      </c>
      <c r="T50" s="1"/>
      <c r="U50" s="1" t="s">
        <v>138</v>
      </c>
      <c r="V50" s="12">
        <v>10051.0</v>
      </c>
      <c r="W50" s="12">
        <v>125.0</v>
      </c>
      <c r="X50" s="1"/>
      <c r="Y50" s="1"/>
      <c r="Z50" s="1"/>
      <c r="AA50" s="1"/>
      <c r="AB50" s="12">
        <v>1.756764934E9</v>
      </c>
      <c r="AC50" s="1"/>
      <c r="AD50" s="1"/>
    </row>
    <row r="51">
      <c r="A51" s="1" t="s">
        <v>111</v>
      </c>
      <c r="B51" s="8" t="s">
        <v>34</v>
      </c>
      <c r="C51" s="10">
        <v>45913.958553240744</v>
      </c>
      <c r="D51" s="1" t="s">
        <v>111</v>
      </c>
      <c r="E51" s="1" t="s">
        <v>111</v>
      </c>
      <c r="F51" s="8" t="s">
        <v>298</v>
      </c>
      <c r="G51" s="1" t="s">
        <v>112</v>
      </c>
      <c r="H51" s="1" t="s">
        <v>113</v>
      </c>
      <c r="I51" s="1" t="s">
        <v>114</v>
      </c>
      <c r="J51" s="11" t="b">
        <v>0</v>
      </c>
      <c r="K51" s="8" t="s">
        <v>733</v>
      </c>
      <c r="L51" s="1"/>
      <c r="M51" s="1"/>
      <c r="N51" s="1"/>
      <c r="O51" s="1" t="s">
        <v>127</v>
      </c>
      <c r="P51" s="12">
        <v>6.0</v>
      </c>
      <c r="Q51" s="1" t="s">
        <v>734</v>
      </c>
      <c r="R51" s="1" t="s">
        <v>734</v>
      </c>
      <c r="S51" s="1" t="s">
        <v>115</v>
      </c>
      <c r="T51" s="1"/>
      <c r="U51" s="1" t="s">
        <v>138</v>
      </c>
      <c r="V51" s="12">
        <v>3222.0</v>
      </c>
      <c r="W51" s="12">
        <v>37.0</v>
      </c>
      <c r="X51" s="1"/>
      <c r="Y51" s="1"/>
      <c r="Z51" s="1"/>
      <c r="AA51" s="1"/>
      <c r="AB51" s="12">
        <v>1.757804419E9</v>
      </c>
      <c r="AC51" s="1"/>
      <c r="AD51" s="1"/>
    </row>
    <row r="52">
      <c r="A52" s="1" t="s">
        <v>735</v>
      </c>
      <c r="B52" s="8" t="s">
        <v>34</v>
      </c>
      <c r="C52" s="10">
        <v>45985.595138888886</v>
      </c>
      <c r="D52" s="1" t="s">
        <v>735</v>
      </c>
      <c r="E52" s="1" t="s">
        <v>735</v>
      </c>
      <c r="F52" s="8" t="s">
        <v>736</v>
      </c>
      <c r="G52" s="1" t="s">
        <v>737</v>
      </c>
      <c r="H52" s="1" t="s">
        <v>279</v>
      </c>
      <c r="I52" s="1" t="s">
        <v>280</v>
      </c>
      <c r="J52" s="11" t="b">
        <v>1</v>
      </c>
      <c r="K52" s="8" t="s">
        <v>738</v>
      </c>
      <c r="L52" s="1"/>
      <c r="M52" s="1"/>
      <c r="N52" s="1"/>
      <c r="O52" s="1" t="s">
        <v>127</v>
      </c>
      <c r="P52" s="12">
        <v>8.0</v>
      </c>
      <c r="Q52" s="1" t="s">
        <v>739</v>
      </c>
      <c r="R52" s="1" t="s">
        <v>739</v>
      </c>
      <c r="S52" s="1" t="s">
        <v>740</v>
      </c>
      <c r="T52" s="1"/>
      <c r="U52" s="1" t="s">
        <v>138</v>
      </c>
      <c r="V52" s="12">
        <v>170.0</v>
      </c>
      <c r="W52" s="12">
        <v>16.0</v>
      </c>
      <c r="X52" s="1"/>
      <c r="Y52" s="1"/>
      <c r="Z52" s="1"/>
      <c r="AA52" s="1"/>
      <c r="AB52" s="12">
        <v>1.76399382E9</v>
      </c>
      <c r="AC52" s="1"/>
      <c r="AD52" s="1"/>
    </row>
    <row r="53">
      <c r="A53" s="1" t="s">
        <v>741</v>
      </c>
      <c r="B53" s="8" t="s">
        <v>34</v>
      </c>
      <c r="C53" s="10">
        <v>45932.85456018519</v>
      </c>
      <c r="D53" s="1" t="s">
        <v>741</v>
      </c>
      <c r="E53" s="1" t="s">
        <v>741</v>
      </c>
      <c r="F53" s="8" t="s">
        <v>742</v>
      </c>
      <c r="G53" s="1" t="s">
        <v>743</v>
      </c>
      <c r="H53" s="1" t="s">
        <v>123</v>
      </c>
      <c r="I53" s="1" t="s">
        <v>124</v>
      </c>
      <c r="J53" s="11" t="b">
        <v>0</v>
      </c>
      <c r="K53" s="8" t="s">
        <v>744</v>
      </c>
      <c r="L53" s="1"/>
      <c r="M53" s="1"/>
      <c r="N53" s="1"/>
      <c r="O53" s="1" t="s">
        <v>127</v>
      </c>
      <c r="P53" s="12">
        <v>6.0</v>
      </c>
      <c r="Q53" s="1" t="s">
        <v>745</v>
      </c>
      <c r="R53" s="1" t="s">
        <v>745</v>
      </c>
      <c r="S53" s="1" t="s">
        <v>746</v>
      </c>
      <c r="T53" s="1"/>
      <c r="U53" s="1" t="s">
        <v>138</v>
      </c>
      <c r="V53" s="12">
        <v>112.0</v>
      </c>
      <c r="W53" s="12">
        <v>1.0</v>
      </c>
      <c r="X53" s="1" t="s">
        <v>218</v>
      </c>
      <c r="Y53" s="12">
        <v>1.67267413401439E14</v>
      </c>
      <c r="Z53" s="1" t="s">
        <v>219</v>
      </c>
      <c r="AA53" s="1"/>
      <c r="AB53" s="12">
        <v>1.759437034E9</v>
      </c>
      <c r="AC53" s="1"/>
      <c r="AD53" s="1"/>
    </row>
    <row r="54">
      <c r="A54" s="1" t="s">
        <v>46</v>
      </c>
      <c r="B54" s="8" t="s">
        <v>34</v>
      </c>
      <c r="C54" s="10">
        <v>45958.45392361111</v>
      </c>
      <c r="D54" s="1" t="s">
        <v>46</v>
      </c>
      <c r="E54" s="1" t="s">
        <v>46</v>
      </c>
      <c r="F54" s="8" t="s">
        <v>363</v>
      </c>
      <c r="G54" s="1" t="s">
        <v>47</v>
      </c>
      <c r="H54" s="1" t="s">
        <v>48</v>
      </c>
      <c r="I54" s="1" t="s">
        <v>49</v>
      </c>
      <c r="J54" s="11" t="b">
        <v>1</v>
      </c>
      <c r="K54" s="8" t="s">
        <v>747</v>
      </c>
      <c r="L54" s="1"/>
      <c r="M54" s="1"/>
      <c r="N54" s="1"/>
      <c r="O54" s="1" t="s">
        <v>127</v>
      </c>
      <c r="P54" s="12">
        <v>9.0</v>
      </c>
      <c r="Q54" s="1" t="s">
        <v>748</v>
      </c>
      <c r="R54" s="1" t="s">
        <v>748</v>
      </c>
      <c r="S54" s="1" t="s">
        <v>50</v>
      </c>
      <c r="T54" s="1"/>
      <c r="U54" s="1" t="s">
        <v>138</v>
      </c>
      <c r="V54" s="12">
        <v>742.0</v>
      </c>
      <c r="W54" s="12">
        <v>19.0</v>
      </c>
      <c r="X54" s="1"/>
      <c r="Y54" s="1"/>
      <c r="Z54" s="1"/>
      <c r="AA54" s="1"/>
      <c r="AB54" s="12">
        <v>1.761648819E9</v>
      </c>
      <c r="AC54" s="1"/>
      <c r="AD54" s="1"/>
    </row>
    <row r="55">
      <c r="A55" s="1" t="s">
        <v>749</v>
      </c>
      <c r="B55" s="8" t="s">
        <v>34</v>
      </c>
      <c r="C55" s="10">
        <v>45971.44306712963</v>
      </c>
      <c r="D55" s="1" t="s">
        <v>749</v>
      </c>
      <c r="E55" s="1" t="s">
        <v>749</v>
      </c>
      <c r="F55" s="8" t="s">
        <v>750</v>
      </c>
      <c r="G55" s="1" t="s">
        <v>751</v>
      </c>
      <c r="H55" s="1" t="s">
        <v>752</v>
      </c>
      <c r="I55" s="1" t="s">
        <v>753</v>
      </c>
      <c r="J55" s="11" t="b">
        <v>1</v>
      </c>
      <c r="K55" s="8" t="s">
        <v>754</v>
      </c>
      <c r="L55" s="1"/>
      <c r="M55" s="1"/>
      <c r="N55" s="1"/>
      <c r="O55" s="1" t="s">
        <v>127</v>
      </c>
      <c r="P55" s="12">
        <v>6.0</v>
      </c>
      <c r="Q55" s="1" t="s">
        <v>755</v>
      </c>
      <c r="R55" s="1" t="s">
        <v>755</v>
      </c>
      <c r="S55" s="1" t="s">
        <v>756</v>
      </c>
      <c r="T55" s="1"/>
      <c r="U55" s="1" t="s">
        <v>264</v>
      </c>
      <c r="V55" s="12">
        <v>0.0</v>
      </c>
      <c r="W55" s="12">
        <v>76.0</v>
      </c>
      <c r="X55" s="1" t="s">
        <v>757</v>
      </c>
      <c r="Y55" s="12">
        <v>1.59262027502561E14</v>
      </c>
      <c r="Z55" s="1" t="s">
        <v>758</v>
      </c>
      <c r="AA55" s="1"/>
      <c r="AB55" s="12">
        <v>1.762771081E9</v>
      </c>
      <c r="AC55" s="1"/>
      <c r="AD55" s="1" t="s">
        <v>24</v>
      </c>
    </row>
    <row r="56">
      <c r="A56" s="1" t="s">
        <v>759</v>
      </c>
      <c r="B56" s="8" t="s">
        <v>34</v>
      </c>
      <c r="C56" s="10">
        <v>45965.8843287037</v>
      </c>
      <c r="D56" s="1" t="s">
        <v>759</v>
      </c>
      <c r="E56" s="1" t="s">
        <v>759</v>
      </c>
      <c r="F56" s="8" t="s">
        <v>760</v>
      </c>
      <c r="G56" s="1" t="s">
        <v>761</v>
      </c>
      <c r="H56" s="1" t="s">
        <v>108</v>
      </c>
      <c r="I56" s="1" t="s">
        <v>109</v>
      </c>
      <c r="J56" s="11" t="b">
        <v>1</v>
      </c>
      <c r="K56" s="8" t="s">
        <v>762</v>
      </c>
      <c r="L56" s="1"/>
      <c r="M56" s="1"/>
      <c r="N56" s="1"/>
      <c r="O56" s="1" t="s">
        <v>127</v>
      </c>
      <c r="P56" s="12">
        <v>8.0</v>
      </c>
      <c r="Q56" s="1" t="s">
        <v>763</v>
      </c>
      <c r="R56" s="1" t="s">
        <v>763</v>
      </c>
      <c r="S56" s="1" t="s">
        <v>764</v>
      </c>
      <c r="T56" s="1"/>
      <c r="U56" s="1" t="s">
        <v>138</v>
      </c>
      <c r="V56" s="12">
        <v>3344.0</v>
      </c>
      <c r="W56" s="12">
        <v>32.0</v>
      </c>
      <c r="X56" s="1"/>
      <c r="Y56" s="1"/>
      <c r="Z56" s="1"/>
      <c r="AA56" s="1"/>
      <c r="AB56" s="12">
        <v>1.762290806E9</v>
      </c>
      <c r="AC56" s="1"/>
      <c r="AD56" s="1"/>
    </row>
  </sheetData>
  <hyperlinks>
    <hyperlink r:id="rId1" ref="B2"/>
    <hyperlink r:id="rId2" ref="F2"/>
    <hyperlink r:id="rId3" ref="K2"/>
    <hyperlink r:id="rId4" ref="B3"/>
    <hyperlink r:id="rId5" ref="F3"/>
    <hyperlink r:id="rId6" ref="K3"/>
    <hyperlink r:id="rId7" ref="B4"/>
    <hyperlink r:id="rId8" ref="F4"/>
    <hyperlink r:id="rId9" ref="K4"/>
    <hyperlink r:id="rId10" ref="B5"/>
    <hyperlink r:id="rId11" ref="F5"/>
    <hyperlink r:id="rId12" ref="K5"/>
    <hyperlink r:id="rId13" ref="B6"/>
    <hyperlink r:id="rId14" ref="F6"/>
    <hyperlink r:id="rId15" ref="K6"/>
    <hyperlink r:id="rId16" ref="B7"/>
    <hyperlink r:id="rId17" ref="F7"/>
    <hyperlink r:id="rId18" ref="K7"/>
    <hyperlink r:id="rId19" ref="B8"/>
    <hyperlink r:id="rId20" ref="F8"/>
    <hyperlink r:id="rId21" ref="K8"/>
    <hyperlink r:id="rId22" ref="Q8"/>
    <hyperlink r:id="rId23" ref="R8"/>
    <hyperlink r:id="rId24" ref="B9"/>
    <hyperlink r:id="rId25" ref="F9"/>
    <hyperlink r:id="rId26" ref="K9"/>
    <hyperlink r:id="rId27" ref="B10"/>
    <hyperlink r:id="rId28" ref="F10"/>
    <hyperlink r:id="rId29" ref="K10"/>
    <hyperlink r:id="rId30" ref="B11"/>
    <hyperlink r:id="rId31" ref="F11"/>
    <hyperlink r:id="rId32" ref="K11"/>
    <hyperlink r:id="rId33" ref="B12"/>
    <hyperlink r:id="rId34" ref="F12"/>
    <hyperlink r:id="rId35" ref="K12"/>
    <hyperlink r:id="rId36" ref="B13"/>
    <hyperlink r:id="rId37" ref="F13"/>
    <hyperlink r:id="rId38" ref="K13"/>
    <hyperlink r:id="rId39" ref="Q13"/>
    <hyperlink r:id="rId40" ref="R13"/>
    <hyperlink r:id="rId41" ref="B14"/>
    <hyperlink r:id="rId42" ref="F14"/>
    <hyperlink r:id="rId43" ref="K14"/>
    <hyperlink r:id="rId44" ref="Q14"/>
    <hyperlink r:id="rId45" ref="R14"/>
    <hyperlink r:id="rId46" ref="B15"/>
    <hyperlink r:id="rId47" ref="F15"/>
    <hyperlink r:id="rId48" ref="K15"/>
    <hyperlink r:id="rId49" ref="B16"/>
    <hyperlink r:id="rId50" ref="F16"/>
    <hyperlink r:id="rId51" ref="K16"/>
    <hyperlink r:id="rId52" ref="Q16"/>
    <hyperlink r:id="rId53" ref="R16"/>
    <hyperlink r:id="rId54" ref="B17"/>
    <hyperlink r:id="rId55" ref="F17"/>
    <hyperlink r:id="rId56" ref="K17"/>
    <hyperlink r:id="rId57" ref="B18"/>
    <hyperlink r:id="rId58" ref="F18"/>
    <hyperlink r:id="rId59" ref="K18"/>
    <hyperlink r:id="rId60" ref="B19"/>
    <hyperlink r:id="rId61" ref="F19"/>
    <hyperlink r:id="rId62" ref="K19"/>
    <hyperlink r:id="rId63" ref="B20"/>
    <hyperlink r:id="rId64" ref="F20"/>
    <hyperlink r:id="rId65" ref="K20"/>
    <hyperlink r:id="rId66" ref="B21"/>
    <hyperlink r:id="rId67" ref="F21"/>
    <hyperlink r:id="rId68" ref="K21"/>
    <hyperlink r:id="rId69" ref="B22"/>
    <hyperlink r:id="rId70" ref="F22"/>
    <hyperlink r:id="rId71" ref="K22"/>
    <hyperlink r:id="rId72" ref="Q22"/>
    <hyperlink r:id="rId73" ref="R22"/>
    <hyperlink r:id="rId74" ref="B23"/>
    <hyperlink r:id="rId75" ref="F23"/>
    <hyperlink r:id="rId76" ref="K23"/>
    <hyperlink r:id="rId77" ref="B24"/>
    <hyperlink r:id="rId78" ref="F24"/>
    <hyperlink r:id="rId79" ref="K24"/>
    <hyperlink r:id="rId80" ref="B25"/>
    <hyperlink r:id="rId81" ref="F25"/>
    <hyperlink r:id="rId82" ref="K25"/>
    <hyperlink r:id="rId83" ref="B26"/>
    <hyperlink r:id="rId84" ref="F26"/>
    <hyperlink r:id="rId85" ref="K26"/>
    <hyperlink r:id="rId86" ref="Q26"/>
    <hyperlink r:id="rId87" ref="R26"/>
    <hyperlink r:id="rId88" ref="B27"/>
    <hyperlink r:id="rId89" ref="F27"/>
    <hyperlink r:id="rId90" ref="K27"/>
    <hyperlink r:id="rId91" ref="Q27"/>
    <hyperlink r:id="rId92" ref="R27"/>
    <hyperlink r:id="rId93" ref="B28"/>
    <hyperlink r:id="rId94" ref="F28"/>
    <hyperlink r:id="rId95" ref="K28"/>
    <hyperlink r:id="rId96" ref="B29"/>
    <hyperlink r:id="rId97" ref="F29"/>
    <hyperlink r:id="rId98" ref="K29"/>
    <hyperlink r:id="rId99" ref="B30"/>
    <hyperlink r:id="rId100" ref="F30"/>
    <hyperlink r:id="rId101" ref="K30"/>
    <hyperlink r:id="rId102" ref="B31"/>
    <hyperlink r:id="rId103" ref="F31"/>
    <hyperlink r:id="rId104" ref="K31"/>
    <hyperlink r:id="rId105" ref="B32"/>
    <hyperlink r:id="rId106" ref="F32"/>
    <hyperlink r:id="rId107" ref="K32"/>
    <hyperlink r:id="rId108" ref="Q32"/>
    <hyperlink r:id="rId109" ref="R32"/>
    <hyperlink r:id="rId110" ref="B33"/>
    <hyperlink r:id="rId111" ref="F33"/>
    <hyperlink r:id="rId112" ref="K33"/>
    <hyperlink r:id="rId113" ref="B34"/>
    <hyperlink r:id="rId114" ref="F34"/>
    <hyperlink r:id="rId115" ref="K34"/>
    <hyperlink r:id="rId116" ref="Q34"/>
    <hyperlink r:id="rId117" ref="R34"/>
    <hyperlink r:id="rId118" ref="B35"/>
    <hyperlink r:id="rId119" ref="F35"/>
    <hyperlink r:id="rId120" ref="K35"/>
    <hyperlink r:id="rId121" ref="B36"/>
    <hyperlink r:id="rId122" ref="F36"/>
    <hyperlink r:id="rId123" ref="K36"/>
    <hyperlink r:id="rId124" ref="B37"/>
    <hyperlink r:id="rId125" ref="F37"/>
    <hyperlink r:id="rId126" ref="K37"/>
    <hyperlink r:id="rId127" ref="B38"/>
    <hyperlink r:id="rId128" ref="F38"/>
    <hyperlink r:id="rId129" ref="K38"/>
    <hyperlink r:id="rId130" ref="Q38"/>
    <hyperlink r:id="rId131" ref="R38"/>
    <hyperlink r:id="rId132" ref="B39"/>
    <hyperlink r:id="rId133" ref="F39"/>
    <hyperlink r:id="rId134" ref="K39"/>
    <hyperlink r:id="rId135" ref="Q39"/>
    <hyperlink r:id="rId136" ref="R39"/>
    <hyperlink r:id="rId137" ref="B40"/>
    <hyperlink r:id="rId138" ref="F40"/>
    <hyperlink r:id="rId139" ref="K40"/>
    <hyperlink r:id="rId140" ref="Q40"/>
    <hyperlink r:id="rId141" ref="R40"/>
    <hyperlink r:id="rId142" ref="B41"/>
    <hyperlink r:id="rId143" ref="F41"/>
    <hyperlink r:id="rId144" ref="K41"/>
    <hyperlink r:id="rId145" ref="Q41"/>
    <hyperlink r:id="rId146" ref="R41"/>
    <hyperlink r:id="rId147" ref="B42"/>
    <hyperlink r:id="rId148" ref="F42"/>
    <hyperlink r:id="rId149" ref="K42"/>
    <hyperlink r:id="rId150" ref="Q42"/>
    <hyperlink r:id="rId151" ref="R42"/>
    <hyperlink r:id="rId152" ref="B43"/>
    <hyperlink r:id="rId153" ref="F43"/>
    <hyperlink r:id="rId154" ref="K43"/>
    <hyperlink r:id="rId155" ref="Q43"/>
    <hyperlink r:id="rId156" ref="R43"/>
    <hyperlink r:id="rId157" ref="B44"/>
    <hyperlink r:id="rId158" ref="F44"/>
    <hyperlink r:id="rId159" ref="K44"/>
    <hyperlink r:id="rId160" ref="Q44"/>
    <hyperlink r:id="rId161" ref="R44"/>
    <hyperlink r:id="rId162" ref="B45"/>
    <hyperlink r:id="rId163" ref="F45"/>
    <hyperlink r:id="rId164" ref="K45"/>
    <hyperlink r:id="rId165" ref="Q45"/>
    <hyperlink r:id="rId166" ref="R45"/>
    <hyperlink r:id="rId167" ref="B46"/>
    <hyperlink r:id="rId168" ref="F46"/>
    <hyperlink r:id="rId169" ref="K46"/>
    <hyperlink r:id="rId170" ref="Q46"/>
    <hyperlink r:id="rId171" ref="R46"/>
    <hyperlink r:id="rId172" ref="B47"/>
    <hyperlink r:id="rId173" ref="F47"/>
    <hyperlink r:id="rId174" ref="K47"/>
    <hyperlink r:id="rId175" ref="Q47"/>
    <hyperlink r:id="rId176" ref="R47"/>
    <hyperlink r:id="rId177" ref="B48"/>
    <hyperlink r:id="rId178" ref="F48"/>
    <hyperlink r:id="rId179" ref="K48"/>
    <hyperlink r:id="rId180" ref="Q48"/>
    <hyperlink r:id="rId181" ref="R48"/>
    <hyperlink r:id="rId182" ref="B49"/>
    <hyperlink r:id="rId183" ref="F49"/>
    <hyperlink r:id="rId184" ref="K49"/>
    <hyperlink r:id="rId185" ref="B50"/>
    <hyperlink r:id="rId186" ref="F50"/>
    <hyperlink r:id="rId187" ref="K50"/>
    <hyperlink r:id="rId188" ref="B51"/>
    <hyperlink r:id="rId189" ref="F51"/>
    <hyperlink r:id="rId190" ref="K51"/>
    <hyperlink r:id="rId191" ref="B52"/>
    <hyperlink r:id="rId192" ref="F52"/>
    <hyperlink r:id="rId193" ref="K52"/>
    <hyperlink r:id="rId194" ref="B53"/>
    <hyperlink r:id="rId195" ref="F53"/>
    <hyperlink r:id="rId196" ref="K53"/>
    <hyperlink r:id="rId197" ref="B54"/>
    <hyperlink r:id="rId198" ref="F54"/>
    <hyperlink r:id="rId199" ref="K54"/>
    <hyperlink r:id="rId200" ref="B55"/>
    <hyperlink r:id="rId201" ref="F55"/>
    <hyperlink r:id="rId202" ref="K55"/>
    <hyperlink r:id="rId203" ref="B56"/>
    <hyperlink r:id="rId204" ref="F56"/>
    <hyperlink r:id="rId205" ref="K56"/>
  </hyperlinks>
  <drawing r:id="rId20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0.88"/>
    <col customWidth="1" min="7" max="7" width="13.63"/>
    <col customWidth="1" min="8" max="8" width="12.88"/>
  </cols>
  <sheetData>
    <row r="1">
      <c r="A1" s="3" t="s">
        <v>1</v>
      </c>
      <c r="F1" s="3" t="s">
        <v>14</v>
      </c>
      <c r="G1" s="3" t="s">
        <v>18</v>
      </c>
      <c r="I1" s="3"/>
    </row>
    <row r="2">
      <c r="A2" s="5" t="str">
        <f>IFERROR(__xludf.DUMMYFUNCTION("FILTER(
  CHOOSECOLS(
    dataset_1!A:W,
    1, 7, 8, 9, 19
  ),
  COUNTIF(
    dataset_2!A:A,
    dataset_1!A:A
  )
)"),"id")</f>
        <v>id</v>
      </c>
      <c r="B2" s="5" t="str">
        <f>IFERROR(__xludf.DUMMYFUNCTION("""COMPUTED_VALUE"""),"body")</f>
        <v>body</v>
      </c>
      <c r="C2" s="5" t="str">
        <f>IFERROR(__xludf.DUMMYFUNCTION("""COMPUTED_VALUE"""),"author")</f>
        <v>author</v>
      </c>
      <c r="D2" s="5" t="str">
        <f>IFERROR(__xludf.DUMMYFUNCTION("""COMPUTED_VALUE"""),"author_fullname")</f>
        <v>author_fullname</v>
      </c>
      <c r="E2" s="5" t="str">
        <f>IFERROR(__xludf.DUMMYFUNCTION("""COMPUTED_VALUE"""),"hashtags")</f>
        <v>hashtags</v>
      </c>
      <c r="F2" s="6" t="s">
        <v>35</v>
      </c>
      <c r="G2" s="5" t="str">
        <f t="array" ref="G2:G1000">IF(
    A2:A1000 = "",
    ,
    VLOOKUP(
      A2:A1000,
      dataset_2!A:W,
      22,
      FALSE
    )
  )</f>
        <v>num_likes</v>
      </c>
      <c r="H2" s="5" t="str">
        <f t="array" ref="H2:H1000">IF(
    A2:A1000 = "",
    ,
    VLOOKUP(
      A2:A1000,
      dataset_2!A:W,
      23,
      FALSE
    )
  )</f>
        <v>num_comments</v>
      </c>
      <c r="I2" s="5"/>
    </row>
    <row r="3">
      <c r="A3" s="5" t="str">
        <f>IFERROR(__xludf.DUMMYFUNCTION("""COMPUTED_VALUE"""),"DODha0QkZcC")</f>
        <v>DODha0QkZcC</v>
      </c>
      <c r="B3" s="5" t="str">
        <f>IFERROR(__xludf.DUMMYFUNCTION("""COMPUTED_VALUE"""),"🧠✨ Você se identificou com esses comportamentos?
Sensibilidade à crítica, reatância, sobrecarga, paralisia, autocrítica cruel… tudo isso pode ter uma explicação!
A verdade é que quem tem TDAH não está “fazendo corpo mole” ou “dramatizando”.
🔥 Existe um"&amp;" funcionamento diferente acontecendo – e entender isso muda tudo!
💬 Comente TDAH aqui embaixo 👇
e te envio no direct um material especial com estratégias simples e eficazes pra começar a mudar sua rotina ainda hoje!
#tdahta #tdahadulto
#audiçãoseletiv"&amp;"a #tdahsintomas
#tdahrelatos
#tdahrelacionamentos #tdah")</f>
        <v>🧠✨ Você se identificou com esses comportamentos?
Sensibilidade à crítica, reatância, sobrecarga, paralisia, autocrítica cruel… tudo isso pode ter uma explicação!
A verdade é que quem tem TDAH não está “fazendo corpo mole” ou “dramatizando”.
🔥 Existe um funcionamento diferente acontecendo – e entender isso muda tudo!
💬 Comente TDAH aqui embaixo 👇
e te envio no direct um material especial com estratégias simples e eficazes pra começar a mudar sua rotina ainda hoje!
#tdahta #tdahadulto
#audiçãoseletiva #tdahsintomas
#tdahrelatos
#tdahrelacionamentos #tdah</v>
      </c>
      <c r="C3" s="5" t="str">
        <f>IFERROR(__xludf.DUMMYFUNCTION("""COMPUTED_VALUE"""),"desafios.tdah")</f>
        <v>desafios.tdah</v>
      </c>
      <c r="D3" s="5" t="str">
        <f>IFERROR(__xludf.DUMMYFUNCTION("""COMPUTED_VALUE"""),"Wellington Ribeiro | MEU TDAH")</f>
        <v>Wellington Ribeiro | MEU TDAH</v>
      </c>
      <c r="E3" s="5" t="str">
        <f>IFERROR(__xludf.DUMMYFUNCTION("""COMPUTED_VALUE"""),"tdahta,tdahadulto,audiçãoseletiva,tdahsintomas,tdahrelatos,tdahrelacionamentos,tdah")</f>
        <v>tdahta,tdahadulto,audiçãoseletiva,tdahsintomas,tdahrelatos,tdahrelacionamentos,tdah</v>
      </c>
      <c r="F3" s="5">
        <f>IFERROR(__xludf.DUMMYFUNCTION("IF(
  TRIM(E3)="""",
  0,
  COUNTA(
    SPLIT(
      REGEXREPLACE(E3,""\s*,\s*"","",""),
      "",""
    )
  )
)"),7.0)</f>
        <v>7</v>
      </c>
      <c r="G3" s="5">
        <v>14297.0</v>
      </c>
      <c r="H3" s="5">
        <v>3218.0</v>
      </c>
      <c r="I3" s="5"/>
    </row>
    <row r="4">
      <c r="A4" s="5" t="str">
        <f>IFERROR(__xludf.DUMMYFUNCTION("""COMPUTED_VALUE"""),"DOE3bzkD4YT")</f>
        <v>DOE3bzkD4YT</v>
      </c>
      <c r="B4" s="5" t="str">
        <f>IFERROR(__xludf.DUMMYFUNCTION("""COMPUTED_VALUE"""),"Com qual contradição do TDAH você se identifica mais?
#tdah #adhd #psicologia #procrastinação #tdahadulto")</f>
        <v>Com qual contradição do TDAH você se identifica mais?
#tdah #adhd #psicologia #procrastinação #tdahadulto</v>
      </c>
      <c r="C4" s="5" t="str">
        <f>IFERROR(__xludf.DUMMYFUNCTION("""COMPUTED_VALUE"""),"ansiedade.mente")</f>
        <v>ansiedade.mente</v>
      </c>
      <c r="D4" s="5" t="str">
        <f>IFERROR(__xludf.DUMMYFUNCTION("""COMPUTED_VALUE"""),"Jucianny Sales | Psiquiatra TDAH e Ansiedade")</f>
        <v>Jucianny Sales | Psiquiatra TDAH e Ansiedade</v>
      </c>
      <c r="E4" s="5" t="str">
        <f>IFERROR(__xludf.DUMMYFUNCTION("""COMPUTED_VALUE"""),"tdah,adhd,psicologia,procrastinação,tdahadulto")</f>
        <v>tdah,adhd,psicologia,procrastinação,tdahadulto</v>
      </c>
      <c r="F4" s="5">
        <f>IFERROR(__xludf.DUMMYFUNCTION("IF(
  TRIM(E4)="""",
  0,
  COUNTA(
    SPLIT(
      REGEXREPLACE(E4,""\s*,\s*"","",""),
      "",""
    )
  )
)"),5.0)</f>
        <v>5</v>
      </c>
      <c r="G4" s="5">
        <v>10051.0</v>
      </c>
      <c r="H4" s="5">
        <v>125.0</v>
      </c>
      <c r="I4" s="5"/>
    </row>
    <row r="5">
      <c r="A5" s="5" t="str">
        <f>IFERROR(__xludf.DUMMYFUNCTION("""COMPUTED_VALUE"""),"DOyceyqDJRi")</f>
        <v>DOyceyqDJRi</v>
      </c>
      <c r="B5" s="5" t="str">
        <f>IFERROR(__xludf.DUMMYFUNCTION("""COMPUTED_VALUE"""),"TDAH e a busca por dopamina: por que o cérebro age assim?
A dopamina é  uma substância fundamental para a sensação de recompensa, sustentação do interesse e prazer em realizar tarefas. No TDAH, os níveis de dopamina são mais baixos ou têm distribuição ir"&amp;"regular, o que faz o cérebro buscar estímulos constantes e recompensas rápidas para se autorregular. 
Ou seja, quando uma pessoa com TDAH não consegue se convencer a fazer algo, não é simplesmente preguiça. 
⚡ Veja como isso aparece no dia a dia:
* Difi"&amp;"culdade de ser consistente: A ausência de novidade faz com que a motivação caia rapidamente. A dopamina cai, e a tarefa é abandonada.
* Evitar tarefas desprazerosas : Atividades sem estímulo imediato (como burocracias ou demandas repetitivas) geram avers"&amp;"ão.
* Novo hobby / novos planos de carreira/ novas pessoas: O ciclo de começar com entusiasmo e abandonar depois é comum. O início libera dopamina, mas a manutenção exige esforço regulatório.
* Mais suscetível a vício em redes sociais: As notificações e"&amp;" recompensas rápidas das redes liberam dopamina com facilidade — tornando-as especialmente atrativas (e viciantes) para quem tem TDAH.
* Comer muito doce: Alimentos com alto índice glicêmico geram picos de dopamina. O cérebro aprende isso rapidamente com"&amp;"o fonte de ""alívio"".
* Compras impulsivas: A decisão rápida e a recompensa imediata da compra geram prazer, mesmo que passageiro — alimentando ciclos impulsivos.
* Discussões desnecessárias: A hiper-reatividade emocional, somada à busca por estímulo, "&amp;"pode tornar a pessoa mais impulsiva em interações sociais.
.
.
.
 #dopamina #tdahadulto #tdahzando #tdahdescomplicado #psiquiatra #psiquiatraonline #psiquiatrapassofundo")</f>
        <v>TDAH e a busca por dopamina: por que o cérebro age assim?
A dopamina é  uma substância fundamental para a sensação de recompensa, sustentação do interesse e prazer em realizar tarefas. No TDAH, os níveis de dopamina são mais baixos ou têm distribuição irregular, o que faz o cérebro buscar estímulos constantes e recompensas rápidas para se autorregular. 
Ou seja, quando uma pessoa com TDAH não consegue se convencer a fazer algo, não é simplesmente preguiça. 
⚡ Veja como isso aparece no dia a dia:
* Dificuldade de ser consistente: A ausência de novidade faz com que a motivação caia rapidamente. A dopamina cai, e a tarefa é abandonada.
* Evitar tarefas desprazerosas : Atividades sem estímulo imediato (como burocracias ou demandas repetitivas) geram aversão.
* Novo hobby / novos planos de carreira/ novas pessoas: O ciclo de começar com entusiasmo e abandonar depois é comum. O início libera dopamina, mas a manutenção exige esforço regulatório.
* Mais suscetível a vício em redes sociais: As notificações e recompensas rápidas das redes liberam dopamina com facilidade — tornando-as especialmente atrativas (e viciantes) para quem tem TDAH.
* Comer muito doce: Alimentos com alto índice glicêmico geram picos de dopamina. O cérebro aprende isso rapidamente como fonte de "alívio".
* Compras impulsivas: A decisão rápida e a recompensa imediata da compra geram prazer, mesmo que passageiro — alimentando ciclos impulsivos.
* Discussões desnecessárias: A hiper-reatividade emocional, somada à busca por estímulo, pode tornar a pessoa mais impulsiva em interações sociais.
.
.
.
 #dopamina #tdahadulto #tdahzando #tdahdescomplicado #psiquiatra #psiquiatraonline #psiquiatrapassofundo</v>
      </c>
      <c r="C5" s="5" t="str">
        <f>IFERROR(__xludf.DUMMYFUNCTION("""COMPUTED_VALUE"""),"psiquiatramarina")</f>
        <v>psiquiatramarina</v>
      </c>
      <c r="D5" s="5" t="str">
        <f>IFERROR(__xludf.DUMMYFUNCTION("""COMPUTED_VALUE"""),"Dra. Marina Durante Migliorini")</f>
        <v>Dra. Marina Durante Migliorini</v>
      </c>
      <c r="E5" s="5" t="str">
        <f>IFERROR(__xludf.DUMMYFUNCTION("""COMPUTED_VALUE"""),"dopamina,tdahadulto,tdahzando,tdahdescomplicado,psiquiatra,psiquiatraonline,psiquiatrapassofundo")</f>
        <v>dopamina,tdahadulto,tdahzando,tdahdescomplicado,psiquiatra,psiquiatraonline,psiquiatrapassofundo</v>
      </c>
      <c r="F5" s="5">
        <f>IFERROR(__xludf.DUMMYFUNCTION("IF(
  TRIM(E5)="""",
  0,
  COUNTA(
    SPLIT(
      REGEXREPLACE(E5,""\s*,\s*"","",""),
      "",""
    )
  )
)"),7.0)</f>
        <v>7</v>
      </c>
      <c r="G5" s="5">
        <v>468.0</v>
      </c>
      <c r="H5" s="5">
        <v>5.0</v>
      </c>
      <c r="I5" s="5"/>
    </row>
    <row r="6">
      <c r="A6" s="5" t="str">
        <f>IFERROR(__xludf.DUMMYFUNCTION("""COMPUTED_VALUE"""),"DOXBit6DGdz")</f>
        <v>DOXBit6DGdz</v>
      </c>
      <c r="B6" s="5" t="str">
        <f>IFERROR(__xludf.DUMMYFUNCTION("""COMPUTED_VALUE"""),"12 coisas que são difíceis para quem tem TDAH e 6 coisas que ajudam a melhorar muito! 
.
.
.
 #tdahadulto #tdahinfantil #tdahadolescentes #tdahdescomplicado #psiquiatras #psiquiatrasp #psiquiatraonline")</f>
        <v>12 coisas que são difíceis para quem tem TDAH e 6 coisas que ajudam a melhorar muito! 
.
.
.
 #tdahadulto #tdahinfantil #tdahadolescentes #tdahdescomplicado #psiquiatras #psiquiatrasp #psiquiatraonline</v>
      </c>
      <c r="C6" s="5" t="str">
        <f>IFERROR(__xludf.DUMMYFUNCTION("""COMPUTED_VALUE"""),"drachristiane.psiquiatria")</f>
        <v>drachristiane.psiquiatria</v>
      </c>
      <c r="D6" s="5" t="str">
        <f>IFERROR(__xludf.DUMMYFUNCTION("""COMPUTED_VALUE"""),"Christiane Ribeiro Psiquiatra")</f>
        <v>Christiane Ribeiro Psiquiatra</v>
      </c>
      <c r="E6" s="5" t="str">
        <f>IFERROR(__xludf.DUMMYFUNCTION("""COMPUTED_VALUE"""),"tdahadulto,tdahinfantil,tdahadolescentes,tdahdescomplicado,psiquiatras,psiquiatrasp,psiquiatraonline")</f>
        <v>tdahadulto,tdahinfantil,tdahadolescentes,tdahdescomplicado,psiquiatras,psiquiatrasp,psiquiatraonline</v>
      </c>
      <c r="F6" s="5">
        <f>IFERROR(__xludf.DUMMYFUNCTION("IF(
  TRIM(E6)="""",
  0,
  COUNTA(
    SPLIT(
      REGEXREPLACE(E6,""\s*,\s*"","",""),
      "",""
    )
  )
)"),7.0)</f>
        <v>7</v>
      </c>
      <c r="G6" s="5">
        <v>5410.0</v>
      </c>
      <c r="H6" s="5">
        <v>52.0</v>
      </c>
      <c r="I6" s="5"/>
    </row>
    <row r="7">
      <c r="A7" s="5" t="str">
        <f>IFERROR(__xludf.DUMMYFUNCTION("""COMPUTED_VALUE"""),"DQmvlNlD7Yd")</f>
        <v>DQmvlNlD7Yd</v>
      </c>
      <c r="B7" s="5" t="str">
        <f>IFERROR(__xludf.DUMMYFUNCTION("""COMPUTED_VALUE"""),"A Psicologia não tem como ser neutra no sentido social.
Ela se ocupa do ser humano, e todo ser humano vive dentro de um contexto social, político e cultural.
Cuidar de pessoas é, inevitavelmente, cuidar das condições que impactam suas vidas.
Falar sobre"&amp;" desigualdade, acesso à saúde, direitos e dignidade é falar de política — no sentido mais humano e ético da palavra.
Mas isso não significa partidarismo ou ideologia.
Significa reconhecer que a saúde mental não existe isolada da realidade social.
Signifi"&amp;"ca ter compromisso com o bem-estar coletivo, com a equidade e com o respeito à vida.
Psicologia é sobre pessoas e a política também.
#TDAH #tdahadulto #psicologia #terapia")</f>
        <v>A Psicologia não tem como ser neutra no sentido social.
Ela se ocupa do ser humano, e todo ser humano vive dentro de um contexto social, político e cultural.
Cuidar de pessoas é, inevitavelmente, cuidar das condições que impactam suas vidas.
Falar sobre desigualdade, acesso à saúde, direitos e dignidade é falar de política — no sentido mais humano e ético da palavra.
Mas isso não significa partidarismo ou ideologia.
Significa reconhecer que a saúde mental não existe isolada da realidade social.
Significa ter compromisso com o bem-estar coletivo, com a equidade e com o respeito à vida.
Psicologia é sobre pessoas e a política também.
#TDAH #tdahadulto #psicologia #terapia</v>
      </c>
      <c r="C7" s="5" t="str">
        <f>IFERROR(__xludf.DUMMYFUNCTION("""COMPUTED_VALUE"""),"michelmansurpsicologia")</f>
        <v>michelmansurpsicologia</v>
      </c>
      <c r="D7" s="5" t="str">
        <f>IFERROR(__xludf.DUMMYFUNCTION("""COMPUTED_VALUE"""),"Michel Mansur | Psicólogo Clínico")</f>
        <v>Michel Mansur | Psicólogo Clínico</v>
      </c>
      <c r="E7" s="5" t="str">
        <f>IFERROR(__xludf.DUMMYFUNCTION("""COMPUTED_VALUE"""),"TDAH,tdahadulto,psicologia,terapia")</f>
        <v>TDAH,tdahadulto,psicologia,terapia</v>
      </c>
      <c r="F7" s="5">
        <f>IFERROR(__xludf.DUMMYFUNCTION("IF(
  TRIM(E7)="""",
  0,
  COUNTA(
    SPLIT(
      REGEXREPLACE(E7,""\s*,\s*"","",""),
      "",""
    )
  )
)"),4.0)</f>
        <v>4</v>
      </c>
      <c r="G7" s="5">
        <v>9001.0</v>
      </c>
      <c r="H7" s="5">
        <v>89.0</v>
      </c>
      <c r="I7" s="5"/>
    </row>
    <row r="8">
      <c r="A8" s="5" t="str">
        <f>IFERROR(__xludf.DUMMYFUNCTION("""COMPUTED_VALUE"""),"DOLz-2FEZIt")</f>
        <v>DOLz-2FEZIt</v>
      </c>
      <c r="B8" s="5" t="str">
        <f>IFERROR(__xludf.DUMMYFUNCTION("""COMPUTED_VALUE"""),"🎯 TDAH E REGULAÇÃO EMOCIONAL: Estratégias que funcionam!
“Explodo por qualquer coisa” “Não consigo controlar minhas emoções” “Depois me arrependo do que fiz” 😤
Se você tem TDAH e se identifica, não está sozinho!
Como neurologista referência em TDAH a"&amp;"dulto, vejo diariamente como a desregulação emocional impacta vidas.
🧠 POR QUE ACONTECE: 
• Córtex pré-frontal funciona diferente 
• Neurotransmissores alterados 
• Dificuldade para “parar e pensar” 
• Reações mais intensas que o normal
🚨 SINAIS COMUN"&amp;"S: • Raiva desproporcional • Mudanças bruscas de humor • Decisões impulsivas • Dificuldade para se acalmar
⏸️ TÉCNICA STOP (para crises): 
S - PARE (reconheça a desregulação) 
T - RESPIRE (3 respirações profundas) 
O - OBSERVE (o que estou sentindo?) 
P "&amp;"- PROSSIGA (escolha como reagir)
🏗️ ESTRATÉGIAS DE LONGO PRAZO: 
• Exercício físico (30min/dia) 
• Mindfulness (10min/dia) 
• Sono adequado (7-9h) 
• Diário emocional • Rede de apoio
🆘 BUSQUE AJUDA SE: 
• Explosões frequentes 
• Prejudica relacionamen"&amp;"tos/trabalho 
• Estratégias não funcionam sozinhas
💡 IMPORTANTE: Regulação emocional pode ser treinada! Com prática e estratégias certas, você pode ter mais controle.
♾️ As peças se encaixam quando você entende seu cérebro.
💬 Qual sua maior dificulda"&amp;"de com regulação emocional? Compartilhe para ajudar outros!
#RegulaçãoEmocional #TDAHAdulto #ControleEmocional #EstratégiasTDAH #SaúdeMentalTDAH #TDAHBrasil #Neurodiversidade #SaúdeMental #Autocontrole #TécnicasEmocionais")</f>
        <v>🎯 TDAH E REGULAÇÃO EMOCIONAL: Estratégias que funcionam!
“Explodo por qualquer coisa” “Não consigo controlar minhas emoções” “Depois me arrependo do que fiz” 😤
Se você tem TDAH e se identifica, não está sozinho!
Como neurologista referência em TDAH adulto, vejo diariamente como a desregulação emocional impacta vidas.
🧠 POR QUE ACONTECE: 
• Córtex pré-frontal funciona diferente 
• Neurotransmissores alterados 
• Dificuldade para “parar e pensar” 
• Reações mais intensas que o normal
🚨 SINAIS COMUNS: • Raiva desproporcional • Mudanças bruscas de humor • Decisões impulsivas • Dificuldade para se acalmar
⏸️ TÉCNICA STOP (para crises): 
S - PARE (reconheça a desregulação) 
T - RESPIRE (3 respirações profundas) 
O - OBSERVE (o que estou sentindo?) 
P - PROSSIGA (escolha como reagir)
🏗️ ESTRATÉGIAS DE LONGO PRAZO: 
• Exercício físico (30min/dia) 
• Mindfulness (10min/dia) 
• Sono adequado (7-9h) 
• Diário emocional • Rede de apoio
🆘 BUSQUE AJUDA SE: 
• Explosões frequentes 
• Prejudica relacionamentos/trabalho 
• Estratégias não funcionam sozinhas
💡 IMPORTANTE: Regulação emocional pode ser treinada! Com prática e estratégias certas, você pode ter mais controle.
♾️ As peças se encaixam quando você entende seu cérebro.
💬 Qual sua maior dificuldade com regulação emocional? Compartilhe para ajudar outros!
#RegulaçãoEmocional #TDAHAdulto #ControleEmocional #EstratégiasTDAH #SaúdeMentalTDAH #TDAHBrasil #Neurodiversidade #SaúdeMental #Autocontrole #TécnicasEmocionais</v>
      </c>
      <c r="C8" s="5" t="str">
        <f>IFERROR(__xludf.DUMMYFUNCTION("""COMPUTED_VALUE"""),"drmatheustriliconeurologia")</f>
        <v>drmatheustriliconeurologia</v>
      </c>
      <c r="D8" s="5" t="str">
        <f>IFERROR(__xludf.DUMMYFUNCTION("""COMPUTED_VALUE"""),"Matheus Trilico | Neurologista Referência em TEA e TDAH adulto")</f>
        <v>Matheus Trilico | Neurologista Referência em TEA e TDAH adulto</v>
      </c>
      <c r="E8" s="5" t="str">
        <f>IFERROR(__xludf.DUMMYFUNCTION("""COMPUTED_VALUE"""),"RegulaçãoEmocional,TDAHAdulto,ControleEmocional,EstratégiasTDAH,SaúdeMentalTDAH,TDAHBrasil,Neurodiversidade,SaúdeMental,Autocontrole,TécnicasEmocionais")</f>
        <v>RegulaçãoEmocional,TDAHAdulto,ControleEmocional,EstratégiasTDAH,SaúdeMentalTDAH,TDAHBrasil,Neurodiversidade,SaúdeMental,Autocontrole,TécnicasEmocionais</v>
      </c>
      <c r="F8" s="5">
        <f>IFERROR(__xludf.DUMMYFUNCTION("IF(
  TRIM(E8)="""",
  0,
  COUNTA(
    SPLIT(
      REGEXREPLACE(E8,""\s*,\s*"","",""),
      "",""
    )
  )
)"),10.0)</f>
        <v>10</v>
      </c>
      <c r="G8" s="5">
        <v>1337.0</v>
      </c>
      <c r="H8" s="5">
        <v>23.0</v>
      </c>
      <c r="I8" s="5"/>
    </row>
    <row r="9">
      <c r="A9" s="5" t="str">
        <f>IFERROR(__xludf.DUMMYFUNCTION("""COMPUTED_VALUE"""),"DQ70aCGDEAD")</f>
        <v>DQ70aCGDEAD</v>
      </c>
      <c r="B9" s="5" t="str">
        <f>IFERROR(__xludf.DUMMYFUNCTION("""COMPUTED_VALUE"""),"Por que pessoas com TDAH sentem tanto a rejeição?
A disforia sensível à rejeição (DSR) é uma resposta emocional intensa a qualquer sinal de crítica, desaprovação ou exclusão — mesmo que pequena ou apenas percebida.�E isso é muito comum em quem tem TDAH.
"&amp;"🧠 O cérebro com TDAH tem alterações na regulação emocional e na sensibilidade à dopamina, o que o torna mais vulnerável a experiências de rejeição.�Desde cedo, essas pessoas enfrentam feedbacks negativos constantes — “você é distraído”, “você não presta "&amp;"atenção”, “você nunca termina nada” — e o cérebro aprende a associar erro com dor emocional.
Com o tempo, a rejeição (real ou imaginada) ativa o sistema límbico, gerando reações intensas: tristeza profunda, raiva, vergonha ou vontade de se afastar.�Não é "&amp;"drama — é neurobiologia.
✨ O tratamento, a psicoterapia e o autoconhecimento ajudam a reprogramar essas respostas, fortalecendo a autoestima e reduzindo o impacto emocional da rejeição.
.
.
.
 #disforiasensivelarejeicao #medodeabandono #tdah #tdahmulh"&amp;"er #tdahadulto #tdahadulte #tdahdescomplicado")</f>
        <v>Por que pessoas com TDAH sentem tanto a rejeição?
A disforia sensível à rejeição (DSR) é uma resposta emocional intensa a qualquer sinal de crítica, desaprovação ou exclusão — mesmo que pequena ou apenas percebida.�E isso é muito comum em quem tem TDAH.
🧠 O cérebro com TDAH tem alterações na regulação emocional e na sensibilidade à dopamina, o que o torna mais vulnerável a experiências de rejeição.�Desde cedo, essas pessoas enfrentam feedbacks negativos constantes — “você é distraído”, “você não presta atenção”, “você nunca termina nada” — e o cérebro aprende a associar erro com dor emocional.
Com o tempo, a rejeição (real ou imaginada) ativa o sistema límbico, gerando reações intensas: tristeza profunda, raiva, vergonha ou vontade de se afastar.�Não é drama — é neurobiologia.
✨ O tratamento, a psicoterapia e o autoconhecimento ajudam a reprogramar essas respostas, fortalecendo a autoestima e reduzindo o impacto emocional da rejeição.
.
.
.
 #disforiasensivelarejeicao #medodeabandono #tdah #tdahmulher #tdahadulto #tdahadulte #tdahdescomplicado</v>
      </c>
      <c r="C9" s="5" t="str">
        <f>IFERROR(__xludf.DUMMYFUNCTION("""COMPUTED_VALUE"""),"dranathaliabarreto")</f>
        <v>dranathaliabarreto</v>
      </c>
      <c r="D9" s="5" t="str">
        <f>IFERROR(__xludf.DUMMYFUNCTION("""COMPUTED_VALUE"""),"Nathália Barreto | Psiquiatra")</f>
        <v>Nathália Barreto | Psiquiatra</v>
      </c>
      <c r="E9" s="5" t="str">
        <f>IFERROR(__xludf.DUMMYFUNCTION("""COMPUTED_VALUE"""),"disforiasensivelarejeicao,medodeabandono,tdah,tdahmulher,tdahadulto,tdahadulte,tdahdescomplicado")</f>
        <v>disforiasensivelarejeicao,medodeabandono,tdah,tdahmulher,tdahadulto,tdahadulte,tdahdescomplicado</v>
      </c>
      <c r="F9" s="5">
        <f>IFERROR(__xludf.DUMMYFUNCTION("IF(
  TRIM(E9)="""",
  0,
  COUNTA(
    SPLIT(
      REGEXREPLACE(E9,""\s*,\s*"","",""),
      "",""
    )
  )
)"),7.0)</f>
        <v>7</v>
      </c>
      <c r="G9" s="5">
        <v>1540.0</v>
      </c>
      <c r="H9" s="5">
        <v>13.0</v>
      </c>
      <c r="I9" s="5"/>
    </row>
    <row r="10">
      <c r="A10" s="5" t="str">
        <f>IFERROR(__xludf.DUMMYFUNCTION("""COMPUTED_VALUE"""),"DPycsP2jsuh")</f>
        <v>DPycsP2jsuh</v>
      </c>
      <c r="B10" s="5" t="str">
        <f>IFERROR(__xludf.DUMMYFUNCTION("""COMPUTED_VALUE"""),"🧠 Você já percebeu que seu cérebro trava quando algo sai do planejado?
Isso se chama rigidez cognitiva — uma dificuldade que muitas pessoas com TDAH enfrentam sem perceber.
É como se o cérebro dissesse:
“Não era pra ser assim… então eu não sei o que fa"&amp;"zer agora.”
Essa rigidez não é teimosia.
É um mecanismo de proteção.
O cérebro do TDAH luta para mudar de rota porque a mudança exige energia — e ele já está sobrecarregado tentando lidar com mil estímulos ao mesmo tempo.
Por isso, quando algo muda de r"&amp;"epente, o cérebro paralisa.
Ele não resiste à mudança por orgulho, mas por exaustão mental.
A boa notícia?
A flexibilidade cognitiva pode ser treinada.
E quando isso acontece, você começa a fluir melhor, reagir com mais calma e sentir que finalmente tem "&amp;"o controle da sua mente.
✨ Treinar o cérebro é libertar a mente.
#rigidezcognitiva #tdah #tdahinfantil #tdahadulto")</f>
        <v>🧠 Você já percebeu que seu cérebro trava quando algo sai do planejado?
Isso se chama rigidez cognitiva — uma dificuldade que muitas pessoas com TDAH enfrentam sem perceber.
É como se o cérebro dissesse:
“Não era pra ser assim… então eu não sei o que fazer agora.”
Essa rigidez não é teimosia.
É um mecanismo de proteção.
O cérebro do TDAH luta para mudar de rota porque a mudança exige energia — e ele já está sobrecarregado tentando lidar com mil estímulos ao mesmo tempo.
Por isso, quando algo muda de repente, o cérebro paralisa.
Ele não resiste à mudança por orgulho, mas por exaustão mental.
A boa notícia?
A flexibilidade cognitiva pode ser treinada.
E quando isso acontece, você começa a fluir melhor, reagir com mais calma e sentir que finalmente tem o controle da sua mente.
✨ Treinar o cérebro é libertar a mente.
#rigidezcognitiva #tdah #tdahinfantil #tdahadulto</v>
      </c>
      <c r="C10" s="5" t="str">
        <f>IFERROR(__xludf.DUMMYFUNCTION("""COMPUTED_VALUE"""),"ismaeldeoliveira.neuro")</f>
        <v>ismaeldeoliveira.neuro</v>
      </c>
      <c r="D10" s="5" t="str">
        <f>IFERROR(__xludf.DUMMYFUNCTION("""COMPUTED_VALUE"""),"Dr. Ismael de Oliveira | Neurociência e TDAH")</f>
        <v>Dr. Ismael de Oliveira | Neurociência e TDAH</v>
      </c>
      <c r="E10" s="5" t="str">
        <f>IFERROR(__xludf.DUMMYFUNCTION("""COMPUTED_VALUE"""),"rigidezcognitiva,tdah,tdahinfantil,tdahadulto")</f>
        <v>rigidezcognitiva,tdah,tdahinfantil,tdahadulto</v>
      </c>
      <c r="F10" s="5">
        <f>IFERROR(__xludf.DUMMYFUNCTION("IF(
  TRIM(E10)="""",
  0,
  COUNTA(
    SPLIT(
      REGEXREPLACE(E10,""\s*,\s*"","",""),
      "",""
    )
  )
)"),4.0)</f>
        <v>4</v>
      </c>
      <c r="G10" s="5">
        <v>1547.0</v>
      </c>
      <c r="H10" s="5">
        <v>28.0</v>
      </c>
      <c r="I10" s="5"/>
    </row>
    <row r="11">
      <c r="A11" s="5" t="str">
        <f>IFERROR(__xludf.DUMMYFUNCTION("""COMPUTED_VALUE"""),"DPwBa_gjSKi")</f>
        <v>DPwBa_gjSKi</v>
      </c>
      <c r="B11" s="5" t="str">
        <f>IFERROR(__xludf.DUMMYFUNCTION("""COMPUTED_VALUE"""),"Quando tudo parece demais, o caminho é começar pequeno. Sair da paralisia não é sobre disciplina, é sobre entender seu cérebro e agir com leveza.
Salva pra lembrar disso nos dias que a paralisia bate!
#tdahjuntos #tdah #tdahinfantil
#tdahmulheres #tdahm"&amp;"ulher #tdahmeninas
#tdahadulto#tdahadultos #tdahcomamor
#hiperatividade #adhd
#tdaherelacionamento
#tdahnaoebrincadeira #organizacao #impulsividade #relatosdetdah
#saudemental #autoconhecimento
#autoconhecimentocura #ohtdah
#autoaceitação")</f>
        <v>Quando tudo parece demais, o caminho é começar pequeno. Sair da paralisia não é sobre disciplina, é sobre entender seu cérebro e agir com leveza.
Salva pra lembrar disso nos dias que a paralisia bate!
#tdahjuntos #tdah #tdahinfantil
#tdahmulheres #tdahmulher #tdahmeninas
#tdahadulto#tdahadultos #tdahcomamor
#hiperatividade #adhd
#tdaherelacionamento
#tdahnaoebrincadeira #organizacao #impulsividade #relatosdetdah
#saudemental #autoconhecimento
#autoconhecimentocura #ohtdah
#autoaceitação</v>
      </c>
      <c r="C11" s="5" t="str">
        <f>IFERROR(__xludf.DUMMYFUNCTION("""COMPUTED_VALUE"""),"oh.tdah")</f>
        <v>oh.tdah</v>
      </c>
      <c r="D11" s="5" t="str">
        <f>IFERROR(__xludf.DUMMYFUNCTION("""COMPUTED_VALUE"""),"Janaine Cavalcanti | TDAH 💎")</f>
        <v>Janaine Cavalcanti | TDAH 💎</v>
      </c>
      <c r="E11" s="5" t="str">
        <f>IFERROR(__xludf.DUMMYFUNCTION("""COMPUTED_VALUE"""),"tdahjuntos,tdah,tdahinfantil,tdahmulheres,tdahmulher,tdahmeninas,tdahadulto,tdahadultos,tdahcomamor,hiperatividade,adhd,tdaherelacionamento,tdahnaoebrincadeira,organizacao,impulsividade,relatosdetdah,saudemental,autoconhecimento,autoconhecimentocura,ohtda"&amp;"h,autoaceitação")</f>
        <v>tdahjuntos,tdah,tdahinfantil,tdahmulheres,tdahmulher,tdahmeninas,tdahadulto,tdahadultos,tdahcomamor,hiperatividade,adhd,tdaherelacionamento,tdahnaoebrincadeira,organizacao,impulsividade,relatosdetdah,saudemental,autoconhecimento,autoconhecimentocura,ohtdah,autoaceitação</v>
      </c>
      <c r="F11" s="5">
        <f>IFERROR(__xludf.DUMMYFUNCTION("IF(
  TRIM(E11)="""",
  0,
  COUNTA(
    SPLIT(
      REGEXREPLACE(E11,""\s*,\s*"","",""),
      "",""
    )
  )
)"),21.0)</f>
        <v>21</v>
      </c>
      <c r="G11" s="5">
        <v>3725.0</v>
      </c>
      <c r="H11" s="5">
        <v>24.0</v>
      </c>
      <c r="I11" s="5"/>
    </row>
    <row r="12">
      <c r="A12" s="5" t="str">
        <f>IFERROR(__xludf.DUMMYFUNCTION("""COMPUTED_VALUE"""),"DOJ_ILSkbF-")</f>
        <v>DOJ_ILSkbF-</v>
      </c>
      <c r="B12" s="5" t="str">
        <f>IFERROR(__xludf.DUMMYFUNCTION("""COMPUTED_VALUE"""),"Para refletir!
Não precisamos do setembro amarelo, precisamos de amor, apoio, compreensão e “ajuda” todos os dias das nossas vidas! 
Empatia e Respeito são a chave para um mundo melhor
Não consegui identificar o autor original, quem souber, marca aqui "&amp;"por favor. 
#tdahdescomplicado #tdah #tdahadulto #adhd #tdahadulto #setembroamarelo")</f>
        <v>Para refletir!
Não precisamos do setembro amarelo, precisamos de amor, apoio, compreensão e “ajuda” todos os dias das nossas vidas! 
Empatia e Respeito são a chave para um mundo melhor
Não consegui identificar o autor original, quem souber, marca aqui por favor. 
#tdahdescomplicado #tdah #tdahadulto #adhd #tdahadulto #setembroamarelo</v>
      </c>
      <c r="C12" s="5" t="str">
        <f>IFERROR(__xludf.DUMMYFUNCTION("""COMPUTED_VALUE"""),"neuropsicopedagogiaaa")</f>
        <v>neuropsicopedagogiaaa</v>
      </c>
      <c r="D12" s="5" t="str">
        <f>IFERROR(__xludf.DUMMYFUNCTION("""COMPUTED_VALUE"""),"Nat Garcia | Neuro | TDAH | Autismo | Neurodivergent")</f>
        <v>Nat Garcia | Neuro | TDAH | Autismo | Neurodivergent</v>
      </c>
      <c r="E12" s="5" t="str">
        <f>IFERROR(__xludf.DUMMYFUNCTION("""COMPUTED_VALUE"""),"tdahdescomplicado,tdah,tdahadulto,adhd,tdahadulto,setembroamarelo")</f>
        <v>tdahdescomplicado,tdah,tdahadulto,adhd,tdahadulto,setembroamarelo</v>
      </c>
      <c r="F12" s="5">
        <f>IFERROR(__xludf.DUMMYFUNCTION("IF(
  TRIM(E12)="""",
  0,
  COUNTA(
    SPLIT(
      REGEXREPLACE(E12,""\s*,\s*"","",""),
      "",""
    )
  )
)"),6.0)</f>
        <v>6</v>
      </c>
      <c r="G12" s="5">
        <v>124183.0</v>
      </c>
      <c r="H12" s="5">
        <v>1874.0</v>
      </c>
      <c r="I12" s="5"/>
    </row>
    <row r="13">
      <c r="A13" s="5" t="str">
        <f>IFERROR(__xludf.DUMMYFUNCTION("""COMPUTED_VALUE"""),"DKIHo__JhS1")</f>
        <v>DKIHo__JhS1</v>
      </c>
      <c r="B13" s="5" t="str">
        <f>IFERROR(__xludf.DUMMYFUNCTION("""COMPUTED_VALUE"""),"Tdah Adulto.
#tdah #tdahadulto #tdaadulto #tdahadulto #vivianmiletpsicologaclinica #vivianmiletpsicologa #psicoterapiamilet2022")</f>
        <v>Tdah Adulto.
#tdah #tdahadulto #tdaadulto #tdahadulto #vivianmiletpsicologaclinica #vivianmiletpsicologa #psicoterapiamilet2022</v>
      </c>
      <c r="C13" s="5" t="str">
        <f>IFERROR(__xludf.DUMMYFUNCTION("""COMPUTED_VALUE"""),"vivian_milet_psicologa")</f>
        <v>vivian_milet_psicologa</v>
      </c>
      <c r="D13" s="5" t="str">
        <f>IFERROR(__xludf.DUMMYFUNCTION("""COMPUTED_VALUE"""),"Vivian Milet")</f>
        <v>Vivian Milet</v>
      </c>
      <c r="E13" s="5" t="str">
        <f>IFERROR(__xludf.DUMMYFUNCTION("""COMPUTED_VALUE"""),"tdah,tdahadulto,tdaadulto,tdahadulto,vivianmiletpsicologaclinica,vivianmiletpsicologa,psicoterapiamilet2022")</f>
        <v>tdah,tdahadulto,tdaadulto,tdahadulto,vivianmiletpsicologaclinica,vivianmiletpsicologa,psicoterapiamilet2022</v>
      </c>
      <c r="F13" s="5">
        <f>IFERROR(__xludf.DUMMYFUNCTION("IF(
  TRIM(E13)="""",
  0,
  COUNTA(
    SPLIT(
      REGEXREPLACE(E13,""\s*,\s*"","",""),
      "",""
    )
  )
)"),7.0)</f>
        <v>7</v>
      </c>
      <c r="G13" s="5">
        <v>15.0</v>
      </c>
      <c r="H13" s="5">
        <v>0.0</v>
      </c>
      <c r="I13" s="5"/>
    </row>
    <row r="14">
      <c r="A14" s="5" t="str">
        <f>IFERROR(__xludf.DUMMYFUNCTION("""COMPUTED_VALUE"""),"DOj2GEsleCS")</f>
        <v>DOj2GEsleCS</v>
      </c>
      <c r="B14" s="5" t="str">
        <f>IFERROR(__xludf.DUMMYFUNCTION("""COMPUTED_VALUE"""),"uem mais aqui é TDAH e se esforçou muito para aprender a arte de fingir que está entendendo o que o outro está falando enquanto tenta descobrir? Não se sinta tão mal, Isso tem explicação neurobiológica.
1️⃣ Dificuldade de processamento auditivo: escuta, "&amp;"mas não entende.
2️⃣ Ensaio mental: enquanto você fala, a gente tá pensando no que vai responder.
3️⃣ Atenção seletiva fraca: qualquer coisa ao redor pode nos distrair.
.
.
POST: @drachristiane.psiquiatria
.
#tpac #tdahadulto #tdahadolescentes #tdahe"&amp;"mmulheres #psiquiatriaonline")</f>
        <v>uem mais aqui é TDAH e se esforçou muito para aprender a arte de fingir que está entendendo o que o outro está falando enquanto tenta descobrir? Não se sinta tão mal, Isso tem explicação neurobiológica.
1️⃣ Dificuldade de processamento auditivo: escuta, mas não entende.
2️⃣ Ensaio mental: enquanto você fala, a gente tá pensando no que vai responder.
3️⃣ Atenção seletiva fraca: qualquer coisa ao redor pode nos distrair.
.
.
POST: @drachristiane.psiquiatria
.
#tpac #tdahadulto #tdahadolescentes #tdahemmulheres #psiquiatriaonline</v>
      </c>
      <c r="C14" s="5" t="str">
        <f>IFERROR(__xludf.DUMMYFUNCTION("""COMPUTED_VALUE"""),"barbaratdah")</f>
        <v>barbaratdah</v>
      </c>
      <c r="D14" s="5" t="str">
        <f>IFERROR(__xludf.DUMMYFUNCTION("""COMPUTED_VALUE"""),"Bárbara Teixeira")</f>
        <v>Bárbara Teixeira</v>
      </c>
      <c r="E14" s="5" t="str">
        <f>IFERROR(__xludf.DUMMYFUNCTION("""COMPUTED_VALUE"""),"tpac,tdahadulto,tdahadolescentes,tdahemmulheres,psiquiatriaonline")</f>
        <v>tpac,tdahadulto,tdahadolescentes,tdahemmulheres,psiquiatriaonline</v>
      </c>
      <c r="F14" s="5">
        <f>IFERROR(__xludf.DUMMYFUNCTION("IF(
  TRIM(E14)="""",
  0,
  COUNTA(
    SPLIT(
      REGEXREPLACE(E14,""\s*,\s*"","",""),
      "",""
    )
  )
)"),5.0)</f>
        <v>5</v>
      </c>
      <c r="G14" s="5">
        <v>3222.0</v>
      </c>
      <c r="H14" s="5">
        <v>37.0</v>
      </c>
      <c r="I14" s="5"/>
    </row>
    <row r="15">
      <c r="A15" s="5" t="str">
        <f>IFERROR(__xludf.DUMMYFUNCTION("""COMPUTED_VALUE"""),"DQWatMWDl3O")</f>
        <v>DQWatMWDl3O</v>
      </c>
      <c r="B15" s="5" t="str">
        <f>IFERROR(__xludf.DUMMYFUNCTION("""COMPUTED_VALUE"""),".
O TDAH ALÉM “DAS NOTAS”
. 
⚠️ POR QUE ISSO É IMPORTANTE
No TDAH o que mais machuca não é o aprender — é o conviver.
.
Quando se fala em TDAH, muitos ainda associam o transtorno apenas às dificuldades escolares. Mas, na prática, os maiores prejuízos cost"&amp;"umam estar no comportamento e nas relações — e começam cedo, ainda na infância.
.
 No TDAH do tipo hiperativo/impulsivo, o “sincericídio” é uma das marcas mais visíveis. A criança fala o que pensa sem filtro, interrompe, reage sem medir as consequências. "&amp;"Não faz por mal — o cérebro simplesmente age antes de pensar. O resultado? Conflitos com amigos, professores e familiares, acompanhados por uma sensação constante de ser “mal compreendido”.
.
Já no TDAH do tipo desatento, o oposto acontece. A criança tend"&amp;"e a se isolar, parecer desligada, ter vergonha de errar e uma autoestima que vai murchando com o tempo. O silêncio, aqui, também é uma forma de dor.
.
Esses dois extremos mostram que o TDAH não é apenas uma questão de aprender, mas de pertencer. .
Compree"&amp;"nsão, empatia e orientação adequada transformam não só o rendimento escolar, mas a forma como a criança se enxerga e se conecta com o mundo.
.
O tratamento começa quando o olhar muda — do julgamento para o entendimento.
.
⚠️ ACESSE GRATUITAMENTE “A JORNAD"&amp;"A DA ATENÇÃO” ⚠️
Comente ou envie JORNADA no direct
.
#pediatria #crianças #criança #infância #neurodesenvolvimento #maternidade #desenvolvimentoInfantil #parentalidade #tdah #tdahadulto #tdahinfantil")</f>
        <v>.
O TDAH ALÉM “DAS NOTAS”
. 
⚠️ POR QUE ISSO É IMPORTANTE
No TDAH o que mais machuca não é o aprender — é o conviver.
.
Quando se fala em TDAH, muitos ainda associam o transtorno apenas às dificuldades escolares. Mas, na prática, os maiores prejuízos costumam estar no comportamento e nas relações — e começam cedo, ainda na infância.
.
 No TDAH do tipo hiperativo/impulsivo, o “sincericídio” é uma das marcas mais visíveis. A criança fala o que pensa sem filtro, interrompe, reage sem medir as consequências. Não faz por mal — o cérebro simplesmente age antes de pensar. O resultado? Conflitos com amigos, professores e familiares, acompanhados por uma sensação constante de ser “mal compreendido”.
.
Já no TDAH do tipo desatento, o oposto acontece. A criança tende a se isolar, parecer desligada, ter vergonha de errar e uma autoestima que vai murchando com o tempo. O silêncio, aqui, também é uma forma de dor.
.
Esses dois extremos mostram que o TDAH não é apenas uma questão de aprender, mas de pertencer. .
Compreensão, empatia e orientação adequada transformam não só o rendimento escolar, mas a forma como a criança se enxerga e se conecta com o mundo.
.
O tratamento começa quando o olhar muda — do julgamento para o entendimento.
.
⚠️ ACESSE GRATUITAMENTE “A JORNADA DA ATENÇÃO” ⚠️
Comente ou envie JORNADA no direct
.
#pediatria #crianças #criança #infância #neurodesenvolvimento #maternidade #desenvolvimentoInfantil #parentalidade #tdah #tdahadulto #tdahinfantil</v>
      </c>
      <c r="C15" s="5" t="str">
        <f>IFERROR(__xludf.DUMMYFUNCTION("""COMPUTED_VALUE"""),"fabiobaiocco.neuropediatra")</f>
        <v>fabiobaiocco.neuropediatra</v>
      </c>
      <c r="D15" s="5" t="str">
        <f>IFERROR(__xludf.DUMMYFUNCTION("""COMPUTED_VALUE"""),"Fábio Baiocco")</f>
        <v>Fábio Baiocco</v>
      </c>
      <c r="E15" s="5" t="str">
        <f>IFERROR(__xludf.DUMMYFUNCTION("""COMPUTED_VALUE"""),"pediatria,crianças,criança,infância,neurodesenvolvimento,maternidade,desenvolvimentoInfantil,parentalidade,tdah,tdahadulto,tdahinfantil")</f>
        <v>pediatria,crianças,criança,infância,neurodesenvolvimento,maternidade,desenvolvimentoInfantil,parentalidade,tdah,tdahadulto,tdahinfantil</v>
      </c>
      <c r="F15" s="5">
        <f>IFERROR(__xludf.DUMMYFUNCTION("IF(
  TRIM(E15)="""",
  0,
  COUNTA(
    SPLIT(
      REGEXREPLACE(E15,""\s*,\s*"","",""),
      "",""
    )
  )
)"),11.0)</f>
        <v>11</v>
      </c>
      <c r="G15" s="5">
        <v>742.0</v>
      </c>
      <c r="H15" s="5">
        <v>19.0</v>
      </c>
      <c r="I15" s="5"/>
    </row>
    <row r="16">
      <c r="A16" s="5" t="str">
        <f>IFERROR(__xludf.DUMMYFUNCTION("""COMPUTED_VALUE"""),"DQmdkIvDuGI")</f>
        <v>DQmdkIvDuGI</v>
      </c>
      <c r="B16" s="5" t="str">
        <f>IFERROR(__xludf.DUMMYFUNCTION("""COMPUTED_VALUE"""),"Buscas terapia online para manejar el TDAH? Comenta “Terapia” y te enviamos la información para agendar. Amas una mujer con TDAH? Compártele este post como una forma de decirle “me importas”
#tdah #tda #tdahadulto")</f>
        <v>Buscas terapia online para manejar el TDAH? Comenta “Terapia” y te enviamos la información para agendar. Amas una mujer con TDAH? Compártele este post como una forma de decirle “me importas”
#tdah #tda #tdahadulto</v>
      </c>
      <c r="C16" s="5" t="str">
        <f>IFERROR(__xludf.DUMMYFUNCTION("""COMPUTED_VALUE"""),"landysjair")</f>
        <v>landysjair</v>
      </c>
      <c r="D16" s="5" t="str">
        <f>IFERROR(__xludf.DUMMYFUNCTION("""COMPUTED_VALUE"""),"Landys Jaír - Psicólogo TDAH Adulto")</f>
        <v>Landys Jaír - Psicólogo TDAH Adulto</v>
      </c>
      <c r="E16" s="5" t="str">
        <f>IFERROR(__xludf.DUMMYFUNCTION("""COMPUTED_VALUE"""),"tdah,tda,tdahadulto")</f>
        <v>tdah,tda,tdahadulto</v>
      </c>
      <c r="F16" s="5">
        <f>IFERROR(__xludf.DUMMYFUNCTION("IF(
  TRIM(E16)="""",
  0,
  COUNTA(
    SPLIT(
      REGEXREPLACE(E16,""\s*,\s*"","",""),
      "",""
    )
  )
)"),3.0)</f>
        <v>3</v>
      </c>
      <c r="G16" s="5">
        <v>6777.0</v>
      </c>
      <c r="H16" s="5">
        <v>261.0</v>
      </c>
      <c r="I16" s="5"/>
    </row>
    <row r="17">
      <c r="A17" s="5" t="str">
        <f>IFERROR(__xludf.DUMMYFUNCTION("""COMPUTED_VALUE"""),"DQemgHrDr6H")</f>
        <v>DQemgHrDr6H</v>
      </c>
      <c r="B17" s="5" t="str">
        <f>IFERROR(__xludf.DUMMYFUNCTION("""COMPUTED_VALUE"""),"O TDAH muitas vezes pode ser confundido com o transtorno de ansiedade generalizada e vice-versa. Além disso, é bem comum que a pessoa tenha os dois.
 Mas saber diferenciar é essencial para um tratamento adequado e eficaz!
.
.
.
#ansiedadepatológica #"&amp;"transtornodeansiedadegeneralizada #tdahdescomplicado #tdahadulto #psiquiatraonline #psiquiatrabh")</f>
        <v>O TDAH muitas vezes pode ser confundido com o transtorno de ansiedade generalizada e vice-versa. Além disso, é bem comum que a pessoa tenha os dois.
 Mas saber diferenciar é essencial para um tratamento adequado e eficaz!
.
.
.
#ansiedadepatológica #transtornodeansiedadegeneralizada #tdahdescomplicado #tdahadulto #psiquiatraonline #psiquiatrabh</v>
      </c>
      <c r="C17" s="5" t="str">
        <f>IFERROR(__xludf.DUMMYFUNCTION("""COMPUTED_VALUE"""),"drajuliapsiquiatra")</f>
        <v>drajuliapsiquiatra</v>
      </c>
      <c r="D17" s="5" t="str">
        <f>IFERROR(__xludf.DUMMYFUNCTION("""COMPUTED_VALUE"""),"Dra. Julia Khoury - Psiquiatria muito além dos remédios")</f>
        <v>Dra. Julia Khoury - Psiquiatria muito além dos remédios</v>
      </c>
      <c r="E17" s="5" t="str">
        <f>IFERROR(__xludf.DUMMYFUNCTION("""COMPUTED_VALUE"""),"ansiedadepatológica,transtornodeansiedadegeneralizada,tdahdescomplicado,tdahadulto,psiquiatraonline,psiquiatrabh")</f>
        <v>ansiedadepatológica,transtornodeansiedadegeneralizada,tdahdescomplicado,tdahadulto,psiquiatraonline,psiquiatrabh</v>
      </c>
      <c r="F17" s="5">
        <f>IFERROR(__xludf.DUMMYFUNCTION("IF(
  TRIM(E17)="""",
  0,
  COUNTA(
    SPLIT(
      REGEXREPLACE(E17,""\s*,\s*"","",""),
      "",""
    )
  )
)"),6.0)</f>
        <v>6</v>
      </c>
      <c r="G17" s="5">
        <v>472.0</v>
      </c>
      <c r="H17" s="5">
        <v>1.0</v>
      </c>
      <c r="I17" s="5"/>
    </row>
    <row r="18">
      <c r="A18" s="5" t="str">
        <f>IFERROR(__xludf.DUMMYFUNCTION("""COMPUTED_VALUE"""),"DOhRjb6DSDz")</f>
        <v>DOhRjb6DSDz</v>
      </c>
      <c r="B18" s="5" t="str">
        <f>IFERROR(__xludf.DUMMYFUNCTION("""COMPUTED_VALUE"""),"O estresse do cotidiano pode acentuar sintomas do TDAH, como as alterações de humor, a distração e, sobretudo, a desregulação emocional. #tdahinfantil #tdahadulto #tdah #estresse #psiquiatria #psicologia 
@post de @equilibriomental")</f>
        <v>O estresse do cotidiano pode acentuar sintomas do TDAH, como as alterações de humor, a distração e, sobretudo, a desregulação emocional. #tdahinfantil #tdahadulto #tdah #estresse #psiquiatria #psicologia 
@post de @equilibriomental</v>
      </c>
      <c r="C18" s="5" t="str">
        <f>IFERROR(__xludf.DUMMYFUNCTION("""COMPUTED_VALUE"""),"tdahsou")</f>
        <v>tdahsou</v>
      </c>
      <c r="D18" s="5" t="str">
        <f>IFERROR(__xludf.DUMMYFUNCTION("""COMPUTED_VALUE"""),"TDAH Sou - Psicólogo - Ansiedade - TDAH")</f>
        <v>TDAH Sou - Psicólogo - Ansiedade - TDAH</v>
      </c>
      <c r="E18" s="5" t="str">
        <f>IFERROR(__xludf.DUMMYFUNCTION("""COMPUTED_VALUE"""),"tdahinfantil,tdahadulto,tdah,estresse,psiquiatria,psicologia")</f>
        <v>tdahinfantil,tdahadulto,tdah,estresse,psiquiatria,psicologia</v>
      </c>
      <c r="F18" s="5">
        <f>IFERROR(__xludf.DUMMYFUNCTION("IF(
  TRIM(E18)="""",
  0,
  COUNTA(
    SPLIT(
      REGEXREPLACE(E18,""\s*,\s*"","",""),
      "",""
    )
  )
)"),6.0)</f>
        <v>6</v>
      </c>
      <c r="G18" s="5">
        <v>1020.0</v>
      </c>
      <c r="H18" s="5">
        <v>4.0</v>
      </c>
      <c r="I18" s="5"/>
    </row>
    <row r="19">
      <c r="A19" s="5" t="str">
        <f>IFERROR(__xludf.DUMMYFUNCTION("""COMPUTED_VALUE"""),"DQsQyU9jhX3")</f>
        <v>DQsQyU9jhX3</v>
      </c>
      <c r="B19" s="5" t="str">
        <f>IFERROR(__xludf.DUMMYFUNCTION("""COMPUTED_VALUE"""),"Se você ama alguém com TDAH (especialmente o tipo desatento), lembre-se: essa pessoa não está te ignorando, não é desmotivada nem descuidada — o cérebro dela 🧠 apenas se move pelo mundo em um ritmo único e próprio.
Entender isso não justifica comportame"&amp;"ntos, mas convida à empatia ❤️.�
Nos ajuda a nos encontrarmos com curiosidade, em vez de crítica.
Porque os relacionamentos — sejam amorosos, familiares ou de amizade — se aprofundam quando aprendemos a enxergar o mundo através das conexões uns dos outr"&amp;"os.
.
.
.
 #tdahadulto #tdahmulher #tdahadulte #tdah #tdahcomamor #psiquiatraonline #psiquiatria #psiquiatrapelotas")</f>
        <v>Se você ama alguém com TDAH (especialmente o tipo desatento), lembre-se: essa pessoa não está te ignorando, não é desmotivada nem descuidada — o cérebro dela 🧠 apenas se move pelo mundo em um ritmo único e próprio.
Entender isso não justifica comportamentos, mas convida à empatia ❤️.�
Nos ajuda a nos encontrarmos com curiosidade, em vez de crítica.
Porque os relacionamentos — sejam amorosos, familiares ou de amizade — se aprofundam quando aprendemos a enxergar o mundo através das conexões uns dos outros.
.
.
.
 #tdahadulto #tdahmulher #tdahadulte #tdah #tdahcomamor #psiquiatraonline #psiquiatria #psiquiatrapelotas</v>
      </c>
      <c r="C19" s="5" t="str">
        <f>IFERROR(__xludf.DUMMYFUNCTION("""COMPUTED_VALUE"""),"dranathaliabarreto")</f>
        <v>dranathaliabarreto</v>
      </c>
      <c r="D19" s="5" t="str">
        <f>IFERROR(__xludf.DUMMYFUNCTION("""COMPUTED_VALUE"""),"Nathália Barreto | Psiquiatra")</f>
        <v>Nathália Barreto | Psiquiatra</v>
      </c>
      <c r="E19" s="5" t="str">
        <f>IFERROR(__xludf.DUMMYFUNCTION("""COMPUTED_VALUE"""),"tdahadulto,tdahmulher,tdahadulte,tdah,tdahcomamor,psiquiatraonline,psiquiatria,psiquiatrapelotas")</f>
        <v>tdahadulto,tdahmulher,tdahadulte,tdah,tdahcomamor,psiquiatraonline,psiquiatria,psiquiatrapelotas</v>
      </c>
      <c r="F19" s="5">
        <f>IFERROR(__xludf.DUMMYFUNCTION("IF(
  TRIM(E19)="""",
  0,
  COUNTA(
    SPLIT(
      REGEXREPLACE(E19,""\s*,\s*"","",""),
      "",""
    )
  )
)"),8.0)</f>
        <v>8</v>
      </c>
      <c r="G19" s="5">
        <v>775.0</v>
      </c>
      <c r="H19" s="5">
        <v>6.0</v>
      </c>
      <c r="I19" s="5"/>
    </row>
    <row r="20">
      <c r="A20" s="5" t="str">
        <f>IFERROR(__xludf.DUMMYFUNCTION("""COMPUTED_VALUE"""),"DOwCENwkZHz")</f>
        <v>DOwCENwkZHz</v>
      </c>
      <c r="B20" s="5" t="str">
        <f>IFERROR(__xludf.DUMMYFUNCTION("""COMPUTED_VALUE"""),"Se você tem TDAH, com certeza já passou pelo famoso “CONGELAMENTO”. 😰
Quando você está cheio de coisas importantes para fazer, a cabeça não para de pensar, mas o corpo simplesmente não sai do lugar.
Isso acontece por causa da DISFUNÇÃO EXECUTIVA — um m"&amp;"au funcionamento das funções executivas do cérebro, responsáveis pelo planejamento, tomada de decisão e atenção.
Esse funcionamento prejudicado gera várias dificuldades, como:
✅ Problemas para dar continuidade às tarefas.
✅ Dificuldade em gerenciar a at"&amp;"enção com flexibilidade ou mudar o foco.
✅ Problemas para manter um comportamento por longos períodos.
✅ Dificuldade em organizar prioridades e administrar o tempo.
✅ Problemas para seguir uma sequência de etapas ou instruções.
✅ Dificuldade de antecipar "&amp;"as consequências das ações.
✅ Pouca flexibilidade cognitiva: dificuldade em adaptar a resposta a novas situações, corrigir ou modificar ações em andamento.
✅ Problemas com o automonitoramento: dificuldade em supervisionar a própria atividade para ajustá-l"&amp;"a ou corrigi-la quando necessário.
✅ Dificuldade no controle de impulsos e emoções.
⚡️ TDAH é um transtorno sério e precisa de tratamento. Não é preguiça, não é invenção da indústria farmacêutica e muito menos desculpa!
💎 E se você é mulher com TDAH, s"&amp;"aiba que não está sozinha. Criamos o Clube da Mulher TDAH, um espaço exclusivo para acolhimento, apoio e estratégias práticas por apenas R$29,97.
👉 Entre para o clube e descubra como transformar a sua rotina! Link na bio.
➡️ Agora me conta: qual a coisa"&amp;" mais absurda que você já ouviu sobre o TDAH?
#tdah #tdahadulto #disfunçãoexecutiva #congelamento #clubedamulhertdah")</f>
        <v>Se você tem TDAH, com certeza já passou pelo famoso “CONGELAMENTO”. 😰
Quando você está cheio de coisas importantes para fazer, a cabeça não para de pensar, mas o corpo simplesmente não sai do lugar.
Isso acontece por causa da DISFUNÇÃO EXECUTIVA — um mau funcionamento das funções executivas do cérebro, responsáveis pelo planejamento, tomada de decisão e atenção.
Esse funcionamento prejudicado gera várias dificuldades, como:
✅ Problemas para dar continuidade às tarefas.
✅ Dificuldade em gerenciar a atenção com flexibilidade ou mudar o foco.
✅ Problemas para manter um comportamento por longos períodos.
✅ Dificuldade em organizar prioridades e administrar o tempo.
✅ Problemas para seguir uma sequência de etapas ou instruções.
✅ Dificuldade de antecipar as consequências das ações.
✅ Pouca flexibilidade cognitiva: dificuldade em adaptar a resposta a novas situações, corrigir ou modificar ações em andamento.
✅ Problemas com o automonitoramento: dificuldade em supervisionar a própria atividade para ajustá-la ou corrigi-la quando necessário.
✅ Dificuldade no controle de impulsos e emoções.
⚡️ TDAH é um transtorno sério e precisa de tratamento. Não é preguiça, não é invenção da indústria farmacêutica e muito menos desculpa!
💎 E se você é mulher com TDAH, saiba que não está sozinha. Criamos o Clube da Mulher TDAH, um espaço exclusivo para acolhimento, apoio e estratégias práticas por apenas R$29,97.
👉 Entre para o clube e descubra como transformar a sua rotina! Link na bio.
➡️ Agora me conta: qual a coisa mais absurda que você já ouviu sobre o TDAH?
#tdah #tdahadulto #disfunçãoexecutiva #congelamento #clubedamulhertdah</v>
      </c>
      <c r="C20" s="5" t="str">
        <f>IFERROR(__xludf.DUMMYFUNCTION("""COMPUTED_VALUE"""),"tdahdislex")</f>
        <v>tdahdislex</v>
      </c>
      <c r="D20" s="5" t="str">
        <f>IFERROR(__xludf.DUMMYFUNCTION("""COMPUTED_VALUE"""),"Danilo Barros| Palestrante e escritor .")</f>
        <v>Danilo Barros| Palestrante e escritor .</v>
      </c>
      <c r="E20" s="5" t="str">
        <f>IFERROR(__xludf.DUMMYFUNCTION("""COMPUTED_VALUE"""),"tdah,tdahadulto,disfunçãoexecutiva,congelamento,clubedamulhertdah")</f>
        <v>tdah,tdahadulto,disfunçãoexecutiva,congelamento,clubedamulhertdah</v>
      </c>
      <c r="F20" s="5">
        <f>IFERROR(__xludf.DUMMYFUNCTION("IF(
  TRIM(E20)="""",
  0,
  COUNTA(
    SPLIT(
      REGEXREPLACE(E20,""\s*,\s*"","",""),
      "",""
    )
  )
)"),5.0)</f>
        <v>5</v>
      </c>
      <c r="G20" s="5">
        <v>1487.0</v>
      </c>
      <c r="H20" s="5">
        <v>17.0</v>
      </c>
      <c r="I20" s="5"/>
    </row>
    <row r="21">
      <c r="A21" s="5" t="str">
        <f>IFERROR(__xludf.DUMMYFUNCTION("""COMPUTED_VALUE"""),"DAqzHR3Nm8N")</f>
        <v>DAqzHR3Nm8N</v>
      </c>
      <c r="B21" s="5" t="str">
        <f>IFERROR(__xludf.DUMMYFUNCTION("""COMPUTED_VALUE"""),"“TDAH Infantil vs TDAH Adulto” ¿Te sientes identificado? Déjalo saber en los comentarios! #tdah #tda #adhd #tdahescomplicado #tdahangelvalor #tdahesreal #tdahestigma #tdahestrés #adhdlife #trastonopordéficitdeatenciónehiperactividad #trastornopordéficitde"&amp;"atenciónehiperactividad #deficitdeatencion #hiperactividad #tdahainfantil #tdahniños #tdahadulto #tdahadultos #tdahniñosadolescentesadultos")</f>
        <v>“TDAH Infantil vs TDAH Adulto” ¿Te sientes identificado? Déjalo saber en los comentarios! #tdah #tda #adhd #tdahescomplicado #tdahangelvalor #tdahesreal #tdahestigma #tdahestrés #adhdlife #trastonopordéficitdeatenciónehiperactividad #trastornopordéficitdeatenciónehiperactividad #deficitdeatencion #hiperactividad #tdahainfantil #tdahniños #tdahadulto #tdahadultos #tdahniñosadolescentesadultos</v>
      </c>
      <c r="C21" s="5" t="str">
        <f>IFERROR(__xludf.DUMMYFUNCTION("""COMPUTED_VALUE"""),"tdahangelvalor")</f>
        <v>tdahangelvalor</v>
      </c>
      <c r="D21" s="5" t="str">
        <f>IFERROR(__xludf.DUMMYFUNCTION("""COMPUTED_VALUE"""),"Ángel Valor")</f>
        <v>Ángel Valor</v>
      </c>
      <c r="E21" s="5" t="str">
        <f>IFERROR(__xludf.DUMMYFUNCTION("""COMPUTED_VALUE"""),"tdah,tda,adhd,tdahescomplicado,tdahangelvalor,tdahesreal,tdahestigma,tdahestrés,adhdlife,trastonopordéficitdeatenciónehiperactividad,trastornopordéficitdeatenciónehiperactividad,deficitdeatencion,hiperactividad,tdahainfantil,tdahniños,tdahadulto,tdahadult"&amp;"os,tdahniñosadolescentesadultos")</f>
        <v>tdah,tda,adhd,tdahescomplicado,tdahangelvalor,tdahesreal,tdahestigma,tdahestrés,adhdlife,trastonopordéficitdeatenciónehiperactividad,trastornopordéficitdeatenciónehiperactividad,deficitdeatencion,hiperactividad,tdahainfantil,tdahniños,tdahadulto,tdahadultos,tdahniñosadolescentesadultos</v>
      </c>
      <c r="F21" s="5">
        <f>IFERROR(__xludf.DUMMYFUNCTION("IF(
  TRIM(E21)="""",
  0,
  COUNTA(
    SPLIT(
      REGEXREPLACE(E21,""\s*,\s*"","",""),
      "",""
    )
  )
)"),18.0)</f>
        <v>18</v>
      </c>
      <c r="G21" s="5">
        <v>9515.0</v>
      </c>
      <c r="H21" s="5">
        <v>54.0</v>
      </c>
      <c r="I21" s="5"/>
    </row>
    <row r="22">
      <c r="A22" s="5" t="str">
        <f>IFERROR(__xludf.DUMMYFUNCTION("""COMPUTED_VALUE"""),"DPYvP8rABLy")</f>
        <v>DPYvP8rABLy</v>
      </c>
      <c r="B22" s="5" t="str">
        <f>IFERROR(__xludf.DUMMYFUNCTION("""COMPUTED_VALUE"""),"Estudando melhor com TDAH!
TDAHfeminino #TDAHemMulheres #SaúdeMentalFeminina  #Autoconhecimento #Mindfulness #Neurodivergente #TDAHAdulto #Psicoeducação")</f>
        <v>Estudando melhor com TDAH!
TDAHfeminino #TDAHemMulheres #SaúdeMentalFeminina  #Autoconhecimento #Mindfulness #Neurodivergente #TDAHAdulto #Psicoeducação</v>
      </c>
      <c r="C22" s="5" t="str">
        <f>IFERROR(__xludf.DUMMYFUNCTION("""COMPUTED_VALUE"""),"psibarbaratenorio")</f>
        <v>psibarbaratenorio</v>
      </c>
      <c r="D22" s="5" t="str">
        <f>IFERROR(__xludf.DUMMYFUNCTION("""COMPUTED_VALUE"""),"Esp. Bárbara Tenório Souza | Psicóloga | Neuropsicóloga | TDAH")</f>
        <v>Esp. Bárbara Tenório Souza | Psicóloga | Neuropsicóloga | TDAH</v>
      </c>
      <c r="E22" s="5" t="str">
        <f>IFERROR(__xludf.DUMMYFUNCTION("""COMPUTED_VALUE"""),"TDAHemMulheres,SaúdeMentalFeminina,Autoconhecimento,Mindfulness,Neurodivergente,TDAHAdulto,Psicoeducação")</f>
        <v>TDAHemMulheres,SaúdeMentalFeminina,Autoconhecimento,Mindfulness,Neurodivergente,TDAHAdulto,Psicoeducação</v>
      </c>
      <c r="F22" s="5">
        <f>IFERROR(__xludf.DUMMYFUNCTION("IF(
  TRIM(E22)="""",
  0,
  COUNTA(
    SPLIT(
      REGEXREPLACE(E22,""\s*,\s*"","",""),
      "",""
    )
  )
)"),7.0)</f>
        <v>7</v>
      </c>
      <c r="G22" s="5">
        <v>577.0</v>
      </c>
      <c r="H22" s="5">
        <v>4.0</v>
      </c>
      <c r="I22" s="5"/>
    </row>
    <row r="23">
      <c r="A23" s="5"/>
      <c r="B23" s="5"/>
      <c r="C23" s="5"/>
      <c r="D23" s="5"/>
      <c r="E23" s="5"/>
      <c r="F23" s="5"/>
      <c r="G23" s="5"/>
      <c r="H23" s="5"/>
      <c r="I23" s="5"/>
    </row>
    <row r="24">
      <c r="A24" s="5"/>
      <c r="B24" s="5"/>
      <c r="C24" s="5"/>
      <c r="D24" s="5"/>
      <c r="E24" s="5"/>
      <c r="F24" s="5"/>
      <c r="G24" s="5"/>
      <c r="H24" s="5"/>
      <c r="I24" s="5"/>
    </row>
    <row r="25">
      <c r="A25" s="5"/>
      <c r="B25" s="5"/>
      <c r="C25" s="5"/>
      <c r="D25" s="5"/>
      <c r="E25" s="5"/>
      <c r="F25" s="5"/>
      <c r="G25" s="5"/>
      <c r="H25" s="5"/>
      <c r="I25" s="5"/>
    </row>
    <row r="26">
      <c r="A26" s="5"/>
      <c r="B26" s="5"/>
      <c r="C26" s="5"/>
      <c r="D26" s="5"/>
      <c r="E26" s="5"/>
      <c r="F26" s="5"/>
      <c r="G26" s="5"/>
      <c r="H26" s="5"/>
      <c r="I26" s="5"/>
    </row>
    <row r="27">
      <c r="A27" s="5"/>
      <c r="B27" s="5"/>
      <c r="C27" s="5"/>
      <c r="D27" s="5"/>
      <c r="E27" s="5"/>
      <c r="F27" s="5"/>
      <c r="G27" s="5"/>
      <c r="H27" s="5"/>
      <c r="I27" s="5"/>
    </row>
    <row r="28">
      <c r="G28" s="4"/>
      <c r="H28" s="4"/>
    </row>
    <row r="29">
      <c r="G29" s="4"/>
      <c r="H29" s="4"/>
    </row>
    <row r="30">
      <c r="G30" s="4"/>
      <c r="H30" s="4"/>
    </row>
    <row r="31">
      <c r="G31" s="4"/>
      <c r="H31" s="4"/>
    </row>
    <row r="32">
      <c r="G32" s="4"/>
      <c r="H32" s="4"/>
    </row>
    <row r="33">
      <c r="G33" s="4"/>
      <c r="H33" s="4"/>
    </row>
    <row r="34">
      <c r="G34" s="4"/>
      <c r="H34" s="4"/>
    </row>
    <row r="35">
      <c r="G35" s="4"/>
      <c r="H35" s="4"/>
    </row>
    <row r="36">
      <c r="G36" s="4"/>
      <c r="H36" s="4"/>
    </row>
    <row r="37">
      <c r="G37" s="4"/>
      <c r="H37" s="4"/>
    </row>
    <row r="38">
      <c r="G38" s="4"/>
      <c r="H38" s="4"/>
    </row>
    <row r="39">
      <c r="G39" s="4"/>
      <c r="H39" s="4"/>
    </row>
    <row r="40">
      <c r="G40" s="4"/>
      <c r="H40" s="4"/>
    </row>
    <row r="41">
      <c r="G41" s="4"/>
      <c r="H41" s="4"/>
    </row>
    <row r="42">
      <c r="G42" s="4"/>
      <c r="H42" s="4"/>
    </row>
    <row r="43">
      <c r="G43" s="4"/>
      <c r="H43" s="4"/>
    </row>
    <row r="44">
      <c r="G44" s="4"/>
      <c r="H44" s="4"/>
    </row>
    <row r="45">
      <c r="G45" s="4"/>
      <c r="H45" s="4"/>
    </row>
    <row r="46">
      <c r="G46" s="4"/>
      <c r="H46" s="4"/>
    </row>
    <row r="47">
      <c r="G47" s="4"/>
      <c r="H47" s="4"/>
    </row>
    <row r="48">
      <c r="G48" s="4"/>
      <c r="H48" s="4"/>
    </row>
    <row r="49">
      <c r="G49" s="4"/>
      <c r="H49" s="4"/>
    </row>
    <row r="50">
      <c r="G50" s="4"/>
      <c r="H50" s="4"/>
    </row>
    <row r="51">
      <c r="G51" s="4"/>
      <c r="H51" s="4"/>
    </row>
    <row r="52">
      <c r="G52" s="4"/>
      <c r="H52" s="4"/>
    </row>
    <row r="53">
      <c r="G53" s="4"/>
      <c r="H53" s="4"/>
    </row>
    <row r="54">
      <c r="G54" s="4"/>
      <c r="H54" s="4"/>
    </row>
    <row r="55">
      <c r="G55" s="4"/>
      <c r="H55" s="4"/>
    </row>
    <row r="56">
      <c r="G56" s="4"/>
      <c r="H56" s="4"/>
    </row>
    <row r="57">
      <c r="G57" s="4"/>
      <c r="H57" s="4"/>
    </row>
    <row r="58">
      <c r="G58" s="4"/>
      <c r="H58" s="4"/>
    </row>
    <row r="59">
      <c r="G59" s="4"/>
      <c r="H59" s="4"/>
    </row>
    <row r="60">
      <c r="G60" s="4"/>
      <c r="H60" s="4"/>
    </row>
    <row r="61">
      <c r="G61" s="4"/>
      <c r="H61" s="4"/>
    </row>
    <row r="62">
      <c r="G62" s="4"/>
      <c r="H62" s="4"/>
    </row>
    <row r="63">
      <c r="G63" s="4"/>
      <c r="H63" s="4"/>
    </row>
    <row r="64">
      <c r="G64" s="4"/>
      <c r="H64" s="4"/>
    </row>
    <row r="65">
      <c r="G65" s="4"/>
      <c r="H65" s="4"/>
    </row>
    <row r="66">
      <c r="G66" s="4"/>
      <c r="H66" s="4"/>
    </row>
    <row r="67">
      <c r="G67" s="4"/>
      <c r="H67" s="4"/>
    </row>
    <row r="68">
      <c r="G68" s="4"/>
      <c r="H68" s="4"/>
    </row>
    <row r="69">
      <c r="G69" s="4"/>
      <c r="H69" s="4"/>
    </row>
    <row r="70">
      <c r="G70" s="4"/>
      <c r="H70" s="4"/>
    </row>
    <row r="71">
      <c r="G71" s="4"/>
      <c r="H71" s="4"/>
    </row>
    <row r="72">
      <c r="G72" s="4"/>
      <c r="H72" s="4"/>
    </row>
    <row r="73">
      <c r="G73" s="4"/>
      <c r="H73" s="4"/>
    </row>
    <row r="74">
      <c r="G74" s="4"/>
      <c r="H74" s="4"/>
    </row>
    <row r="75">
      <c r="G75" s="4"/>
      <c r="H75" s="4"/>
    </row>
    <row r="76">
      <c r="G76" s="4"/>
      <c r="H76" s="4"/>
    </row>
    <row r="77">
      <c r="G77" s="4"/>
      <c r="H77" s="4"/>
    </row>
    <row r="78">
      <c r="G78" s="4"/>
      <c r="H78" s="4"/>
    </row>
    <row r="79">
      <c r="G79" s="4"/>
      <c r="H79" s="4"/>
    </row>
    <row r="80">
      <c r="G80" s="4"/>
      <c r="H80" s="4"/>
    </row>
    <row r="81">
      <c r="G81" s="4"/>
      <c r="H81" s="4"/>
    </row>
    <row r="82">
      <c r="G82" s="4"/>
      <c r="H82" s="4"/>
    </row>
    <row r="83">
      <c r="G83" s="4"/>
      <c r="H83" s="4"/>
    </row>
    <row r="84">
      <c r="G84" s="4"/>
      <c r="H84" s="4"/>
    </row>
    <row r="85">
      <c r="G85" s="4"/>
      <c r="H85" s="4"/>
    </row>
    <row r="86">
      <c r="G86" s="4"/>
      <c r="H86" s="4"/>
    </row>
    <row r="87">
      <c r="G87" s="4"/>
      <c r="H87" s="4"/>
    </row>
    <row r="88">
      <c r="G88" s="4"/>
      <c r="H88" s="4"/>
    </row>
    <row r="89">
      <c r="G89" s="4"/>
      <c r="H89" s="4"/>
    </row>
    <row r="90">
      <c r="G90" s="4"/>
      <c r="H90" s="4"/>
    </row>
    <row r="91">
      <c r="G91" s="4"/>
      <c r="H91" s="4"/>
    </row>
    <row r="92">
      <c r="G92" s="4"/>
      <c r="H92" s="4"/>
    </row>
    <row r="93">
      <c r="G93" s="4"/>
      <c r="H93" s="4"/>
    </row>
    <row r="94">
      <c r="G94" s="4"/>
      <c r="H94" s="4"/>
    </row>
    <row r="95">
      <c r="G95" s="4"/>
      <c r="H95" s="4"/>
    </row>
    <row r="96">
      <c r="G96" s="4"/>
      <c r="H96" s="4"/>
    </row>
    <row r="97">
      <c r="G97" s="4"/>
      <c r="H97" s="4"/>
    </row>
    <row r="98">
      <c r="G98" s="4"/>
      <c r="H98" s="4"/>
    </row>
    <row r="99">
      <c r="G99" s="4"/>
      <c r="H99" s="4"/>
    </row>
    <row r="100">
      <c r="G100" s="4"/>
      <c r="H100" s="4"/>
    </row>
    <row r="101">
      <c r="G101" s="4"/>
      <c r="H101" s="4"/>
    </row>
    <row r="102">
      <c r="G102" s="4"/>
      <c r="H102" s="4"/>
    </row>
    <row r="103">
      <c r="G103" s="4"/>
      <c r="H103" s="4"/>
    </row>
    <row r="104">
      <c r="G104" s="4"/>
      <c r="H104" s="4"/>
    </row>
    <row r="105">
      <c r="G105" s="4"/>
      <c r="H105" s="4"/>
    </row>
    <row r="106">
      <c r="G106" s="4"/>
      <c r="H106" s="4"/>
    </row>
    <row r="107">
      <c r="G107" s="4"/>
      <c r="H107" s="4"/>
    </row>
    <row r="108">
      <c r="G108" s="4"/>
      <c r="H108" s="4"/>
    </row>
    <row r="109">
      <c r="G109" s="4"/>
      <c r="H109" s="4"/>
    </row>
    <row r="110">
      <c r="G110" s="4"/>
      <c r="H110" s="4"/>
    </row>
    <row r="111">
      <c r="G111" s="4"/>
      <c r="H111" s="4"/>
    </row>
    <row r="112">
      <c r="G112" s="4"/>
      <c r="H112" s="4"/>
    </row>
    <row r="113">
      <c r="G113" s="4"/>
      <c r="H113" s="4"/>
    </row>
    <row r="114">
      <c r="G114" s="4"/>
      <c r="H114" s="4"/>
    </row>
    <row r="115">
      <c r="G115" s="4"/>
      <c r="H115" s="4"/>
    </row>
    <row r="116">
      <c r="G116" s="4"/>
      <c r="H116" s="4"/>
    </row>
    <row r="117">
      <c r="G117" s="4"/>
      <c r="H117" s="4"/>
    </row>
    <row r="118">
      <c r="G118" s="4"/>
      <c r="H118" s="4"/>
    </row>
    <row r="119">
      <c r="G119" s="4"/>
      <c r="H119" s="4"/>
    </row>
    <row r="120">
      <c r="G120" s="4"/>
      <c r="H120" s="4"/>
    </row>
    <row r="121">
      <c r="G121" s="4"/>
      <c r="H121" s="4"/>
    </row>
    <row r="122">
      <c r="G122" s="4"/>
      <c r="H122" s="4"/>
    </row>
    <row r="123">
      <c r="G123" s="4"/>
      <c r="H123" s="4"/>
    </row>
    <row r="124">
      <c r="G124" s="4"/>
      <c r="H124" s="4"/>
    </row>
    <row r="125">
      <c r="G125" s="4"/>
      <c r="H125" s="4"/>
    </row>
    <row r="126">
      <c r="G126" s="4"/>
      <c r="H126" s="4"/>
    </row>
    <row r="127">
      <c r="G127" s="4"/>
      <c r="H127" s="4"/>
    </row>
    <row r="128">
      <c r="G128" s="4"/>
      <c r="H128" s="4"/>
    </row>
    <row r="129">
      <c r="G129" s="4"/>
      <c r="H129" s="4"/>
    </row>
    <row r="130">
      <c r="G130" s="4"/>
      <c r="H130" s="4"/>
    </row>
    <row r="131">
      <c r="G131" s="4"/>
      <c r="H131" s="4"/>
    </row>
    <row r="132">
      <c r="G132" s="4"/>
      <c r="H132" s="4"/>
    </row>
    <row r="133">
      <c r="G133" s="4"/>
      <c r="H133" s="4"/>
    </row>
    <row r="134">
      <c r="G134" s="4"/>
      <c r="H134" s="4"/>
    </row>
    <row r="135">
      <c r="G135" s="4"/>
      <c r="H135" s="4"/>
    </row>
    <row r="136">
      <c r="G136" s="4"/>
      <c r="H136" s="4"/>
    </row>
    <row r="137">
      <c r="G137" s="4"/>
      <c r="H137" s="4"/>
    </row>
    <row r="138">
      <c r="G138" s="4"/>
      <c r="H138" s="4"/>
    </row>
    <row r="139">
      <c r="G139" s="4"/>
      <c r="H139" s="4"/>
    </row>
    <row r="140">
      <c r="G140" s="4"/>
      <c r="H140" s="4"/>
    </row>
    <row r="141">
      <c r="G141" s="4"/>
      <c r="H141" s="4"/>
    </row>
    <row r="142">
      <c r="G142" s="4"/>
      <c r="H142" s="4"/>
    </row>
    <row r="143">
      <c r="G143" s="4"/>
      <c r="H143" s="4"/>
    </row>
    <row r="144">
      <c r="G144" s="4"/>
      <c r="H144" s="4"/>
    </row>
    <row r="145">
      <c r="G145" s="4"/>
      <c r="H145" s="4"/>
    </row>
    <row r="146">
      <c r="G146" s="4"/>
      <c r="H146" s="4"/>
    </row>
    <row r="147">
      <c r="G147" s="4"/>
      <c r="H147" s="4"/>
    </row>
    <row r="148">
      <c r="G148" s="4"/>
      <c r="H148" s="4"/>
    </row>
    <row r="149">
      <c r="G149" s="4"/>
      <c r="H149" s="4"/>
    </row>
    <row r="150">
      <c r="G150" s="4"/>
      <c r="H150" s="4"/>
    </row>
    <row r="151">
      <c r="G151" s="4"/>
      <c r="H151" s="4"/>
    </row>
    <row r="152">
      <c r="G152" s="4"/>
      <c r="H152" s="4"/>
    </row>
    <row r="153">
      <c r="G153" s="4"/>
      <c r="H153" s="4"/>
    </row>
    <row r="154">
      <c r="G154" s="4"/>
      <c r="H154" s="4"/>
    </row>
    <row r="155">
      <c r="G155" s="4"/>
      <c r="H155" s="4"/>
    </row>
    <row r="156">
      <c r="G156" s="4"/>
      <c r="H156" s="4"/>
    </row>
    <row r="157">
      <c r="G157" s="4"/>
      <c r="H157" s="4"/>
    </row>
    <row r="158">
      <c r="G158" s="4"/>
      <c r="H158" s="4"/>
    </row>
    <row r="159">
      <c r="G159" s="4"/>
      <c r="H159" s="4"/>
    </row>
    <row r="160">
      <c r="G160" s="4"/>
      <c r="H160" s="4"/>
    </row>
    <row r="161">
      <c r="G161" s="4"/>
      <c r="H161" s="4"/>
    </row>
    <row r="162">
      <c r="G162" s="4"/>
      <c r="H162" s="4"/>
    </row>
    <row r="163">
      <c r="G163" s="4"/>
      <c r="H163" s="4"/>
    </row>
    <row r="164">
      <c r="G164" s="4"/>
      <c r="H164" s="4"/>
    </row>
    <row r="165">
      <c r="G165" s="4"/>
      <c r="H165" s="4"/>
    </row>
    <row r="166">
      <c r="G166" s="4"/>
      <c r="H166" s="4"/>
    </row>
    <row r="167">
      <c r="G167" s="4"/>
      <c r="H167" s="4"/>
    </row>
    <row r="168">
      <c r="G168" s="4"/>
      <c r="H168" s="4"/>
    </row>
    <row r="169">
      <c r="G169" s="4"/>
      <c r="H169" s="4"/>
    </row>
    <row r="170">
      <c r="G170" s="4"/>
      <c r="H170" s="4"/>
    </row>
    <row r="171">
      <c r="G171" s="4"/>
      <c r="H171" s="4"/>
    </row>
    <row r="172">
      <c r="G172" s="4"/>
      <c r="H172" s="4"/>
    </row>
    <row r="173">
      <c r="G173" s="4"/>
      <c r="H173" s="4"/>
    </row>
    <row r="174">
      <c r="G174" s="4"/>
      <c r="H174" s="4"/>
    </row>
    <row r="175">
      <c r="G175" s="4"/>
      <c r="H175" s="4"/>
    </row>
    <row r="176">
      <c r="G176" s="4"/>
      <c r="H176" s="4"/>
    </row>
    <row r="177">
      <c r="G177" s="4"/>
      <c r="H177" s="4"/>
    </row>
    <row r="178">
      <c r="G178" s="4"/>
      <c r="H178" s="4"/>
    </row>
    <row r="179">
      <c r="G179" s="4"/>
      <c r="H179" s="4"/>
    </row>
    <row r="180">
      <c r="G180" s="4"/>
      <c r="H180" s="4"/>
    </row>
    <row r="181">
      <c r="G181" s="4"/>
      <c r="H181" s="4"/>
    </row>
    <row r="182">
      <c r="G182" s="4"/>
      <c r="H182" s="4"/>
    </row>
    <row r="183">
      <c r="G183" s="4"/>
      <c r="H183" s="4"/>
    </row>
    <row r="184">
      <c r="G184" s="4"/>
      <c r="H184" s="4"/>
    </row>
    <row r="185">
      <c r="G185" s="4"/>
      <c r="H185" s="4"/>
    </row>
    <row r="186">
      <c r="G186" s="4"/>
      <c r="H186" s="4"/>
    </row>
    <row r="187">
      <c r="G187" s="4"/>
      <c r="H187" s="4"/>
    </row>
    <row r="188">
      <c r="G188" s="4"/>
      <c r="H188" s="4"/>
    </row>
    <row r="189">
      <c r="G189" s="4"/>
      <c r="H189" s="4"/>
    </row>
    <row r="190">
      <c r="G190" s="4"/>
      <c r="H190" s="4"/>
    </row>
    <row r="191">
      <c r="G191" s="4"/>
      <c r="H191" s="4"/>
    </row>
    <row r="192">
      <c r="G192" s="4"/>
      <c r="H192" s="4"/>
    </row>
    <row r="193">
      <c r="G193" s="4"/>
      <c r="H193" s="4"/>
    </row>
    <row r="194">
      <c r="G194" s="4"/>
      <c r="H194" s="4"/>
    </row>
    <row r="195">
      <c r="G195" s="4"/>
      <c r="H195" s="4"/>
    </row>
    <row r="196">
      <c r="G196" s="4"/>
      <c r="H196" s="4"/>
    </row>
    <row r="197">
      <c r="G197" s="4"/>
      <c r="H197" s="4"/>
    </row>
    <row r="198">
      <c r="G198" s="4"/>
      <c r="H198" s="4"/>
    </row>
    <row r="199">
      <c r="G199" s="4"/>
      <c r="H199" s="4"/>
    </row>
    <row r="200">
      <c r="G200" s="4"/>
      <c r="H200" s="4"/>
    </row>
    <row r="201">
      <c r="G201" s="4"/>
      <c r="H201" s="4"/>
    </row>
    <row r="202">
      <c r="G202" s="4"/>
      <c r="H202" s="4"/>
    </row>
    <row r="203">
      <c r="G203" s="4"/>
      <c r="H203" s="4"/>
    </row>
    <row r="204">
      <c r="G204" s="4"/>
      <c r="H204" s="4"/>
    </row>
    <row r="205">
      <c r="G205" s="4"/>
      <c r="H205" s="4"/>
    </row>
    <row r="206">
      <c r="G206" s="4"/>
      <c r="H206" s="4"/>
    </row>
    <row r="207">
      <c r="G207" s="4"/>
      <c r="H207" s="4"/>
    </row>
    <row r="208">
      <c r="G208" s="4"/>
      <c r="H208" s="4"/>
    </row>
    <row r="209">
      <c r="G209" s="4"/>
      <c r="H209" s="4"/>
    </row>
    <row r="210">
      <c r="G210" s="4"/>
      <c r="H210" s="4"/>
    </row>
    <row r="211">
      <c r="G211" s="4"/>
      <c r="H211" s="4"/>
    </row>
    <row r="212">
      <c r="G212" s="4"/>
      <c r="H212" s="4"/>
    </row>
    <row r="213">
      <c r="G213" s="4"/>
      <c r="H213" s="4"/>
    </row>
    <row r="214">
      <c r="G214" s="4"/>
      <c r="H214" s="4"/>
    </row>
    <row r="215">
      <c r="G215" s="4"/>
      <c r="H215" s="4"/>
    </row>
    <row r="216">
      <c r="G216" s="4"/>
      <c r="H216" s="4"/>
    </row>
    <row r="217">
      <c r="G217" s="4"/>
      <c r="H217" s="4"/>
    </row>
    <row r="218">
      <c r="G218" s="4"/>
      <c r="H218" s="4"/>
    </row>
    <row r="219">
      <c r="G219" s="4"/>
      <c r="H219" s="4"/>
    </row>
    <row r="220">
      <c r="G220" s="4"/>
      <c r="H220" s="4"/>
    </row>
    <row r="221">
      <c r="G221" s="4"/>
      <c r="H221" s="4"/>
    </row>
    <row r="222">
      <c r="G222" s="4"/>
      <c r="H222" s="4"/>
    </row>
    <row r="223">
      <c r="G223" s="4"/>
      <c r="H223" s="4"/>
    </row>
    <row r="224">
      <c r="G224" s="4"/>
      <c r="H224" s="4"/>
    </row>
    <row r="225">
      <c r="G225" s="4"/>
      <c r="H225" s="4"/>
    </row>
    <row r="226">
      <c r="G226" s="4"/>
      <c r="H226" s="4"/>
    </row>
    <row r="227">
      <c r="G227" s="4"/>
      <c r="H227" s="4"/>
    </row>
    <row r="228">
      <c r="G228" s="4"/>
      <c r="H228" s="4"/>
    </row>
    <row r="229">
      <c r="G229" s="4"/>
      <c r="H229" s="4"/>
    </row>
    <row r="230">
      <c r="G230" s="4"/>
      <c r="H230" s="4"/>
    </row>
    <row r="231">
      <c r="G231" s="4"/>
      <c r="H231" s="4"/>
    </row>
    <row r="232">
      <c r="G232" s="4"/>
      <c r="H232" s="4"/>
    </row>
    <row r="233">
      <c r="G233" s="4"/>
      <c r="H233" s="4"/>
    </row>
    <row r="234">
      <c r="G234" s="4"/>
      <c r="H234" s="4"/>
    </row>
    <row r="235">
      <c r="G235" s="4"/>
      <c r="H235" s="4"/>
    </row>
    <row r="236">
      <c r="G236" s="4"/>
      <c r="H236" s="4"/>
    </row>
    <row r="237">
      <c r="G237" s="4"/>
      <c r="H237" s="4"/>
    </row>
    <row r="238">
      <c r="G238" s="4"/>
      <c r="H238" s="4"/>
    </row>
    <row r="239">
      <c r="G239" s="4"/>
      <c r="H239" s="4"/>
    </row>
    <row r="240">
      <c r="G240" s="4"/>
      <c r="H240" s="4"/>
    </row>
    <row r="241">
      <c r="G241" s="4"/>
      <c r="H241" s="4"/>
    </row>
    <row r="242">
      <c r="G242" s="4"/>
      <c r="H242" s="4"/>
    </row>
    <row r="243">
      <c r="G243" s="4"/>
      <c r="H243" s="4"/>
    </row>
    <row r="244">
      <c r="G244" s="4"/>
      <c r="H244" s="4"/>
    </row>
    <row r="245">
      <c r="G245" s="4"/>
      <c r="H245" s="4"/>
    </row>
    <row r="246">
      <c r="G246" s="4"/>
      <c r="H246" s="4"/>
    </row>
    <row r="247">
      <c r="G247" s="4"/>
      <c r="H247" s="4"/>
    </row>
    <row r="248">
      <c r="G248" s="4"/>
      <c r="H248" s="4"/>
    </row>
    <row r="249">
      <c r="G249" s="4"/>
      <c r="H249" s="4"/>
    </row>
    <row r="250">
      <c r="G250" s="4"/>
      <c r="H250" s="4"/>
    </row>
    <row r="251">
      <c r="G251" s="4"/>
      <c r="H251" s="4"/>
    </row>
    <row r="252">
      <c r="G252" s="4"/>
      <c r="H252" s="4"/>
    </row>
    <row r="253">
      <c r="G253" s="4"/>
      <c r="H253" s="4"/>
    </row>
    <row r="254">
      <c r="G254" s="4"/>
      <c r="H254" s="4"/>
    </row>
    <row r="255">
      <c r="G255" s="4"/>
      <c r="H255" s="4"/>
    </row>
    <row r="256">
      <c r="G256" s="4"/>
      <c r="H256" s="4"/>
    </row>
    <row r="257">
      <c r="G257" s="4"/>
      <c r="H257" s="4"/>
    </row>
    <row r="258">
      <c r="G258" s="4"/>
      <c r="H258" s="4"/>
    </row>
    <row r="259">
      <c r="G259" s="4"/>
      <c r="H259" s="4"/>
    </row>
    <row r="260">
      <c r="G260" s="4"/>
      <c r="H260" s="4"/>
    </row>
    <row r="261">
      <c r="G261" s="4"/>
      <c r="H261" s="4"/>
    </row>
    <row r="262">
      <c r="G262" s="4"/>
      <c r="H262" s="4"/>
    </row>
    <row r="263">
      <c r="G263" s="4"/>
      <c r="H263" s="4"/>
    </row>
    <row r="264">
      <c r="G264" s="4"/>
      <c r="H264" s="4"/>
    </row>
    <row r="265">
      <c r="G265" s="4"/>
      <c r="H265" s="4"/>
    </row>
    <row r="266">
      <c r="G266" s="4"/>
      <c r="H266" s="4"/>
    </row>
    <row r="267">
      <c r="G267" s="4"/>
      <c r="H267" s="4"/>
    </row>
    <row r="268">
      <c r="G268" s="4"/>
      <c r="H268" s="4"/>
    </row>
    <row r="269">
      <c r="G269" s="4"/>
      <c r="H269" s="4"/>
    </row>
    <row r="270">
      <c r="G270" s="4"/>
      <c r="H270" s="4"/>
    </row>
    <row r="271">
      <c r="G271" s="4"/>
      <c r="H271" s="4"/>
    </row>
    <row r="272">
      <c r="G272" s="4"/>
      <c r="H272" s="4"/>
    </row>
    <row r="273">
      <c r="G273" s="4"/>
      <c r="H273" s="4"/>
    </row>
    <row r="274">
      <c r="G274" s="4"/>
      <c r="H274" s="4"/>
    </row>
    <row r="275">
      <c r="G275" s="4"/>
      <c r="H275" s="4"/>
    </row>
    <row r="276">
      <c r="G276" s="4"/>
      <c r="H276" s="4"/>
    </row>
    <row r="277">
      <c r="G277" s="4"/>
      <c r="H277" s="4"/>
    </row>
    <row r="278">
      <c r="G278" s="4"/>
      <c r="H278" s="4"/>
    </row>
    <row r="279">
      <c r="G279" s="4"/>
      <c r="H279" s="4"/>
    </row>
    <row r="280">
      <c r="G280" s="4"/>
      <c r="H280" s="4"/>
    </row>
    <row r="281">
      <c r="G281" s="4"/>
      <c r="H281" s="4"/>
    </row>
    <row r="282">
      <c r="G282" s="4"/>
      <c r="H282" s="4"/>
    </row>
    <row r="283">
      <c r="G283" s="4"/>
      <c r="H283" s="4"/>
    </row>
    <row r="284">
      <c r="G284" s="4"/>
      <c r="H284" s="4"/>
    </row>
    <row r="285">
      <c r="G285" s="4"/>
      <c r="H285" s="4"/>
    </row>
    <row r="286">
      <c r="G286" s="4"/>
      <c r="H286" s="4"/>
    </row>
    <row r="287">
      <c r="G287" s="4"/>
      <c r="H287" s="4"/>
    </row>
    <row r="288">
      <c r="G288" s="4"/>
      <c r="H288" s="4"/>
    </row>
    <row r="289">
      <c r="G289" s="4"/>
      <c r="H289" s="4"/>
    </row>
    <row r="290">
      <c r="G290" s="4"/>
      <c r="H290" s="4"/>
    </row>
    <row r="291">
      <c r="G291" s="4"/>
      <c r="H291" s="4"/>
    </row>
    <row r="292">
      <c r="G292" s="4"/>
      <c r="H292" s="4"/>
    </row>
    <row r="293">
      <c r="G293" s="4"/>
      <c r="H293" s="4"/>
    </row>
    <row r="294">
      <c r="G294" s="4"/>
      <c r="H294" s="4"/>
    </row>
    <row r="295">
      <c r="G295" s="4"/>
      <c r="H295" s="4"/>
    </row>
    <row r="296">
      <c r="G296" s="4"/>
      <c r="H296" s="4"/>
    </row>
    <row r="297">
      <c r="G297" s="4"/>
      <c r="H297" s="4"/>
    </row>
    <row r="298">
      <c r="G298" s="4"/>
      <c r="H298" s="4"/>
    </row>
    <row r="299">
      <c r="G299" s="4"/>
      <c r="H299" s="4"/>
    </row>
    <row r="300">
      <c r="G300" s="4"/>
      <c r="H300" s="4"/>
    </row>
    <row r="301">
      <c r="G301" s="4"/>
      <c r="H301" s="4"/>
    </row>
    <row r="302">
      <c r="G302" s="4"/>
      <c r="H302" s="4"/>
    </row>
    <row r="303">
      <c r="G303" s="4"/>
      <c r="H303" s="4"/>
    </row>
    <row r="304">
      <c r="G304" s="4"/>
      <c r="H304" s="4"/>
    </row>
    <row r="305">
      <c r="G305" s="4"/>
      <c r="H305" s="4"/>
    </row>
    <row r="306">
      <c r="G306" s="4"/>
      <c r="H306" s="4"/>
    </row>
    <row r="307">
      <c r="G307" s="4"/>
      <c r="H307" s="4"/>
    </row>
    <row r="308">
      <c r="G308" s="4"/>
      <c r="H308" s="4"/>
    </row>
    <row r="309">
      <c r="G309" s="4"/>
      <c r="H309" s="4"/>
    </row>
    <row r="310">
      <c r="G310" s="4"/>
      <c r="H310" s="4"/>
    </row>
    <row r="311">
      <c r="G311" s="4"/>
      <c r="H311" s="4"/>
    </row>
    <row r="312">
      <c r="G312" s="4"/>
      <c r="H312" s="4"/>
    </row>
    <row r="313">
      <c r="G313" s="4"/>
      <c r="H313" s="4"/>
    </row>
    <row r="314">
      <c r="G314" s="4"/>
      <c r="H314" s="4"/>
    </row>
    <row r="315">
      <c r="G315" s="4"/>
      <c r="H315" s="4"/>
    </row>
    <row r="316">
      <c r="G316" s="4"/>
      <c r="H316" s="4"/>
    </row>
    <row r="317">
      <c r="G317" s="4"/>
      <c r="H317" s="4"/>
    </row>
    <row r="318">
      <c r="G318" s="4"/>
      <c r="H318" s="4"/>
    </row>
    <row r="319">
      <c r="G319" s="4"/>
      <c r="H319" s="4"/>
    </row>
    <row r="320">
      <c r="G320" s="4"/>
      <c r="H320" s="4"/>
    </row>
    <row r="321">
      <c r="G321" s="4"/>
      <c r="H321" s="4"/>
    </row>
    <row r="322">
      <c r="G322" s="4"/>
      <c r="H322" s="4"/>
    </row>
    <row r="323">
      <c r="G323" s="4"/>
      <c r="H323" s="4"/>
    </row>
    <row r="324">
      <c r="G324" s="4"/>
      <c r="H324" s="4"/>
    </row>
    <row r="325">
      <c r="G325" s="4"/>
      <c r="H325" s="4"/>
    </row>
    <row r="326">
      <c r="G326" s="4"/>
      <c r="H326" s="4"/>
    </row>
    <row r="327">
      <c r="G327" s="4"/>
      <c r="H327" s="4"/>
    </row>
    <row r="328">
      <c r="G328" s="4"/>
      <c r="H328" s="4"/>
    </row>
    <row r="329">
      <c r="G329" s="4"/>
      <c r="H329" s="4"/>
    </row>
    <row r="330">
      <c r="G330" s="4"/>
      <c r="H330" s="4"/>
    </row>
    <row r="331">
      <c r="G331" s="4"/>
      <c r="H331" s="4"/>
    </row>
    <row r="332">
      <c r="G332" s="4"/>
      <c r="H332" s="4"/>
    </row>
    <row r="333">
      <c r="G333" s="4"/>
      <c r="H333" s="4"/>
    </row>
    <row r="334">
      <c r="G334" s="4"/>
      <c r="H334" s="4"/>
    </row>
    <row r="335">
      <c r="G335" s="4"/>
      <c r="H335" s="4"/>
    </row>
    <row r="336">
      <c r="G336" s="4"/>
      <c r="H336" s="4"/>
    </row>
    <row r="337">
      <c r="G337" s="4"/>
      <c r="H337" s="4"/>
    </row>
    <row r="338">
      <c r="G338" s="4"/>
      <c r="H338" s="4"/>
    </row>
    <row r="339">
      <c r="G339" s="4"/>
      <c r="H339" s="4"/>
    </row>
    <row r="340">
      <c r="G340" s="4"/>
      <c r="H340" s="4"/>
    </row>
    <row r="341">
      <c r="G341" s="4"/>
      <c r="H341" s="4"/>
    </row>
    <row r="342">
      <c r="G342" s="4"/>
      <c r="H342" s="4"/>
    </row>
    <row r="343">
      <c r="G343" s="4"/>
      <c r="H343" s="4"/>
    </row>
    <row r="344">
      <c r="G344" s="4"/>
      <c r="H344" s="4"/>
    </row>
    <row r="345">
      <c r="G345" s="4"/>
      <c r="H345" s="4"/>
    </row>
    <row r="346">
      <c r="G346" s="4"/>
      <c r="H346" s="4"/>
    </row>
    <row r="347">
      <c r="G347" s="4"/>
      <c r="H347" s="4"/>
    </row>
    <row r="348">
      <c r="G348" s="4"/>
      <c r="H348" s="4"/>
    </row>
    <row r="349">
      <c r="G349" s="4"/>
      <c r="H349" s="4"/>
    </row>
    <row r="350">
      <c r="G350" s="4"/>
      <c r="H350" s="4"/>
    </row>
    <row r="351">
      <c r="G351" s="4"/>
      <c r="H351" s="4"/>
    </row>
    <row r="352">
      <c r="G352" s="4"/>
      <c r="H352" s="4"/>
    </row>
    <row r="353">
      <c r="G353" s="4"/>
      <c r="H353" s="4"/>
    </row>
    <row r="354">
      <c r="G354" s="4"/>
      <c r="H354" s="4"/>
    </row>
    <row r="355">
      <c r="G355" s="4"/>
      <c r="H355" s="4"/>
    </row>
    <row r="356">
      <c r="G356" s="4"/>
      <c r="H356" s="4"/>
    </row>
    <row r="357">
      <c r="G357" s="4"/>
      <c r="H357" s="4"/>
    </row>
    <row r="358">
      <c r="G358" s="4"/>
      <c r="H358" s="4"/>
    </row>
    <row r="359">
      <c r="G359" s="4"/>
      <c r="H359" s="4"/>
    </row>
    <row r="360">
      <c r="G360" s="4"/>
      <c r="H360" s="4"/>
    </row>
    <row r="361">
      <c r="G361" s="4"/>
      <c r="H361" s="4"/>
    </row>
    <row r="362">
      <c r="G362" s="4"/>
      <c r="H362" s="4"/>
    </row>
    <row r="363">
      <c r="G363" s="4"/>
      <c r="H363" s="4"/>
    </row>
    <row r="364">
      <c r="G364" s="4"/>
      <c r="H364" s="4"/>
    </row>
    <row r="365">
      <c r="G365" s="4"/>
      <c r="H365" s="4"/>
    </row>
    <row r="366">
      <c r="G366" s="4"/>
      <c r="H366" s="4"/>
    </row>
    <row r="367">
      <c r="G367" s="4"/>
      <c r="H367" s="4"/>
    </row>
    <row r="368">
      <c r="G368" s="4"/>
      <c r="H368" s="4"/>
    </row>
    <row r="369">
      <c r="G369" s="4"/>
      <c r="H369" s="4"/>
    </row>
    <row r="370">
      <c r="G370" s="4"/>
      <c r="H370" s="4"/>
    </row>
    <row r="371">
      <c r="G371" s="4"/>
      <c r="H371" s="4"/>
    </row>
    <row r="372">
      <c r="G372" s="4"/>
      <c r="H372" s="4"/>
    </row>
    <row r="373">
      <c r="G373" s="4"/>
      <c r="H373" s="4"/>
    </row>
    <row r="374">
      <c r="G374" s="4"/>
      <c r="H374" s="4"/>
    </row>
    <row r="375">
      <c r="G375" s="4"/>
      <c r="H375" s="4"/>
    </row>
    <row r="376">
      <c r="G376" s="4"/>
      <c r="H376" s="4"/>
    </row>
    <row r="377">
      <c r="G377" s="4"/>
      <c r="H377" s="4"/>
    </row>
    <row r="378">
      <c r="G378" s="4"/>
      <c r="H378" s="4"/>
    </row>
    <row r="379">
      <c r="G379" s="4"/>
      <c r="H379" s="4"/>
    </row>
    <row r="380">
      <c r="G380" s="4"/>
      <c r="H380" s="4"/>
    </row>
    <row r="381">
      <c r="G381" s="4"/>
      <c r="H381" s="4"/>
    </row>
    <row r="382">
      <c r="G382" s="4"/>
      <c r="H382" s="4"/>
    </row>
    <row r="383">
      <c r="G383" s="4"/>
      <c r="H383" s="4"/>
    </row>
    <row r="384">
      <c r="G384" s="4"/>
      <c r="H384" s="4"/>
    </row>
    <row r="385">
      <c r="G385" s="4"/>
      <c r="H385" s="4"/>
    </row>
    <row r="386">
      <c r="G386" s="4"/>
      <c r="H386" s="4"/>
    </row>
    <row r="387">
      <c r="G387" s="4"/>
      <c r="H387" s="4"/>
    </row>
    <row r="388">
      <c r="G388" s="4"/>
      <c r="H388" s="4"/>
    </row>
    <row r="389">
      <c r="G389" s="4"/>
      <c r="H389" s="4"/>
    </row>
    <row r="390">
      <c r="G390" s="4"/>
      <c r="H390" s="4"/>
    </row>
    <row r="391">
      <c r="G391" s="4"/>
      <c r="H391" s="4"/>
    </row>
    <row r="392">
      <c r="G392" s="4"/>
      <c r="H392" s="4"/>
    </row>
    <row r="393">
      <c r="G393" s="4"/>
      <c r="H393" s="4"/>
    </row>
    <row r="394">
      <c r="G394" s="4"/>
      <c r="H394" s="4"/>
    </row>
    <row r="395">
      <c r="G395" s="4"/>
      <c r="H395" s="4"/>
    </row>
    <row r="396">
      <c r="G396" s="4"/>
      <c r="H396" s="4"/>
    </row>
    <row r="397">
      <c r="G397" s="4"/>
      <c r="H397" s="4"/>
    </row>
    <row r="398">
      <c r="G398" s="4"/>
      <c r="H398" s="4"/>
    </row>
    <row r="399">
      <c r="G399" s="4"/>
      <c r="H399" s="4"/>
    </row>
    <row r="400">
      <c r="G400" s="4"/>
      <c r="H400" s="4"/>
    </row>
    <row r="401">
      <c r="G401" s="4"/>
      <c r="H401" s="4"/>
    </row>
    <row r="402">
      <c r="G402" s="4"/>
      <c r="H402" s="4"/>
    </row>
    <row r="403">
      <c r="G403" s="4"/>
      <c r="H403" s="4"/>
    </row>
    <row r="404">
      <c r="G404" s="4"/>
      <c r="H404" s="4"/>
    </row>
    <row r="405">
      <c r="G405" s="4"/>
      <c r="H405" s="4"/>
    </row>
    <row r="406">
      <c r="G406" s="4"/>
      <c r="H406" s="4"/>
    </row>
    <row r="407">
      <c r="G407" s="4"/>
      <c r="H407" s="4"/>
    </row>
    <row r="408">
      <c r="G408" s="4"/>
      <c r="H408" s="4"/>
    </row>
    <row r="409">
      <c r="G409" s="4"/>
      <c r="H409" s="4"/>
    </row>
    <row r="410">
      <c r="G410" s="4"/>
      <c r="H410" s="4"/>
    </row>
    <row r="411">
      <c r="G411" s="4"/>
      <c r="H411" s="4"/>
    </row>
    <row r="412">
      <c r="G412" s="4"/>
      <c r="H412" s="4"/>
    </row>
    <row r="413">
      <c r="G413" s="4"/>
      <c r="H413" s="4"/>
    </row>
    <row r="414">
      <c r="G414" s="4"/>
      <c r="H414" s="4"/>
    </row>
    <row r="415">
      <c r="G415" s="4"/>
      <c r="H415" s="4"/>
    </row>
    <row r="416">
      <c r="G416" s="4"/>
      <c r="H416" s="4"/>
    </row>
    <row r="417">
      <c r="G417" s="4"/>
      <c r="H417" s="4"/>
    </row>
    <row r="418">
      <c r="G418" s="4"/>
      <c r="H418" s="4"/>
    </row>
    <row r="419">
      <c r="G419" s="4"/>
      <c r="H419" s="4"/>
    </row>
    <row r="420">
      <c r="G420" s="4"/>
      <c r="H420" s="4"/>
    </row>
    <row r="421">
      <c r="G421" s="4"/>
      <c r="H421" s="4"/>
    </row>
    <row r="422">
      <c r="G422" s="4"/>
      <c r="H422" s="4"/>
    </row>
    <row r="423">
      <c r="G423" s="4"/>
      <c r="H423" s="4"/>
    </row>
    <row r="424">
      <c r="G424" s="4"/>
      <c r="H424" s="4"/>
    </row>
    <row r="425">
      <c r="G425" s="4"/>
      <c r="H425" s="4"/>
    </row>
    <row r="426">
      <c r="G426" s="4"/>
      <c r="H426" s="4"/>
    </row>
    <row r="427">
      <c r="G427" s="4"/>
      <c r="H427" s="4"/>
    </row>
    <row r="428">
      <c r="G428" s="4"/>
      <c r="H428" s="4"/>
    </row>
    <row r="429">
      <c r="G429" s="4"/>
      <c r="H429" s="4"/>
    </row>
    <row r="430">
      <c r="G430" s="4"/>
      <c r="H430" s="4"/>
    </row>
    <row r="431">
      <c r="G431" s="4"/>
      <c r="H431" s="4"/>
    </row>
    <row r="432">
      <c r="G432" s="4"/>
      <c r="H432" s="4"/>
    </row>
    <row r="433">
      <c r="G433" s="4"/>
      <c r="H433" s="4"/>
    </row>
    <row r="434">
      <c r="G434" s="4"/>
      <c r="H434" s="4"/>
    </row>
    <row r="435">
      <c r="G435" s="4"/>
      <c r="H435" s="4"/>
    </row>
    <row r="436">
      <c r="G436" s="4"/>
      <c r="H436" s="4"/>
    </row>
    <row r="437">
      <c r="G437" s="4"/>
      <c r="H437" s="4"/>
    </row>
    <row r="438">
      <c r="G438" s="4"/>
      <c r="H438" s="4"/>
    </row>
    <row r="439">
      <c r="G439" s="4"/>
      <c r="H439" s="4"/>
    </row>
    <row r="440">
      <c r="G440" s="4"/>
      <c r="H440" s="4"/>
    </row>
    <row r="441">
      <c r="G441" s="4"/>
      <c r="H441" s="4"/>
    </row>
    <row r="442">
      <c r="G442" s="4"/>
      <c r="H442" s="4"/>
    </row>
    <row r="443">
      <c r="G443" s="4"/>
      <c r="H443" s="4"/>
    </row>
    <row r="444">
      <c r="G444" s="4"/>
      <c r="H444" s="4"/>
    </row>
    <row r="445">
      <c r="G445" s="4"/>
      <c r="H445" s="4"/>
    </row>
    <row r="446">
      <c r="G446" s="4"/>
      <c r="H446" s="4"/>
    </row>
    <row r="447">
      <c r="G447" s="4"/>
      <c r="H447" s="4"/>
    </row>
    <row r="448">
      <c r="G448" s="4"/>
      <c r="H448" s="4"/>
    </row>
    <row r="449">
      <c r="G449" s="4"/>
      <c r="H449" s="4"/>
    </row>
    <row r="450">
      <c r="G450" s="4"/>
      <c r="H450" s="4"/>
    </row>
    <row r="451">
      <c r="G451" s="4"/>
      <c r="H451" s="4"/>
    </row>
    <row r="452">
      <c r="G452" s="4"/>
      <c r="H452" s="4"/>
    </row>
    <row r="453">
      <c r="G453" s="4"/>
      <c r="H453" s="4"/>
    </row>
    <row r="454">
      <c r="G454" s="4"/>
      <c r="H454" s="4"/>
    </row>
    <row r="455">
      <c r="G455" s="4"/>
      <c r="H455" s="4"/>
    </row>
    <row r="456">
      <c r="G456" s="4"/>
      <c r="H456" s="4"/>
    </row>
    <row r="457">
      <c r="G457" s="4"/>
      <c r="H457" s="4"/>
    </row>
    <row r="458">
      <c r="G458" s="4"/>
      <c r="H458" s="4"/>
    </row>
    <row r="459">
      <c r="G459" s="4"/>
      <c r="H459" s="4"/>
    </row>
    <row r="460">
      <c r="G460" s="4"/>
      <c r="H460" s="4"/>
    </row>
    <row r="461">
      <c r="G461" s="4"/>
      <c r="H461" s="4"/>
    </row>
    <row r="462">
      <c r="G462" s="4"/>
      <c r="H462" s="4"/>
    </row>
    <row r="463">
      <c r="G463" s="4"/>
      <c r="H463" s="4"/>
    </row>
    <row r="464">
      <c r="G464" s="4"/>
      <c r="H464" s="4"/>
    </row>
    <row r="465">
      <c r="G465" s="4"/>
      <c r="H465" s="4"/>
    </row>
    <row r="466">
      <c r="G466" s="4"/>
      <c r="H466" s="4"/>
    </row>
    <row r="467">
      <c r="G467" s="4"/>
      <c r="H467" s="4"/>
    </row>
    <row r="468">
      <c r="G468" s="4"/>
      <c r="H468" s="4"/>
    </row>
    <row r="469">
      <c r="G469" s="4"/>
      <c r="H469" s="4"/>
    </row>
    <row r="470">
      <c r="G470" s="4"/>
      <c r="H470" s="4"/>
    </row>
    <row r="471">
      <c r="G471" s="4"/>
      <c r="H471" s="4"/>
    </row>
    <row r="472">
      <c r="G472" s="4"/>
      <c r="H472" s="4"/>
    </row>
    <row r="473">
      <c r="G473" s="4"/>
      <c r="H473" s="4"/>
    </row>
    <row r="474">
      <c r="G474" s="4"/>
      <c r="H474" s="4"/>
    </row>
    <row r="475">
      <c r="G475" s="4"/>
      <c r="H475" s="4"/>
    </row>
    <row r="476">
      <c r="G476" s="4"/>
      <c r="H476" s="4"/>
    </row>
    <row r="477">
      <c r="G477" s="4"/>
      <c r="H477" s="4"/>
    </row>
    <row r="478">
      <c r="G478" s="4"/>
      <c r="H478" s="4"/>
    </row>
    <row r="479">
      <c r="G479" s="4"/>
      <c r="H479" s="4"/>
    </row>
    <row r="480">
      <c r="G480" s="4"/>
      <c r="H480" s="4"/>
    </row>
    <row r="481">
      <c r="G481" s="4"/>
      <c r="H481" s="4"/>
    </row>
    <row r="482">
      <c r="G482" s="4"/>
      <c r="H482" s="4"/>
    </row>
    <row r="483">
      <c r="G483" s="4"/>
      <c r="H483" s="4"/>
    </row>
    <row r="484">
      <c r="G484" s="4"/>
      <c r="H484" s="4"/>
    </row>
    <row r="485">
      <c r="G485" s="4"/>
      <c r="H485" s="4"/>
    </row>
    <row r="486">
      <c r="G486" s="4"/>
      <c r="H486" s="4"/>
    </row>
    <row r="487">
      <c r="G487" s="4"/>
      <c r="H487" s="4"/>
    </row>
    <row r="488">
      <c r="G488" s="4"/>
      <c r="H488" s="4"/>
    </row>
    <row r="489">
      <c r="G489" s="4"/>
      <c r="H489" s="4"/>
    </row>
    <row r="490">
      <c r="G490" s="4"/>
      <c r="H490" s="4"/>
    </row>
    <row r="491">
      <c r="G491" s="4"/>
      <c r="H491" s="4"/>
    </row>
    <row r="492">
      <c r="G492" s="4"/>
      <c r="H492" s="4"/>
    </row>
    <row r="493">
      <c r="G493" s="4"/>
      <c r="H493" s="4"/>
    </row>
    <row r="494">
      <c r="G494" s="4"/>
      <c r="H494" s="4"/>
    </row>
    <row r="495">
      <c r="G495" s="4"/>
      <c r="H495" s="4"/>
    </row>
    <row r="496">
      <c r="G496" s="4"/>
      <c r="H496" s="4"/>
    </row>
    <row r="497">
      <c r="G497" s="4"/>
      <c r="H497" s="4"/>
    </row>
    <row r="498">
      <c r="G498" s="4"/>
      <c r="H498" s="4"/>
    </row>
    <row r="499">
      <c r="G499" s="4"/>
      <c r="H499" s="4"/>
    </row>
    <row r="500">
      <c r="G500" s="4"/>
      <c r="H500" s="4"/>
    </row>
    <row r="501">
      <c r="G501" s="4"/>
      <c r="H501" s="4"/>
    </row>
    <row r="502">
      <c r="G502" s="4"/>
      <c r="H502" s="4"/>
    </row>
    <row r="503">
      <c r="G503" s="4"/>
      <c r="H503" s="4"/>
    </row>
    <row r="504">
      <c r="G504" s="4"/>
      <c r="H504" s="4"/>
    </row>
    <row r="505">
      <c r="G505" s="4"/>
      <c r="H505" s="4"/>
    </row>
    <row r="506">
      <c r="G506" s="4"/>
      <c r="H506" s="4"/>
    </row>
    <row r="507">
      <c r="G507" s="4"/>
      <c r="H507" s="4"/>
    </row>
    <row r="508">
      <c r="G508" s="4"/>
      <c r="H508" s="4"/>
    </row>
    <row r="509">
      <c r="G509" s="4"/>
      <c r="H509" s="4"/>
    </row>
    <row r="510">
      <c r="G510" s="4"/>
      <c r="H510" s="4"/>
    </row>
    <row r="511">
      <c r="G511" s="4"/>
      <c r="H511" s="4"/>
    </row>
    <row r="512">
      <c r="G512" s="4"/>
      <c r="H512" s="4"/>
    </row>
    <row r="513">
      <c r="G513" s="4"/>
      <c r="H513" s="4"/>
    </row>
    <row r="514">
      <c r="G514" s="4"/>
      <c r="H514" s="4"/>
    </row>
    <row r="515">
      <c r="G515" s="4"/>
      <c r="H515" s="4"/>
    </row>
    <row r="516">
      <c r="G516" s="4"/>
      <c r="H516" s="4"/>
    </row>
    <row r="517">
      <c r="G517" s="4"/>
      <c r="H517" s="4"/>
    </row>
    <row r="518">
      <c r="G518" s="4"/>
      <c r="H518" s="4"/>
    </row>
    <row r="519">
      <c r="G519" s="4"/>
      <c r="H519" s="4"/>
    </row>
    <row r="520">
      <c r="G520" s="4"/>
      <c r="H520" s="4"/>
    </row>
    <row r="521">
      <c r="G521" s="4"/>
      <c r="H521" s="4"/>
    </row>
    <row r="522">
      <c r="G522" s="4"/>
      <c r="H522" s="4"/>
    </row>
    <row r="523">
      <c r="G523" s="4"/>
      <c r="H523" s="4"/>
    </row>
    <row r="524">
      <c r="G524" s="4"/>
      <c r="H524" s="4"/>
    </row>
    <row r="525">
      <c r="G525" s="4"/>
      <c r="H525" s="4"/>
    </row>
    <row r="526">
      <c r="G526" s="4"/>
      <c r="H526" s="4"/>
    </row>
    <row r="527">
      <c r="G527" s="4"/>
      <c r="H527" s="4"/>
    </row>
    <row r="528">
      <c r="G528" s="4"/>
      <c r="H528" s="4"/>
    </row>
    <row r="529">
      <c r="G529" s="4"/>
      <c r="H529" s="4"/>
    </row>
    <row r="530">
      <c r="G530" s="4"/>
      <c r="H530" s="4"/>
    </row>
    <row r="531">
      <c r="G531" s="4"/>
      <c r="H531" s="4"/>
    </row>
    <row r="532">
      <c r="G532" s="4"/>
      <c r="H532" s="4"/>
    </row>
    <row r="533">
      <c r="G533" s="4"/>
      <c r="H533" s="4"/>
    </row>
    <row r="534">
      <c r="G534" s="4"/>
      <c r="H534" s="4"/>
    </row>
    <row r="535">
      <c r="G535" s="4"/>
      <c r="H535" s="4"/>
    </row>
    <row r="536">
      <c r="G536" s="4"/>
      <c r="H536" s="4"/>
    </row>
    <row r="537">
      <c r="G537" s="4"/>
      <c r="H537" s="4"/>
    </row>
    <row r="538">
      <c r="G538" s="4"/>
      <c r="H538" s="4"/>
    </row>
    <row r="539">
      <c r="G539" s="4"/>
      <c r="H539" s="4"/>
    </row>
    <row r="540">
      <c r="G540" s="4"/>
      <c r="H540" s="4"/>
    </row>
    <row r="541">
      <c r="G541" s="4"/>
      <c r="H541" s="4"/>
    </row>
    <row r="542">
      <c r="G542" s="4"/>
      <c r="H542" s="4"/>
    </row>
    <row r="543">
      <c r="G543" s="4"/>
      <c r="H543" s="4"/>
    </row>
    <row r="544">
      <c r="G544" s="4"/>
      <c r="H544" s="4"/>
    </row>
    <row r="545">
      <c r="G545" s="4"/>
      <c r="H545" s="4"/>
    </row>
    <row r="546">
      <c r="G546" s="4"/>
      <c r="H546" s="4"/>
    </row>
    <row r="547">
      <c r="G547" s="4"/>
      <c r="H547" s="4"/>
    </row>
    <row r="548">
      <c r="G548" s="4"/>
      <c r="H548" s="4"/>
    </row>
    <row r="549">
      <c r="G549" s="4"/>
      <c r="H549" s="4"/>
    </row>
    <row r="550">
      <c r="G550" s="4"/>
      <c r="H550" s="4"/>
    </row>
    <row r="551">
      <c r="G551" s="4"/>
      <c r="H551" s="4"/>
    </row>
    <row r="552">
      <c r="G552" s="4"/>
      <c r="H552" s="4"/>
    </row>
    <row r="553">
      <c r="G553" s="4"/>
      <c r="H553" s="4"/>
    </row>
    <row r="554">
      <c r="G554" s="4"/>
      <c r="H554" s="4"/>
    </row>
    <row r="555">
      <c r="G555" s="4"/>
      <c r="H555" s="4"/>
    </row>
    <row r="556">
      <c r="G556" s="4"/>
      <c r="H556" s="4"/>
    </row>
    <row r="557">
      <c r="G557" s="4"/>
      <c r="H557" s="4"/>
    </row>
    <row r="558">
      <c r="G558" s="4"/>
      <c r="H558" s="4"/>
    </row>
    <row r="559">
      <c r="G559" s="4"/>
      <c r="H559" s="4"/>
    </row>
    <row r="560">
      <c r="G560" s="4"/>
      <c r="H560" s="4"/>
    </row>
    <row r="561">
      <c r="G561" s="4"/>
      <c r="H561" s="4"/>
    </row>
    <row r="562">
      <c r="G562" s="4"/>
      <c r="H562" s="4"/>
    </row>
    <row r="563">
      <c r="G563" s="4"/>
      <c r="H563" s="4"/>
    </row>
    <row r="564">
      <c r="G564" s="4"/>
      <c r="H564" s="4"/>
    </row>
    <row r="565">
      <c r="G565" s="4"/>
      <c r="H565" s="4"/>
    </row>
    <row r="566">
      <c r="G566" s="4"/>
      <c r="H566" s="4"/>
    </row>
    <row r="567">
      <c r="G567" s="4"/>
      <c r="H567" s="4"/>
    </row>
    <row r="568">
      <c r="G568" s="4"/>
      <c r="H568" s="4"/>
    </row>
    <row r="569">
      <c r="G569" s="4"/>
      <c r="H569" s="4"/>
    </row>
    <row r="570">
      <c r="G570" s="4"/>
      <c r="H570" s="4"/>
    </row>
    <row r="571">
      <c r="G571" s="4"/>
      <c r="H571" s="4"/>
    </row>
    <row r="572">
      <c r="G572" s="4"/>
      <c r="H572" s="4"/>
    </row>
    <row r="573">
      <c r="G573" s="4"/>
      <c r="H573" s="4"/>
    </row>
    <row r="574">
      <c r="G574" s="4"/>
      <c r="H574" s="4"/>
    </row>
    <row r="575">
      <c r="G575" s="4"/>
      <c r="H575" s="4"/>
    </row>
    <row r="576">
      <c r="G576" s="4"/>
      <c r="H576" s="4"/>
    </row>
    <row r="577">
      <c r="G577" s="4"/>
      <c r="H577" s="4"/>
    </row>
    <row r="578">
      <c r="G578" s="4"/>
      <c r="H578" s="4"/>
    </row>
    <row r="579">
      <c r="G579" s="4"/>
      <c r="H579" s="4"/>
    </row>
    <row r="580">
      <c r="G580" s="4"/>
      <c r="H580" s="4"/>
    </row>
    <row r="581">
      <c r="G581" s="4"/>
      <c r="H581" s="4"/>
    </row>
    <row r="582">
      <c r="G582" s="4"/>
      <c r="H582" s="4"/>
    </row>
    <row r="583">
      <c r="G583" s="4"/>
      <c r="H583" s="4"/>
    </row>
    <row r="584">
      <c r="G584" s="4"/>
      <c r="H584" s="4"/>
    </row>
    <row r="585">
      <c r="G585" s="4"/>
      <c r="H585" s="4"/>
    </row>
    <row r="586">
      <c r="G586" s="4"/>
      <c r="H586" s="4"/>
    </row>
    <row r="587">
      <c r="G587" s="4"/>
      <c r="H587" s="4"/>
    </row>
    <row r="588">
      <c r="G588" s="4"/>
      <c r="H588" s="4"/>
    </row>
    <row r="589">
      <c r="G589" s="4"/>
      <c r="H589" s="4"/>
    </row>
    <row r="590">
      <c r="G590" s="4"/>
      <c r="H590" s="4"/>
    </row>
    <row r="591">
      <c r="G591" s="4"/>
      <c r="H591" s="4"/>
    </row>
    <row r="592">
      <c r="G592" s="4"/>
      <c r="H592" s="4"/>
    </row>
    <row r="593">
      <c r="G593" s="4"/>
      <c r="H593" s="4"/>
    </row>
    <row r="594">
      <c r="G594" s="4"/>
      <c r="H594" s="4"/>
    </row>
    <row r="595">
      <c r="G595" s="4"/>
      <c r="H595" s="4"/>
    </row>
    <row r="596">
      <c r="G596" s="4"/>
      <c r="H596" s="4"/>
    </row>
    <row r="597">
      <c r="G597" s="4"/>
      <c r="H597" s="4"/>
    </row>
    <row r="598">
      <c r="G598" s="4"/>
      <c r="H598" s="4"/>
    </row>
    <row r="599">
      <c r="G599" s="4"/>
      <c r="H599" s="4"/>
    </row>
    <row r="600">
      <c r="G600" s="4"/>
      <c r="H600" s="4"/>
    </row>
    <row r="601">
      <c r="G601" s="4"/>
      <c r="H601" s="4"/>
    </row>
    <row r="602">
      <c r="G602" s="4"/>
      <c r="H602" s="4"/>
    </row>
    <row r="603">
      <c r="G603" s="4"/>
      <c r="H603" s="4"/>
    </row>
    <row r="604">
      <c r="G604" s="4"/>
      <c r="H604" s="4"/>
    </row>
    <row r="605">
      <c r="G605" s="4"/>
      <c r="H605" s="4"/>
    </row>
    <row r="606">
      <c r="G606" s="4"/>
      <c r="H606" s="4"/>
    </row>
    <row r="607">
      <c r="G607" s="4"/>
      <c r="H607" s="4"/>
    </row>
    <row r="608">
      <c r="G608" s="4"/>
      <c r="H608" s="4"/>
    </row>
    <row r="609">
      <c r="G609" s="4"/>
      <c r="H609" s="4"/>
    </row>
    <row r="610">
      <c r="G610" s="4"/>
      <c r="H610" s="4"/>
    </row>
    <row r="611">
      <c r="G611" s="4"/>
      <c r="H611" s="4"/>
    </row>
    <row r="612">
      <c r="G612" s="4"/>
      <c r="H612" s="4"/>
    </row>
    <row r="613">
      <c r="G613" s="4"/>
      <c r="H613" s="4"/>
    </row>
    <row r="614">
      <c r="G614" s="4"/>
      <c r="H614" s="4"/>
    </row>
    <row r="615">
      <c r="G615" s="4"/>
      <c r="H615" s="4"/>
    </row>
    <row r="616">
      <c r="G616" s="4"/>
      <c r="H616" s="4"/>
    </row>
    <row r="617">
      <c r="G617" s="4"/>
      <c r="H617" s="4"/>
    </row>
    <row r="618">
      <c r="G618" s="4"/>
      <c r="H618" s="4"/>
    </row>
    <row r="619">
      <c r="G619" s="4"/>
      <c r="H619" s="4"/>
    </row>
    <row r="620">
      <c r="G620" s="4"/>
      <c r="H620" s="4"/>
    </row>
    <row r="621">
      <c r="G621" s="4"/>
      <c r="H621" s="4"/>
    </row>
    <row r="622">
      <c r="G622" s="4"/>
      <c r="H622" s="4"/>
    </row>
    <row r="623">
      <c r="G623" s="4"/>
      <c r="H623" s="4"/>
    </row>
    <row r="624">
      <c r="G624" s="4"/>
      <c r="H624" s="4"/>
    </row>
    <row r="625">
      <c r="G625" s="4"/>
      <c r="H625" s="4"/>
    </row>
    <row r="626">
      <c r="G626" s="4"/>
      <c r="H626" s="4"/>
    </row>
    <row r="627">
      <c r="G627" s="4"/>
      <c r="H627" s="4"/>
    </row>
    <row r="628">
      <c r="G628" s="4"/>
      <c r="H628" s="4"/>
    </row>
    <row r="629">
      <c r="G629" s="4"/>
      <c r="H629" s="4"/>
    </row>
    <row r="630">
      <c r="G630" s="4"/>
      <c r="H630" s="4"/>
    </row>
    <row r="631">
      <c r="G631" s="4"/>
      <c r="H631" s="4"/>
    </row>
    <row r="632">
      <c r="G632" s="4"/>
      <c r="H632" s="4"/>
    </row>
    <row r="633">
      <c r="G633" s="4"/>
      <c r="H633" s="4"/>
    </row>
    <row r="634">
      <c r="G634" s="4"/>
      <c r="H634" s="4"/>
    </row>
    <row r="635">
      <c r="G635" s="4"/>
      <c r="H635" s="4"/>
    </row>
    <row r="636">
      <c r="G636" s="4"/>
      <c r="H636" s="4"/>
    </row>
    <row r="637">
      <c r="G637" s="4"/>
      <c r="H637" s="4"/>
    </row>
    <row r="638">
      <c r="G638" s="4"/>
      <c r="H638" s="4"/>
    </row>
    <row r="639">
      <c r="G639" s="4"/>
      <c r="H639" s="4"/>
    </row>
    <row r="640">
      <c r="G640" s="4"/>
      <c r="H640" s="4"/>
    </row>
    <row r="641">
      <c r="G641" s="4"/>
      <c r="H641" s="4"/>
    </row>
    <row r="642">
      <c r="G642" s="4"/>
      <c r="H642" s="4"/>
    </row>
    <row r="643">
      <c r="G643" s="4"/>
      <c r="H643" s="4"/>
    </row>
    <row r="644">
      <c r="G644" s="4"/>
      <c r="H644" s="4"/>
    </row>
    <row r="645">
      <c r="G645" s="4"/>
      <c r="H645" s="4"/>
    </row>
    <row r="646">
      <c r="G646" s="4"/>
      <c r="H646" s="4"/>
    </row>
    <row r="647">
      <c r="G647" s="4"/>
      <c r="H647" s="4"/>
    </row>
    <row r="648">
      <c r="G648" s="4"/>
      <c r="H648" s="4"/>
    </row>
    <row r="649">
      <c r="G649" s="4"/>
      <c r="H649" s="4"/>
    </row>
    <row r="650">
      <c r="G650" s="4"/>
      <c r="H650" s="4"/>
    </row>
    <row r="651">
      <c r="G651" s="4"/>
      <c r="H651" s="4"/>
    </row>
    <row r="652">
      <c r="G652" s="4"/>
      <c r="H652" s="4"/>
    </row>
    <row r="653">
      <c r="G653" s="4"/>
      <c r="H653" s="4"/>
    </row>
    <row r="654">
      <c r="G654" s="4"/>
      <c r="H654" s="4"/>
    </row>
    <row r="655">
      <c r="G655" s="4"/>
      <c r="H655" s="4"/>
    </row>
    <row r="656">
      <c r="G656" s="4"/>
      <c r="H656" s="4"/>
    </row>
    <row r="657">
      <c r="G657" s="4"/>
      <c r="H657" s="4"/>
    </row>
    <row r="658">
      <c r="G658" s="4"/>
      <c r="H658" s="4"/>
    </row>
    <row r="659">
      <c r="G659" s="4"/>
      <c r="H659" s="4"/>
    </row>
    <row r="660">
      <c r="G660" s="4"/>
      <c r="H660" s="4"/>
    </row>
    <row r="661">
      <c r="G661" s="4"/>
      <c r="H661" s="4"/>
    </row>
    <row r="662">
      <c r="G662" s="4"/>
      <c r="H662" s="4"/>
    </row>
    <row r="663">
      <c r="G663" s="4"/>
      <c r="H663" s="4"/>
    </row>
    <row r="664">
      <c r="G664" s="4"/>
      <c r="H664" s="4"/>
    </row>
    <row r="665">
      <c r="G665" s="4"/>
      <c r="H665" s="4"/>
    </row>
    <row r="666">
      <c r="G666" s="4"/>
      <c r="H666" s="4"/>
    </row>
    <row r="667">
      <c r="G667" s="4"/>
      <c r="H667" s="4"/>
    </row>
    <row r="668">
      <c r="G668" s="4"/>
      <c r="H668" s="4"/>
    </row>
    <row r="669">
      <c r="G669" s="4"/>
      <c r="H669" s="4"/>
    </row>
    <row r="670">
      <c r="G670" s="4"/>
      <c r="H670" s="4"/>
    </row>
    <row r="671">
      <c r="G671" s="4"/>
      <c r="H671" s="4"/>
    </row>
    <row r="672">
      <c r="G672" s="4"/>
      <c r="H672" s="4"/>
    </row>
    <row r="673">
      <c r="G673" s="4"/>
      <c r="H673" s="4"/>
    </row>
    <row r="674">
      <c r="G674" s="4"/>
      <c r="H674" s="4"/>
    </row>
    <row r="675">
      <c r="G675" s="4"/>
      <c r="H675" s="4"/>
    </row>
    <row r="676">
      <c r="G676" s="4"/>
      <c r="H676" s="4"/>
    </row>
    <row r="677">
      <c r="G677" s="4"/>
      <c r="H677" s="4"/>
    </row>
    <row r="678">
      <c r="G678" s="4"/>
      <c r="H678" s="4"/>
    </row>
    <row r="679">
      <c r="G679" s="4"/>
      <c r="H679" s="4"/>
    </row>
    <row r="680">
      <c r="G680" s="4"/>
      <c r="H680" s="4"/>
    </row>
    <row r="681">
      <c r="G681" s="4"/>
      <c r="H681" s="4"/>
    </row>
    <row r="682">
      <c r="G682" s="4"/>
      <c r="H682" s="4"/>
    </row>
    <row r="683">
      <c r="G683" s="4"/>
      <c r="H683" s="4"/>
    </row>
    <row r="684">
      <c r="G684" s="4"/>
      <c r="H684" s="4"/>
    </row>
    <row r="685">
      <c r="G685" s="4"/>
      <c r="H685" s="4"/>
    </row>
    <row r="686">
      <c r="G686" s="4"/>
      <c r="H686" s="4"/>
    </row>
    <row r="687">
      <c r="G687" s="4"/>
      <c r="H687" s="4"/>
    </row>
    <row r="688">
      <c r="G688" s="4"/>
      <c r="H688" s="4"/>
    </row>
    <row r="689">
      <c r="G689" s="4"/>
      <c r="H689" s="4"/>
    </row>
    <row r="690">
      <c r="G690" s="4"/>
      <c r="H690" s="4"/>
    </row>
    <row r="691">
      <c r="G691" s="4"/>
      <c r="H691" s="4"/>
    </row>
    <row r="692">
      <c r="G692" s="4"/>
      <c r="H692" s="4"/>
    </row>
    <row r="693">
      <c r="G693" s="4"/>
      <c r="H693" s="4"/>
    </row>
    <row r="694">
      <c r="G694" s="4"/>
      <c r="H694" s="4"/>
    </row>
    <row r="695">
      <c r="G695" s="4"/>
      <c r="H695" s="4"/>
    </row>
    <row r="696">
      <c r="G696" s="4"/>
      <c r="H696" s="4"/>
    </row>
    <row r="697">
      <c r="G697" s="4"/>
      <c r="H697" s="4"/>
    </row>
    <row r="698">
      <c r="G698" s="4"/>
      <c r="H698" s="4"/>
    </row>
    <row r="699">
      <c r="G699" s="4"/>
      <c r="H699" s="4"/>
    </row>
    <row r="700">
      <c r="G700" s="4"/>
      <c r="H700" s="4"/>
    </row>
    <row r="701">
      <c r="G701" s="4"/>
      <c r="H701" s="4"/>
    </row>
    <row r="702">
      <c r="G702" s="4"/>
      <c r="H702" s="4"/>
    </row>
    <row r="703">
      <c r="G703" s="4"/>
      <c r="H703" s="4"/>
    </row>
    <row r="704">
      <c r="G704" s="4"/>
      <c r="H704" s="4"/>
    </row>
    <row r="705">
      <c r="G705" s="4"/>
      <c r="H705" s="4"/>
    </row>
    <row r="706">
      <c r="G706" s="4"/>
      <c r="H706" s="4"/>
    </row>
    <row r="707">
      <c r="G707" s="4"/>
      <c r="H707" s="4"/>
    </row>
    <row r="708">
      <c r="G708" s="4"/>
      <c r="H708" s="4"/>
    </row>
    <row r="709">
      <c r="G709" s="4"/>
      <c r="H709" s="4"/>
    </row>
    <row r="710">
      <c r="G710" s="4"/>
      <c r="H710" s="4"/>
    </row>
    <row r="711">
      <c r="G711" s="4"/>
      <c r="H711" s="4"/>
    </row>
    <row r="712">
      <c r="G712" s="4"/>
      <c r="H712" s="4"/>
    </row>
    <row r="713">
      <c r="G713" s="4"/>
      <c r="H713" s="4"/>
    </row>
    <row r="714">
      <c r="G714" s="4"/>
      <c r="H714" s="4"/>
    </row>
    <row r="715">
      <c r="G715" s="4"/>
      <c r="H715" s="4"/>
    </row>
    <row r="716">
      <c r="G716" s="4"/>
      <c r="H716" s="4"/>
    </row>
    <row r="717">
      <c r="G717" s="4"/>
      <c r="H717" s="4"/>
    </row>
    <row r="718">
      <c r="G718" s="4"/>
      <c r="H718" s="4"/>
    </row>
    <row r="719">
      <c r="G719" s="4"/>
      <c r="H719" s="4"/>
    </row>
    <row r="720">
      <c r="G720" s="4"/>
      <c r="H720" s="4"/>
    </row>
    <row r="721">
      <c r="G721" s="4"/>
      <c r="H721" s="4"/>
    </row>
    <row r="722">
      <c r="G722" s="4"/>
      <c r="H722" s="4"/>
    </row>
    <row r="723">
      <c r="G723" s="4"/>
      <c r="H723" s="4"/>
    </row>
    <row r="724">
      <c r="G724" s="4"/>
      <c r="H724" s="4"/>
    </row>
    <row r="725">
      <c r="G725" s="4"/>
      <c r="H725" s="4"/>
    </row>
    <row r="726">
      <c r="G726" s="4"/>
      <c r="H726" s="4"/>
    </row>
    <row r="727">
      <c r="G727" s="4"/>
      <c r="H727" s="4"/>
    </row>
    <row r="728">
      <c r="G728" s="4"/>
      <c r="H728" s="4"/>
    </row>
    <row r="729">
      <c r="G729" s="4"/>
      <c r="H729" s="4"/>
    </row>
    <row r="730">
      <c r="G730" s="4"/>
      <c r="H730" s="4"/>
    </row>
    <row r="731">
      <c r="G731" s="4"/>
      <c r="H731" s="4"/>
    </row>
    <row r="732">
      <c r="G732" s="4"/>
      <c r="H732" s="4"/>
    </row>
    <row r="733">
      <c r="G733" s="4"/>
      <c r="H733" s="4"/>
    </row>
    <row r="734">
      <c r="G734" s="4"/>
      <c r="H734" s="4"/>
    </row>
    <row r="735">
      <c r="G735" s="4"/>
      <c r="H735" s="4"/>
    </row>
    <row r="736">
      <c r="G736" s="4"/>
      <c r="H736" s="4"/>
    </row>
    <row r="737">
      <c r="G737" s="4"/>
      <c r="H737" s="4"/>
    </row>
    <row r="738">
      <c r="G738" s="4"/>
      <c r="H738" s="4"/>
    </row>
    <row r="739">
      <c r="G739" s="4"/>
      <c r="H739" s="4"/>
    </row>
    <row r="740">
      <c r="G740" s="4"/>
      <c r="H740" s="4"/>
    </row>
    <row r="741">
      <c r="G741" s="4"/>
      <c r="H741" s="4"/>
    </row>
    <row r="742">
      <c r="G742" s="4"/>
      <c r="H742" s="4"/>
    </row>
    <row r="743">
      <c r="G743" s="4"/>
      <c r="H743" s="4"/>
    </row>
    <row r="744">
      <c r="G744" s="4"/>
      <c r="H744" s="4"/>
    </row>
    <row r="745">
      <c r="G745" s="4"/>
      <c r="H745" s="4"/>
    </row>
    <row r="746">
      <c r="G746" s="4"/>
      <c r="H746" s="4"/>
    </row>
    <row r="747">
      <c r="G747" s="4"/>
      <c r="H747" s="4"/>
    </row>
    <row r="748">
      <c r="G748" s="4"/>
      <c r="H748" s="4"/>
    </row>
    <row r="749">
      <c r="G749" s="4"/>
      <c r="H749" s="4"/>
    </row>
    <row r="750">
      <c r="G750" s="4"/>
      <c r="H750" s="4"/>
    </row>
    <row r="751">
      <c r="G751" s="4"/>
      <c r="H751" s="4"/>
    </row>
    <row r="752">
      <c r="G752" s="4"/>
      <c r="H752" s="4"/>
    </row>
    <row r="753">
      <c r="G753" s="4"/>
      <c r="H753" s="4"/>
    </row>
    <row r="754">
      <c r="G754" s="4"/>
      <c r="H754" s="4"/>
    </row>
    <row r="755">
      <c r="G755" s="4"/>
      <c r="H755" s="4"/>
    </row>
    <row r="756">
      <c r="G756" s="4"/>
      <c r="H756" s="4"/>
    </row>
    <row r="757">
      <c r="G757" s="4"/>
      <c r="H757" s="4"/>
    </row>
    <row r="758">
      <c r="G758" s="4"/>
      <c r="H758" s="4"/>
    </row>
    <row r="759">
      <c r="G759" s="4"/>
      <c r="H759" s="4"/>
    </row>
    <row r="760">
      <c r="G760" s="4"/>
      <c r="H760" s="4"/>
    </row>
    <row r="761">
      <c r="G761" s="4"/>
      <c r="H761" s="4"/>
    </row>
    <row r="762">
      <c r="G762" s="4"/>
      <c r="H762" s="4"/>
    </row>
    <row r="763">
      <c r="G763" s="4"/>
      <c r="H763" s="4"/>
    </row>
    <row r="764">
      <c r="G764" s="4"/>
      <c r="H764" s="4"/>
    </row>
    <row r="765">
      <c r="G765" s="4"/>
      <c r="H765" s="4"/>
    </row>
    <row r="766">
      <c r="G766" s="4"/>
      <c r="H766" s="4"/>
    </row>
    <row r="767">
      <c r="G767" s="4"/>
      <c r="H767" s="4"/>
    </row>
    <row r="768">
      <c r="G768" s="4"/>
      <c r="H768" s="4"/>
    </row>
    <row r="769">
      <c r="G769" s="4"/>
      <c r="H769" s="4"/>
    </row>
    <row r="770">
      <c r="G770" s="4"/>
      <c r="H770" s="4"/>
    </row>
    <row r="771">
      <c r="G771" s="4"/>
      <c r="H771" s="4"/>
    </row>
    <row r="772">
      <c r="G772" s="4"/>
      <c r="H772" s="4"/>
    </row>
    <row r="773">
      <c r="G773" s="4"/>
      <c r="H773" s="4"/>
    </row>
    <row r="774">
      <c r="G774" s="4"/>
      <c r="H774" s="4"/>
    </row>
    <row r="775">
      <c r="G775" s="4"/>
      <c r="H775" s="4"/>
    </row>
    <row r="776">
      <c r="G776" s="4"/>
      <c r="H776" s="4"/>
    </row>
    <row r="777">
      <c r="G777" s="4"/>
      <c r="H777" s="4"/>
    </row>
    <row r="778">
      <c r="G778" s="4"/>
      <c r="H778" s="4"/>
    </row>
    <row r="779">
      <c r="G779" s="4"/>
      <c r="H779" s="4"/>
    </row>
    <row r="780">
      <c r="G780" s="4"/>
      <c r="H780" s="4"/>
    </row>
    <row r="781">
      <c r="G781" s="4"/>
      <c r="H781" s="4"/>
    </row>
    <row r="782">
      <c r="G782" s="4"/>
      <c r="H782" s="4"/>
    </row>
    <row r="783">
      <c r="G783" s="4"/>
      <c r="H783" s="4"/>
    </row>
    <row r="784">
      <c r="G784" s="4"/>
      <c r="H784" s="4"/>
    </row>
    <row r="785">
      <c r="G785" s="4"/>
      <c r="H785" s="4"/>
    </row>
    <row r="786">
      <c r="G786" s="4"/>
      <c r="H786" s="4"/>
    </row>
    <row r="787">
      <c r="G787" s="4"/>
      <c r="H787" s="4"/>
    </row>
    <row r="788">
      <c r="G788" s="4"/>
      <c r="H788" s="4"/>
    </row>
    <row r="789">
      <c r="G789" s="4"/>
      <c r="H789" s="4"/>
    </row>
    <row r="790">
      <c r="G790" s="4"/>
      <c r="H790" s="4"/>
    </row>
    <row r="791">
      <c r="G791" s="4"/>
      <c r="H791" s="4"/>
    </row>
    <row r="792">
      <c r="G792" s="4"/>
      <c r="H792" s="4"/>
    </row>
    <row r="793">
      <c r="G793" s="4"/>
      <c r="H793" s="4"/>
    </row>
    <row r="794">
      <c r="G794" s="4"/>
      <c r="H794" s="4"/>
    </row>
    <row r="795">
      <c r="G795" s="4"/>
      <c r="H795" s="4"/>
    </row>
    <row r="796">
      <c r="G796" s="4"/>
      <c r="H796" s="4"/>
    </row>
    <row r="797">
      <c r="G797" s="4"/>
      <c r="H797" s="4"/>
    </row>
    <row r="798">
      <c r="G798" s="4"/>
      <c r="H798" s="4"/>
    </row>
    <row r="799">
      <c r="G799" s="4"/>
      <c r="H799" s="4"/>
    </row>
    <row r="800">
      <c r="G800" s="4"/>
      <c r="H800" s="4"/>
    </row>
    <row r="801">
      <c r="G801" s="4"/>
      <c r="H801" s="4"/>
    </row>
    <row r="802">
      <c r="G802" s="4"/>
      <c r="H802" s="4"/>
    </row>
    <row r="803">
      <c r="G803" s="4"/>
      <c r="H803" s="4"/>
    </row>
    <row r="804">
      <c r="G804" s="4"/>
      <c r="H804" s="4"/>
    </row>
    <row r="805">
      <c r="G805" s="4"/>
      <c r="H805" s="4"/>
    </row>
    <row r="806">
      <c r="G806" s="4"/>
      <c r="H806" s="4"/>
    </row>
    <row r="807">
      <c r="G807" s="4"/>
      <c r="H807" s="4"/>
    </row>
    <row r="808">
      <c r="G808" s="4"/>
      <c r="H808" s="4"/>
    </row>
    <row r="809">
      <c r="G809" s="4"/>
      <c r="H809" s="4"/>
    </row>
    <row r="810">
      <c r="G810" s="4"/>
      <c r="H810" s="4"/>
    </row>
    <row r="811">
      <c r="G811" s="4"/>
      <c r="H811" s="4"/>
    </row>
    <row r="812">
      <c r="G812" s="4"/>
      <c r="H812" s="4"/>
    </row>
    <row r="813">
      <c r="G813" s="4"/>
      <c r="H813" s="4"/>
    </row>
    <row r="814">
      <c r="G814" s="4"/>
      <c r="H814" s="4"/>
    </row>
    <row r="815">
      <c r="G815" s="4"/>
      <c r="H815" s="4"/>
    </row>
    <row r="816">
      <c r="G816" s="4"/>
      <c r="H816" s="4"/>
    </row>
    <row r="817">
      <c r="G817" s="4"/>
      <c r="H817" s="4"/>
    </row>
    <row r="818">
      <c r="G818" s="4"/>
      <c r="H818" s="4"/>
    </row>
    <row r="819">
      <c r="G819" s="4"/>
      <c r="H819" s="4"/>
    </row>
    <row r="820">
      <c r="G820" s="4"/>
      <c r="H820" s="4"/>
    </row>
    <row r="821">
      <c r="G821" s="4"/>
      <c r="H821" s="4"/>
    </row>
    <row r="822">
      <c r="G822" s="4"/>
      <c r="H822" s="4"/>
    </row>
    <row r="823">
      <c r="G823" s="4"/>
      <c r="H823" s="4"/>
    </row>
    <row r="824">
      <c r="G824" s="4"/>
      <c r="H824" s="4"/>
    </row>
    <row r="825">
      <c r="G825" s="4"/>
      <c r="H825" s="4"/>
    </row>
    <row r="826">
      <c r="G826" s="4"/>
      <c r="H826" s="4"/>
    </row>
    <row r="827">
      <c r="G827" s="4"/>
      <c r="H827" s="4"/>
    </row>
    <row r="828">
      <c r="G828" s="4"/>
      <c r="H828" s="4"/>
    </row>
    <row r="829">
      <c r="G829" s="4"/>
      <c r="H829" s="4"/>
    </row>
    <row r="830">
      <c r="G830" s="4"/>
      <c r="H830" s="4"/>
    </row>
    <row r="831">
      <c r="G831" s="4"/>
      <c r="H831" s="4"/>
    </row>
    <row r="832">
      <c r="G832" s="4"/>
      <c r="H832" s="4"/>
    </row>
    <row r="833">
      <c r="G833" s="4"/>
      <c r="H833" s="4"/>
    </row>
    <row r="834">
      <c r="G834" s="4"/>
      <c r="H834" s="4"/>
    </row>
    <row r="835">
      <c r="G835" s="4"/>
      <c r="H835" s="4"/>
    </row>
    <row r="836">
      <c r="G836" s="4"/>
      <c r="H836" s="4"/>
    </row>
    <row r="837">
      <c r="G837" s="4"/>
      <c r="H837" s="4"/>
    </row>
    <row r="838">
      <c r="G838" s="4"/>
      <c r="H838" s="4"/>
    </row>
    <row r="839">
      <c r="G839" s="4"/>
      <c r="H839" s="4"/>
    </row>
    <row r="840">
      <c r="G840" s="4"/>
      <c r="H840" s="4"/>
    </row>
    <row r="841">
      <c r="G841" s="4"/>
      <c r="H841" s="4"/>
    </row>
    <row r="842">
      <c r="G842" s="4"/>
      <c r="H842" s="4"/>
    </row>
    <row r="843">
      <c r="G843" s="4"/>
      <c r="H843" s="4"/>
    </row>
    <row r="844">
      <c r="G844" s="4"/>
      <c r="H844" s="4"/>
    </row>
    <row r="845">
      <c r="G845" s="4"/>
      <c r="H845" s="4"/>
    </row>
    <row r="846">
      <c r="G846" s="4"/>
      <c r="H846" s="4"/>
    </row>
    <row r="847">
      <c r="G847" s="4"/>
      <c r="H847" s="4"/>
    </row>
    <row r="848">
      <c r="G848" s="4"/>
      <c r="H848" s="4"/>
    </row>
    <row r="849">
      <c r="G849" s="4"/>
      <c r="H849" s="4"/>
    </row>
    <row r="850">
      <c r="G850" s="4"/>
      <c r="H850" s="4"/>
    </row>
    <row r="851">
      <c r="G851" s="4"/>
      <c r="H851" s="4"/>
    </row>
    <row r="852">
      <c r="G852" s="4"/>
      <c r="H852" s="4"/>
    </row>
    <row r="853">
      <c r="G853" s="4"/>
      <c r="H853" s="4"/>
    </row>
    <row r="854">
      <c r="G854" s="4"/>
      <c r="H854" s="4"/>
    </row>
    <row r="855">
      <c r="G855" s="4"/>
      <c r="H855" s="4"/>
    </row>
    <row r="856">
      <c r="G856" s="4"/>
      <c r="H856" s="4"/>
    </row>
    <row r="857">
      <c r="G857" s="4"/>
      <c r="H857" s="4"/>
    </row>
    <row r="858">
      <c r="G858" s="4"/>
      <c r="H858" s="4"/>
    </row>
    <row r="859">
      <c r="G859" s="4"/>
      <c r="H859" s="4"/>
    </row>
    <row r="860">
      <c r="G860" s="4"/>
      <c r="H860" s="4"/>
    </row>
    <row r="861">
      <c r="G861" s="4"/>
      <c r="H861" s="4"/>
    </row>
    <row r="862">
      <c r="G862" s="4"/>
      <c r="H862" s="4"/>
    </row>
    <row r="863">
      <c r="G863" s="4"/>
      <c r="H863" s="4"/>
    </row>
    <row r="864">
      <c r="G864" s="4"/>
      <c r="H864" s="4"/>
    </row>
    <row r="865">
      <c r="G865" s="4"/>
      <c r="H865" s="4"/>
    </row>
    <row r="866">
      <c r="G866" s="4"/>
      <c r="H866" s="4"/>
    </row>
    <row r="867">
      <c r="G867" s="4"/>
      <c r="H867" s="4"/>
    </row>
    <row r="868">
      <c r="G868" s="4"/>
      <c r="H868" s="4"/>
    </row>
    <row r="869">
      <c r="G869" s="4"/>
      <c r="H869" s="4"/>
    </row>
    <row r="870">
      <c r="G870" s="4"/>
      <c r="H870" s="4"/>
    </row>
    <row r="871">
      <c r="G871" s="4"/>
      <c r="H871" s="4"/>
    </row>
    <row r="872">
      <c r="G872" s="4"/>
      <c r="H872" s="4"/>
    </row>
    <row r="873">
      <c r="G873" s="4"/>
      <c r="H873" s="4"/>
    </row>
    <row r="874">
      <c r="G874" s="4"/>
      <c r="H874" s="4"/>
    </row>
    <row r="875">
      <c r="G875" s="4"/>
      <c r="H875" s="4"/>
    </row>
    <row r="876">
      <c r="G876" s="4"/>
      <c r="H876" s="4"/>
    </row>
    <row r="877">
      <c r="G877" s="4"/>
      <c r="H877" s="4"/>
    </row>
    <row r="878">
      <c r="G878" s="4"/>
      <c r="H878" s="4"/>
    </row>
    <row r="879">
      <c r="G879" s="4"/>
      <c r="H879" s="4"/>
    </row>
    <row r="880">
      <c r="G880" s="4"/>
      <c r="H880" s="4"/>
    </row>
    <row r="881">
      <c r="G881" s="4"/>
      <c r="H881" s="4"/>
    </row>
    <row r="882">
      <c r="G882" s="4"/>
      <c r="H882" s="4"/>
    </row>
    <row r="883">
      <c r="G883" s="4"/>
      <c r="H883" s="4"/>
    </row>
    <row r="884">
      <c r="G884" s="4"/>
      <c r="H884" s="4"/>
    </row>
    <row r="885">
      <c r="G885" s="4"/>
      <c r="H885" s="4"/>
    </row>
    <row r="886">
      <c r="G886" s="4"/>
      <c r="H886" s="4"/>
    </row>
    <row r="887">
      <c r="G887" s="4"/>
      <c r="H887" s="4"/>
    </row>
    <row r="888">
      <c r="G888" s="4"/>
      <c r="H888" s="4"/>
    </row>
    <row r="889">
      <c r="G889" s="4"/>
      <c r="H889" s="4"/>
    </row>
    <row r="890">
      <c r="G890" s="4"/>
      <c r="H890" s="4"/>
    </row>
    <row r="891">
      <c r="G891" s="4"/>
      <c r="H891" s="4"/>
    </row>
    <row r="892">
      <c r="G892" s="4"/>
      <c r="H892" s="4"/>
    </row>
    <row r="893">
      <c r="G893" s="4"/>
      <c r="H893" s="4"/>
    </row>
    <row r="894">
      <c r="G894" s="4"/>
      <c r="H894" s="4"/>
    </row>
    <row r="895">
      <c r="G895" s="4"/>
      <c r="H895" s="4"/>
    </row>
    <row r="896">
      <c r="G896" s="4"/>
      <c r="H896" s="4"/>
    </row>
    <row r="897">
      <c r="G897" s="4"/>
      <c r="H897" s="4"/>
    </row>
    <row r="898">
      <c r="G898" s="4"/>
      <c r="H898" s="4"/>
    </row>
    <row r="899">
      <c r="G899" s="4"/>
      <c r="H899" s="4"/>
    </row>
    <row r="900">
      <c r="G900" s="4"/>
      <c r="H900" s="4"/>
    </row>
    <row r="901">
      <c r="G901" s="4"/>
      <c r="H901" s="4"/>
    </row>
    <row r="902">
      <c r="G902" s="4"/>
      <c r="H902" s="4"/>
    </row>
    <row r="903">
      <c r="G903" s="4"/>
      <c r="H903" s="4"/>
    </row>
    <row r="904">
      <c r="G904" s="4"/>
      <c r="H904" s="4"/>
    </row>
    <row r="905">
      <c r="G905" s="4"/>
      <c r="H905" s="4"/>
    </row>
    <row r="906">
      <c r="G906" s="4"/>
      <c r="H906" s="4"/>
    </row>
    <row r="907">
      <c r="G907" s="4"/>
      <c r="H907" s="4"/>
    </row>
    <row r="908">
      <c r="G908" s="4"/>
      <c r="H908" s="4"/>
    </row>
    <row r="909">
      <c r="G909" s="4"/>
      <c r="H909" s="4"/>
    </row>
    <row r="910">
      <c r="G910" s="4"/>
      <c r="H910" s="4"/>
    </row>
    <row r="911">
      <c r="G911" s="4"/>
      <c r="H911" s="4"/>
    </row>
    <row r="912">
      <c r="G912" s="4"/>
      <c r="H912" s="4"/>
    </row>
    <row r="913">
      <c r="G913" s="4"/>
      <c r="H913" s="4"/>
    </row>
    <row r="914">
      <c r="G914" s="4"/>
      <c r="H914" s="4"/>
    </row>
    <row r="915">
      <c r="G915" s="4"/>
      <c r="H915" s="4"/>
    </row>
    <row r="916">
      <c r="G916" s="4"/>
      <c r="H916" s="4"/>
    </row>
    <row r="917">
      <c r="G917" s="4"/>
      <c r="H917" s="4"/>
    </row>
    <row r="918">
      <c r="G918" s="4"/>
      <c r="H918" s="4"/>
    </row>
    <row r="919">
      <c r="G919" s="4"/>
      <c r="H919" s="4"/>
    </row>
    <row r="920">
      <c r="G920" s="4"/>
      <c r="H920" s="4"/>
    </row>
    <row r="921">
      <c r="G921" s="4"/>
      <c r="H921" s="4"/>
    </row>
    <row r="922">
      <c r="G922" s="4"/>
      <c r="H922" s="4"/>
    </row>
    <row r="923">
      <c r="G923" s="4"/>
      <c r="H923" s="4"/>
    </row>
    <row r="924">
      <c r="G924" s="4"/>
      <c r="H924" s="4"/>
    </row>
    <row r="925">
      <c r="G925" s="4"/>
      <c r="H925" s="4"/>
    </row>
    <row r="926">
      <c r="G926" s="4"/>
      <c r="H926" s="4"/>
    </row>
    <row r="927">
      <c r="G927" s="4"/>
      <c r="H927" s="4"/>
    </row>
    <row r="928">
      <c r="G928" s="4"/>
      <c r="H928" s="4"/>
    </row>
    <row r="929">
      <c r="G929" s="4"/>
      <c r="H929" s="4"/>
    </row>
    <row r="930">
      <c r="G930" s="4"/>
      <c r="H930" s="4"/>
    </row>
    <row r="931">
      <c r="G931" s="4"/>
      <c r="H931" s="4"/>
    </row>
    <row r="932">
      <c r="G932" s="4"/>
      <c r="H932" s="4"/>
    </row>
    <row r="933">
      <c r="G933" s="4"/>
      <c r="H933" s="4"/>
    </row>
    <row r="934">
      <c r="G934" s="4"/>
      <c r="H934" s="4"/>
    </row>
    <row r="935">
      <c r="G935" s="4"/>
      <c r="H935" s="4"/>
    </row>
    <row r="936">
      <c r="G936" s="4"/>
      <c r="H936" s="4"/>
    </row>
    <row r="937">
      <c r="G937" s="4"/>
      <c r="H937" s="4"/>
    </row>
    <row r="938">
      <c r="G938" s="4"/>
      <c r="H938" s="4"/>
    </row>
    <row r="939">
      <c r="G939" s="4"/>
      <c r="H939" s="4"/>
    </row>
    <row r="940">
      <c r="G940" s="4"/>
      <c r="H940" s="4"/>
    </row>
    <row r="941">
      <c r="G941" s="4"/>
      <c r="H941" s="4"/>
    </row>
    <row r="942">
      <c r="G942" s="4"/>
      <c r="H942" s="4"/>
    </row>
    <row r="943">
      <c r="G943" s="4"/>
      <c r="H943" s="4"/>
    </row>
    <row r="944">
      <c r="G944" s="4"/>
      <c r="H944" s="4"/>
    </row>
    <row r="945">
      <c r="G945" s="4"/>
      <c r="H945" s="4"/>
    </row>
    <row r="946">
      <c r="G946" s="4"/>
      <c r="H946" s="4"/>
    </row>
    <row r="947">
      <c r="G947" s="4"/>
      <c r="H947" s="4"/>
    </row>
    <row r="948">
      <c r="G948" s="4"/>
      <c r="H948" s="4"/>
    </row>
    <row r="949">
      <c r="G949" s="4"/>
      <c r="H949" s="4"/>
    </row>
    <row r="950">
      <c r="G950" s="4"/>
      <c r="H950" s="4"/>
    </row>
    <row r="951">
      <c r="G951" s="4"/>
      <c r="H951" s="4"/>
    </row>
    <row r="952">
      <c r="G952" s="4"/>
      <c r="H952" s="4"/>
    </row>
    <row r="953">
      <c r="G953" s="4"/>
      <c r="H953" s="4"/>
    </row>
    <row r="954">
      <c r="G954" s="4"/>
      <c r="H954" s="4"/>
    </row>
    <row r="955">
      <c r="G955" s="4"/>
      <c r="H955" s="4"/>
    </row>
    <row r="956">
      <c r="G956" s="4"/>
      <c r="H956" s="4"/>
    </row>
    <row r="957">
      <c r="G957" s="4"/>
      <c r="H957" s="4"/>
    </row>
    <row r="958">
      <c r="G958" s="4"/>
      <c r="H958" s="4"/>
    </row>
    <row r="959">
      <c r="G959" s="4"/>
      <c r="H959" s="4"/>
    </row>
    <row r="960">
      <c r="G960" s="4"/>
      <c r="H960" s="4"/>
    </row>
    <row r="961">
      <c r="G961" s="4"/>
      <c r="H961" s="4"/>
    </row>
    <row r="962">
      <c r="G962" s="4"/>
      <c r="H962" s="4"/>
    </row>
    <row r="963">
      <c r="G963" s="4"/>
      <c r="H963" s="4"/>
    </row>
    <row r="964">
      <c r="G964" s="4"/>
      <c r="H964" s="4"/>
    </row>
    <row r="965">
      <c r="G965" s="4"/>
      <c r="H965" s="4"/>
    </row>
    <row r="966">
      <c r="G966" s="4"/>
      <c r="H966" s="4"/>
    </row>
    <row r="967">
      <c r="G967" s="4"/>
      <c r="H967" s="4"/>
    </row>
    <row r="968">
      <c r="G968" s="4"/>
      <c r="H968" s="4"/>
    </row>
    <row r="969">
      <c r="G969" s="4"/>
      <c r="H969" s="4"/>
    </row>
    <row r="970">
      <c r="G970" s="4"/>
      <c r="H970" s="4"/>
    </row>
    <row r="971">
      <c r="G971" s="4"/>
      <c r="H971" s="4"/>
    </row>
    <row r="972">
      <c r="G972" s="4"/>
      <c r="H972" s="4"/>
    </row>
    <row r="973">
      <c r="G973" s="4"/>
      <c r="H973" s="4"/>
    </row>
    <row r="974">
      <c r="G974" s="4"/>
      <c r="H974" s="4"/>
    </row>
    <row r="975">
      <c r="G975" s="4"/>
      <c r="H975" s="4"/>
    </row>
    <row r="976">
      <c r="G976" s="4"/>
      <c r="H976" s="4"/>
    </row>
    <row r="977">
      <c r="G977" s="4"/>
      <c r="H977" s="4"/>
    </row>
    <row r="978">
      <c r="G978" s="4"/>
      <c r="H978" s="4"/>
    </row>
    <row r="979">
      <c r="G979" s="4"/>
      <c r="H979" s="4"/>
    </row>
    <row r="980">
      <c r="G980" s="4"/>
      <c r="H980" s="4"/>
    </row>
    <row r="981">
      <c r="G981" s="4"/>
      <c r="H981" s="4"/>
    </row>
    <row r="982">
      <c r="G982" s="4"/>
      <c r="H982" s="4"/>
    </row>
    <row r="983">
      <c r="G983" s="4"/>
      <c r="H983" s="4"/>
    </row>
    <row r="984">
      <c r="G984" s="4"/>
      <c r="H984" s="4"/>
    </row>
    <row r="985">
      <c r="G985" s="4"/>
      <c r="H985" s="4"/>
    </row>
    <row r="986">
      <c r="G986" s="4"/>
      <c r="H986" s="4"/>
    </row>
    <row r="987">
      <c r="G987" s="4"/>
      <c r="H987" s="4"/>
    </row>
    <row r="988">
      <c r="G988" s="4"/>
      <c r="H988" s="4"/>
    </row>
    <row r="989">
      <c r="G989" s="4"/>
      <c r="H989" s="4"/>
    </row>
    <row r="990">
      <c r="G990" s="4"/>
      <c r="H990" s="4"/>
    </row>
    <row r="991">
      <c r="G991" s="4"/>
      <c r="H991" s="4"/>
    </row>
    <row r="992">
      <c r="G992" s="4"/>
      <c r="H992" s="4"/>
    </row>
    <row r="993">
      <c r="G993" s="4"/>
      <c r="H993" s="4"/>
    </row>
    <row r="994">
      <c r="G994" s="4"/>
      <c r="H994" s="4"/>
    </row>
    <row r="995">
      <c r="G995" s="4"/>
      <c r="H995" s="4"/>
    </row>
    <row r="996">
      <c r="G996" s="4"/>
      <c r="H996" s="4"/>
    </row>
    <row r="997">
      <c r="G997" s="4"/>
      <c r="H997" s="4"/>
    </row>
    <row r="998">
      <c r="G998" s="4"/>
      <c r="H998" s="4"/>
    </row>
    <row r="999">
      <c r="G999" s="4"/>
      <c r="H999" s="4"/>
    </row>
    <row r="1000">
      <c r="G1000" s="4"/>
      <c r="H1000" s="4"/>
    </row>
  </sheetData>
  <mergeCells count="2">
    <mergeCell ref="A1:E1"/>
    <mergeCell ref="G1:H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4" t="s">
        <v>7</v>
      </c>
      <c r="C1" s="4" t="s">
        <v>8</v>
      </c>
      <c r="D1" s="4" t="s">
        <v>9</v>
      </c>
      <c r="E1" s="4" t="s">
        <v>21</v>
      </c>
      <c r="F1" s="2" t="s">
        <v>35</v>
      </c>
      <c r="G1" s="4" t="s">
        <v>24</v>
      </c>
      <c r="H1" s="4" t="s">
        <v>25</v>
      </c>
    </row>
    <row r="2">
      <c r="A2" s="4" t="s">
        <v>36</v>
      </c>
      <c r="B2" s="4" t="s">
        <v>37</v>
      </c>
      <c r="C2" s="4" t="s">
        <v>38</v>
      </c>
      <c r="D2" s="4" t="s">
        <v>39</v>
      </c>
      <c r="E2" s="4" t="s">
        <v>40</v>
      </c>
      <c r="F2" s="4">
        <v>21.0</v>
      </c>
      <c r="G2" s="4">
        <v>3725.0</v>
      </c>
      <c r="H2" s="4">
        <v>24.0</v>
      </c>
    </row>
    <row r="3">
      <c r="A3" s="4" t="s">
        <v>41</v>
      </c>
      <c r="B3" s="4" t="s">
        <v>42</v>
      </c>
      <c r="C3" s="4" t="s">
        <v>43</v>
      </c>
      <c r="D3" s="4" t="s">
        <v>44</v>
      </c>
      <c r="E3" s="4" t="s">
        <v>45</v>
      </c>
      <c r="F3" s="4">
        <v>18.0</v>
      </c>
      <c r="G3" s="4">
        <v>9515.0</v>
      </c>
      <c r="H3" s="4">
        <v>54.0</v>
      </c>
    </row>
    <row r="4">
      <c r="A4" s="4" t="s">
        <v>46</v>
      </c>
      <c r="B4" s="4" t="s">
        <v>47</v>
      </c>
      <c r="C4" s="4" t="s">
        <v>48</v>
      </c>
      <c r="D4" s="4" t="s">
        <v>49</v>
      </c>
      <c r="E4" s="4" t="s">
        <v>50</v>
      </c>
      <c r="F4" s="4">
        <v>11.0</v>
      </c>
      <c r="G4" s="4">
        <v>742.0</v>
      </c>
      <c r="H4" s="4">
        <v>19.0</v>
      </c>
    </row>
    <row r="5">
      <c r="A5" s="4" t="s">
        <v>51</v>
      </c>
      <c r="B5" s="4" t="s">
        <v>52</v>
      </c>
      <c r="C5" s="4" t="s">
        <v>53</v>
      </c>
      <c r="D5" s="4" t="s">
        <v>54</v>
      </c>
      <c r="E5" s="4" t="s">
        <v>55</v>
      </c>
      <c r="F5" s="4">
        <v>10.0</v>
      </c>
      <c r="G5" s="4">
        <v>1337.0</v>
      </c>
      <c r="H5" s="4">
        <v>23.0</v>
      </c>
    </row>
    <row r="6">
      <c r="A6" s="4" t="s">
        <v>56</v>
      </c>
      <c r="B6" s="4" t="s">
        <v>57</v>
      </c>
      <c r="C6" s="4" t="s">
        <v>58</v>
      </c>
      <c r="D6" s="4" t="s">
        <v>59</v>
      </c>
      <c r="E6" s="4" t="s">
        <v>60</v>
      </c>
      <c r="F6" s="4">
        <v>8.0</v>
      </c>
      <c r="G6" s="4">
        <v>775.0</v>
      </c>
      <c r="H6" s="4">
        <v>6.0</v>
      </c>
    </row>
    <row r="7">
      <c r="A7" s="4" t="s">
        <v>33</v>
      </c>
      <c r="B7" s="4" t="s">
        <v>61</v>
      </c>
      <c r="C7" s="4" t="s">
        <v>62</v>
      </c>
      <c r="D7" s="4" t="s">
        <v>63</v>
      </c>
      <c r="E7" s="4" t="s">
        <v>64</v>
      </c>
      <c r="F7" s="4">
        <v>7.0</v>
      </c>
      <c r="G7" s="4">
        <v>14297.0</v>
      </c>
      <c r="H7" s="4">
        <v>3218.0</v>
      </c>
    </row>
    <row r="8">
      <c r="A8" s="4" t="s">
        <v>65</v>
      </c>
      <c r="B8" s="4" t="s">
        <v>66</v>
      </c>
      <c r="C8" s="4" t="s">
        <v>67</v>
      </c>
      <c r="D8" s="4" t="s">
        <v>68</v>
      </c>
      <c r="E8" s="4" t="s">
        <v>69</v>
      </c>
      <c r="F8" s="4">
        <v>7.0</v>
      </c>
      <c r="G8" s="4">
        <v>5410.0</v>
      </c>
      <c r="H8" s="4">
        <v>52.0</v>
      </c>
    </row>
    <row r="9">
      <c r="A9" s="4" t="s">
        <v>71</v>
      </c>
      <c r="B9" s="4" t="s">
        <v>72</v>
      </c>
      <c r="C9" s="4" t="s">
        <v>58</v>
      </c>
      <c r="D9" s="4" t="s">
        <v>59</v>
      </c>
      <c r="E9" s="4" t="s">
        <v>73</v>
      </c>
      <c r="F9" s="4">
        <v>7.0</v>
      </c>
      <c r="G9" s="4">
        <v>1540.0</v>
      </c>
      <c r="H9" s="4">
        <v>13.0</v>
      </c>
    </row>
    <row r="10">
      <c r="A10" s="4" t="s">
        <v>74</v>
      </c>
      <c r="B10" s="4" t="s">
        <v>75</v>
      </c>
      <c r="C10" s="4" t="s">
        <v>76</v>
      </c>
      <c r="D10" s="4" t="s">
        <v>77</v>
      </c>
      <c r="E10" s="4" t="s">
        <v>78</v>
      </c>
      <c r="F10" s="4">
        <v>7.0</v>
      </c>
      <c r="G10" s="4">
        <v>577.0</v>
      </c>
      <c r="H10" s="4">
        <v>4.0</v>
      </c>
    </row>
    <row r="11">
      <c r="A11" s="4" t="s">
        <v>79</v>
      </c>
      <c r="B11" s="4" t="s">
        <v>81</v>
      </c>
      <c r="C11" s="4" t="s">
        <v>82</v>
      </c>
      <c r="D11" s="4" t="s">
        <v>83</v>
      </c>
      <c r="E11" s="4" t="s">
        <v>84</v>
      </c>
      <c r="F11" s="4">
        <v>7.0</v>
      </c>
      <c r="G11" s="4">
        <v>468.0</v>
      </c>
      <c r="H11" s="4">
        <v>5.0</v>
      </c>
    </row>
    <row r="12">
      <c r="A12" s="4" t="s">
        <v>85</v>
      </c>
      <c r="B12" s="4" t="s">
        <v>86</v>
      </c>
      <c r="C12" s="4" t="s">
        <v>87</v>
      </c>
      <c r="D12" s="4" t="s">
        <v>88</v>
      </c>
      <c r="E12" s="4" t="s">
        <v>89</v>
      </c>
      <c r="F12" s="4">
        <v>7.0</v>
      </c>
      <c r="G12" s="4">
        <v>15.0</v>
      </c>
      <c r="H12" s="4">
        <v>0.0</v>
      </c>
    </row>
    <row r="13">
      <c r="A13" s="4" t="s">
        <v>90</v>
      </c>
      <c r="B13" s="4" t="s">
        <v>91</v>
      </c>
      <c r="C13" s="4" t="s">
        <v>92</v>
      </c>
      <c r="D13" s="4" t="s">
        <v>93</v>
      </c>
      <c r="E13" s="4" t="s">
        <v>95</v>
      </c>
      <c r="F13" s="4">
        <v>6.0</v>
      </c>
      <c r="G13" s="4">
        <v>124183.0</v>
      </c>
      <c r="H13" s="4">
        <v>1874.0</v>
      </c>
    </row>
    <row r="14">
      <c r="A14" s="4" t="s">
        <v>96</v>
      </c>
      <c r="B14" s="4" t="s">
        <v>97</v>
      </c>
      <c r="C14" s="4" t="s">
        <v>98</v>
      </c>
      <c r="D14" s="4" t="s">
        <v>99</v>
      </c>
      <c r="E14" s="4" t="s">
        <v>100</v>
      </c>
      <c r="F14" s="4">
        <v>6.0</v>
      </c>
      <c r="G14" s="4">
        <v>1020.0</v>
      </c>
      <c r="H14" s="4">
        <v>4.0</v>
      </c>
    </row>
    <row r="15">
      <c r="A15" s="4" t="s">
        <v>101</v>
      </c>
      <c r="B15" s="4" t="s">
        <v>102</v>
      </c>
      <c r="C15" s="4" t="s">
        <v>103</v>
      </c>
      <c r="D15" s="4" t="s">
        <v>104</v>
      </c>
      <c r="E15" s="4" t="s">
        <v>105</v>
      </c>
      <c r="F15" s="4">
        <v>6.0</v>
      </c>
      <c r="G15" s="4">
        <v>472.0</v>
      </c>
      <c r="H15" s="4">
        <v>1.0</v>
      </c>
    </row>
    <row r="16">
      <c r="A16" s="4" t="s">
        <v>106</v>
      </c>
      <c r="B16" s="4" t="s">
        <v>107</v>
      </c>
      <c r="C16" s="4" t="s">
        <v>108</v>
      </c>
      <c r="D16" s="4" t="s">
        <v>109</v>
      </c>
      <c r="E16" s="4" t="s">
        <v>110</v>
      </c>
      <c r="F16" s="4">
        <v>5.0</v>
      </c>
      <c r="G16" s="4">
        <v>10051.0</v>
      </c>
      <c r="H16" s="4">
        <v>125.0</v>
      </c>
    </row>
    <row r="17">
      <c r="A17" s="4" t="s">
        <v>111</v>
      </c>
      <c r="B17" s="4" t="s">
        <v>112</v>
      </c>
      <c r="C17" s="4" t="s">
        <v>113</v>
      </c>
      <c r="D17" s="4" t="s">
        <v>114</v>
      </c>
      <c r="E17" s="4" t="s">
        <v>115</v>
      </c>
      <c r="F17" s="4">
        <v>5.0</v>
      </c>
      <c r="G17" s="4">
        <v>3222.0</v>
      </c>
      <c r="H17" s="4">
        <v>37.0</v>
      </c>
    </row>
    <row r="18">
      <c r="A18" s="4" t="s">
        <v>116</v>
      </c>
      <c r="B18" s="4" t="s">
        <v>117</v>
      </c>
      <c r="C18" s="4" t="s">
        <v>118</v>
      </c>
      <c r="D18" s="4" t="s">
        <v>119</v>
      </c>
      <c r="E18" s="4" t="s">
        <v>120</v>
      </c>
      <c r="F18" s="4">
        <v>5.0</v>
      </c>
      <c r="G18" s="4">
        <v>1487.0</v>
      </c>
      <c r="H18" s="4">
        <v>17.0</v>
      </c>
    </row>
    <row r="19">
      <c r="A19" s="4" t="s">
        <v>121</v>
      </c>
      <c r="B19" s="4" t="s">
        <v>122</v>
      </c>
      <c r="C19" s="4" t="s">
        <v>123</v>
      </c>
      <c r="D19" s="4" t="s">
        <v>124</v>
      </c>
      <c r="E19" s="4" t="s">
        <v>125</v>
      </c>
      <c r="F19" s="4">
        <v>4.0</v>
      </c>
      <c r="G19" s="4">
        <v>9001.0</v>
      </c>
      <c r="H19" s="4">
        <v>89.0</v>
      </c>
    </row>
    <row r="20">
      <c r="A20" s="4" t="s">
        <v>126</v>
      </c>
      <c r="B20" s="4" t="s">
        <v>128</v>
      </c>
      <c r="C20" s="4" t="s">
        <v>129</v>
      </c>
      <c r="D20" s="4" t="s">
        <v>130</v>
      </c>
      <c r="E20" s="4" t="s">
        <v>131</v>
      </c>
      <c r="F20" s="4">
        <v>4.0</v>
      </c>
      <c r="G20" s="4">
        <v>1547.0</v>
      </c>
      <c r="H20" s="4">
        <v>28.0</v>
      </c>
    </row>
    <row r="21">
      <c r="A21" s="4" t="s">
        <v>132</v>
      </c>
      <c r="B21" s="4" t="s">
        <v>133</v>
      </c>
      <c r="C21" s="4" t="s">
        <v>134</v>
      </c>
      <c r="D21" s="4" t="s">
        <v>135</v>
      </c>
      <c r="E21" s="4" t="s">
        <v>137</v>
      </c>
      <c r="F21" s="4">
        <v>3.0</v>
      </c>
      <c r="G21" s="4">
        <v>6777.0</v>
      </c>
      <c r="H21" s="4">
        <v>261.0</v>
      </c>
    </row>
  </sheetData>
  <autoFilter ref="$A$1:$H$21">
    <sortState ref="A1:H21">
      <sortCondition descending="1" ref="F1:F21"/>
      <sortCondition descending="1" ref="G1:G21"/>
      <sortCondition descending="1" ref="H1:H2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tr">
        <f>IFERROR(__xludf.DUMMYFUNCTION("FILTER(
  dataset_1!A:A,
  COUNTIF(
    dataset_2!A:A,
    dataset_1!A:A
  )
)"),"id")</f>
        <v>id</v>
      </c>
      <c r="C1" s="4" t="str">
        <f>IFERROR(__xludf.DUMMYFUNCTION("FILTER(
  CHOOSECOLS(
    dataset_1!A:W,
    1, 7, 8, 9, 19, 22, 23
  ),
  COUNTIF(
    dataset_2!A:A,
    dataset_1!A:A
  )
)"),"id")</f>
        <v>id</v>
      </c>
      <c r="D1" s="4" t="str">
        <f>IFERROR(__xludf.DUMMYFUNCTION("""COMPUTED_VALUE"""),"body")</f>
        <v>body</v>
      </c>
      <c r="E1" s="4" t="str">
        <f>IFERROR(__xludf.DUMMYFUNCTION("""COMPUTED_VALUE"""),"author")</f>
        <v>author</v>
      </c>
      <c r="F1" s="4" t="str">
        <f>IFERROR(__xludf.DUMMYFUNCTION("""COMPUTED_VALUE"""),"author_fullname")</f>
        <v>author_fullname</v>
      </c>
      <c r="G1" s="4" t="str">
        <f>IFERROR(__xludf.DUMMYFUNCTION("""COMPUTED_VALUE"""),"hashtags")</f>
        <v>hashtags</v>
      </c>
      <c r="H1" s="4" t="str">
        <f>IFERROR(__xludf.DUMMYFUNCTION("""COMPUTED_VALUE"""),"num_likes")</f>
        <v>num_likes</v>
      </c>
      <c r="I1" s="4" t="str">
        <f>IFERROR(__xludf.DUMMYFUNCTION("""COMPUTED_VALUE"""),"num_comments")</f>
        <v>num_comments</v>
      </c>
    </row>
    <row r="2">
      <c r="A2" s="5" t="str">
        <f>IFERROR(__xludf.DUMMYFUNCTION("""COMPUTED_VALUE"""),"DODha0QkZcC")</f>
        <v>DODha0QkZcC</v>
      </c>
      <c r="B2" s="5"/>
      <c r="C2" s="5" t="str">
        <f>IFERROR(__xludf.DUMMYFUNCTION("""COMPUTED_VALUE"""),"DODha0QkZcC")</f>
        <v>DODha0QkZcC</v>
      </c>
      <c r="D2" s="5" t="str">
        <f>IFERROR(__xludf.DUMMYFUNCTION("""COMPUTED_VALUE"""),"🧠✨ Você se identificou com esses comportamentos?
Sensibilidade à crítica, reatância, sobrecarga, paralisia, autocrítica cruel… tudo isso pode ter uma explicação!
A verdade é que quem tem TDAH não está “fazendo corpo mole” ou “dramatizando”.
🔥 Existe um"&amp;" funcionamento diferente acontecendo – e entender isso muda tudo!
💬 Comente TDAH aqui embaixo 👇
e te envio no direct um material especial com estratégias simples e eficazes pra começar a mudar sua rotina ainda hoje!
#tdahta #tdahadulto
#audiçãoseletiv"&amp;"a #tdahsintomas
#tdahrelatos
#tdahrelacionamentos #tdah")</f>
        <v>🧠✨ Você se identificou com esses comportamentos?
Sensibilidade à crítica, reatância, sobrecarga, paralisia, autocrítica cruel… tudo isso pode ter uma explicação!
A verdade é que quem tem TDAH não está “fazendo corpo mole” ou “dramatizando”.
🔥 Existe um funcionamento diferente acontecendo – e entender isso muda tudo!
💬 Comente TDAH aqui embaixo 👇
e te envio no direct um material especial com estratégias simples e eficazes pra começar a mudar sua rotina ainda hoje!
#tdahta #tdahadulto
#audiçãoseletiva #tdahsintomas
#tdahrelatos
#tdahrelacionamentos #tdah</v>
      </c>
      <c r="E2" s="5" t="str">
        <f>IFERROR(__xludf.DUMMYFUNCTION("""COMPUTED_VALUE"""),"desafios.tdah")</f>
        <v>desafios.tdah</v>
      </c>
      <c r="F2" s="5" t="str">
        <f>IFERROR(__xludf.DUMMYFUNCTION("""COMPUTED_VALUE"""),"Wellington Ribeiro | MEU TDAH")</f>
        <v>Wellington Ribeiro | MEU TDAH</v>
      </c>
      <c r="G2" s="5" t="str">
        <f>IFERROR(__xludf.DUMMYFUNCTION("""COMPUTED_VALUE"""),"tdahta,tdahadulto,audiçãoseletiva,tdahsintomas,tdahrelatos,tdahrelacionamentos,tdah")</f>
        <v>tdahta,tdahadulto,audiçãoseletiva,tdahsintomas,tdahrelatos,tdahrelacionamentos,tdah</v>
      </c>
      <c r="H2" s="5">
        <f>IFERROR(__xludf.DUMMYFUNCTION("""COMPUTED_VALUE"""),14107.0)</f>
        <v>14107</v>
      </c>
      <c r="I2" s="5">
        <f>IFERROR(__xludf.DUMMYFUNCTION("""COMPUTED_VALUE"""),3153.0)</f>
        <v>3153</v>
      </c>
      <c r="J2" s="5"/>
      <c r="K2" s="5"/>
    </row>
    <row r="3">
      <c r="A3" s="5" t="str">
        <f>IFERROR(__xludf.DUMMYFUNCTION("""COMPUTED_VALUE"""),"DOE3bzkD4YT")</f>
        <v>DOE3bzkD4YT</v>
      </c>
      <c r="B3" s="5"/>
      <c r="C3" s="5" t="str">
        <f>IFERROR(__xludf.DUMMYFUNCTION("""COMPUTED_VALUE"""),"DOE3bzkD4YT")</f>
        <v>DOE3bzkD4YT</v>
      </c>
      <c r="D3" s="5" t="str">
        <f>IFERROR(__xludf.DUMMYFUNCTION("""COMPUTED_VALUE"""),"Com qual contradição do TDAH você se identifica mais?
#tdah #adhd #psicologia #procrastinação #tdahadulto")</f>
        <v>Com qual contradição do TDAH você se identifica mais?
#tdah #adhd #psicologia #procrastinação #tdahadulto</v>
      </c>
      <c r="E3" s="5" t="str">
        <f>IFERROR(__xludf.DUMMYFUNCTION("""COMPUTED_VALUE"""),"ansiedade.mente")</f>
        <v>ansiedade.mente</v>
      </c>
      <c r="F3" s="5" t="str">
        <f>IFERROR(__xludf.DUMMYFUNCTION("""COMPUTED_VALUE"""),"Jucianny Sales | Psiquiatra TDAH e Ansiedade")</f>
        <v>Jucianny Sales | Psiquiatra TDAH e Ansiedade</v>
      </c>
      <c r="G3" s="5" t="str">
        <f>IFERROR(__xludf.DUMMYFUNCTION("""COMPUTED_VALUE"""),"tdah,adhd,psicologia,procrastinação,tdahadulto")</f>
        <v>tdah,adhd,psicologia,procrastinação,tdahadulto</v>
      </c>
      <c r="H3" s="5">
        <f>IFERROR(__xludf.DUMMYFUNCTION("""COMPUTED_VALUE"""),9967.0)</f>
        <v>9967</v>
      </c>
      <c r="I3" s="5">
        <f>IFERROR(__xludf.DUMMYFUNCTION("""COMPUTED_VALUE"""),124.0)</f>
        <v>124</v>
      </c>
      <c r="J3" s="5"/>
      <c r="K3" s="5"/>
    </row>
    <row r="4">
      <c r="A4" s="5" t="str">
        <f>IFERROR(__xludf.DUMMYFUNCTION("""COMPUTED_VALUE"""),"DOyceyqDJRi")</f>
        <v>DOyceyqDJRi</v>
      </c>
      <c r="B4" s="5"/>
      <c r="C4" s="5" t="str">
        <f>IFERROR(__xludf.DUMMYFUNCTION("""COMPUTED_VALUE"""),"DOyceyqDJRi")</f>
        <v>DOyceyqDJRi</v>
      </c>
      <c r="D4" s="5" t="str">
        <f>IFERROR(__xludf.DUMMYFUNCTION("""COMPUTED_VALUE"""),"TDAH e a busca por dopamina: por que o cérebro age assim?
A dopamina é  uma substância fundamental para a sensação de recompensa, sustentação do interesse e prazer em realizar tarefas. No TDAH, os níveis de dopamina são mais baixos ou têm distribuição ir"&amp;"regular, o que faz o cérebro buscar estímulos constantes e recompensas rápidas para se autorregular. 
Ou seja, quando uma pessoa com TDAH não consegue se convencer a fazer algo, não é simplesmente preguiça. 
⚡ Veja como isso aparece no dia a dia:
* Difi"&amp;"culdade de ser consistente: A ausência de novidade faz com que a motivação caia rapidamente. A dopamina cai, e a tarefa é abandonada.
* Evitar tarefas desprazerosas : Atividades sem estímulo imediato (como burocracias ou demandas repetitivas) geram avers"&amp;"ão.
* Novo hobby / novos planos de carreira/ novas pessoas: O ciclo de começar com entusiasmo e abandonar depois é comum. O início libera dopamina, mas a manutenção exige esforço regulatório.
* Mais suscetível a vício em redes sociais: As notificações e"&amp;" recompensas rápidas das redes liberam dopamina com facilidade — tornando-as especialmente atrativas (e viciantes) para quem tem TDAH.
* Comer muito doce: Alimentos com alto índice glicêmico geram picos de dopamina. O cérebro aprende isso rapidamente com"&amp;"o fonte de ""alívio"".
* Compras impulsivas: A decisão rápida e a recompensa imediata da compra geram prazer, mesmo que passageiro — alimentando ciclos impulsivos.
* Discussões desnecessárias: A hiper-reatividade emocional, somada à busca por estímulo, "&amp;"pode tornar a pessoa mais impulsiva em interações sociais.
.
.
.
 #dopamina #tdahadulto #tdahzando #tdahdescomplicado #psiquiatra #psiquiatraonline #psiquiatrapassofundo")</f>
        <v>TDAH e a busca por dopamina: por que o cérebro age assim?
A dopamina é  uma substância fundamental para a sensação de recompensa, sustentação do interesse e prazer em realizar tarefas. No TDAH, os níveis de dopamina são mais baixos ou têm distribuição irregular, o que faz o cérebro buscar estímulos constantes e recompensas rápidas para se autorregular. 
Ou seja, quando uma pessoa com TDAH não consegue se convencer a fazer algo, não é simplesmente preguiça. 
⚡ Veja como isso aparece no dia a dia:
* Dificuldade de ser consistente: A ausência de novidade faz com que a motivação caia rapidamente. A dopamina cai, e a tarefa é abandonada.
* Evitar tarefas desprazerosas : Atividades sem estímulo imediato (como burocracias ou demandas repetitivas) geram aversão.
* Novo hobby / novos planos de carreira/ novas pessoas: O ciclo de começar com entusiasmo e abandonar depois é comum. O início libera dopamina, mas a manutenção exige esforço regulatório.
* Mais suscetível a vício em redes sociais: As notificações e recompensas rápidas das redes liberam dopamina com facilidade — tornando-as especialmente atrativas (e viciantes) para quem tem TDAH.
* Comer muito doce: Alimentos com alto índice glicêmico geram picos de dopamina. O cérebro aprende isso rapidamente como fonte de "alívio".
* Compras impulsivas: A decisão rápida e a recompensa imediata da compra geram prazer, mesmo que passageiro — alimentando ciclos impulsivos.
* Discussões desnecessárias: A hiper-reatividade emocional, somada à busca por estímulo, pode tornar a pessoa mais impulsiva em interações sociais.
.
.
.
 #dopamina #tdahadulto #tdahzando #tdahdescomplicado #psiquiatra #psiquiatraonline #psiquiatrapassofundo</v>
      </c>
      <c r="E4" s="5" t="str">
        <f>IFERROR(__xludf.DUMMYFUNCTION("""COMPUTED_VALUE"""),"psiquiatramarina")</f>
        <v>psiquiatramarina</v>
      </c>
      <c r="F4" s="5" t="str">
        <f>IFERROR(__xludf.DUMMYFUNCTION("""COMPUTED_VALUE"""),"Dra. Marina Durante Migliorini")</f>
        <v>Dra. Marina Durante Migliorini</v>
      </c>
      <c r="G4" s="5" t="str">
        <f>IFERROR(__xludf.DUMMYFUNCTION("""COMPUTED_VALUE"""),"dopamina,tdahadulto,tdahzando,tdahdescomplicado,psiquiatra,psiquiatraonline,psiquiatrapassofundo")</f>
        <v>dopamina,tdahadulto,tdahzando,tdahdescomplicado,psiquiatra,psiquiatraonline,psiquiatrapassofundo</v>
      </c>
      <c r="H4" s="5">
        <f>IFERROR(__xludf.DUMMYFUNCTION("""COMPUTED_VALUE"""),463.0)</f>
        <v>463</v>
      </c>
      <c r="I4" s="5">
        <f>IFERROR(__xludf.DUMMYFUNCTION("""COMPUTED_VALUE"""),5.0)</f>
        <v>5</v>
      </c>
      <c r="J4" s="5"/>
      <c r="K4" s="5"/>
    </row>
    <row r="5">
      <c r="A5" s="5" t="str">
        <f>IFERROR(__xludf.DUMMYFUNCTION("""COMPUTED_VALUE"""),"DOXBit6DGdz")</f>
        <v>DOXBit6DGdz</v>
      </c>
      <c r="B5" s="5"/>
      <c r="C5" s="5" t="str">
        <f>IFERROR(__xludf.DUMMYFUNCTION("""COMPUTED_VALUE"""),"DOXBit6DGdz")</f>
        <v>DOXBit6DGdz</v>
      </c>
      <c r="D5" s="5" t="str">
        <f>IFERROR(__xludf.DUMMYFUNCTION("""COMPUTED_VALUE"""),"12 coisas que são difíceis para quem tem TDAH e 6 coisas que ajudam a melhorar muito! 
.
.
.
 #tdahadulto #tdahinfantil #tdahadolescentes #tdahdescomplicado #psiquiatras #psiquiatrasp #psiquiatraonline")</f>
        <v>12 coisas que são difíceis para quem tem TDAH e 6 coisas que ajudam a melhorar muito! 
.
.
.
 #tdahadulto #tdahinfantil #tdahadolescentes #tdahdescomplicado #psiquiatras #psiquiatrasp #psiquiatraonline</v>
      </c>
      <c r="E5" s="5" t="str">
        <f>IFERROR(__xludf.DUMMYFUNCTION("""COMPUTED_VALUE"""),"drachristiane.psiquiatria")</f>
        <v>drachristiane.psiquiatria</v>
      </c>
      <c r="F5" s="5" t="str">
        <f>IFERROR(__xludf.DUMMYFUNCTION("""COMPUTED_VALUE"""),"Christiane Ribeiro Psiquiatra")</f>
        <v>Christiane Ribeiro Psiquiatra</v>
      </c>
      <c r="G5" s="5" t="str">
        <f>IFERROR(__xludf.DUMMYFUNCTION("""COMPUTED_VALUE"""),"tdahadulto,tdahinfantil,tdahadolescentes,tdahdescomplicado,psiquiatras,psiquiatrasp,psiquiatraonline")</f>
        <v>tdahadulto,tdahinfantil,tdahadolescentes,tdahdescomplicado,psiquiatras,psiquiatrasp,psiquiatraonline</v>
      </c>
      <c r="H5" s="5">
        <f>IFERROR(__xludf.DUMMYFUNCTION("""COMPUTED_VALUE"""),5409.0)</f>
        <v>5409</v>
      </c>
      <c r="I5" s="5">
        <f>IFERROR(__xludf.DUMMYFUNCTION("""COMPUTED_VALUE"""),52.0)</f>
        <v>52</v>
      </c>
      <c r="J5" s="5"/>
      <c r="K5" s="5"/>
    </row>
    <row r="6">
      <c r="A6" s="5" t="str">
        <f>IFERROR(__xludf.DUMMYFUNCTION("""COMPUTED_VALUE"""),"DQmvlNlD7Yd")</f>
        <v>DQmvlNlD7Yd</v>
      </c>
      <c r="B6" s="5"/>
      <c r="C6" s="5" t="str">
        <f>IFERROR(__xludf.DUMMYFUNCTION("""COMPUTED_VALUE"""),"DQmvlNlD7Yd")</f>
        <v>DQmvlNlD7Yd</v>
      </c>
      <c r="D6" s="5" t="str">
        <f>IFERROR(__xludf.DUMMYFUNCTION("""COMPUTED_VALUE"""),"A Psicologia não tem como ser neutra no sentido social.
Ela se ocupa do ser humano, e todo ser humano vive dentro de um contexto social, político e cultural.
Cuidar de pessoas é, inevitavelmente, cuidar das condições que impactam suas vidas.
Falar sobre"&amp;" desigualdade, acesso à saúde, direitos e dignidade é falar de política — no sentido mais humano e ético da palavra.
Mas isso não significa partidarismo ou ideologia.
Significa reconhecer que a saúde mental não existe isolada da realidade social.
Signifi"&amp;"ca ter compromisso com o bem-estar coletivo, com a equidade e com o respeito à vida.
Psicologia é sobre pessoas e a política também.
#TDAH #tdahadulto #psicologia #terapia")</f>
        <v>A Psicologia não tem como ser neutra no sentido social.
Ela se ocupa do ser humano, e todo ser humano vive dentro de um contexto social, político e cultural.
Cuidar de pessoas é, inevitavelmente, cuidar das condições que impactam suas vidas.
Falar sobre desigualdade, acesso à saúde, direitos e dignidade é falar de política — no sentido mais humano e ético da palavra.
Mas isso não significa partidarismo ou ideologia.
Significa reconhecer que a saúde mental não existe isolada da realidade social.
Significa ter compromisso com o bem-estar coletivo, com a equidade e com o respeito à vida.
Psicologia é sobre pessoas e a política também.
#TDAH #tdahadulto #psicologia #terapia</v>
      </c>
      <c r="E6" s="5" t="str">
        <f>IFERROR(__xludf.DUMMYFUNCTION("""COMPUTED_VALUE"""),"michelmansurpsicologia")</f>
        <v>michelmansurpsicologia</v>
      </c>
      <c r="F6" s="5" t="str">
        <f>IFERROR(__xludf.DUMMYFUNCTION("""COMPUTED_VALUE"""),"Michel Mansur | Psicólogo Clínico")</f>
        <v>Michel Mansur | Psicólogo Clínico</v>
      </c>
      <c r="G6" s="5" t="str">
        <f>IFERROR(__xludf.DUMMYFUNCTION("""COMPUTED_VALUE"""),"TDAH,tdahadulto,psicologia,terapia")</f>
        <v>TDAH,tdahadulto,psicologia,terapia</v>
      </c>
      <c r="H6" s="5">
        <f>IFERROR(__xludf.DUMMYFUNCTION("""COMPUTED_VALUE"""),7757.0)</f>
        <v>7757</v>
      </c>
      <c r="I6" s="5">
        <f>IFERROR(__xludf.DUMMYFUNCTION("""COMPUTED_VALUE"""),82.0)</f>
        <v>82</v>
      </c>
      <c r="J6" s="5"/>
      <c r="K6" s="5"/>
    </row>
    <row r="7">
      <c r="A7" s="5" t="str">
        <f>IFERROR(__xludf.DUMMYFUNCTION("""COMPUTED_VALUE"""),"DOLz-2FEZIt")</f>
        <v>DOLz-2FEZIt</v>
      </c>
      <c r="B7" s="5"/>
      <c r="C7" s="5" t="str">
        <f>IFERROR(__xludf.DUMMYFUNCTION("""COMPUTED_VALUE"""),"DOLz-2FEZIt")</f>
        <v>DOLz-2FEZIt</v>
      </c>
      <c r="D7" s="5" t="str">
        <f>IFERROR(__xludf.DUMMYFUNCTION("""COMPUTED_VALUE"""),"🎯 TDAH E REGULAÇÃO EMOCIONAL: Estratégias que funcionam!
“Explodo por qualquer coisa” “Não consigo controlar minhas emoções” “Depois me arrependo do que fiz” 😤
Se você tem TDAH e se identifica, não está sozinho!
Como neurologista referência em TDAH a"&amp;"dulto, vejo diariamente como a desregulação emocional impacta vidas.
🧠 POR QUE ACONTECE: 
• Córtex pré-frontal funciona diferente 
• Neurotransmissores alterados 
• Dificuldade para “parar e pensar” 
• Reações mais intensas que o normal
🚨 SINAIS COMUN"&amp;"S: • Raiva desproporcional • Mudanças bruscas de humor • Decisões impulsivas • Dificuldade para se acalmar
⏸️ TÉCNICA STOP (para crises): 
S - PARE (reconheça a desregulação) 
T - RESPIRE (3 respirações profundas) 
O - OBSERVE (o que estou sentindo?) 
P "&amp;"- PROSSIGA (escolha como reagir)
🏗️ ESTRATÉGIAS DE LONGO PRAZO: 
• Exercício físico (30min/dia) 
• Mindfulness (10min/dia) 
• Sono adequado (7-9h) 
• Diário emocional • Rede de apoio
🆘 BUSQUE AJUDA SE: 
• Explosões frequentes 
• Prejudica relacionamen"&amp;"tos/trabalho 
• Estratégias não funcionam sozinhas
💡 IMPORTANTE: Regulação emocional pode ser treinada! Com prática e estratégias certas, você pode ter mais controle.
♾️ As peças se encaixam quando você entende seu cérebro.
💬 Qual sua maior dificulda"&amp;"de com regulação emocional? Compartilhe para ajudar outros!
#RegulaçãoEmocional #TDAHAdulto #ControleEmocional #EstratégiasTDAH #SaúdeMentalTDAH #TDAHBrasil #Neurodiversidade #SaúdeMental #Autocontrole #TécnicasEmocionais")</f>
        <v>🎯 TDAH E REGULAÇÃO EMOCIONAL: Estratégias que funcionam!
“Explodo por qualquer coisa” “Não consigo controlar minhas emoções” “Depois me arrependo do que fiz” 😤
Se você tem TDAH e se identifica, não está sozinho!
Como neurologista referência em TDAH adulto, vejo diariamente como a desregulação emocional impacta vidas.
🧠 POR QUE ACONTECE: 
• Córtex pré-frontal funciona diferente 
• Neurotransmissores alterados 
• Dificuldade para “parar e pensar” 
• Reações mais intensas que o normal
🚨 SINAIS COMUNS: • Raiva desproporcional • Mudanças bruscas de humor • Decisões impulsivas • Dificuldade para se acalmar
⏸️ TÉCNICA STOP (para crises): 
S - PARE (reconheça a desregulação) 
T - RESPIRE (3 respirações profundas) 
O - OBSERVE (o que estou sentindo?) 
P - PROSSIGA (escolha como reagir)
🏗️ ESTRATÉGIAS DE LONGO PRAZO: 
• Exercício físico (30min/dia) 
• Mindfulness (10min/dia) 
• Sono adequado (7-9h) 
• Diário emocional • Rede de apoio
🆘 BUSQUE AJUDA SE: 
• Explosões frequentes 
• Prejudica relacionamentos/trabalho 
• Estratégias não funcionam sozinhas
💡 IMPORTANTE: Regulação emocional pode ser treinada! Com prática e estratégias certas, você pode ter mais controle.
♾️ As peças se encaixam quando você entende seu cérebro.
💬 Qual sua maior dificuldade com regulação emocional? Compartilhe para ajudar outros!
#RegulaçãoEmocional #TDAHAdulto #ControleEmocional #EstratégiasTDAH #SaúdeMentalTDAH #TDAHBrasil #Neurodiversidade #SaúdeMental #Autocontrole #TécnicasEmocionais</v>
      </c>
      <c r="E7" s="5" t="str">
        <f>IFERROR(__xludf.DUMMYFUNCTION("""COMPUTED_VALUE"""),"drmatheustriliconeurologia")</f>
        <v>drmatheustriliconeurologia</v>
      </c>
      <c r="F7" s="5" t="str">
        <f>IFERROR(__xludf.DUMMYFUNCTION("""COMPUTED_VALUE"""),"Matheus Trilico | Neurologista Referência em TEA e TDAH adulto")</f>
        <v>Matheus Trilico | Neurologista Referência em TEA e TDAH adulto</v>
      </c>
      <c r="G7" s="5" t="str">
        <f>IFERROR(__xludf.DUMMYFUNCTION("""COMPUTED_VALUE"""),"RegulaçãoEmocional,TDAHAdulto,ControleEmocional,EstratégiasTDAH,SaúdeMentalTDAH,TDAHBrasil,Neurodiversidade,SaúdeMental,Autocontrole,TécnicasEmocionais")</f>
        <v>RegulaçãoEmocional,TDAHAdulto,ControleEmocional,EstratégiasTDAH,SaúdeMentalTDAH,TDAHBrasil,Neurodiversidade,SaúdeMental,Autocontrole,TécnicasEmocionais</v>
      </c>
      <c r="H7" s="5">
        <f>IFERROR(__xludf.DUMMYFUNCTION("""COMPUTED_VALUE"""),1336.0)</f>
        <v>1336</v>
      </c>
      <c r="I7" s="5">
        <f>IFERROR(__xludf.DUMMYFUNCTION("""COMPUTED_VALUE"""),23.0)</f>
        <v>23</v>
      </c>
      <c r="J7" s="5"/>
      <c r="K7" s="5"/>
    </row>
    <row r="8">
      <c r="A8" s="5" t="str">
        <f>IFERROR(__xludf.DUMMYFUNCTION("""COMPUTED_VALUE"""),"DQ70aCGDEAD")</f>
        <v>DQ70aCGDEAD</v>
      </c>
      <c r="B8" s="5"/>
      <c r="C8" s="5" t="str">
        <f>IFERROR(__xludf.DUMMYFUNCTION("""COMPUTED_VALUE"""),"DQ70aCGDEAD")</f>
        <v>DQ70aCGDEAD</v>
      </c>
      <c r="D8" s="5" t="str">
        <f>IFERROR(__xludf.DUMMYFUNCTION("""COMPUTED_VALUE"""),"Por que pessoas com TDAH sentem tanto a rejeição?
A disforia sensível à rejeição (DSR) é uma resposta emocional intensa a qualquer sinal de crítica, desaprovação ou exclusão — mesmo que pequena ou apenas percebida.�E isso é muito comum em quem tem TDAH.
"&amp;"🧠 O cérebro com TDAH tem alterações na regulação emocional e na sensibilidade à dopamina, o que o torna mais vulnerável a experiências de rejeição.�Desde cedo, essas pessoas enfrentam feedbacks negativos constantes — “você é distraído”, “você não presta "&amp;"atenção”, “você nunca termina nada” — e o cérebro aprende a associar erro com dor emocional.
Com o tempo, a rejeição (real ou imaginada) ativa o sistema límbico, gerando reações intensas: tristeza profunda, raiva, vergonha ou vontade de se afastar.�Não é "&amp;"drama — é neurobiologia.
✨ O tratamento, a psicoterapia e o autoconhecimento ajudam a reprogramar essas respostas, fortalecendo a autoestima e reduzindo o impacto emocional da rejeição.
.
.
.
 #disforiasensivelarejeicao #medodeabandono #tdah #tdahmulh"&amp;"er #tdahadulto #tdahadulte #tdahdescomplicado")</f>
        <v>Por que pessoas com TDAH sentem tanto a rejeição?
A disforia sensível à rejeição (DSR) é uma resposta emocional intensa a qualquer sinal de crítica, desaprovação ou exclusão — mesmo que pequena ou apenas percebida.�E isso é muito comum em quem tem TDAH.
🧠 O cérebro com TDAH tem alterações na regulação emocional e na sensibilidade à dopamina, o que o torna mais vulnerável a experiências de rejeição.�Desde cedo, essas pessoas enfrentam feedbacks negativos constantes — “você é distraído”, “você não presta atenção”, “você nunca termina nada” — e o cérebro aprende a associar erro com dor emocional.
Com o tempo, a rejeição (real ou imaginada) ativa o sistema límbico, gerando reações intensas: tristeza profunda, raiva, vergonha ou vontade de se afastar.�Não é drama — é neurobiologia.
✨ O tratamento, a psicoterapia e o autoconhecimento ajudam a reprogramar essas respostas, fortalecendo a autoestima e reduzindo o impacto emocional da rejeição.
.
.
.
 #disforiasensivelarejeicao #medodeabandono #tdah #tdahmulher #tdahadulto #tdahadulte #tdahdescomplicado</v>
      </c>
      <c r="E8" s="5" t="str">
        <f>IFERROR(__xludf.DUMMYFUNCTION("""COMPUTED_VALUE"""),"dranathaliabarreto")</f>
        <v>dranathaliabarreto</v>
      </c>
      <c r="F8" s="5" t="str">
        <f>IFERROR(__xludf.DUMMYFUNCTION("""COMPUTED_VALUE"""),"Nathália Barreto | Psiquiatra")</f>
        <v>Nathália Barreto | Psiquiatra</v>
      </c>
      <c r="G8" s="5" t="str">
        <f>IFERROR(__xludf.DUMMYFUNCTION("""COMPUTED_VALUE"""),"disforiasensivelarejeicao,medodeabandono,tdah,tdahmulher,tdahadulto,tdahadulte,tdahdescomplicado")</f>
        <v>disforiasensivelarejeicao,medodeabandono,tdah,tdahmulher,tdahadulto,tdahadulte,tdahdescomplicado</v>
      </c>
      <c r="H8" s="5">
        <f>IFERROR(__xludf.DUMMYFUNCTION("""COMPUTED_VALUE"""),602.0)</f>
        <v>602</v>
      </c>
      <c r="I8" s="5">
        <f>IFERROR(__xludf.DUMMYFUNCTION("""COMPUTED_VALUE"""),2.0)</f>
        <v>2</v>
      </c>
      <c r="J8" s="5"/>
      <c r="K8" s="5"/>
    </row>
    <row r="9">
      <c r="A9" s="5" t="str">
        <f>IFERROR(__xludf.DUMMYFUNCTION("""COMPUTED_VALUE"""),"DPycsP2jsuh")</f>
        <v>DPycsP2jsuh</v>
      </c>
      <c r="B9" s="5"/>
      <c r="C9" s="5" t="str">
        <f>IFERROR(__xludf.DUMMYFUNCTION("""COMPUTED_VALUE"""),"DPycsP2jsuh")</f>
        <v>DPycsP2jsuh</v>
      </c>
      <c r="D9" s="5" t="str">
        <f>IFERROR(__xludf.DUMMYFUNCTION("""COMPUTED_VALUE"""),"🧠 Você já percebeu que seu cérebro trava quando algo sai do planejado?
Isso se chama rigidez cognitiva — uma dificuldade que muitas pessoas com TDAH enfrentam sem perceber.
É como se o cérebro dissesse:
“Não era pra ser assim… então eu não sei o que fa"&amp;"zer agora.”
Essa rigidez não é teimosia.
É um mecanismo de proteção.
O cérebro do TDAH luta para mudar de rota porque a mudança exige energia — e ele já está sobrecarregado tentando lidar com mil estímulos ao mesmo tempo.
Por isso, quando algo muda de r"&amp;"epente, o cérebro paralisa.
Ele não resiste à mudança por orgulho, mas por exaustão mental.
A boa notícia?
A flexibilidade cognitiva pode ser treinada.
E quando isso acontece, você começa a fluir melhor, reagir com mais calma e sentir que finalmente tem "&amp;"o controle da sua mente.
✨ Treinar o cérebro é libertar a mente.
#rigidezcognitiva #tdah #tdahinfantil #tdahadulto")</f>
        <v>🧠 Você já percebeu que seu cérebro trava quando algo sai do planejado?
Isso se chama rigidez cognitiva — uma dificuldade que muitas pessoas com TDAH enfrentam sem perceber.
É como se o cérebro dissesse:
“Não era pra ser assim… então eu não sei o que fazer agora.”
Essa rigidez não é teimosia.
É um mecanismo de proteção.
O cérebro do TDAH luta para mudar de rota porque a mudança exige energia — e ele já está sobrecarregado tentando lidar com mil estímulos ao mesmo tempo.
Por isso, quando algo muda de repente, o cérebro paralisa.
Ele não resiste à mudança por orgulho, mas por exaustão mental.
A boa notícia?
A flexibilidade cognitiva pode ser treinada.
E quando isso acontece, você começa a fluir melhor, reagir com mais calma e sentir que finalmente tem o controle da sua mente.
✨ Treinar o cérebro é libertar a mente.
#rigidezcognitiva #tdah #tdahinfantil #tdahadulto</v>
      </c>
      <c r="E9" s="5" t="str">
        <f>IFERROR(__xludf.DUMMYFUNCTION("""COMPUTED_VALUE"""),"ismaeldeoliveira.neuro")</f>
        <v>ismaeldeoliveira.neuro</v>
      </c>
      <c r="F9" s="5" t="str">
        <f>IFERROR(__xludf.DUMMYFUNCTION("""COMPUTED_VALUE"""),"Dr. Ismael de Oliveira | Neurociência e TDAH")</f>
        <v>Dr. Ismael de Oliveira | Neurociência e TDAH</v>
      </c>
      <c r="G9" s="5" t="str">
        <f>IFERROR(__xludf.DUMMYFUNCTION("""COMPUTED_VALUE"""),"rigidezcognitiva,tdah,tdahinfantil,tdahadulto")</f>
        <v>rigidezcognitiva,tdah,tdahinfantil,tdahadulto</v>
      </c>
      <c r="H9" s="5">
        <f>IFERROR(__xludf.DUMMYFUNCTION("""COMPUTED_VALUE"""),1546.0)</f>
        <v>1546</v>
      </c>
      <c r="I9" s="5">
        <f>IFERROR(__xludf.DUMMYFUNCTION("""COMPUTED_VALUE"""),28.0)</f>
        <v>28</v>
      </c>
      <c r="J9" s="5"/>
      <c r="K9" s="5"/>
    </row>
    <row r="10">
      <c r="A10" s="5" t="str">
        <f>IFERROR(__xludf.DUMMYFUNCTION("""COMPUTED_VALUE"""),"DPwBa_gjSKi")</f>
        <v>DPwBa_gjSKi</v>
      </c>
      <c r="B10" s="5"/>
      <c r="C10" s="5" t="str">
        <f>IFERROR(__xludf.DUMMYFUNCTION("""COMPUTED_VALUE"""),"DPwBa_gjSKi")</f>
        <v>DPwBa_gjSKi</v>
      </c>
      <c r="D10" s="5" t="str">
        <f>IFERROR(__xludf.DUMMYFUNCTION("""COMPUTED_VALUE"""),"Quando tudo parece demais, o caminho é começar pequeno. Sair da paralisia não é sobre disciplina, é sobre entender seu cérebro e agir com leveza.
Salva pra lembrar disso nos dias que a paralisia bate!
#tdahjuntos #tdah #tdahinfantil
#tdahmulheres #tdahm"&amp;"ulher #tdahmeninas
#tdahadulto#tdahadultos #tdahcomamor
#hiperatividade #adhd
#tdaherelacionamento
#tdahnaoebrincadeira #organizacao #impulsividade #relatosdetdah
#saudemental #autoconhecimento
#autoconhecimentocura #ohtdah
#autoaceitação")</f>
        <v>Quando tudo parece demais, o caminho é começar pequeno. Sair da paralisia não é sobre disciplina, é sobre entender seu cérebro e agir com leveza.
Salva pra lembrar disso nos dias que a paralisia bate!
#tdahjuntos #tdah #tdahinfantil
#tdahmulheres #tdahmulher #tdahmeninas
#tdahadulto#tdahadultos #tdahcomamor
#hiperatividade #adhd
#tdaherelacionamento
#tdahnaoebrincadeira #organizacao #impulsividade #relatosdetdah
#saudemental #autoconhecimento
#autoconhecimentocura #ohtdah
#autoaceitação</v>
      </c>
      <c r="E10" s="5" t="str">
        <f>IFERROR(__xludf.DUMMYFUNCTION("""COMPUTED_VALUE"""),"oh.tdah")</f>
        <v>oh.tdah</v>
      </c>
      <c r="F10" s="5" t="str">
        <f>IFERROR(__xludf.DUMMYFUNCTION("""COMPUTED_VALUE"""),"Janaine Cavalcanti | TDAH 💎")</f>
        <v>Janaine Cavalcanti | TDAH 💎</v>
      </c>
      <c r="G10" s="5" t="str">
        <f>IFERROR(__xludf.DUMMYFUNCTION("""COMPUTED_VALUE"""),"tdahjuntos,tdah,tdahinfantil,tdahmulheres,tdahmulher,tdahmeninas,tdahadulto,tdahadultos,tdahcomamor,hiperatividade,adhd,tdaherelacionamento,tdahnaoebrincadeira,organizacao,impulsividade,relatosdetdah,saudemental,autoconhecimento,autoconhecimentocura,ohtda"&amp;"h,autoaceitação")</f>
        <v>tdahjuntos,tdah,tdahinfantil,tdahmulheres,tdahmulher,tdahmeninas,tdahadulto,tdahadultos,tdahcomamor,hiperatividade,adhd,tdaherelacionamento,tdahnaoebrincadeira,organizacao,impulsividade,relatosdetdah,saudemental,autoconhecimento,autoconhecimentocura,ohtdah,autoaceitação</v>
      </c>
      <c r="H10" s="5">
        <f>IFERROR(__xludf.DUMMYFUNCTION("""COMPUTED_VALUE"""),3722.0)</f>
        <v>3722</v>
      </c>
      <c r="I10" s="5">
        <f>IFERROR(__xludf.DUMMYFUNCTION("""COMPUTED_VALUE"""),24.0)</f>
        <v>24</v>
      </c>
      <c r="J10" s="5"/>
      <c r="K10" s="5"/>
    </row>
    <row r="11">
      <c r="A11" s="5" t="str">
        <f>IFERROR(__xludf.DUMMYFUNCTION("""COMPUTED_VALUE"""),"DOJ_ILSkbF-")</f>
        <v>DOJ_ILSkbF-</v>
      </c>
      <c r="B11" s="5"/>
      <c r="C11" s="5" t="str">
        <f>IFERROR(__xludf.DUMMYFUNCTION("""COMPUTED_VALUE"""),"DOJ_ILSkbF-")</f>
        <v>DOJ_ILSkbF-</v>
      </c>
      <c r="D11" s="5" t="str">
        <f>IFERROR(__xludf.DUMMYFUNCTION("""COMPUTED_VALUE"""),"Para refletir!
Não precisamos do setembro amarelo, precisamos de amor, apoio, compreensão e “ajuda” todos os dias das nossas vidas! 
Empatia e Respeito são a chave para um mundo melhor
Não consegui identificar o autor original, quem souber, marca aqui "&amp;"por favor. 
#tdahdescomplicado #tdah #tdahadulto #adhd #tdahadulto #setembroamarelo")</f>
        <v>Para refletir!
Não precisamos do setembro amarelo, precisamos de amor, apoio, compreensão e “ajuda” todos os dias das nossas vidas! 
Empatia e Respeito são a chave para um mundo melhor
Não consegui identificar o autor original, quem souber, marca aqui por favor. 
#tdahdescomplicado #tdah #tdahadulto #adhd #tdahadulto #setembroamarelo</v>
      </c>
      <c r="E11" s="5" t="str">
        <f>IFERROR(__xludf.DUMMYFUNCTION("""COMPUTED_VALUE"""),"neuropsicopedagogiaaa")</f>
        <v>neuropsicopedagogiaaa</v>
      </c>
      <c r="F11" s="5" t="str">
        <f>IFERROR(__xludf.DUMMYFUNCTION("""COMPUTED_VALUE"""),"Nat Garcia | Neuro | TDAH | Autismo | Neurodivergent")</f>
        <v>Nat Garcia | Neuro | TDAH | Autismo | Neurodivergent</v>
      </c>
      <c r="G11" s="5" t="str">
        <f>IFERROR(__xludf.DUMMYFUNCTION("""COMPUTED_VALUE"""),"tdahdescomplicado,tdah,tdahadulto,adhd,tdahadulto,setembroamarelo")</f>
        <v>tdahdescomplicado,tdah,tdahadulto,adhd,tdahadulto,setembroamarelo</v>
      </c>
      <c r="H11" s="5">
        <f>IFERROR(__xludf.DUMMYFUNCTION("""COMPUTED_VALUE"""),124255.0)</f>
        <v>124255</v>
      </c>
      <c r="I11" s="5">
        <f>IFERROR(__xludf.DUMMYFUNCTION("""COMPUTED_VALUE"""),1874.0)</f>
        <v>1874</v>
      </c>
      <c r="J11" s="5"/>
      <c r="K11" s="5"/>
    </row>
    <row r="12">
      <c r="A12" s="5" t="str">
        <f>IFERROR(__xludf.DUMMYFUNCTION("""COMPUTED_VALUE"""),"DKIHo__JhS1")</f>
        <v>DKIHo__JhS1</v>
      </c>
      <c r="B12" s="5"/>
      <c r="C12" s="5" t="str">
        <f>IFERROR(__xludf.DUMMYFUNCTION("""COMPUTED_VALUE"""),"DKIHo__JhS1")</f>
        <v>DKIHo__JhS1</v>
      </c>
      <c r="D12" s="5" t="str">
        <f>IFERROR(__xludf.DUMMYFUNCTION("""COMPUTED_VALUE"""),"Tdah Adulto.
#tdah #tdahadulto #tdaadulto #tdahadulto #vivianmiletpsicologaclinica #vivianmiletpsicologa #psicoterapiamilet2022")</f>
        <v>Tdah Adulto.
#tdah #tdahadulto #tdaadulto #tdahadulto #vivianmiletpsicologaclinica #vivianmiletpsicologa #psicoterapiamilet2022</v>
      </c>
      <c r="E12" s="5" t="str">
        <f>IFERROR(__xludf.DUMMYFUNCTION("""COMPUTED_VALUE"""),"vivian_milet_psicologa")</f>
        <v>vivian_milet_psicologa</v>
      </c>
      <c r="F12" s="5" t="str">
        <f>IFERROR(__xludf.DUMMYFUNCTION("""COMPUTED_VALUE"""),"Vivian Milet")</f>
        <v>Vivian Milet</v>
      </c>
      <c r="G12" s="5" t="str">
        <f>IFERROR(__xludf.DUMMYFUNCTION("""COMPUTED_VALUE"""),"tdah,tdahadulto,tdaadulto,tdahadulto,vivianmiletpsicologaclinica,vivianmiletpsicologa,psicoterapiamilet2022")</f>
        <v>tdah,tdahadulto,tdaadulto,tdahadulto,vivianmiletpsicologaclinica,vivianmiletpsicologa,psicoterapiamilet2022</v>
      </c>
      <c r="H12" s="5">
        <f>IFERROR(__xludf.DUMMYFUNCTION("""COMPUTED_VALUE"""),14.0)</f>
        <v>14</v>
      </c>
      <c r="I12" s="5">
        <f>IFERROR(__xludf.DUMMYFUNCTION("""COMPUTED_VALUE"""),0.0)</f>
        <v>0</v>
      </c>
      <c r="J12" s="5"/>
      <c r="K12" s="5"/>
    </row>
    <row r="13">
      <c r="A13" s="5" t="str">
        <f>IFERROR(__xludf.DUMMYFUNCTION("""COMPUTED_VALUE"""),"DOj2GEsleCS")</f>
        <v>DOj2GEsleCS</v>
      </c>
      <c r="B13" s="5"/>
      <c r="C13" s="5" t="str">
        <f>IFERROR(__xludf.DUMMYFUNCTION("""COMPUTED_VALUE"""),"DOj2GEsleCS")</f>
        <v>DOj2GEsleCS</v>
      </c>
      <c r="D13" s="5" t="str">
        <f>IFERROR(__xludf.DUMMYFUNCTION("""COMPUTED_VALUE"""),"uem mais aqui é TDAH e se esforçou muito para aprender a arte de fingir que está entendendo o que o outro está falando enquanto tenta descobrir? Não se sinta tão mal, Isso tem explicação neurobiológica.
1️⃣ Dificuldade de processamento auditivo: escuta, "&amp;"mas não entende.
2️⃣ Ensaio mental: enquanto você fala, a gente tá pensando no que vai responder.
3️⃣ Atenção seletiva fraca: qualquer coisa ao redor pode nos distrair.
.
.
POST: @drachristiane.psiquiatria
.
#tpac #tdahadulto #tdahadolescentes #tdahe"&amp;"mmulheres #psiquiatriaonline")</f>
        <v>uem mais aqui é TDAH e se esforçou muito para aprender a arte de fingir que está entendendo o que o outro está falando enquanto tenta descobrir? Não se sinta tão mal, Isso tem explicação neurobiológica.
1️⃣ Dificuldade de processamento auditivo: escuta, mas não entende.
2️⃣ Ensaio mental: enquanto você fala, a gente tá pensando no que vai responder.
3️⃣ Atenção seletiva fraca: qualquer coisa ao redor pode nos distrair.
.
.
POST: @drachristiane.psiquiatria
.
#tpac #tdahadulto #tdahadolescentes #tdahemmulheres #psiquiatriaonline</v>
      </c>
      <c r="E13" s="5" t="str">
        <f>IFERROR(__xludf.DUMMYFUNCTION("""COMPUTED_VALUE"""),"barbaratdah")</f>
        <v>barbaratdah</v>
      </c>
      <c r="F13" s="5" t="str">
        <f>IFERROR(__xludf.DUMMYFUNCTION("""COMPUTED_VALUE"""),"Bárbara Teixeira")</f>
        <v>Bárbara Teixeira</v>
      </c>
      <c r="G13" s="5" t="str">
        <f>IFERROR(__xludf.DUMMYFUNCTION("""COMPUTED_VALUE"""),"tpac,tdahadulto,tdahadolescentes,tdahemmulheres,psiquiatriaonline")</f>
        <v>tpac,tdahadulto,tdahadolescentes,tdahemmulheres,psiquiatriaonline</v>
      </c>
      <c r="H13" s="5">
        <f>IFERROR(__xludf.DUMMYFUNCTION("""COMPUTED_VALUE"""),3222.0)</f>
        <v>3222</v>
      </c>
      <c r="I13" s="5">
        <f>IFERROR(__xludf.DUMMYFUNCTION("""COMPUTED_VALUE"""),37.0)</f>
        <v>37</v>
      </c>
      <c r="J13" s="5"/>
      <c r="K13" s="5"/>
    </row>
    <row r="14">
      <c r="A14" s="5" t="str">
        <f>IFERROR(__xludf.DUMMYFUNCTION("""COMPUTED_VALUE"""),"DQWatMWDl3O")</f>
        <v>DQWatMWDl3O</v>
      </c>
      <c r="B14" s="5"/>
      <c r="C14" s="5" t="str">
        <f>IFERROR(__xludf.DUMMYFUNCTION("""COMPUTED_VALUE"""),"DQWatMWDl3O")</f>
        <v>DQWatMWDl3O</v>
      </c>
      <c r="D14" s="5" t="str">
        <f>IFERROR(__xludf.DUMMYFUNCTION("""COMPUTED_VALUE"""),".
O TDAH ALÉM “DAS NOTAS”
. 
⚠️ POR QUE ISSO É IMPORTANTE
No TDAH o que mais machuca não é o aprender — é o conviver.
.
Quando se fala em TDAH, muitos ainda associam o transtorno apenas às dificuldades escolares. Mas, na prática, os maiores prejuízos cost"&amp;"umam estar no comportamento e nas relações — e começam cedo, ainda na infância.
.
 No TDAH do tipo hiperativo/impulsivo, o “sincericídio” é uma das marcas mais visíveis. A criança fala o que pensa sem filtro, interrompe, reage sem medir as consequências. "&amp;"Não faz por mal — o cérebro simplesmente age antes de pensar. O resultado? Conflitos com amigos, professores e familiares, acompanhados por uma sensação constante de ser “mal compreendido”.
.
Já no TDAH do tipo desatento, o oposto acontece. A criança tend"&amp;"e a se isolar, parecer desligada, ter vergonha de errar e uma autoestima que vai murchando com o tempo. O silêncio, aqui, também é uma forma de dor.
.
Esses dois extremos mostram que o TDAH não é apenas uma questão de aprender, mas de pertencer. .
Compree"&amp;"nsão, empatia e orientação adequada transformam não só o rendimento escolar, mas a forma como a criança se enxerga e se conecta com o mundo.
.
O tratamento começa quando o olhar muda — do julgamento para o entendimento.
.
⚠️ ACESSE GRATUITAMENTE “A JORNAD"&amp;"A DA ATENÇÃO” ⚠️
Comente ou envie JORNADA no direct
.
#pediatria #crianças #criança #infância #neurodesenvolvimento #maternidade #desenvolvimentoInfantil #parentalidade #tdah #tdahadulto #tdahinfantil")</f>
        <v>.
O TDAH ALÉM “DAS NOTAS”
. 
⚠️ POR QUE ISSO É IMPORTANTE
No TDAH o que mais machuca não é o aprender — é o conviver.
.
Quando se fala em TDAH, muitos ainda associam o transtorno apenas às dificuldades escolares. Mas, na prática, os maiores prejuízos costumam estar no comportamento e nas relações — e começam cedo, ainda na infância.
.
 No TDAH do tipo hiperativo/impulsivo, o “sincericídio” é uma das marcas mais visíveis. A criança fala o que pensa sem filtro, interrompe, reage sem medir as consequências. Não faz por mal — o cérebro simplesmente age antes de pensar. O resultado? Conflitos com amigos, professores e familiares, acompanhados por uma sensação constante de ser “mal compreendido”.
.
Já no TDAH do tipo desatento, o oposto acontece. A criança tende a se isolar, parecer desligada, ter vergonha de errar e uma autoestima que vai murchando com o tempo. O silêncio, aqui, também é uma forma de dor.
.
Esses dois extremos mostram que o TDAH não é apenas uma questão de aprender, mas de pertencer. .
Compreensão, empatia e orientação adequada transformam não só o rendimento escolar, mas a forma como a criança se enxerga e se conecta com o mundo.
.
O tratamento começa quando o olhar muda — do julgamento para o entendimento.
.
⚠️ ACESSE GRATUITAMENTE “A JORNADA DA ATENÇÃO” ⚠️
Comente ou envie JORNADA no direct
.
#pediatria #crianças #criança #infância #neurodesenvolvimento #maternidade #desenvolvimentoInfantil #parentalidade #tdah #tdahadulto #tdahinfantil</v>
      </c>
      <c r="E14" s="5" t="str">
        <f>IFERROR(__xludf.DUMMYFUNCTION("""COMPUTED_VALUE"""),"fabiobaiocco.neuropediatra")</f>
        <v>fabiobaiocco.neuropediatra</v>
      </c>
      <c r="F14" s="5" t="str">
        <f>IFERROR(__xludf.DUMMYFUNCTION("""COMPUTED_VALUE"""),"Fábio Baiocco")</f>
        <v>Fábio Baiocco</v>
      </c>
      <c r="G14" s="5" t="str">
        <f>IFERROR(__xludf.DUMMYFUNCTION("""COMPUTED_VALUE"""),"pediatria,crianças,criança,infância,neurodesenvolvimento,maternidade,desenvolvimentoInfantil,parentalidade,tdah,tdahadulto,tdahinfantil")</f>
        <v>pediatria,crianças,criança,infância,neurodesenvolvimento,maternidade,desenvolvimentoInfantil,parentalidade,tdah,tdahadulto,tdahinfantil</v>
      </c>
      <c r="H14" s="5">
        <f>IFERROR(__xludf.DUMMYFUNCTION("""COMPUTED_VALUE"""),695.0)</f>
        <v>695</v>
      </c>
      <c r="I14" s="5">
        <f>IFERROR(__xludf.DUMMYFUNCTION("""COMPUTED_VALUE"""),18.0)</f>
        <v>18</v>
      </c>
      <c r="J14" s="5"/>
      <c r="K14" s="5"/>
    </row>
    <row r="15">
      <c r="A15" s="5" t="str">
        <f>IFERROR(__xludf.DUMMYFUNCTION("""COMPUTED_VALUE"""),"DQmdkIvDuGI")</f>
        <v>DQmdkIvDuGI</v>
      </c>
      <c r="B15" s="5"/>
      <c r="C15" s="5" t="str">
        <f>IFERROR(__xludf.DUMMYFUNCTION("""COMPUTED_VALUE"""),"DQmdkIvDuGI")</f>
        <v>DQmdkIvDuGI</v>
      </c>
      <c r="D15" s="5" t="str">
        <f>IFERROR(__xludf.DUMMYFUNCTION("""COMPUTED_VALUE"""),"Buscas terapia online para manejar el TDAH? Comenta “Terapia” y te enviamos la información para agendar. Amas una mujer con TDAH? Compártele este post como una forma de decirle “me importas”
#tdah #tda #tdahadulto")</f>
        <v>Buscas terapia online para manejar el TDAH? Comenta “Terapia” y te enviamos la información para agendar. Amas una mujer con TDAH? Compártele este post como una forma de decirle “me importas”
#tdah #tda #tdahadulto</v>
      </c>
      <c r="E15" s="5" t="str">
        <f>IFERROR(__xludf.DUMMYFUNCTION("""COMPUTED_VALUE"""),"landysjair")</f>
        <v>landysjair</v>
      </c>
      <c r="F15" s="5" t="str">
        <f>IFERROR(__xludf.DUMMYFUNCTION("""COMPUTED_VALUE"""),"Landys Jaír - Psicólogo TDAH Adulto")</f>
        <v>Landys Jaír - Psicólogo TDAH Adulto</v>
      </c>
      <c r="G15" s="5" t="str">
        <f>IFERROR(__xludf.DUMMYFUNCTION("""COMPUTED_VALUE"""),"tdah,tda,tdahadulto")</f>
        <v>tdah,tda,tdahadulto</v>
      </c>
      <c r="H15" s="5">
        <f>IFERROR(__xludf.DUMMYFUNCTION("""COMPUTED_VALUE"""),4580.0)</f>
        <v>4580</v>
      </c>
      <c r="I15" s="5">
        <f>IFERROR(__xludf.DUMMYFUNCTION("""COMPUTED_VALUE"""),167.0)</f>
        <v>167</v>
      </c>
      <c r="J15" s="5"/>
      <c r="K15" s="5"/>
    </row>
    <row r="16">
      <c r="A16" s="5" t="str">
        <f>IFERROR(__xludf.DUMMYFUNCTION("""COMPUTED_VALUE"""),"DQemgHrDr6H")</f>
        <v>DQemgHrDr6H</v>
      </c>
      <c r="B16" s="5"/>
      <c r="C16" s="5" t="str">
        <f>IFERROR(__xludf.DUMMYFUNCTION("""COMPUTED_VALUE"""),"DQemgHrDr6H")</f>
        <v>DQemgHrDr6H</v>
      </c>
      <c r="D16" s="5" t="str">
        <f>IFERROR(__xludf.DUMMYFUNCTION("""COMPUTED_VALUE"""),"O TDAH muitas vezes pode ser confundido com o transtorno de ansiedade generalizada e vice-versa. Além disso, é bem comum que a pessoa tenha os dois.
 Mas saber diferenciar é essencial para um tratamento adequado e eficaz!
.
.
.
#ansiedadepatológica #"&amp;"transtornodeansiedadegeneralizada #tdahdescomplicado #tdahadulto #psiquiatraonline #psiquiatrabh")</f>
        <v>O TDAH muitas vezes pode ser confundido com o transtorno de ansiedade generalizada e vice-versa. Além disso, é bem comum que a pessoa tenha os dois.
 Mas saber diferenciar é essencial para um tratamento adequado e eficaz!
.
.
.
#ansiedadepatológica #transtornodeansiedadegeneralizada #tdahdescomplicado #tdahadulto #psiquiatraonline #psiquiatrabh</v>
      </c>
      <c r="E16" s="5" t="str">
        <f>IFERROR(__xludf.DUMMYFUNCTION("""COMPUTED_VALUE"""),"drajuliapsiquiatra")</f>
        <v>drajuliapsiquiatra</v>
      </c>
      <c r="F16" s="5" t="str">
        <f>IFERROR(__xludf.DUMMYFUNCTION("""COMPUTED_VALUE"""),"Dra. Julia Khoury - Psiquiatria muito além dos remédios")</f>
        <v>Dra. Julia Khoury - Psiquiatria muito além dos remédios</v>
      </c>
      <c r="G16" s="5" t="str">
        <f>IFERROR(__xludf.DUMMYFUNCTION("""COMPUTED_VALUE"""),"ansiedadepatológica,transtornodeansiedadegeneralizada,tdahdescomplicado,tdahadulto,psiquiatraonline,psiquiatrabh")</f>
        <v>ansiedadepatológica,transtornodeansiedadegeneralizada,tdahdescomplicado,tdahadulto,psiquiatraonline,psiquiatrabh</v>
      </c>
      <c r="H16" s="5">
        <f>IFERROR(__xludf.DUMMYFUNCTION("""COMPUTED_VALUE"""),333.0)</f>
        <v>333</v>
      </c>
      <c r="I16" s="5">
        <f>IFERROR(__xludf.DUMMYFUNCTION("""COMPUTED_VALUE"""),0.0)</f>
        <v>0</v>
      </c>
      <c r="J16" s="5"/>
      <c r="K16" s="5"/>
    </row>
    <row r="17">
      <c r="A17" s="5" t="str">
        <f>IFERROR(__xludf.DUMMYFUNCTION("""COMPUTED_VALUE"""),"DOhRjb6DSDz")</f>
        <v>DOhRjb6DSDz</v>
      </c>
      <c r="B17" s="5"/>
      <c r="C17" s="5" t="str">
        <f>IFERROR(__xludf.DUMMYFUNCTION("""COMPUTED_VALUE"""),"DOhRjb6DSDz")</f>
        <v>DOhRjb6DSDz</v>
      </c>
      <c r="D17" s="5" t="str">
        <f>IFERROR(__xludf.DUMMYFUNCTION("""COMPUTED_VALUE"""),"O estresse do cotidiano pode acentuar sintomas do TDAH, como as alterações de humor, a distração e, sobretudo, a desregulação emocional. #tdahinfantil #tdahadulto #tdah #estresse #psiquiatria #psicologia 
@post de @equilibriomental")</f>
        <v>O estresse do cotidiano pode acentuar sintomas do TDAH, como as alterações de humor, a distração e, sobretudo, a desregulação emocional. #tdahinfantil #tdahadulto #tdah #estresse #psiquiatria #psicologia 
@post de @equilibriomental</v>
      </c>
      <c r="E17" s="5" t="str">
        <f>IFERROR(__xludf.DUMMYFUNCTION("""COMPUTED_VALUE"""),"tdahsou")</f>
        <v>tdahsou</v>
      </c>
      <c r="F17" s="5" t="str">
        <f>IFERROR(__xludf.DUMMYFUNCTION("""COMPUTED_VALUE"""),"TDAH Sou - Psicólogo - Ansiedade - TDAH")</f>
        <v>TDAH Sou - Psicólogo - Ansiedade - TDAH</v>
      </c>
      <c r="G17" s="5" t="str">
        <f>IFERROR(__xludf.DUMMYFUNCTION("""COMPUTED_VALUE"""),"tdahinfantil,tdahadulto,tdah,estresse,psiquiatria,psicologia")</f>
        <v>tdahinfantil,tdahadulto,tdah,estresse,psiquiatria,psicologia</v>
      </c>
      <c r="H17" s="5">
        <f>IFERROR(__xludf.DUMMYFUNCTION("""COMPUTED_VALUE"""),1022.0)</f>
        <v>1022</v>
      </c>
      <c r="I17" s="5">
        <f>IFERROR(__xludf.DUMMYFUNCTION("""COMPUTED_VALUE"""),4.0)</f>
        <v>4</v>
      </c>
      <c r="J17" s="5"/>
      <c r="K17" s="5"/>
    </row>
    <row r="18">
      <c r="A18" s="5" t="str">
        <f>IFERROR(__xludf.DUMMYFUNCTION("""COMPUTED_VALUE"""),"DQsQyU9jhX3")</f>
        <v>DQsQyU9jhX3</v>
      </c>
      <c r="B18" s="5"/>
      <c r="C18" s="5" t="str">
        <f>IFERROR(__xludf.DUMMYFUNCTION("""COMPUTED_VALUE"""),"DQsQyU9jhX3")</f>
        <v>DQsQyU9jhX3</v>
      </c>
      <c r="D18" s="5" t="str">
        <f>IFERROR(__xludf.DUMMYFUNCTION("""COMPUTED_VALUE"""),"Se você ama alguém com TDAH (especialmente o tipo desatento), lembre-se: essa pessoa não está te ignorando, não é desmotivada nem descuidada — o cérebro dela 🧠 apenas se move pelo mundo em um ritmo único e próprio.
Entender isso não justifica comportame"&amp;"ntos, mas convida à empatia ❤️.�
Nos ajuda a nos encontrarmos com curiosidade, em vez de crítica.
Porque os relacionamentos — sejam amorosos, familiares ou de amizade — se aprofundam quando aprendemos a enxergar o mundo através das conexões uns dos outr"&amp;"os.
.
.
.
 #tdahadulto #tdahmulher #tdahadulte #tdah #tdahcomamor #psiquiatraonline #psiquiatria #psiquiatrapelotas")</f>
        <v>Se você ama alguém com TDAH (especialmente o tipo desatento), lembre-se: essa pessoa não está te ignorando, não é desmotivada nem descuidada — o cérebro dela 🧠 apenas se move pelo mundo em um ritmo único e próprio.
Entender isso não justifica comportamentos, mas convida à empatia ❤️.�
Nos ajuda a nos encontrarmos com curiosidade, em vez de crítica.
Porque os relacionamentos — sejam amorosos, familiares ou de amizade — se aprofundam quando aprendemos a enxergar o mundo através das conexões uns dos outros.
.
.
.
 #tdahadulto #tdahmulher #tdahadulte #tdah #tdahcomamor #psiquiatraonline #psiquiatria #psiquiatrapelotas</v>
      </c>
      <c r="E18" s="5" t="str">
        <f>IFERROR(__xludf.DUMMYFUNCTION("""COMPUTED_VALUE"""),"dranathaliabarreto")</f>
        <v>dranathaliabarreto</v>
      </c>
      <c r="F18" s="5" t="str">
        <f>IFERROR(__xludf.DUMMYFUNCTION("""COMPUTED_VALUE"""),"Nathália Barreto | Psiquiatra")</f>
        <v>Nathália Barreto | Psiquiatra</v>
      </c>
      <c r="G18" s="5" t="str">
        <f>IFERROR(__xludf.DUMMYFUNCTION("""COMPUTED_VALUE"""),"tdahadulto,tdahmulher,tdahadulte,tdah,tdahcomamor,psiquiatraonline,psiquiatria,psiquiatrapelotas")</f>
        <v>tdahadulto,tdahmulher,tdahadulte,tdah,tdahcomamor,psiquiatraonline,psiquiatria,psiquiatrapelotas</v>
      </c>
      <c r="H18" s="5">
        <f>IFERROR(__xludf.DUMMYFUNCTION("""COMPUTED_VALUE"""),555.0)</f>
        <v>555</v>
      </c>
      <c r="I18" s="5">
        <f>IFERROR(__xludf.DUMMYFUNCTION("""COMPUTED_VALUE"""),3.0)</f>
        <v>3</v>
      </c>
      <c r="J18" s="5"/>
      <c r="K18" s="5"/>
    </row>
    <row r="19">
      <c r="A19" s="5" t="str">
        <f>IFERROR(__xludf.DUMMYFUNCTION("""COMPUTED_VALUE"""),"DOwCENwkZHz")</f>
        <v>DOwCENwkZHz</v>
      </c>
      <c r="B19" s="5"/>
      <c r="C19" s="5" t="str">
        <f>IFERROR(__xludf.DUMMYFUNCTION("""COMPUTED_VALUE"""),"DOwCENwkZHz")</f>
        <v>DOwCENwkZHz</v>
      </c>
      <c r="D19" s="5" t="str">
        <f>IFERROR(__xludf.DUMMYFUNCTION("""COMPUTED_VALUE"""),"Se você tem TDAH, com certeza já passou pelo famoso “CONGELAMENTO”. 😰
Quando você está cheio de coisas importantes para fazer, a cabeça não para de pensar, mas o corpo simplesmente não sai do lugar.
Isso acontece por causa da DISFUNÇÃO EXECUTIVA — um m"&amp;"au funcionamento das funções executivas do cérebro, responsáveis pelo planejamento, tomada de decisão e atenção.
Esse funcionamento prejudicado gera várias dificuldades, como:
✅ Problemas para dar continuidade às tarefas.
✅ Dificuldade em gerenciar a at"&amp;"enção com flexibilidade ou mudar o foco.
✅ Problemas para manter um comportamento por longos períodos.
✅ Dificuldade em organizar prioridades e administrar o tempo.
✅ Problemas para seguir uma sequência de etapas ou instruções.
✅ Dificuldade de antecipar "&amp;"as consequências das ações.
✅ Pouca flexibilidade cognitiva: dificuldade em adaptar a resposta a novas situações, corrigir ou modificar ações em andamento.
✅ Problemas com o automonitoramento: dificuldade em supervisionar a própria atividade para ajustá-l"&amp;"a ou corrigi-la quando necessário.
✅ Dificuldade no controle de impulsos e emoções.
⚡️ TDAH é um transtorno sério e precisa de tratamento. Não é preguiça, não é invenção da indústria farmacêutica e muito menos desculpa!
💎 E se você é mulher com TDAH, s"&amp;"aiba que não está sozinha. Criamos o Clube da Mulher TDAH, um espaço exclusivo para acolhimento, apoio e estratégias práticas por apenas R$29,97.
👉 Entre para o clube e descubra como transformar a sua rotina! Link na bio.
➡️ Agora me conta: qual a coisa"&amp;" mais absurda que você já ouviu sobre o TDAH?
#tdah #tdahadulto #disfunçãoexecutiva #congelamento #clubedamulhertdah")</f>
        <v>Se você tem TDAH, com certeza já passou pelo famoso “CONGELAMENTO”. 😰
Quando você está cheio de coisas importantes para fazer, a cabeça não para de pensar, mas o corpo simplesmente não sai do lugar.
Isso acontece por causa da DISFUNÇÃO EXECUTIVA — um mau funcionamento das funções executivas do cérebro, responsáveis pelo planejamento, tomada de decisão e atenção.
Esse funcionamento prejudicado gera várias dificuldades, como:
✅ Problemas para dar continuidade às tarefas.
✅ Dificuldade em gerenciar a atenção com flexibilidade ou mudar o foco.
✅ Problemas para manter um comportamento por longos períodos.
✅ Dificuldade em organizar prioridades e administrar o tempo.
✅ Problemas para seguir uma sequência de etapas ou instruções.
✅ Dificuldade de antecipar as consequências das ações.
✅ Pouca flexibilidade cognitiva: dificuldade em adaptar a resposta a novas situações, corrigir ou modificar ações em andamento.
✅ Problemas com o automonitoramento: dificuldade em supervisionar a própria atividade para ajustá-la ou corrigi-la quando necessário.
✅ Dificuldade no controle de impulsos e emoções.
⚡️ TDAH é um transtorno sério e precisa de tratamento. Não é preguiça, não é invenção da indústria farmacêutica e muito menos desculpa!
💎 E se você é mulher com TDAH, saiba que não está sozinha. Criamos o Clube da Mulher TDAH, um espaço exclusivo para acolhimento, apoio e estratégias práticas por apenas R$29,97.
👉 Entre para o clube e descubra como transformar a sua rotina! Link na bio.
➡️ Agora me conta: qual a coisa mais absurda que você já ouviu sobre o TDAH?
#tdah #tdahadulto #disfunçãoexecutiva #congelamento #clubedamulhertdah</v>
      </c>
      <c r="E19" s="5" t="str">
        <f>IFERROR(__xludf.DUMMYFUNCTION("""COMPUTED_VALUE"""),"tdahdislex")</f>
        <v>tdahdislex</v>
      </c>
      <c r="F19" s="5" t="str">
        <f>IFERROR(__xludf.DUMMYFUNCTION("""COMPUTED_VALUE"""),"Danilo Barros| Palestrante e escritor .")</f>
        <v>Danilo Barros| Palestrante e escritor .</v>
      </c>
      <c r="G19" s="5" t="str">
        <f>IFERROR(__xludf.DUMMYFUNCTION("""COMPUTED_VALUE"""),"tdah,tdahadulto,disfunçãoexecutiva,congelamento,clubedamulhertdah")</f>
        <v>tdah,tdahadulto,disfunçãoexecutiva,congelamento,clubedamulhertdah</v>
      </c>
      <c r="H19" s="5">
        <f>IFERROR(__xludf.DUMMYFUNCTION("""COMPUTED_VALUE"""),1478.0)</f>
        <v>1478</v>
      </c>
      <c r="I19" s="5">
        <f>IFERROR(__xludf.DUMMYFUNCTION("""COMPUTED_VALUE"""),16.0)</f>
        <v>16</v>
      </c>
      <c r="J19" s="5"/>
      <c r="K19" s="5"/>
    </row>
    <row r="20">
      <c r="A20" s="5" t="str">
        <f>IFERROR(__xludf.DUMMYFUNCTION("""COMPUTED_VALUE"""),"DAqzHR3Nm8N")</f>
        <v>DAqzHR3Nm8N</v>
      </c>
      <c r="B20" s="5"/>
      <c r="C20" s="5" t="str">
        <f>IFERROR(__xludf.DUMMYFUNCTION("""COMPUTED_VALUE"""),"DAqzHR3Nm8N")</f>
        <v>DAqzHR3Nm8N</v>
      </c>
      <c r="D20" s="5" t="str">
        <f>IFERROR(__xludf.DUMMYFUNCTION("""COMPUTED_VALUE"""),"“TDAH Infantil vs TDAH Adulto” ¿Te sientes identificado? Déjalo saber en los comentarios! #tdah #tda #adhd #tdahescomplicado #tdahangelvalor #tdahesreal #tdahestigma #tdahestrés #adhdlife #trastonopordéficitdeatenciónehiperactividad #trastornopordéficitde"&amp;"atenciónehiperactividad #deficitdeatencion #hiperactividad #tdahainfantil #tdahniños #tdahadulto #tdahadultos #tdahniñosadolescentesadultos")</f>
        <v>“TDAH Infantil vs TDAH Adulto” ¿Te sientes identificado? Déjalo saber en los comentarios! #tdah #tda #adhd #tdahescomplicado #tdahangelvalor #tdahesreal #tdahestigma #tdahestrés #adhdlife #trastonopordéficitdeatenciónehiperactividad #trastornopordéficitdeatenciónehiperactividad #deficitdeatencion #hiperactividad #tdahainfantil #tdahniños #tdahadulto #tdahadultos #tdahniñosadolescentesadultos</v>
      </c>
      <c r="E20" s="5" t="str">
        <f>IFERROR(__xludf.DUMMYFUNCTION("""COMPUTED_VALUE"""),"tdahangelvalor")</f>
        <v>tdahangelvalor</v>
      </c>
      <c r="F20" s="5" t="str">
        <f>IFERROR(__xludf.DUMMYFUNCTION("""COMPUTED_VALUE"""),"Ángel Valor")</f>
        <v>Ángel Valor</v>
      </c>
      <c r="G20" s="5" t="str">
        <f>IFERROR(__xludf.DUMMYFUNCTION("""COMPUTED_VALUE"""),"tdah,tda,adhd,tdahescomplicado,tdahangelvalor,tdahesreal,tdahestigma,tdahestrés,adhdlife,trastonopordéficitdeatenciónehiperactividad,trastornopordéficitdeatenciónehiperactividad,deficitdeatencion,hiperactividad,tdahainfantil,tdahniños,tdahadulto,tdahadult"&amp;"os,tdahniñosadolescentesadultos")</f>
        <v>tdah,tda,adhd,tdahescomplicado,tdahangelvalor,tdahesreal,tdahestigma,tdahestrés,adhdlife,trastonopordéficitdeatenciónehiperactividad,trastornopordéficitdeatenciónehiperactividad,deficitdeatencion,hiperactividad,tdahainfantil,tdahniños,tdahadulto,tdahadultos,tdahniñosadolescentesadultos</v>
      </c>
      <c r="H20" s="5">
        <f>IFERROR(__xludf.DUMMYFUNCTION("""COMPUTED_VALUE"""),9522.0)</f>
        <v>9522</v>
      </c>
      <c r="I20" s="5">
        <f>IFERROR(__xludf.DUMMYFUNCTION("""COMPUTED_VALUE"""),55.0)</f>
        <v>55</v>
      </c>
      <c r="J20" s="5"/>
      <c r="K20" s="5"/>
    </row>
    <row r="21">
      <c r="A21" s="5" t="str">
        <f>IFERROR(__xludf.DUMMYFUNCTION("""COMPUTED_VALUE"""),"DPYvP8rABLy")</f>
        <v>DPYvP8rABLy</v>
      </c>
      <c r="B21" s="5"/>
      <c r="C21" s="5" t="str">
        <f>IFERROR(__xludf.DUMMYFUNCTION("""COMPUTED_VALUE"""),"DPYvP8rABLy")</f>
        <v>DPYvP8rABLy</v>
      </c>
      <c r="D21" s="5" t="str">
        <f>IFERROR(__xludf.DUMMYFUNCTION("""COMPUTED_VALUE"""),"Estudando melhor com TDAH!
TDAHfeminino #TDAHemMulheres #SaúdeMentalFeminina  #Autoconhecimento #Mindfulness #Neurodivergente #TDAHAdulto #Psicoeducação")</f>
        <v>Estudando melhor com TDAH!
TDAHfeminino #TDAHemMulheres #SaúdeMentalFeminina  #Autoconhecimento #Mindfulness #Neurodivergente #TDAHAdulto #Psicoeducação</v>
      </c>
      <c r="E21" s="5" t="str">
        <f>IFERROR(__xludf.DUMMYFUNCTION("""COMPUTED_VALUE"""),"psibarbaratenorio")</f>
        <v>psibarbaratenorio</v>
      </c>
      <c r="F21" s="5" t="str">
        <f>IFERROR(__xludf.DUMMYFUNCTION("""COMPUTED_VALUE"""),"Esp. Bárbara Tenório Souza | Psicóloga | Neuropsicóloga | TDAH")</f>
        <v>Esp. Bárbara Tenório Souza | Psicóloga | Neuropsicóloga | TDAH</v>
      </c>
      <c r="G21" s="5" t="str">
        <f>IFERROR(__xludf.DUMMYFUNCTION("""COMPUTED_VALUE"""),"TDAHemMulheres,SaúdeMentalFeminina,Autoconhecimento,Mindfulness,Neurodivergente,TDAHAdulto,Psicoeducação")</f>
        <v>TDAHemMulheres,SaúdeMentalFeminina,Autoconhecimento,Mindfulness,Neurodivergente,TDAHAdulto,Psicoeducação</v>
      </c>
      <c r="H21" s="5">
        <f>IFERROR(__xludf.DUMMYFUNCTION("""COMPUTED_VALUE"""),576.0)</f>
        <v>576</v>
      </c>
      <c r="I21" s="5">
        <f>IFERROR(__xludf.DUMMYFUNCTION("""COMPUTED_VALUE"""),4.0)</f>
        <v>4</v>
      </c>
      <c r="J21" s="5"/>
      <c r="K21" s="5"/>
    </row>
    <row r="22">
      <c r="A22" s="5"/>
      <c r="B22" s="5"/>
      <c r="C22" s="5"/>
      <c r="D22" s="5"/>
      <c r="E22" s="5"/>
      <c r="F22" s="5"/>
      <c r="G22" s="5"/>
      <c r="H22" s="5"/>
      <c r="I22" s="5"/>
      <c r="J22" s="5"/>
      <c r="K22" s="5"/>
    </row>
    <row r="23">
      <c r="A23" s="5"/>
      <c r="B23" s="5"/>
      <c r="C23" s="5"/>
      <c r="D23" s="5"/>
      <c r="E23" s="5"/>
      <c r="F23" s="5"/>
      <c r="G23" s="5"/>
      <c r="H23" s="5"/>
      <c r="I23" s="5"/>
      <c r="J23" s="5"/>
      <c r="K23" s="5"/>
    </row>
    <row r="24">
      <c r="A24" s="5"/>
      <c r="B24" s="5"/>
      <c r="C24" s="5"/>
      <c r="D24" s="5"/>
      <c r="E24" s="5"/>
      <c r="F24" s="5"/>
      <c r="G24" s="5"/>
      <c r="H24" s="5"/>
      <c r="I24" s="5"/>
      <c r="J24" s="5"/>
      <c r="K24" s="5"/>
    </row>
    <row r="25">
      <c r="A25" s="5"/>
      <c r="B25" s="5"/>
      <c r="C25" s="5"/>
      <c r="D25" s="5"/>
      <c r="E25" s="5"/>
      <c r="F25" s="5"/>
      <c r="G25" s="5"/>
      <c r="H25" s="5"/>
      <c r="I25" s="5"/>
      <c r="J25" s="5"/>
      <c r="K25" s="5"/>
    </row>
    <row r="26">
      <c r="A26" s="5"/>
      <c r="B26" s="5"/>
      <c r="C26" s="5"/>
      <c r="D26" s="5"/>
      <c r="E26" s="5"/>
      <c r="F26" s="5"/>
      <c r="G26" s="5"/>
      <c r="H26" s="5"/>
      <c r="I26" s="5"/>
      <c r="J26" s="5"/>
      <c r="K26" s="5"/>
    </row>
    <row r="27">
      <c r="A27" s="5"/>
      <c r="B27" s="5"/>
      <c r="C27" s="5"/>
      <c r="D27" s="5"/>
      <c r="E27" s="5"/>
      <c r="F27" s="5"/>
      <c r="G27" s="5"/>
      <c r="H27" s="5"/>
      <c r="I27" s="5"/>
      <c r="J27" s="5"/>
      <c r="K27" s="5"/>
    </row>
  </sheetData>
  <drawing r:id="rId1"/>
</worksheet>
</file>