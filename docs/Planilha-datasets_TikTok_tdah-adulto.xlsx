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1" sheetId="1" r:id="rId5"/>
    <sheet state="visible" name="dataset-2_atualizacoes" sheetId="2" r:id="rId6"/>
    <sheet state="visible" name="IDs Identicas" sheetId="3" r:id="rId7"/>
  </sheets>
  <definedNames>
    <definedName hidden="1" localSheetId="0" name="_xlnm._FilterDatabase">'dataset-1'!$A$1:$AL$331</definedName>
    <definedName hidden="1" localSheetId="1" name="_xlnm._FilterDatabase">'dataset-2_atualizacoes'!$A$1:$AL$370</definedName>
    <definedName hidden="1" localSheetId="2" name="_xlnm._FilterDatabase">'IDs Identicas'!$A$1:$G$222</definedName>
  </definedNames>
  <calcPr/>
</workbook>
</file>

<file path=xl/sharedStrings.xml><?xml version="1.0" encoding="utf-8"?>
<sst xmlns="http://schemas.openxmlformats.org/spreadsheetml/2006/main" count="14361" uniqueCount="5183">
  <si>
    <t>id</t>
  </si>
  <si>
    <t>thread_id</t>
  </si>
  <si>
    <t>author</t>
  </si>
  <si>
    <t>author_full</t>
  </si>
  <si>
    <t>author_followers</t>
  </si>
  <si>
    <t>author_likes</t>
  </si>
  <si>
    <t>author_videos</t>
  </si>
  <si>
    <t>author_avatar</t>
  </si>
  <si>
    <t>body</t>
  </si>
  <si>
    <t>stickers</t>
  </si>
  <si>
    <t>timestamp</t>
  </si>
  <si>
    <t>unix_timestamp</t>
  </si>
  <si>
    <t>is_duet</t>
  </si>
  <si>
    <t>is_ad</t>
  </si>
  <si>
    <t>is_paid_partnership</t>
  </si>
  <si>
    <t>is_sensitive</t>
  </si>
  <si>
    <t>is_photosensitive</t>
  </si>
  <si>
    <t>music_name</t>
  </si>
  <si>
    <t>music_id</t>
  </si>
  <si>
    <t>music_url</t>
  </si>
  <si>
    <t>music_thumbnail</t>
  </si>
  <si>
    <t>music_author</t>
  </si>
  <si>
    <t>video_url</t>
  </si>
  <si>
    <t>tiktok_url</t>
  </si>
  <si>
    <t>thumbnail_url</t>
  </si>
  <si>
    <t>likes</t>
  </si>
  <si>
    <t>comments</t>
  </si>
  <si>
    <t>shares</t>
  </si>
  <si>
    <t>plays</t>
  </si>
  <si>
    <t>hashtags</t>
  </si>
  <si>
    <t>challenges</t>
  </si>
  <si>
    <t>diversification_labels</t>
  </si>
  <si>
    <t>location_created</t>
  </si>
  <si>
    <t>effects</t>
  </si>
  <si>
    <t>warning</t>
  </si>
  <si>
    <t>missing_fields</t>
  </si>
  <si>
    <t>Quantidade #</t>
  </si>
  <si>
    <t>7471811645954723078</t>
  </si>
  <si>
    <t>sabrineti.ticoliro</t>
  </si>
  <si>
    <t>https://p16-sign-va.tiktokcdn.com/tos-maliva-avt-0068/7332767316591984645~tplv-tiktokx-cropcenter:100:100.jpeg?dr=14579&amp;refresh_token=9e051157&amp;x-expires=1764727200&amp;x-signature=ryXkwWyeCx%2BMAMh6IkQ6zzSIUNg%3D&amp;t=4d5b0474&amp;ps=13740610&amp;shp=a5d48078&amp;shcp=81f88b70&amp;idc=my</t>
  </si>
  <si>
    <t>7241312531732630789</t>
  </si>
  <si>
    <t>ivanparceiro</t>
  </si>
  <si>
    <t>Ivan Santos</t>
  </si>
  <si>
    <t>https://p16-sign-va.tiktokcdn.com/tos-maliva-avt-0068/23f741bbff26d84d055bb979a49b53c0~tplv-tiktokx-cropcenter:100:100.jpeg?dr=14579&amp;refresh_token=1ff7bcec&amp;x-expires=1763172000&amp;x-signature=bZKFFaFCZhHWY%2BaFotlhgbSi9dE%3D&amp;t=4d5b0474&amp;ps=13740610&amp;shp=a5d48078&amp;shcp=81f88b70&amp;idc=my</t>
  </si>
  <si>
    <t>minha noiva autista 
quando tem picos de energia: também com esse 
🐥 grosso  tbm com esse 🪵
gôtosu HAHAHAHAHAAA 👹 praprapra OXIII 😮 como é que Laurinha 
subiu na cama? amô? ata achei que tu tinha 
criado asas HAHAHHAHA HAAAAA👹 môceguuu 🦇 te amo pala sempli
 todas as eternidades 
da minha vida  todas as minhas vezes que 
eu viverei um dia na minha vida 
que eu não sei se existe outras vidas será que existe outras vidas? eu não sei 🤷  você sabe? também num tô sabenu mas eu vou te amar 
para sempre  e a Brigitte tbm  Michele hihihihi começou a falar 
que tava com saudade do 
amigo dela  é meu besti frendy 🫶🏻 porém o Léo  é meu amiugo  o Léo  é meu AMIGÃO  o Léo  é meu amigo da quebrada 😌 Leléo te amo Léo ❤️ o Léo é meu amigo  é meu besty  BESTY FRENDY FOREVER ❤️ amô quando que a gente  pode ir lá ver o Léo? será que esse ano ele vai 
chamar a gente pro aniversário dele?  UIIIII 🥳</t>
  </si>
  <si>
    <t>Realmente da muito certo!#tdah</t>
  </si>
  <si>
    <t>Se você tem TDAH
Experimente ouvir isso por 50 segundos e observe o efeito no seu cérebro  Confie em mim, você ficará surpreso Este som é conhecido como “RUÍDO BRANCO” Muitos pacientes com TDAH relatam que ele ajuda o cérebro  E pode até mesmo induzir um estado de “Hiperfoco” Ele auxilia a concentração  Ajuda a ler sem distração  Fiquei tempo que precisar</t>
  </si>
  <si>
    <t>no</t>
  </si>
  <si>
    <t>som original</t>
  </si>
  <si>
    <t>7471811668654557957</t>
  </si>
  <si>
    <t>https://v16-webapp-prime.tiktok.com/video/tos/useast2a/tos-useast2a-v-27dcd7/o0zFiSNCiAAF5QxAUCAB56Z2ElEgPs5oKES17/?a=1988&amp;bti=ODszNWYuMDE6&amp;ch=0&amp;cr=0&amp;dr=0&amp;er=0&amp;lr=default&amp;cd=0%7C0%7C0%7C0&amp;br=250&amp;bt=125&amp;ds=5&amp;ft=GNDpcInz7ThazKvPXq8Zmo&amp;mime_type=audio_mpeg&amp;qs=13&amp;rc=ajtxeHM5cmRteDMzNzU8M0BpajtxeHM5cmRteDMzNzU8M0BwYWRtMmQ0XmxgLS1kMTZzYSNwYWRtMmQ0XmxgLS1kMTZzcw%3D%3D&amp;btag=e00050000&amp;expire=1764559361&amp;l=2025120110213521203C48224A5C66F6F4&amp;ply_type=3&amp;policy=3&amp;signature=960b45a4d10c90b267a4a86b960d047f&amp;tk=7571587458748974088</t>
  </si>
  <si>
    <t>7238333648918235910</t>
  </si>
  <si>
    <t>https://v16-webapp-prime.tiktok.com/video/tos/useast2a/tos-useast2a-v-27dcd7/72b971116150422884bc226cedd60d30/?a=1988&amp;bti=ODszNWYuMDE6&amp;ch=0&amp;cr=0&amp;dr=0&amp;er=0&amp;lr=default&amp;cd=0%7C0%7C0%7C0&amp;br=250&amp;bt=125&amp;ds=5&amp;ft=GNDpcInz7ThyY-UPXq8Zmo&amp;mime_type=audio_mpeg&amp;qs=13&amp;rc=anMzNTk6Zjt1azMzNzU8M0BpanMzNTk6Zjt1azMzNzU8M0A2Mi1gcjQwaG1gLS1kMTZzYSM2Mi1gcjQwaG1gLS1kMTZzcw%3D%3D&amp;btag=e00048000&amp;expire=1763004459&amp;l=2025111310264583C2663DA446357263D7&amp;ply_type=3&amp;policy=3&amp;signature=a607f521f343174027e8d662f2d1eed0&amp;tk=7571587458748974088</t>
  </si>
  <si>
    <t>https://p77-sign-va.tiktokcdn.com/tos-maliva-avt-0068/7332767316591984645~tplv-tiktokx-cropcenter:1080:1080.jpeg?dr=14579&amp;refresh_token=d418832b&amp;x-expires=1764727200&amp;x-signature=gF6MBQO29S2BjxD%2BfT39%2FGlxcX4%3D&amp;t=4d5b0474&amp;ps=13740610&amp;shp=a5d48078&amp;shcp=81f88b70&amp;idc=my</t>
  </si>
  <si>
    <t>https://p77-sign-va.tiktokcdn.com/tos-maliva-avt-0068/ebc42eb348fcf29a09bcbf1c40faef80~tplv-tiktokx-cropcenter:1080:1080.jpeg?dr=14579&amp;refresh_token=df5311da&amp;x-expires=1763172000&amp;x-signature=%2B%2BNXAf50ujdFa9RF4gitz71stlU%3D&amp;t=4d5b0474&amp;ps=13740610&amp;shp=a5d48078&amp;shcp=81f88b70&amp;idc=my</t>
  </si>
  <si>
    <t>https://v16-webapp-prime.tiktok.com/video/tos/useast2a/tos-useast2a-pve-0068/ogEfTFTeAnjRqDxmI8aB0ylhd2EEsnIJQgBiQv/?a=1988&amp;bti=ODszNWYuMDE6&amp;ch=0&amp;cr=3&amp;dr=0&amp;lr=all&amp;cd=0%7C0%7C0%7C&amp;cv=1&amp;br=574&amp;bt=287&amp;cs=0&amp;ds=6&amp;ft=-Csk_mrMPD12N8Dh5d-UxSc2hY6e3wv252cAp&amp;mime_type=video_mp4&amp;qs=5&amp;rc=aTk5Omc6Z2VmOTloPDM5N0BpM202b3I5cndteDMzNzczM0BiXjQxYDEtX2IxXzEtXy02YSNjMHJwMmQ0NmxgLS1kMTZzcw%3D%3D&amp;btag=e00090000&amp;expire=1764728561&amp;l=2025120110213521203C48224A5C66F6F4&amp;ply_type=2&amp;policy=2&amp;signature=42c1132c30f44f3a4b8836964d798b07&amp;tk=tt_chain_token</t>
  </si>
  <si>
    <t>Psicólogo Mateus</t>
  </si>
  <si>
    <t>https://v16-webapp-prime.tiktok.com/video/tos/useast2a/tos-useast2a-ve-0068c002/okixDOrfg9CjAQf3IIILrm8nIHCeSkbTCwganU/?a=1988&amp;bti=ODszNWYuMDE6&amp;ch=0&amp;cr=3&amp;dr=0&amp;lr=all&amp;cd=0%7C0%7C0%7C&amp;cv=1&amp;br=1316&amp;bt=658&amp;cs=0&amp;ds=3&amp;ft=-Csk_mrMPD12Nw_opd-UxfeFaY6e3wv25HcAp&amp;mime_type=video_mp4&amp;qs=0&amp;rc=NTM1NmY6aTRnNGY8OzZkOUBpanJ4dDM6ZnI3azMzNzczM0AyX2EwXy9gX14xYjUzLl8uYSMzNGtlcjRncnNgLS1kMTZzcw%3D%3D&amp;btag=e00088000&amp;expire=1763173656&amp;l=2025111310264583C2663DA446357263D7&amp;ply_type=2&amp;policy=2&amp;signature=eacd6119bbfba59884a4441192e8c6fb&amp;tk=tt_chain_token</t>
  </si>
  <si>
    <t>https://www.tiktok.com/@ivanparceiro/video/7241312531732630789</t>
  </si>
  <si>
    <t>tdah</t>
  </si>
  <si>
    <t>https://www.tiktok.com/@sabrineti.ticoliro/video/7471811645954723078</t>
  </si>
  <si>
    <t>7153329457531571462</t>
  </si>
  <si>
    <t>tdahdescomplicado</t>
  </si>
  <si>
    <t>Yuri Maia TDAH Descomplicado</t>
  </si>
  <si>
    <t>https://p77-sign-va.tiktokcdn.com/tos-maliva-avt-0068/9c7e33a443eac8b62c597b69b16902e0~tplv-tiktokx-cropcenter:100:100.jpeg?dr=14579&amp;refresh_token=420c6f17&amp;x-expires=1763172000&amp;x-signature=wZyxr52OQ%2B8jexFmofElTnewsg8%3D&amp;t=4d5b0474&amp;ps=13740610&amp;shp=a5d48078&amp;shcp=81f88b70&amp;idc=my</t>
  </si>
  <si>
    <t>Porque TDAH “enrola” pra fazer a tarefa? #tdah #tdahdescomplicado #tdahinfantil   Faça parte do Programa Meu TDAH! Curso completo para pais. Link na BIO ou acesse www.meutdah.com.Br</t>
  </si>
  <si>
    <t>7153329493287897861</t>
  </si>
  <si>
    <t>https://v16-webapp-prime.tiktok.com/video/tos/useast2a/tos-useast2a-v-27dcd7/b8180081cc00400f93bceb6c89b46df4/?a=1988&amp;bti=ODszNWYuMDE6&amp;ch=0&amp;cr=0&amp;dr=0&amp;er=0&amp;lr=default&amp;cd=0%7C0%7C0%7C0&amp;br=250&amp;bt=125&amp;ft=GNDpcInz7ThVY-UPXq8Zmo&amp;mime_type=audio_mpeg&amp;qs=6&amp;rc=Zjk8PGRnOTllOTw2aDtnZkBpMzd1aDU6Zmp1ZzMzNzU8M0AzNTI0YWIxX2AxYC1hXi8vYSNzLzEycjRvai9gLS1kMTZzcw%3D%3D&amp;btag=e00088000&amp;expire=1763004456&amp;l=202511131026378F10DAFBB0AF239B249B&amp;ply_type=3&amp;policy=3&amp;signature=f9fa4c92dcc717a41d1ea4f7919e0616&amp;tk=7571587458748974088</t>
  </si>
  <si>
    <t>7246403750162631942</t>
  </si>
  <si>
    <t>lorenatdahta</t>
  </si>
  <si>
    <t>Lorena TDAHTA</t>
  </si>
  <si>
    <t>https://p16-sign-va.tiktokcdn.com/tos-maliva-avt-0068/924cd2a569ead49e262b2573224c311d~tplv-tiktokx-cropcenter:100:100.jpeg?dr=14579&amp;refresh_token=c7367409&amp;x-expires=1764727200&amp;x-signature=URFtN0%2BtryqSDD3%2F0FJXfiYJ8hg%3D&amp;t=4d5b0474&amp;ps=13740610&amp;shp=a5d48078&amp;shcp=81f88b70&amp;idc=my</t>
  </si>
  <si>
    <t>https://p16-sign-va.tiktokcdn.com/tos-maliva-avt-0068/9c7e33a443eac8b62c597b69b16902e0~tplv-tiktokx-cropcenter:1080:1080.jpeg?dr=14579&amp;refresh_token=1216953c&amp;x-expires=1763172000&amp;x-signature=oMnE5%2BKbMe%2FozgXyVv49mRs8FAo%3D&amp;t=4d5b0474&amp;ps=13740610&amp;shp=a5d48078&amp;shcp=81f88b70&amp;idc=my</t>
  </si>
  <si>
    <t>Sabe os roxos que aparecem "do nada", TDAH? Então... É muito por conta desse nosso "jeitinho" de andar! 🤣🌪️</t>
  </si>
  <si>
    <t>TDAH ANDANDO, É ASSIM!</t>
  </si>
  <si>
    <t>1 2 3 4</t>
  </si>
  <si>
    <t>7194881758867752961</t>
  </si>
  <si>
    <t>https://p16-sign-sg.tiktokcdn.com/tos-alisg-v-2774/oEfLEaCXE3zgB2AJEeCylEoeOsARhGQOyAIAFD~720x720.jpeg?lk3s=08d74b56&amp;x-expires=1764577221&amp;x-signature=sgHx9X0BgMA%2Bd%2FCzKbZ%2F0s8SsBY%3D</t>
  </si>
  <si>
    <t>https://v16-webapp-prime.tiktok.com/video/tos/alisg/tos-alisg-pve-0037c001/oUAMIyzFo8tt2GLUI0d8kFchQwGfICxygEoASm/?a=1988&amp;bti=ODszNWYuMDE6&amp;ch=0&amp;cr=3&amp;dr=0&amp;lr=all&amp;cd=0%7C0%7C0%7C&amp;cv=1&amp;br=1790&amp;bt=895&amp;cs=0&amp;ds=3&amp;ft=-Csk_mrMPD12NY_opd-Uxz42hY6e3wv25ycAp&amp;mime_type=video_mp4&amp;qs=0&amp;rc=NjU5NDdnZDg7OzU7Mzo2OEBpMzltaTk6Zmh1ZzMzNzczM0BeXi8yNmIwNWMxMDMuMC1eYSNsMi9ucjRfai9gLS1kMTZzcw%3D%3D&amp;btag=e00088000&amp;expire=1763173656&amp;l=202511131026378F10DAFBB0AF239B249B&amp;ply_type=2&amp;policy=2&amp;signature=6e4ee73918bb4fa230f234a5b95cd2bd&amp;tk=tt_chain_token</t>
  </si>
  <si>
    <t>MC Biano do Impéra &amp; DJ TICA</t>
  </si>
  <si>
    <t>https://v16-webapp-prime.tiktok.com/video/tos/useast2a/tos-useast2a-ve-0068c004/owyh8Z2dIkFCk1SA7QozNgqILgAfQbDoCACyU1/?a=1988&amp;bti=ODszNWYuMDE6&amp;ch=0&amp;cr=3&amp;dr=0&amp;lr=all&amp;cd=0%7C0%7C0%7C&amp;cv=1&amp;br=3692&amp;bt=1846&amp;cs=0&amp;ds=3&amp;ft=ytpHh9DfxxOusd.YtDKt8lcLVWOuRx_HFKKMNOWCuJETJDz7T&amp;mime_type=video_mp4&amp;qs=0&amp;rc=Nzs7Ozg8ZTg7PDw4ODg2Z0BpM3VtZzg6Zmo5bDMzNzczM0AyMl8vMC5iXy0xLi8vXmBjYSNpYWNmcjQwXzVgLS1kMTZzcw%3D%3D&amp;btag=e000b0000&amp;expire=1764728431&amp;l=202512011020211DC26370CAB01566B5CA&amp;ply_type=2&amp;policy=2&amp;signature=4262048026ded516ab51fd08d044d70e&amp;tk=tt_chain_token</t>
  </si>
  <si>
    <t>https://www.tiktok.com/@tdahdescomplicado/video/7153329457531571462</t>
  </si>
  <si>
    <t>tdah,tdahdescomplicado,tdahinfantil</t>
  </si>
  <si>
    <t>https://www.tiktok.com/@lorenatdahta/video/7246403750162631942</t>
  </si>
  <si>
    <t>https://p16-sign-va.tiktokcdn.com/tos-maliva-avt-0068/924cd2a569ead49e262b2573224c311d~tplv-tiktokx-cropcenter:100:100.jpeg?dr=14579&amp;refresh_token=3c12b699&amp;x-expires=1763172000&amp;x-signature=t6CqDcu3J7l065AkPPj3M%2FB4kdU%3D&amp;t=4d5b0474&amp;ps=13740610&amp;shp=a5d48078&amp;shcp=81f88b70&amp;idc=my</t>
  </si>
  <si>
    <t>Slow Zoom</t>
  </si>
  <si>
    <t>7555884934326471944</t>
  </si>
  <si>
    <t>dra.anaclaudiatavares</t>
  </si>
  <si>
    <t>Dra. Ana Cláudia Tavares</t>
  </si>
  <si>
    <t>https://p77-sign-va.tiktokcdn.com/tos-maliva-avt-0068/d007657c27c5442c2b50b7552d20daa8~tplv-tiktokx-cropcenter:100:100.jpeg?dr=14579&amp;refresh_token=b241e5be&amp;x-expires=1764727200&amp;x-signature=G7flfLlXLfpQMQntyi2CmCzeibo%3D&amp;t=4d5b0474&amp;ps=13740610&amp;shp=a5d48078&amp;shcp=81f88b70&amp;idc=my</t>
  </si>
  <si>
    <t>https://p16-sign-sg.tiktokcdn.com/tos-alisg-v-2774/oEfLEaCXE3zgB2AJEeCylEoeOsARhGQOyAIAFD~720x720.jpeg?lk3s=08d74b56&amp;x-expires=1763022160&amp;x-signature=il4E%2Fc9VKu%2Fkn3Z4ObAXOKhk4fw%3D</t>
  </si>
  <si>
    <t>🚨 TDAH não é falta de educação! É um transtorno do neurodesenvolvimento que precisa de acolhimento, compreensão e acompanhamento adequado.  👉 Quando a criança tem dificuldade de atenção, impulsividade ou agitação, não significa que “não tem limites” ou que os pais “não sabem educar”. Significa que ela precisa de apoio e estratégias certas para se desenvolver.  💬 Você tem passado por isso com seu filho? Me chama no WhatsApp e vamos conversar!</t>
  </si>
  <si>
    <t>7555884970099837697</t>
  </si>
  <si>
    <t>https://v16-webapp-prime.tiktok.com/video/tos/alisg/tos-alisg-v-27dcd7/oofvbnsCBABiAQgw19BaQoEV2EAKV5J6fijUDC/?a=1988&amp;bti=ODszNWYuMDE6&amp;ch=0&amp;cr=0&amp;dr=0&amp;er=0&amp;lr=default&amp;cd=0%7C0%7C0%7C0&amp;br=250&amp;bt=125&amp;ds=5&amp;ft=GNDpcInz7ThjFKvPXq8Zmo&amp;mime_type=audio_mpeg&amp;qs=13&amp;rc=anR3M285cnB4NjMzODU8NEBpanR3M285cnB4NjMzODU8NEBlLWlsMmRjXmFhLS1kMS1zYSNlLWlsMmRjXmFhLS1kMS1zcw%3D%3D&amp;btag=e00050000&amp;expire=1764559417&amp;l=2025120110215532A809179141715F3748&amp;ply_type=3&amp;policy=3&amp;signature=1ad1d105ccd20761bc420eca4b07b592&amp;tk=7571587458748974088</t>
  </si>
  <si>
    <t>https://webapp-va.tiktok.com/88ee22e30decb2c1592f5977ddda330f/6917e3fa/kmoat/mps/logo/v3/r/p/v09044g40000ci86bg3c77u5idfjdrl0/660176f5b988485c9db08fb71d061fa8/317f1d5d5035956983f44809e6a00d9a/mp4/main.mp4?a=1988&amp;bti=ODszNWYuMDE6&amp;ch=0&amp;cr=3&amp;dr=0&amp;lr=all&amp;cd=0%7C0%7C0%7C&amp;cv=1&amp;br=0&amp;bt=0&amp;cs=0&amp;ds=3&amp;ft=bLZkJmrMPD12N8hopd-Ux~v2bY6e3wv251cAp&amp;mime_type=video_mp4&amp;qs=0&amp;rc=cnF8b2hsc2d3SkBwaHIxaDFybndmO2k5ZzppM2dmOzs8ODk0OUBpM3VtZzg6Zmo5bDMzNzczM0BjRl5Nc3FePmJKYSNvYF90aHFmOiNeLi0uXzVfNjIxNV9jNC0zYSNpYWNmcjQwXzVgLS1kMTZzcw%3D%3D&amp;btag=e000b0000&amp;definition=720p&amp;du=11&amp;item_id=7246403750162631942&amp;l=202511131022406C90E0DA9AAAC98C2302&amp;logo_type=tiktok_creator&amp;ply_type=2&amp;policy=eyJ2bSI6MiwiY2siOiJ0dF9jaGFpbl90b2tlbiJ9&amp;sign_params=item_id%2Cuser_text&amp;user_text=lorenatdahta</t>
  </si>
  <si>
    <t>https://p16-sign-va.tiktokcdn.com/tos-maliva-avt-0068/d007657c27c5442c2b50b7552d20daa8~tplv-tiktokx-cropcenter:1080:1080.jpeg?dr=14579&amp;refresh_token=3f5b99b7&amp;x-expires=1764727200&amp;x-signature=Thw5QgBuEfcZ%2FsuNyTrRQwNSe6w%3D&amp;t=4d5b0474&amp;ps=13740610&amp;shp=a5d48078&amp;shcp=81f88b70&amp;idc=my</t>
  </si>
  <si>
    <t>https://v16-webapp-prime.tiktok.com/video/tos/alisg/tos-alisg-pve-0037c001/oYIzwjjIgDAesRe3AR3AFQtIoCLo0ytG8sfh24/?a=1988&amp;bti=ODszNWYuMDE6&amp;ch=0&amp;cr=3&amp;dr=0&amp;lr=all&amp;cd=0%7C0%7C0%7C&amp;cv=1&amp;br=1448&amp;bt=724&amp;cs=0&amp;ds=2&amp;ft=-Csk_mrMPD12NSBh5d-Uxs12aY6e3wv252cAp&amp;mime_type=video_mp4&amp;qs=0&amp;rc=ZmQzNWkzZzNnOjU8ZmU7ZkBpM2dqbng5cjd4NjMzODczNEAxM2FfNS41NTExNC9eMzUzYSMvMV8yMmQ0XmFhLS1kMTFzcw%3D%3D&amp;btag=e00090000&amp;expire=1764728617&amp;l=2025120110215532A809179141715F3748&amp;ply_type=2&amp;policy=2&amp;signature=c1a0e64729e2bee321870a9d5de8be0d&amp;tk=tt_chain_token</t>
  </si>
  <si>
    <t>High Quality</t>
  </si>
  <si>
    <t>7103916403266292998</t>
  </si>
  <si>
    <t>mister.emerson</t>
  </si>
  <si>
    <t>Emerson</t>
  </si>
  <si>
    <t>https://p77-sign-va.tiktokcdn.com/tos-maliva-avt-0068/dc1254c61f7c029eaaef87fbdfa88d8d~tplv-tiktokx-cropcenter:100:100.jpeg?dr=14579&amp;refresh_token=5280d82f&amp;x-expires=1763172000&amp;x-signature=P9284o6fkU5Fvb6O5Ud5boRTeG8%3D&amp;t=4d5b0474&amp;ps=13740610&amp;shp=a5d48078&amp;shcp=81f88b70&amp;idc=my</t>
  </si>
  <si>
    <t>https://www.tiktok.com/@dra.anaclaudiatavares/video/7555884934326471944</t>
  </si>
  <si>
    <t>natural skin</t>
  </si>
  <si>
    <t>Mano uma galera tem isso! Marca um amigo aeee #comedia #tdah #corpohumano</t>
  </si>
  <si>
    <t>O que acontece quando a pessoa tem 
TDAH??? A Professora: O Cérebro  O Cérebro  A Professora: *mosca *mosca O Cérebro  A Professora: Comente!
Marca um amigo!
🌹
O que acontece quando a pessoa tem TDAH???</t>
  </si>
  <si>
    <t>7521123458407795974</t>
  </si>
  <si>
    <t>draanabeatriz11</t>
  </si>
  <si>
    <t>Ana Beatriz Barbosa</t>
  </si>
  <si>
    <t>7103916404490980101</t>
  </si>
  <si>
    <t>https://p77-sign-sg.tiktokcdn.com/tos-alisg-avt-0068/305c199048748400d13f89ce936c5a5e~tplv-tiktokx-cropcenter:100:100.jpeg?dr=14579&amp;refresh_token=6e5c3449&amp;x-expires=1764727200&amp;x-signature=U717AkV2%2FlGKeLeqJ%2BYWxxc1qiE%3D&amp;t=4d5b0474&amp;ps=13740610&amp;shp=a5d48078&amp;shcp=81f88b70&amp;idc=my</t>
  </si>
  <si>
    <t>https://v16-webapp-prime.tiktok.com/video/tos/useast2a/tos-useast2a-v-27dcd7/1230c652a2d54c00a8ed488892dae72e/?a=1988&amp;bti=ODszNWYuMDE6&amp;ch=0&amp;cr=0&amp;dr=0&amp;er=0&amp;lr=default&amp;cd=0%7C0%7C0%7C0&amp;br=218&amp;bt=109&amp;ds=5&amp;ft=GNDpcInz7ThiV-UPXq8Zmo&amp;mime_type=video_mp4&amp;qs=13&amp;rc=anBtaDQ6ZnA1ZDMzNzU8M0BpanBtaDQ6ZnA1ZDMzNzU8M0BocXI1cjRncF9gLS1kMTZzYSNocXI1cjRncF9gLS1kMTZzcw%3D%3D&amp;btag=e00048000&amp;expire=1763004276&amp;l=2025111310235634FE9FF2AA2A079ADB1D&amp;ply_type=3&amp;policy=3&amp;signature=a5135213311537f4b9f47ac23d309615&amp;tk=7571587458748974088</t>
  </si>
  <si>
    <t>Você acha que quem tem TDAH não consegue prestar atenção em nada? Quem vive com TDAH pode parecer distraído, mas quando encontra algo que ama de verdade, entra em HIPERFOCO! É capaz de passar horas mergulhado em um projeto, num jogo, numa conversa, e nem perceber o tempo passando. Isso é falta de atenção ou um superpoder mal compreendido? Nosso lobo frontal, que comanda o foco e a organização do cérebro, precisa de dopamina para funcionar bem. E sabe o que libera dopamina? Aquilo que dá prazer, sentido, emoção. Aí sim, o cérebro ganha asas! Será que é falta de atenção ou falta de interesse no que não desperta sua alma? 💬 Se você se identificou, me conta aqui nos comentários: o que te faz esquecer do tempo? Quero saber qual é o seu hiperfoco! 👇</t>
  </si>
  <si>
    <t>7521123479567862584</t>
  </si>
  <si>
    <t>https://v16-webapp-prime.tiktok.com/video/tos/useast2a/tos-useast2a-v-27dcd7/oAoQwzIgSqELOIMyDkTgkweQAvGrCCAIfAfQNA/?a=1988&amp;bti=ODszNWYuMDE6&amp;ch=0&amp;cr=0&amp;dr=0&amp;er=0&amp;lr=default&amp;cd=0%7C0%7C0%7C0&amp;br=250&amp;bt=125&amp;ds=5&amp;ft=GNDpcInz7ThVPKvPXq8Zmo&amp;mime_type=audio_mpeg&amp;qs=13&amp;rc=ampqb3M5cng5NDMzNzU8M0Bpampqb3M5cng5NDMzNzU8M0Awcy0uMmRjX2RhLS1kMTZzYSMwcy0uMmRjX2RhLS1kMTZzcw%3D%3D&amp;btag=e00048000&amp;expire=1764559267&amp;l=2025120110201396469B6E0854EC6377C0&amp;ply_type=3&amp;policy=3&amp;signature=71bba8067459487a439cedecf48ee0fa&amp;tk=7571587458748974088</t>
  </si>
  <si>
    <t>https://p77-sign-va.tiktokcdn.com/tos-maliva-avt-0068/dc1254c61f7c029eaaef87fbdfa88d8d~tplv-tiktokx-cropcenter:1080:1080.jpeg?dr=14579&amp;refresh_token=d5aa6a20&amp;x-expires=1763172000&amp;x-signature=7%2Ffd6Pxmwbivy25JDSO6xewFnco%3D&amp;t=4d5b0474&amp;ps=13740610&amp;shp=a5d48078&amp;shcp=81f88b70&amp;idc=my</t>
  </si>
  <si>
    <t>https://v16-webapp-prime.tiktok.com/video/tos/alisg/tos-alisg-pve-0037c001/oQrFjPLMEASGufQIDCxHTIyF9IHjgz4fFACfB2/?a=1988&amp;bti=ODszNWYuMDE6&amp;ch=0&amp;cr=3&amp;dr=0&amp;lr=all&amp;cd=0%7C0%7C0%7C&amp;cv=1&amp;br=2154&amp;bt=1077&amp;cs=0&amp;ds=3&amp;ft=-Csk_mrMPD12N3Yopd-Ux24FaY6e3wv25WcAp&amp;mime_type=video_mp4&amp;qs=0&amp;rc=ZTQ0NGY7NGRoMzlmODRlOUBpanl4dzM6Zmo1ZDMzNzczM0A2YTYuLzQxNjQxMmBfNjQ0YSMtNXNicjRvcF9gLS1kMTZzcw%3D%3D&amp;btag=e00088000&amp;expire=1763173476&amp;l=2025111310235634FE9FF2AA2A079ADB1D&amp;ply_type=2&amp;policy=2&amp;signature=ed8dd3b988a1e414b3f3110565cb9691&amp;tk=tt_chain_token</t>
  </si>
  <si>
    <t>https://p16-sign-sg.tiktokcdn.com/tos-alisg-avt-0068/305c199048748400d13f89ce936c5a5e~tplv-tiktokx-cropcenter:1080:1080.jpeg?dr=14579&amp;refresh_token=c51704c5&amp;x-expires=1764727200&amp;x-signature=62ljJs%2ByYCh5SZZk0lNGiJDC1j4%3D&amp;t=4d5b0474&amp;ps=13740610&amp;shp=a5d48078&amp;shcp=81f88b70&amp;idc=my</t>
  </si>
  <si>
    <t>https://v16-webapp-prime.tiktok.com/video/tos/useast2a/tos-useast2a-ve-0068c003/oAdC8piMlIBo1zQALL3of6iX0gEyI9wgkFgDZA/?a=1988&amp;bti=ODszNWYuMDE6&amp;ch=0&amp;cr=3&amp;dr=0&amp;lr=all&amp;cd=0%7C0%7C0%7C&amp;cv=1&amp;br=1810&amp;bt=905&amp;cs=0&amp;ds=3&amp;ft=I~da4oKyD12Nvl.WS.IxR51NWlBF-UjNSMopiX&amp;mime_type=video_mp4&amp;qs=0&amp;rc=NGU1OmVmO2lpOGZlaTs2M0Bpajg2eG05cnQ5NDMzNzczM0BeXy8vNjIuNWIxLjYyYGM0YSMybWpfMmRzX2RhLS1kMTZzcw%3D%3D&amp;btag=e00088000&amp;expire=1764728467&amp;l=2025120110201396469B6E0854EC6377C0&amp;ply_type=2&amp;policy=2&amp;signature=436320c361b00e7fba4134edc4381adf&amp;tk=tt_chain_token</t>
  </si>
  <si>
    <t>https://www.tiktok.com/@mister.emerson/video/7103916403266292998</t>
  </si>
  <si>
    <t>comedia,tdah,corpohumano</t>
  </si>
  <si>
    <t>Tela Verde</t>
  </si>
  <si>
    <t>7336603247873953029</t>
  </si>
  <si>
    <t>psi.jonathanorlandi</t>
  </si>
  <si>
    <t>Jonathan. O psicólogo sincero</t>
  </si>
  <si>
    <t>https://p16-sign-sg.tiktokcdn.com/tos-alisg-avt-0068/a922d44f129753f3f4657ae1aab09386~tplv-tiktokx-cropcenter:100:100.jpeg?dr=14579&amp;refresh_token=fd95d8c1&amp;x-expires=1763172000&amp;x-signature=hXVxNCag6COm11p9ZSdmIkp2rRc%3D&amp;t=4d5b0474&amp;ps=13740610&amp;shp=a5d48078&amp;shcp=81f88b70&amp;idc=my</t>
  </si>
  <si>
    <t>https://www.tiktok.com/@draanabeatriz11/video/7521123458407795974</t>
  </si>
  <si>
    <t>7279604970134015237</t>
  </si>
  <si>
    <t xml:space="preserve">Nós somos tdahs, e, é claro que temos comportamentos curiosos.#tdah #tdahadulto #diagnósticos #psicoterapia #psicologia #terapia #saúde #comportamento #fatos #hiperatividade #humor #saudemental #curiosidades #trending </t>
  </si>
  <si>
    <t>Somos tdahs!
E é claro…</t>
  </si>
  <si>
    <t>Vamos aprofundar nossa compreensão sobre como o TDAH afeta nossas vidas e o funcionamento de nossos cérebros.  A comunidade "Ser Humano Sustentável" está dedicada a oferecer oportunidades de autoconhecimento e apoio para lidar com os desafios do cotidiano. Nosso foco não se restringe apenas às pessoas com TDAH, mas visa promover o bem-estar mental de forma holística. 📌Clique no link da bio ou nos stories para se juntar à nossa comunidade SHS. Nós encontramos por lá! 😉</t>
  </si>
  <si>
    <t>Todo TDAH precisa ouvir isso!!!😘😉</t>
  </si>
  <si>
    <t>Hard-to-find Coordination</t>
  </si>
  <si>
    <t>7306575272492779521</t>
  </si>
  <si>
    <t>https://sf16-ies-music-sg.tiktokcdn.com/obj/tos-alisg-ve-2774/og5Dc6DEFvSezKm9wznxFCQafwZIMgPfAKFivE</t>
  </si>
  <si>
    <t>7279605008729328390</t>
  </si>
  <si>
    <t>https://v16-webapp-prime.tiktok.com/video/tos/useast2a/tos-useast2a-v-27dcd7/o4byoBAfEDLXIYABlWlUGnjBBEIuJ3AbQCTeAJ/?a=1988&amp;bti=ODszNWYuMDE6&amp;ch=0&amp;cr=0&amp;dr=0&amp;er=0&amp;lr=default&amp;cd=0%7C0%7C0%7C0&amp;br=250&amp;bt=125&amp;ds=5&amp;ft=GNDpcInz7ThIPKvPXq8Zmo&amp;mime_type=audio_mpeg&amp;qs=13&amp;rc=ajhpdzM6ZmY4bjMzNzU8M0BpajhpdzM6ZmY4bjMzNzU8M0Bza21ocjRnaDBgLS1kMTZzYSNza21ocjRnaDBgLS1kMTZzcw%3D%3D&amp;btag=e00050000&amp;expire=1764559281&amp;l=20251201102014E2CB5F4C19000C61E683&amp;ply_type=3&amp;policy=3&amp;signature=485cefdc02465755772b6a96a0f0de6f&amp;tk=7571587458748974088</t>
  </si>
  <si>
    <t>https://p16-sg.tiktokcdn.com/aweme/720x720/tos-alisg-v-2774/oIAjYBUiZvYWAByxA9qvhAEJm6WAEAYurKirr.jpeg</t>
  </si>
  <si>
    <t>DJ BAI</t>
  </si>
  <si>
    <t>https://v16-webapp-prime.tiktok.com/video/tos/useast2a/tos-useast2a-pve-0068/oo2ENEzDQpWBgi8Ff2lRBQAfIKQch0EkNqZH9J/?a=1988&amp;bti=ODszNWYuMDE6&amp;ch=0&amp;cr=3&amp;dr=0&amp;lr=all&amp;cd=0%7C0%7C0%7C&amp;cv=1&amp;br=6192&amp;bt=3096&amp;cs=0&amp;ds=3&amp;ft=-Csk_mrMPD12N-copd-Ux7~2bY6e3wv25bcAp&amp;mime_type=video_mp4&amp;qs=0&amp;rc=NjozaTtlZjRkZzUzZmdkaUBpajw2Onk5cmRncTMzNzczM0AzNjU1YDQ2NTMxMTVfNmEwYSNtbTEyMmRrZTVgLS1kMTZzcw%3D%3D&amp;btag=e00090000&amp;expire=1763173525&amp;l=20251113102424EE0F9FCD2CC2B68BE0E2&amp;ply_type=2&amp;policy=2&amp;signature=62d45e588fcaed100cbfcafa0cf4d7e6&amp;tk=tt_chain_token</t>
  </si>
  <si>
    <t>https://p77-sign-sg.tiktokcdn.com/tos-alisg-avt-0068/305c199048748400d13f89ce936c5a5e~tplv-tiktokx-cropcenter:1080:1080.jpeg?dr=14579&amp;refresh_token=5dd5e1db&amp;x-expires=1764727200&amp;x-signature=whOZSABWcCD92HsP6csUV6crLjY%3D&amp;t=4d5b0474&amp;ps=13740610&amp;shp=a5d48078&amp;shcp=81f88b70&amp;idc=my</t>
  </si>
  <si>
    <t>https://v16-webapp-prime.tiktok.com/video/tos/alisg/tos-alisg-pve-0037c001/ocIeIEBiQeRJWmQHQbL0EIl1lE2MQn7ABgDQAB/?a=1988&amp;bti=ODszNWYuMDE6&amp;ch=0&amp;cr=3&amp;dr=0&amp;lr=all&amp;cd=0%7C0%7C0%7C&amp;cv=1&amp;br=1968&amp;bt=984&amp;cs=0&amp;ds=3&amp;ft=-Csk_mrMPD12N0dh5d-UxPO2hY6e3wv252cAp&amp;mime_type=video_mp4&amp;qs=0&amp;rc=PDM6aDU7MzU1OGRoaDU2OEBpMzdlNTg6ZjQ4bjMzNzczM0A2MjBjY2JgXi8xYy9gYTNgYSMvLzBxcjRvZzBgLS1kMTZzcw%3D%3D&amp;btag=e00090000&amp;expire=1764728481&amp;l=20251201102014E2CB5F4C19000C61E683&amp;ply_type=2&amp;policy=2&amp;signature=fc7c82f98aaf425d5ce2b23f0ada49ef&amp;tk=tt_chain_token</t>
  </si>
  <si>
    <t>https://www.tiktok.com/@psi.jonathanorlandi/video/7336603247873953029</t>
  </si>
  <si>
    <t>tdah,tdahadulto,diagnósticos,psicoterapia,psicologia,terapia,saúde,comportamento,fatos,hiperatividade,humor,saudemental,curiosidades,trending</t>
  </si>
  <si>
    <t>Pretty Natural Face</t>
  </si>
  <si>
    <t>7179926590401350917</t>
  </si>
  <si>
    <t>podmanhe</t>
  </si>
  <si>
    <t>PODCAST PODMANHÊ</t>
  </si>
  <si>
    <t>https://p16-sign-va.tiktokcdn.com/tos-maliva-avt-0068/2056ea190fa45014218d729810e7dd8b~tplv-tiktokx-cropcenter:100:100.jpeg?dr=14579&amp;refresh_token=8a500c86&amp;x-expires=1763172000&amp;x-signature=vihuOCIk8cWrcDFp0gJLsC5Ayis%3D&amp;t=4d5b0474&amp;ps=13740610&amp;shp=a5d48078&amp;shcp=81f88b70&amp;idc=my</t>
  </si>
  <si>
    <t>https://www.tiktok.com/@draanabeatriz11/video/7279604970134015237</t>
  </si>
  <si>
    <t>7530735668717276422</t>
  </si>
  <si>
    <t>giramundooficial</t>
  </si>
  <si>
    <t>Gira Mundo</t>
  </si>
  <si>
    <t>https://p77-sign-va.tiktokcdn.com/tos-maliva-avt-0068/7d6784d66a21b49cb8bf00660db61995~tplv-tiktokx-cropcenter:100:100.jpeg?dr=14579&amp;refresh_token=ef2db4ff&amp;x-expires=1764727200&amp;x-signature=O27PLArhBjc0tiFkNvuALKTsCFs%3D&amp;t=4d5b0474&amp;ps=13740610&amp;shp=a5d48078&amp;shcp=81f88b70&amp;idc=my</t>
  </si>
  <si>
    <t>Voce conhece aluuem que tenha TDH ? @podcastpodmanhe #podcast #podmanhe #neurociência  #neuropsicologia #neurociencia #tdah #tda #tdahinfantil #tdahadulto #neurociência #neuropsicologia #neurociencia #tdah #tda #tdahinfantil #tdahadulto</t>
  </si>
  <si>
    <t>7179926597670079238</t>
  </si>
  <si>
    <t>https://v16-webapp-prime.tiktok.com/video/tos/useast2a/tos-useast2a-v-27dcd7/d1122ba6f9ed4042ba6921ff3f575898/?a=1988&amp;bti=ODszNWYuMDE6&amp;ch=0&amp;cr=0&amp;dr=0&amp;er=0&amp;lr=default&amp;cd=0%7C0%7C0%7C0&amp;br=250&amp;bt=125&amp;ds=5&amp;ft=GNDpcInz7ThRK-UPXq8Zmo&amp;mime_type=audio_mpeg&amp;qs=13&amp;rc=ajhsb2c6Zmg2aDMzNzU8M0Bpajhsb2c6Zmg2aDMzNzU8M0AyNm9icjQwZmZgLS1kMTZzYSMyNm9icjQwZmZgLS1kMTZzcw%3D%3D&amp;btag=e00048000&amp;expire=1763004185&amp;l=202511131022245A53A91EDE77CC8B0DB4&amp;ply_type=3&amp;policy=3&amp;signature=fcdaeb53030792ac6e9e0e39cdb1c5c6&amp;tk=7571587458748974088</t>
  </si>
  <si>
    <t>TDAH e Autismo: como diferenciar na prática? 🧩🌍 Neste Reels, nossos profissionais encenam para mostrar, de forma clara e acessível, as diferenças de comportamento entre uma pessoa com TDAH e uma pessoa autista. 💡 Vem entender com a gente! 💬✅ Kayara Araújo - Psicóloga e AT / CRP 03/23274 Elisama de Jesus - Psicóloga / CRP: 03/20518</t>
  </si>
  <si>
    <t>som original - Gira Mundo</t>
  </si>
  <si>
    <t>7530735689521793798</t>
  </si>
  <si>
    <t>https://v16-webapp-prime.tiktok.com/video/tos/useast2a/tos-useast2a-v-27dcd7/oQjU0gMxYGBBoQBcIv6KAg4CZkiDEQEiYk2cfc/?a=1988&amp;bti=ODszNWYuMDE6&amp;ch=0&amp;cr=0&amp;dr=0&amp;er=0&amp;lr=default&amp;cd=0%7C0%7C0%7C0&amp;br=250&amp;bt=125&amp;ft=GNDpcInz7ThezKvPXq8Zmo&amp;mime_type=audio_mpeg&amp;qs=6&amp;rc=ZTUzNTRmZTVoNTc5Zzo6M0BpajczaGs5cmg7NTMzNzU8M0AwLjE1YWFjNmExNTYzNC8wYSNgLy9iMmRjbC5hLS1kMTZzcw%3D%3D&amp;btag=e000b8000&amp;expire=1764559321&amp;l=202512011021342A4EB9620CED315EA2E7&amp;ply_type=3&amp;policy=3&amp;signature=3febea40909292c18aa0caf383b409bb&amp;tk=7571587458748974088</t>
  </si>
  <si>
    <t>https://p16-sign-va.tiktokcdn.com/tos-maliva-avt-0068/2056ea190fa45014218d729810e7dd8b~tplv-tiktokx-cropcenter:1080:1080.jpeg?dr=14579&amp;refresh_token=192443ff&amp;x-expires=1763172000&amp;x-signature=9yiatxBd87zNTGtA8PWZGy%2BUI70%3D&amp;t=4d5b0474&amp;ps=13740610&amp;shp=a5d48078&amp;shcp=81f88b70&amp;idc=my</t>
  </si>
  <si>
    <t>https://p77-sign-va.tiktokcdn.com/tos-maliva-avt-0068/7d6784d66a21b49cb8bf00660db61995~tplv-tiktokx-cropcenter:1080:1080.jpeg?dr=14579&amp;refresh_token=8c7d0f1c&amp;x-expires=1764727200&amp;x-signature=OtEdzrw%2Bf4psuC3DGuPH3dCdNxo%3D&amp;t=4d5b0474&amp;ps=13740610&amp;shp=a5d48078&amp;shcp=81f88b70&amp;idc=my</t>
  </si>
  <si>
    <t>https://v16-webapp-prime.tiktok.com/video/tos/useast2a/tos-useast2a-ve-0068c002/oQbRQEkKAPcrFIZI9EBAoezcQgeoBjADpgnJzD/?a=1988&amp;bti=ODszNWYuMDE6&amp;ch=0&amp;cr=3&amp;dr=0&amp;lr=all&amp;cd=0%7C0%7C0%7C&amp;br=1740&amp;bt=870&amp;cs=0&amp;ds=2&amp;ft=-Csk_mrMPD12NXhopd-UxB6vSY6e3wv25rcAp&amp;mime_type=video_mp4&amp;qs=0&amp;rc=PGRkOzhpZzQ1OjM7Ojo1OkBpM3g6bTo6Zjo2aDMzNzczM0A1XzFiYmEwX2IxYDE2NWIzYSNkLTRmcjQwZmZgLS1kMTZzcw%3D%3D&amp;btag=e00088000&amp;expire=1763173385&amp;l=202511131022245A53A91EDE77CC8B0DB4&amp;ply_type=2&amp;policy=2&amp;signature=a80515998df33838f9d3f2c64f9579c5&amp;tk=tt_chain_token</t>
  </si>
  <si>
    <t>https://www.tiktok.com/@podmanhe/video/7179926590401350917</t>
  </si>
  <si>
    <t>https://v16-webapp-prime.tiktok.com/video/tos/maliva/tos-maliva-v-85c255-us/oMQwFFo8oBFOB2DuIfeFEJgQEhaTggv1oUwEBR/?a=1988&amp;bti=ODszNWYuMDE6&amp;ch=0&amp;cr=3&amp;dr=0&amp;lr=all&amp;cd=0%7C0%7C0%7C&amp;cv=1&amp;br=1544&amp;bt=772&amp;cs=0&amp;ds=3&amp;ft=-Csk_mrMPD12N6Dh5d-Uxq42hY6e3wv25IcAp&amp;mime_type=video_mp4&amp;qs=0&amp;rc=NGQ4NWk7PDxoNTNmNWk5ZkBpMzpnNXE5cmc7NTQzNzM2M0BiMS5eL15hXjYxMi4wYWItYSM1NWNzMmRjbC5hLS1kLTZzcw%3D%3D&amp;btag=e000b8000&amp;expire=1764728521&amp;l=202512011021342A4EB9620CED315EA2E7&amp;ply_type=2&amp;policy=2&amp;signature=24edfbd47ba463865aed13c37546d09a&amp;tk=tt_chain_token</t>
  </si>
  <si>
    <t>podcast,podmanhe,tdah,tda,tdahinfantil,tdahadulto,tdah,tda,tdahinfantil,tdahadulto</t>
  </si>
  <si>
    <t>podcast,podmanhe,neurociência,neuropsicologia,neurociencia,tdah,tda,tdahinfantil,tdahadulto</t>
  </si>
  <si>
    <t>7216726126473792773</t>
  </si>
  <si>
    <t>psicologo.mateus</t>
  </si>
  <si>
    <t>https://p16-sign-va.tiktokcdn.com/tos-maliva-avt-0068/ebc42eb348fcf29a09bcbf1c40faef80~tplv-tiktokx-cropcenter:100:100.jpeg?dr=14579&amp;refresh_token=2bdf1117&amp;x-expires=1763172000&amp;x-signature=qWkWO%2FiOPhNCyjf1oP1wgqJ%2BWqE%3D&amp;t=4d5b0474&amp;ps=13740610&amp;shp=a5d48078&amp;shcp=81f88b70&amp;idc=my</t>
  </si>
  <si>
    <t>https://www.tiktok.com/@giramundooficial/video/7530735668717276422</t>
  </si>
  <si>
    <t xml:space="preserve">👞A desorganização e a bagunça são desafios comuns para muitas pessoas com Transtorno de Déficit de Atenção e Hiperatividade (TDAH). Devido à dificuldade de concentração, impulsividade e hiperatividade, manter um ambiente organizado e arrumado pode ser uma tarefa difícil e até mesmo avassaladora. A bagunça pode causar estresse e ansiedade, além de dificultar a realização de tarefas diárias. No entanto, é importante lembrar que a bagunça não é um sinal de preguiça ou falta de cuidado, mas sim uma dificuldade real que muitas pessoas com TDAH enfrentam. 🤔 Felizmente, existem maneiras de lidar com a bagunça e a desorganização, como a criação de rotinas diárias, a utilização de sistemas de organização, a redução da desordem e a busca por ajuda profissional. 🗂️ Além disso, pode ser útil lembrar que nem sempre é possível manter um ambiente completamente arrumado, e tudo bem.  😉 Encontrar um equilíbrio que funcione para você e sua rotina pode ser um processo de tentativa e erro, mas é importante não desistir. ⚖️ Se você é uma pessoa com TDAH e tem dificuldade em manter sua casa, escritório ou espaço de trabalho organizado, lembre-se de que há muitas pessoas como você e que há recursos disponíveis para ajudá-lo. Com paciência, apoio e as estratégias certas, é possível lidar com a bagunça e a desorganização e viver uma vida mais tranquila e organizada. 😀 Ib: @lifeactuator #saudemental #tdah #tdahadulto #tdahdescomplicado #tdahtiktok </t>
  </si>
  <si>
    <t>Coisas que quem tem
TDAH faz</t>
  </si>
  <si>
    <t>7216726134147222277</t>
  </si>
  <si>
    <t>https://v16-webapp-prime.tiktok.com/video/tos/useast2a/tos-useast2a-v-27dcd7/87db1e09e5454cbaae27f5060782636d/?a=1988&amp;bti=ODszNWYuMDE6&amp;ch=0&amp;cr=0&amp;dr=0&amp;er=0&amp;lr=default&amp;cd=0%7C0%7C0%7C0&amp;br=250&amp;bt=125&amp;ds=5&amp;ft=GNDpcInz7ThUK-UPXq8Zmo&amp;mime_type=audio_mpeg&amp;qs=13&amp;rc=M2dlOzY6ZmZpajMzNzU8M0BpM2dlOzY6ZmZpajMzNzU8M0AyNHFhcjRvYGdgLS1kMTZzYSMyNHFhcjRvYGdgLS1kMTZzcw%3D%3D&amp;btag=e00078000&amp;expire=1763004170&amp;l=202511131022270BBA173F4561DD71A814&amp;ply_type=3&amp;policy=3&amp;signature=3902f5bf235878402c56c7d54b5d317c&amp;tk=7571587458748974088</t>
  </si>
  <si>
    <t>7343000539992444166</t>
  </si>
  <si>
    <t>Você já pensou sobre como nossas diferenças podem ser complementares? A magia acontece quando a mente criativa e inquieta do TDAH encontra o foco meticuloso de alguém com uma abordagem mais organizada. Juntos, transformamos o caos em ordem, ideias em realidades! 🔍 Henry Ford começou com o Modelo A e, após muitos erros e aprendizados, chegou ao icônico Modelo T. Ele precisou de alguém que organizasse suas visões revolucionárias - e assim a história foi feita. 🤝 Acredite, a verdadeira força surge na união de diferentes talentos. Seja no amor ou na carreira, encontrar alguém que complemente suas habilidades pode mudar tudo! ➡️ Qual é a peça que complementa o seu quebra-cabeça? Marque alguém que organiza sua 'bagunça' e transforma suas ideias em ações.</t>
  </si>
  <si>
    <t>7343000547505228550</t>
  </si>
  <si>
    <t>https://v16-webapp-prime.tiktok.com/video/tos/useast2a/tos-useast2a-v-27dcd7/o87HU0ApEiEJw5AgelyKnBBA8EstkiAPoBiiDE/?a=1988&amp;bti=ODszNWYuMDE6&amp;ch=0&amp;cr=0&amp;dr=0&amp;er=0&amp;lr=default&amp;cd=0%7C0%7C0%7C0&amp;br=250&amp;bt=125&amp;ds=5&amp;ft=GNDpcInz7ThJzKvPXq8Zmo&amp;mime_type=audio_mpeg&amp;qs=13&amp;rc=ajc5ZW45cjpzcTMzNzU8M0Bpajc5ZW45cjpzcTMzNzU8M0BoMTZlMmQ0NWdgLS1kMTZzYSNoMTZlMmQ0NWdgLS1kMTZzcw%3D%3D&amp;btag=e00050000&amp;expire=1764559365&amp;l=20251201102141EAAE30DD17435761F356&amp;ply_type=3&amp;policy=3&amp;signature=d9fcf04b3e5fa47126efe00aac0b46cd&amp;tk=7571587458748974088</t>
  </si>
  <si>
    <t>https://p16-sign-va.tiktokcdn.com/tos-maliva-avt-0068/ebc42eb348fcf29a09bcbf1c40faef80~tplv-tiktokx-cropcenter:1080:1080.jpeg?dr=14579&amp;refresh_token=c851a96f&amp;x-expires=1763172000&amp;x-signature=xRYUydVyQywq7mRIU3wM5mAZkfw%3D&amp;t=4d5b0474&amp;ps=13740610&amp;shp=a5d48078&amp;shcp=81f88b70&amp;idc=my</t>
  </si>
  <si>
    <t>https://v16-webapp-prime.tiktok.com/video/tos/maliva/tos-maliva-ve-0068c801-us/oAKrCBmhIkpNks8d9oQ37U4EIAPykHzAmTjgfA/?a=1988&amp;bti=ODszNWYuMDE6&amp;ch=0&amp;cr=3&amp;dr=0&amp;lr=all&amp;cd=0%7C0%7C0%7C&amp;cv=1&amp;br=1358&amp;bt=679&amp;cs=0&amp;ds=3&amp;ft=I~da4oKyD12NviW0i.IxRHqNglBF-UjNSqopiX&amp;mime_type=video_mp4&amp;qs=0&amp;rc=NzdnZzZnNDY5Z2VmZTppN0BpamVsdDo6ZjxpajMzNzczM0A2YjRfLTAxNTAxNWE1Yi02YSNiNmA0cjRnYGdgLS1kMTZzcw%3D%3D&amp;btag=e000b8000&amp;expire=1763173370&amp;l=202511131022270BBA173F4561DD71A814&amp;ply_type=2&amp;policy=2&amp;signature=4076194b89b66ab799591a34ea9ab661&amp;tk=tt_chain_token</t>
  </si>
  <si>
    <t>https://v16-webapp-prime.tiktok.com/video/tos/useast2a/tos-useast2a-ve-0068c004/ooninlcCIoyCkn8AKnsBPguITMAiQ7eoHL2yEu/?a=1988&amp;bti=ODszNWYuMDE6&amp;ch=0&amp;cr=3&amp;dr=0&amp;lr=all&amp;cd=0%7C0%7C0%7C&amp;cv=1&amp;br=2060&amp;bt=1030&amp;cs=0&amp;ds=3&amp;ft=-Csk_mrMPD12NWDh5d-Uxvt2hY6e3wv251cAp&amp;mime_type=video_mp4&amp;qs=0&amp;rc=Njc1NDxkO2ZmZTNkNWc1NUBpM2R3ZWw5cmZzcTMzNzczM0AwLjYwNjIyNWMxNWExNDU0YSNrbGhoMmQ0M2dgLS1kMTZzcw%3D%3D&amp;btag=e00090000&amp;expire=1764728565&amp;l=20251201102141EAAE30DD17435761F356&amp;ply_type=2&amp;policy=2&amp;signature=630585004b964259c443f7d9f0d1db11&amp;tk=tt_chain_token</t>
  </si>
  <si>
    <t>https://www.tiktok.com/@psicologo.mateus/video/7216726126473792773</t>
  </si>
  <si>
    <t>saudemental,tdah,tdahadulto,tdahdescomplicado,tdahtiktok</t>
  </si>
  <si>
    <t>7356422351115881733</t>
  </si>
  <si>
    <t>psichrisalmeida</t>
  </si>
  <si>
    <t>Chris Almeida | Psi TDAH</t>
  </si>
  <si>
    <t>https://p77-sign-va.tiktokcdn.com/tos-maliva-avt-0068/9990f37f58e531c49fc9931b44c233e0~tplv-tiktokx-cropcenter:100:100.jpeg?dr=14579&amp;refresh_token=ff7dc463&amp;x-expires=1763172000&amp;x-signature=XoKvNQIGqNmy0CL0CkJOVoxY7BY%3D&amp;t=4d5b0474&amp;ps=13740610&amp;shp=a5d48078&amp;shcp=81f88b70&amp;idc=my</t>
  </si>
  <si>
    <t xml:space="preserve">A hiperatividade do TDAH pode se apresentar de várias formas e essas são algumas delas... . ▪️Principalmente em adultos, a hiperatividade tende a diminuir e migrar para alguns comportamentos que fazem a pessoa parecer inquieta, agitada e impaciente. . . #reels #reelstdah #tdah #tdahadulto #autoconhecimento </t>
  </si>
  <si>
    <t>Cena Engraçada e Inusitada de 3 minutos</t>
  </si>
  <si>
    <t>7244541413978343426</t>
  </si>
  <si>
    <t>https://sf16-ies-music-sg.tiktokcdn.com/obj/tos-alisg-ve-2774/ooI0OzcW3AxCYwsQ5HMBgiiANJBBDhQGRfH1vo</t>
  </si>
  <si>
    <t>https://www.tiktok.com/@draanabeatriz11/video/7343000539992444166</t>
  </si>
  <si>
    <t>https://p16-sg.tiktokcdn.com/aweme/720x720/tos-alisg-v-2774/oAqAEjVDgb9ZCEfunAEAqpFPtqBOQifJBrAPDA.jpeg</t>
  </si>
  <si>
    <t>HarmonicoHCO</t>
  </si>
  <si>
    <t>https://v16-webapp-prime.tiktok.com/video/tos/useast2a/tos-useast2a-ve-0068c004/ocGCBf1JCikkEzQd6QzoiA8XIBI6A1cN8gjEjh/?a=1988&amp;bti=ODszNWYuMDE6&amp;ch=0&amp;cr=3&amp;dr=0&amp;lr=all&amp;cd=0%7C0%7C0%7C&amp;cv=1&amp;br=1848&amp;bt=924&amp;cs=0&amp;ds=3&amp;ft=-Csk_mrMPD12NXhopd-UxB6vSY6e3wv25rcAp&amp;mime_type=video_mp4&amp;qs=0&amp;rc=MzU1Njc0ZWc7N2hmPGhkPEBpandnaW85cjducjMzNzczM0BhYGMxYTAzNS8xLTZjMDYtYSMzbDFxMmRzM19gLS1kMTZzcw%3D%3D&amp;btag=e00088000&amp;expire=1763173386&amp;l=202511131022245A53A91EDE77CC8B0DB4&amp;ply_type=2&amp;policy=2&amp;signature=5ab224f44fb20f05639b0e632500d2a1&amp;tk=tt_chain_token</t>
  </si>
  <si>
    <t>7567100420649143570</t>
  </si>
  <si>
    <t>bickystaedler</t>
  </si>
  <si>
    <t>BICKY</t>
  </si>
  <si>
    <t>https://p16-sign-sg.tiktokcdn.com/tos-alisg-avt-0068/675a4796d868dc43e5e05fb0936a9bcf~tplv-tiktokx-cropcenter:100:100.jpeg?dr=14579&amp;refresh_token=8e9bc64b&amp;x-expires=1764727200&amp;x-signature=PPWGbWb9rXyQaebriSn6El8WH64%3D&amp;t=4d5b0474&amp;ps=13740610&amp;shp=a5d48078&amp;shcp=81f88b70&amp;idc=my</t>
  </si>
  <si>
    <t>https://www.tiktok.com/@psichrisalmeida/video/7356422351115881733</t>
  </si>
  <si>
    <t>CID F90 = tempero especial 💅🏻</t>
  </si>
  <si>
    <t>Eu vejo meu TDAH
como um superpoder Vantagens 
emocionais 
 &gt; Desvantagens
operacionais</t>
  </si>
  <si>
    <t>original sound</t>
  </si>
  <si>
    <t>reels,reelstdah,tdah,tdahadulto,autoconhecimento</t>
  </si>
  <si>
    <t>7567100791791160072</t>
  </si>
  <si>
    <t>https://v16-webapp-prime.tiktok.com/video/tos/alisg/tos-alisg-v-27dcd7/oUD72iAEoB0AggK8vwAuB0h9Ef7K2WAidCEAdA/?a=1988&amp;bti=ODszNWYuMDE6&amp;ch=0&amp;cr=0&amp;dr=0&amp;er=0&amp;lr=default&amp;cd=0%7C0%7C0%7C0&amp;br=250&amp;bt=125&amp;ds=5&amp;ft=GNDpcInz7ThizKvPXq8Zmo&amp;mime_type=audio_mpeg&amp;qs=13&amp;rc=anU2ZXA5cjh1NzMzODU8NEBpanU2ZXA5cjh1NzMzODU8NEBxb2hvMmRjcC5hLS1kMS1zYSNxb2hvMmRjcC5hLS1kMS1zcw%3D%3D&amp;btag=e00058000&amp;expire=1764559568&amp;l=20251201102147CB7160225F86D969BC26&amp;ply_type=3&amp;policy=3&amp;signature=2e1996f6bbbdb106c207e4c39011863a&amp;tk=7571587458748974088</t>
  </si>
  <si>
    <t>7240889823932796166</t>
  </si>
  <si>
    <t>povcain</t>
  </si>
  <si>
    <t>https://p16-sign-va.tiktokcdn.com/tos-maliva-avt-0068/82a8f4d5f157adbe58eb743cf62c65ba~tplv-tiktokx-cropcenter:100:100.jpeg?dr=14579&amp;refresh_token=f76df06f&amp;x-expires=1763172000&amp;x-signature=QFoHeXfmSEEr2aOiaz4q61iE%2BmU%3D&amp;t=4d5b0474&amp;ps=13740610&amp;shp=a5d48078&amp;shcp=81f88b70&amp;idc=my</t>
  </si>
  <si>
    <t>sobre TDAH #tdah  #tdahadulto #fy #humor   #memesbrasil</t>
  </si>
  <si>
    <t>VOCÊ TEM 
   TDAH?</t>
  </si>
  <si>
    <t>7240889878847097606</t>
  </si>
  <si>
    <t>https://v16-webapp-prime.tiktok.com/video/tos/useast2a/tos-useast2a-v-27dcd7/85639952c1d243229d5dc117546277d8/?a=1988&amp;bti=ODszNWYuMDE6&amp;ch=0&amp;cr=0&amp;dr=0&amp;er=0&amp;lr=default&amp;cd=0%7C0%7C0%7C0&amp;br=250&amp;bt=125&amp;ds=5&amp;ft=GNDpcInz7ThA9-UPXq8Zmo&amp;mime_type=audio_mpeg&amp;qs=13&amp;rc=M3RmNTM6ZnlmazMzNzU8M0BpM3RmNTM6ZnlmazMzNzU8M0BiMWFfcjRvcXJgLS1kMTZzYSNiMWFfcjRvcXJgLS1kMTZzcw%3D%3D&amp;btag=e00050000&amp;expire=1763004364&amp;l=20251113102449DDADD1FB7AF14A841409&amp;ply_type=3&amp;policy=3&amp;signature=2914cae99f96579ba80649cd1b38778c&amp;tk=7571587458748974088</t>
  </si>
  <si>
    <t>https://p16-sign-sg.tiktokcdn.com/tos-alisg-avt-0068/675a4796d868dc43e5e05fb0936a9bcf~tplv-tiktokx-cropcenter:1080:1080.jpeg?dr=14579&amp;refresh_token=5bc4e3dc&amp;x-expires=1764727200&amp;x-signature=jrIPs%2B8M7egHHe57US2OkziE%2FAY%3D&amp;t=4d5b0474&amp;ps=13740610&amp;shp=a5d48078&amp;shcp=81f88b70&amp;idc=my</t>
  </si>
  <si>
    <t>https://p16-sign-va.tiktokcdn.com/tos-maliva-avt-0068/82a8f4d5f157adbe58eb743cf62c65ba~tplv-tiktokx-cropcenter:1080:1080.jpeg?dr=14579&amp;refresh_token=317e6629&amp;x-expires=1763172000&amp;x-signature=nhUV2wDqOXNR0698OqoBXcppbvw%3D&amp;t=4d5b0474&amp;ps=13740610&amp;shp=a5d48078&amp;shcp=81f88b70&amp;idc=my</t>
  </si>
  <si>
    <t>https://v16-webapp-prime.tiktok.com/video/tos/useast2a/tos-useast2a-pve-0068/o4NsaRxRmy3xIohFzEbfyCYzAqFgPUI8dBkAQg/?a=1988&amp;bti=ODszNWYuMDE6&amp;ch=0&amp;cr=3&amp;dr=0&amp;lr=all&amp;cd=0%7C0%7C0%7C&amp;cv=1&amp;br=1190&amp;bt=595&amp;cs=0&amp;ds=3&amp;ft=I~da4oKyD12NvgA0i.IxRMb_glBF-UjNSaopiX&amp;mime_type=video_mp4&amp;qs=0&amp;rc=aTk1Nzc3NmU8NDQ3OWczOEBpM2trZzQ6ZnBmazMzNzczM0AwXjBiYmAvNi8xLTYxYjQ1YSNkamxtcjQwcXJgLS1kMTZzcw%3D%3D&amp;btag=e00090000&amp;expire=1763173564&amp;l=20251113102449DDADD1FB7AF14A841409&amp;ply_type=2&amp;policy=2&amp;signature=87fdc5cb38211f13504d80dfe7fa8a0d&amp;tk=tt_chain_token</t>
  </si>
  <si>
    <t>https://v16-webapp-prime.tiktok.com/video/tos/alisg/tos-alisg-pve-0037c001/oM3AYEQ0v04rAQiviEsIJDdOYEBaBV58jihQx/?a=1988&amp;bti=ODszNWYuMDE6&amp;ch=0&amp;cr=3&amp;dr=0&amp;lr=all&amp;cd=0%7C0%7C0%7C&amp;cv=1&amp;br=2758&amp;bt=1379&amp;cs=0&amp;ds=3&amp;ft=-Csk_mrMPD12N3Dh5d-UxIS5hY6e3wv25ocAp&amp;mime_type=video_mp4&amp;qs=0&amp;rc=Z2dkNTpnPDk5aDc6NTRmOkBpM3I7cW45cnJ1NzMzODczNEBhYTExMC00XzYxYmA2MzJiYSM1NWAxMmRrZy5hLS1kMTFzcw%3D%3D&amp;btag=e00098000&amp;expire=1764728768&amp;l=20251201102147CB7160225F86D969BC26&amp;ply_type=2&amp;policy=2&amp;signature=41e04985237a49fe25d7a16966a648cc&amp;tk=tt_chain_token</t>
  </si>
  <si>
    <t>https://www.tiktok.com/@povcain/video/7240889823932796166</t>
  </si>
  <si>
    <t>tdah,tdahadulto,fy,humor,memesbrasil</t>
  </si>
  <si>
    <t>7408563715177549061</t>
  </si>
  <si>
    <t>mariliadamasceno</t>
  </si>
  <si>
    <t>Marilia Damasceno</t>
  </si>
  <si>
    <t>https://p16-sign-va.tiktokcdn.com/tos-maliva-avt-0068/074c153b6aadae5cb7de5ab9ad8ea91d~tplv-tiktokx-cropcenter:100:100.jpeg?dr=14579&amp;refresh_token=a09fad69&amp;x-expires=1763172000&amp;x-signature=iUDLOjvHoUR%2B%2BRHEAvLWM96YqqY%3D&amp;t=4d5b0474&amp;ps=13740610&amp;shp=a5d48078&amp;shcp=81f88b70&amp;idc=my</t>
  </si>
  <si>
    <t>Kkkk TDHA altissimo #concurseiro #estudo #tdha #meme #fy #parati</t>
  </si>
  <si>
    <t>Eu lendo o mesmo parágrafo 5 vezes pq meu cérebro tá assim: </t>
  </si>
  <si>
    <t>7402932497791224581</t>
  </si>
  <si>
    <t>https://v16-webapp-prime.tiktok.com/video/tos/useast2a/tos-useast2a-v-27dcd7/o41xkfAQQVMS4IpWfVJnL1ffrAIKMhAAQFeb87/?a=1988&amp;bti=ODszNWYuMDE6&amp;ch=0&amp;cr=0&amp;dr=0&amp;er=0&amp;lr=default&amp;cd=0%7C0%7C0%7C0&amp;br=250&amp;bt=125&amp;ds=5&amp;ft=GNDpcInz7ThaV-UPXq8Zmo&amp;mime_type=audio_mpeg&amp;qs=13&amp;rc=anB5a285cnQ6dDMzNzU8M0BpanB5a285cnQ6dDMzNzU8M0BwcTRgMmRrc3JgLS1kMTZzYSNwcTRgMmRrc3JgLS1kMTZzcw%3D%3D&amp;btag=e00078000&amp;expire=1763004240&amp;l=20251113102343D1A0044B947998B9C2A2&amp;ply_type=3&amp;policy=3&amp;signature=2539ef37d51d408e89f391cf2401e5a7&amp;tk=7571587458748974088</t>
  </si>
  <si>
    <t>https://www.tiktok.com/@bickystaedler/video/7567100420649143570</t>
  </si>
  <si>
    <t>https://p16-sign-va.tiktokcdn.com/tos-maliva-avt-0068/f8cd260791f9a5f69fa224046cb052f6~tplv-tiktokx-cropcenter:1080:1080.jpeg?dr=14579&amp;refresh_token=0ef587d7&amp;x-expires=1763172000&amp;x-signature=mDDJPlL%2B8zGeR7YkTTVghTC6PRk%3D&amp;t=4d5b0474&amp;ps=13740610&amp;shp=a5d48078&amp;shcp=81f88b70&amp;idc=my</t>
  </si>
  <si>
    <t>7446054371571305733</t>
  </si>
  <si>
    <t>almanaquesos</t>
  </si>
  <si>
    <t>Almanaque SOS</t>
  </si>
  <si>
    <t>https://p77-sign-sg.tiktokcdn.com/tos-alisg-avt-0068/52d41b2050c6a63d5901041181b2726c~tplv-tiktokx-cropcenter:100:100.jpeg?dr=14579&amp;refresh_token=faa0f306&amp;x-expires=1764727200&amp;x-signature=OnE5XtG3DTEcDxAkrJxk5XSuyfY%3D&amp;t=4d5b0474&amp;ps=13740610&amp;shp=a5d48078&amp;shcp=81f88b70&amp;idc=my</t>
  </si>
  <si>
    <t>Izaias Moraes</t>
  </si>
  <si>
    <t>https://www.tiktok.com/@mariliadamasceno/video/7408563715177549061</t>
  </si>
  <si>
    <t>concurseiro,estudo,tdha,meme,fy,parati</t>
  </si>
  <si>
    <t>7260149803244457222</t>
  </si>
  <si>
    <t>cattarinalia</t>
  </si>
  <si>
    <t>https://p77-sign-va.tiktokcdn.com/tos-maliva-avt-0068/32df75d3b89fa1e2fb023193ee39e5b7~tplv-tiktokx-cropcenter:100:100.jpeg?dr=14579&amp;refresh_token=27ace12f&amp;x-expires=1763172000&amp;x-signature=z7vNydj54ET%2Fz6m9qMVRdASna%2Bw%3D&amp;t=4d5b0474&amp;ps=13740610&amp;shp=a5d48078&amp;shcp=81f88b70&amp;idc=my</t>
  </si>
  <si>
    <t>Cordões Que Dizem Muito 💙🌻  É importante pontuar que nem toda neurodiversidade é uma deficiência, como TDHA (Transtorno do Déficit de Atenção e Hiperatividade), dislexia e transtorno bipolar. E, para que a pessoa com deficiência oculta tenha acesso a direitos específicos e a políticas públicas, é necessário a apresentação de documentação comprobatória da deficiência. Descrição do vídeo: No vídeo, Dario está segurando três cordões. No cenário, há uma mesa e uma parede com uma arte gráfica das letras “SOS”. Ele começa o vídeo sentado de frente para a câmera. Atrás está o cenário. Enquanto explica sobre o uso dos cordões, ele se levanta, filma os cordões em outras perspectivas e situações cotidianas são simuladas por ele e por outra pessoa. As cenas, como uma fila de supermercado, acesso a um assento prioritário do transporte público e um atendimento em restaurante, são recriadas a partir de uma imagem estática. Com ajuda de inteligência artificial, a imagem dos influenciadores aparece sobre as fotos em episódios onde as pessoas com deficiência podem utilizam os cordões. Na simulação, não há falas, apenas gestos. Em cada aviso sonoro do vídeo, um texto surge na tela e destaca a fala do influenciador que faz a locução, que é um chamado para o enfrentamento ao capacitismo.</t>
  </si>
  <si>
    <t>7446054400247859974</t>
  </si>
  <si>
    <t>https://v16-webapp-prime.tiktok.com/video/tos/useast2a/tos-useast2a-v-27dcd7/ocAAkmIIICgOZvqejZLSroCeohY9eoEUGC2TA9/?a=1988&amp;bti=ODszNWYuMDE6&amp;ch=0&amp;cr=0&amp;dr=0&amp;er=0&amp;lr=default&amp;cd=0%7C0%7C0%7C0&amp;br=250&amp;bt=125&amp;ds=5&amp;ft=GNDpcInz7Th6zKvPXq8Zmo&amp;mime_type=audio_mpeg&amp;qs=13&amp;rc=M2x3bHk5cjZ1dzMzNzU8M0BpM2x3bHk5cjZ1dzMzNzU8M0BecjReMmQ0M15gLS1kMTZzYSNecjReMmQ0M15gLS1kMTZzcw%3D%3D&amp;btag=e00058000&amp;expire=1764559484&amp;l=202512011021446E702D323C03BE6BD085&amp;ply_type=3&amp;policy=3&amp;signature=127014f912c81a7b080d985ebf93d214&amp;tk=7571587458748974088</t>
  </si>
  <si>
    <t xml:space="preserve">No meu caso, recebo ordens de boa. Ou seja, nem tudo define um TDAH. É relativo. O que acha? #tdah #tdahadulto #psicologia #neurodivergente #adhd #humor #comedia </t>
  </si>
  <si>
    <t>Coisas que irritam
Profundamente
um TDAH Sons de 
mastigação
alheia Gente falando 
alto de manhã cedo.  Dificuldade em
Aceitar ordens. Ser interrompido
no hiperfoco
Coisas que irritam
profundamente 
um TDAH</t>
  </si>
  <si>
    <t>only love can hurt like this</t>
  </si>
  <si>
    <t>7076132581187652358</t>
  </si>
  <si>
    <t>https://v16-webapp-prime.tiktok.com/video/tos/useast2a/tos-useast2a-v-27dcd7/030ee3b7a0114b99ba3df7796256af1e/?a=1988&amp;bti=ODszNWYuMDE6&amp;ch=0&amp;cr=0&amp;dr=0&amp;er=0&amp;lr=default&amp;cd=0%7C0%7C0%7C0&amp;br=220&amp;bt=110&amp;ds=5&amp;ft=GNDpcInz7ThlV-UPXq8Zmo&amp;mime_type=audio_mp4&amp;qs=13&amp;rc=M3M8ZWY6ZjhxOzMzNzU8M0BpM3M8ZWY6ZjhxOzMzNzU8M0Bjc2NgcjRnZm1gLS1kMTZzYSNjc2NgcjRnZm1gLS1kMTZzcw%3D%3D&amp;btag=e00050000&amp;expire=1763004354&amp;l=20251113102257F8D01E3BFCE9B2911856&amp;ply_type=3&amp;policy=3&amp;signature=7be5a3043a2a767c8d8c4d5e267470f6&amp;tk=7571587458748974088</t>
  </si>
  <si>
    <t>https://p19-common-sign-useastred.tiktokcdn-eu.com/tos-useast2a-avt-0068-euttp/4d6119d2606f9134a63aacf1b3ba7545~tplv-tiktokx-cropcenter:1080:1080.jpeg?dr=14579&amp;refresh_token=d6d8394f&amp;x-expires=1763172000&amp;x-signature=H%2BD1oWH%2BZHD1zpXPSLQwtkYDims%3D&amp;t=4d5b0474&amp;ps=13740610&amp;shp=a5d48078&amp;shcp=81f88b70&amp;idc=my</t>
  </si>
  <si>
    <t>https://p16-sign-sg.tiktokcdn.com/tos-alisg-avt-0068/52d41b2050c6a63d5901041181b2726c~tplv-tiktokx-cropcenter:1080:1080.jpeg?dr=14579&amp;refresh_token=8765dda9&amp;x-expires=1764727200&amp;x-signature=QHOiE33%2Fa2v5DL4WyaVd29YbzN0%3D&amp;t=4d5b0474&amp;ps=13740610&amp;shp=a5d48078&amp;shcp=81f88b70&amp;idc=my</t>
  </si>
  <si>
    <t>&lt;3</t>
  </si>
  <si>
    <t>https://v16-webapp-prime.tiktok.com/video/tos/maliva/tos-maliva-ve-0068c801-us/oo6qTnmQ2beTBW6bEQRCdJked2RxwAO2DI7Bgc/?a=1988&amp;bti=ODszNWYuMDE6&amp;ch=0&amp;cr=3&amp;dr=0&amp;lr=all&amp;cd=0%7C0%7C0%7C&amp;cv=1&amp;br=2850&amp;bt=1425&amp;cs=0&amp;ds=3&amp;ft=-Csk_mrMPD12N4Yopd-Ux9T2bY6e3wv25IcAp&amp;mime_type=video_mp4&amp;qs=0&amp;rc=NzozaDo3O2VpaGk1Zjg1O0BpandxbTs6ZmhtbTMzNzczM0AtXjEvMGE0Xl4xNl8zYzZhYSNhZWtucjRnZy1gLS1kMTZzcw%3D%3D&amp;btag=e00090000&amp;expire=1763173455&amp;l=20251113102257F8D01E3BFCE9B2911856&amp;ply_type=2&amp;policy=2&amp;signature=689ec167e29dac15a8f1d62c45591c5f&amp;tk=tt_chain_token</t>
  </si>
  <si>
    <t>https://www.tiktok.com/@cattarinalia/video/7260149803244457222</t>
  </si>
  <si>
    <t>https://v16-webapp-prime.tiktok.com/video/tos/useast2a/tos-useast2a-pve-0068/oUHr5B3QOiCaqB9rCTLIgVGlIqAjQeeRg0eWS2/?a=1988&amp;bti=ODszNWYuMDE6&amp;ch=0&amp;cr=3&amp;dr=0&amp;lr=all&amp;cd=0%7C0%7C0%7C&amp;cv=1&amp;br=2734&amp;bt=1367&amp;cs=0&amp;ds=3&amp;ft=-Csk_mrMPD12NVDh5d-UxIS5hY6e3wv25ocAp&amp;mime_type=video_mp4&amp;qs=0&amp;rc=Z2k8ODloZTtkaGVkNDM6O0BpMzN3am45cmZ1dzMzNzczM0AzYDA1MzNeNWIxLWBeYWI0YSNeX2NyMmRrMl5gLS1kMTZzcw%3D%3D&amp;btag=e00098000&amp;expire=1764728684&amp;l=202512011021446E702D323C03BE6BD085&amp;ply_type=2&amp;policy=2&amp;signature=4879e77e64491fa7658136dfe52fa29a&amp;tk=tt_chain_token</t>
  </si>
  <si>
    <t>tdah,tdahadulto,psicologia,neurodivergente,adhd,humor,comedia</t>
  </si>
  <si>
    <t>Brown makeup</t>
  </si>
  <si>
    <t>7339985873351593222</t>
  </si>
  <si>
    <t>joaorostand</t>
  </si>
  <si>
    <t>João Rostand</t>
  </si>
  <si>
    <t>https://p16-sign-va.tiktokcdn.com/tos-maliva-avt-0068/9b657748b0b2620f98810c4ee65b50e4~tplv-tiktokx-cropcenter:100:100.jpeg?dr=14579&amp;refresh_token=20675ec2&amp;x-expires=1763172000&amp;x-signature=ewlmc4hVlczUd%2F4ejopMryjHWhs%3D&amp;t=4d5b0474&amp;ps=13740610&amp;shp=a5d48078&amp;shcp=81f88b70&amp;idc=my</t>
  </si>
  <si>
    <t>POR QUE É ASSIM?😩  #adhd #tdah #tdahadulto #tdahmemes #tdahtiktok</t>
  </si>
  <si>
    <t>A vida com
TDAH</t>
  </si>
  <si>
    <t>7339985905390668550</t>
  </si>
  <si>
    <t>https://v16-webapp-prime.tiktok.com/video/tos/useast2a/tos-useast2a-v-27dcd7/okfcKM5EAzJwAEqEsBFlC3DDQ5JRABwkfN3Usl/?a=1988&amp;bti=ODszNWYuMDE6&amp;ch=0&amp;cr=0&amp;dr=0&amp;er=0&amp;lr=default&amp;cd=0%7C0%7C0%7C0&amp;br=250&amp;bt=125&amp;ds=5&amp;ft=GNDpcInz7ThQ9-UPXq8Zmo&amp;mime_type=audio_mpeg&amp;qs=13&amp;rc=ank0OWw5cmxncTMzNzU8M0Bpank0OWw5cmxncTMzNzU8M0BwYGNnMmRrcGJgLS1kMTZzYSNwYGNnMmRrcGJgLS1kMTZzcw%3D%3D&amp;btag=e00048000&amp;expire=1763004279&amp;l=202511131024053FAEE14371AE44A729CC&amp;ply_type=3&amp;policy=3&amp;signature=c7cff97bcf0ef76c719830f6d2c54f99&amp;tk=7571587458748974088</t>
  </si>
  <si>
    <t>https://p16-sign-va.tiktokcdn.com/tos-maliva-avt-0068/9b657748b0b2620f98810c4ee65b50e4~tplv-tiktokx-cropcenter:1080:1080.jpeg?dr=14579&amp;refresh_token=7d963c40&amp;x-expires=1763172000&amp;x-signature=WfyfJCOSxWOV4%2BXdXVOLMQAjJbg%3D&amp;t=4d5b0474&amp;ps=13740610&amp;shp=a5d48078&amp;shcp=81f88b70&amp;idc=my</t>
  </si>
  <si>
    <t>https://www.tiktok.com/@almanaquesos/video/7446054371571305733</t>
  </si>
  <si>
    <t>https://v16-webapp-prime.tiktok.com/video/tos/alisg/tos-alisg-pve-0037c001/oYqG5bfyGReycWutAFLASNjBDCenLYCgIygxIu/?a=1988&amp;bti=ODszNWYuMDE6&amp;ch=0&amp;cr=3&amp;dr=0&amp;lr=all&amp;cd=0%7C0%7C0%7C&amp;cv=1&amp;br=2636&amp;bt=1318&amp;cs=0&amp;ds=3&amp;ft=-Csk_mrMPD12Nlcopd-UxB6vSY6e3wv25rcAp&amp;mime_type=video_mp4&amp;qs=0&amp;rc=M2ZkNjllOjNpZWU6N2ZkN0Bpamo5ZXU5cjtncTMzNzczM0BhXzUwMi4yXl4xNTNhYl5hYSNvLy9qMmQ0b2JgLS1kMTZzcw%3D%3D&amp;btag=e00088000&amp;expire=1763173479&amp;l=202511131024053FAEE14371AE44A729CC&amp;ply_type=2&amp;policy=2&amp;signature=a71fcd2d5855c083eb12f79eea5c771f&amp;tk=tt_chain_token</t>
  </si>
  <si>
    <t>7538834980567305477</t>
  </si>
  <si>
    <t>gustavotubarao</t>
  </si>
  <si>
    <t>Gustavo Tubarão</t>
  </si>
  <si>
    <t>https://p77-sign-va.tiktokcdn.com/tos-maliva-avt-0068/6781b5addc6a078b0d737acccf484359~tplv-tiktokx-cropcenter:100:100.jpeg?dr=14579&amp;refresh_token=3d5fc930&amp;x-expires=1764727200&amp;x-signature=2GUXN%2BTloh9liEvd1gpX9RSgOag%3D&amp;t=4d5b0474&amp;ps=13740610&amp;shp=a5d48078&amp;shcp=81f88b70&amp;idc=my</t>
  </si>
  <si>
    <t>https://www.tiktok.com/@joaorostand/video/7339985873351593222</t>
  </si>
  <si>
    <t>adhd,tdah,tdahadulto,tdahmemes,tdahtiktok</t>
  </si>
  <si>
    <t>Soft,Ring Glow Effect</t>
  </si>
  <si>
    <t>7407604517925047557</t>
  </si>
  <si>
    <t>igorpsicologo</t>
  </si>
  <si>
    <t>Psicólogo Igor</t>
  </si>
  <si>
    <t>https://p16-sign-va.tiktokcdn.com/tos-maliva-avt-0068/13a628e0ffd8c13e59721b894863e44e~tplv-tiktokx-cropcenter:100:100.jpeg?dr=14579&amp;refresh_token=8a646f5b&amp;x-expires=1763172000&amp;x-signature=wEMDy6bzR%2F81%2B%2BXiO4MKqevzG6s%3D&amp;t=4d5b0474&amp;ps=13740610&amp;shp=a5d48078&amp;shcp=81f88b70&amp;idc=my</t>
  </si>
  <si>
    <t>TDAH</t>
  </si>
  <si>
    <t>22:00 9:00</t>
  </si>
  <si>
    <t>QKThr</t>
  </si>
  <si>
    <t>6771810675950880769</t>
  </si>
  <si>
    <t>https://sf16-ies-music-sg.tiktokcdn.com/obj/tos-alisg-ve-2774/okFO7qyn6CJFBZ0dEpUifZIBQhqfYso9tqwgQD</t>
  </si>
  <si>
    <t>#tdah #saudemental #psicologia #psicologoonline #fyp #foryou #emocoes</t>
  </si>
  <si>
    <t>4 MANIAS “REPETITIVAS” de um TDAH ADULTO  1- OUVIR A MESMA “MÚSICA” VÁRIAS VEZES. 2- ASSISTIR A MESMA SÉRIE OU FILME REPETIDAS VEZES 3- SEMPRE FREQUENTA A MESMA LOJA OU RESTAURANTE  4- REPETIR COMPORTAMENTO E ATIVIDADES DE LAZER.</t>
  </si>
  <si>
    <t>7407604550582635269</t>
  </si>
  <si>
    <t>https://v16-webapp-prime.tiktok.com/video/tos/useast2a/tos-useast2a-v-27dcd7/oEA3AfqHDCDNFA9ofNEGjHERmCSEkIeg09T3IE/?a=1988&amp;bti=ODszNWYuMDE6&amp;ch=0&amp;cr=0&amp;dr=0&amp;er=0&amp;lr=default&amp;cd=0%7C0%7C0%7C0&amp;br=250&amp;bt=125&amp;ds=5&amp;ft=GNDpcInz7Th49-UPXq8Zmo&amp;mime_type=audio_mpeg&amp;qs=13&amp;rc=M2R1M3Q5cjprdTMzNzU8M0BpM2R1M3Q5cjprdTMzNzU8M0AxcXM2MmRzZjNgLS1kMTZzYSMxcXM2MmRzZjNgLS1kMTZzcw%3D%3D&amp;btag=e00050000&amp;expire=1763004320&amp;l=20251113102415EC11E565E652E77F00C9&amp;ply_type=3&amp;policy=3&amp;signature=62091de7cd6c4ee31f0588a3dc8b7dc7&amp;tk=7571587458748974088</t>
  </si>
  <si>
    <t>https://p77-sg.tiktokcdn.com/aweme/720x720/tos-alisg-v-2774/o4FO1Aen6CasBksAEgviHZRBQiUfIqMAtqSgID.jpeg</t>
  </si>
  <si>
    <t>Aphex Twin</t>
  </si>
  <si>
    <t>https://p77-sign-va.tiktokcdn.com/tos-maliva-avt-0068/13a628e0ffd8c13e59721b894863e44e~tplv-tiktokx-cropcenter:1080:1080.jpeg?dr=14579&amp;refresh_token=d1160263&amp;x-expires=1763172000&amp;x-signature=cQoG6Hy7RddlMnXZa7BCWHQVFb8%3D&amp;t=4d5b0474&amp;ps=13740610&amp;shp=a5d48078&amp;shcp=81f88b70&amp;idc=my</t>
  </si>
  <si>
    <t>https://v16-webapp-prime.tiktok.com/video/tos/useast2a/tos-useast2a-pve-0068/oAAwCIXRSIVAGjKRMIeeCLePZGclEqgHO7JXQg/?a=1988&amp;bti=ODszNWYuMDE6&amp;ch=0&amp;cr=3&amp;dr=0&amp;lr=all&amp;cd=0%7C0%7C0%7C&amp;cv=1&amp;br=2268&amp;bt=1134&amp;cs=0&amp;ds=3&amp;ft=-Csk_mrMPD12NKdh5d-Uxs12aY6e3wv252cAp&amp;mime_type=video_mp4&amp;qs=0&amp;rc=Z2g0aGZkZjg4aTU1NGRkaUBpM21xa2s5cjVvNTMzNzczM0BeX2I2XzYzNjQxMTVfL14uYSNlMS1sMmRrMGNhLS1kMTZzcw%3D%3D&amp;btag=e000b0000&amp;expire=1764728455&amp;l=20251201102042908EBE054CA4706238E0&amp;ply_type=2&amp;policy=2&amp;signature=3dcf5ebab38db4efe3ab70231779ef4d&amp;tk=tt_chain_token</t>
  </si>
  <si>
    <t>https://v16-webapp-prime.tiktok.com/video/tos/useast2a/tos-useast2a-ve-0068c002/oYrErGgXIbeEJEzBWN2DfBmRjZAFQBRQJCmmEP/?a=1988&amp;bti=ODszNWYuMDE6&amp;ch=0&amp;cr=3&amp;dr=0&amp;lr=all&amp;cd=0%7C0%7C0%7C&amp;cv=1&amp;br=2280&amp;bt=1140&amp;cs=0&amp;ds=3&amp;ft=-Csk_mrMPD12Nycopd-UxG4vXY6e3wv25McAp&amp;mime_type=video_mp4&amp;qs=0&amp;rc=Zmc5ZmU6NTplZGY2NDU3O0BpM3BobXg5cnBrdTMzNzczM0AwLmJjL2AtNS4xXzFeMDNhYSNnLXFhMmRjZTNgLS1kMTZzcw%3D%3D&amp;btag=e00090000&amp;expire=1763173520&amp;l=20251113102415EC11E565E652E77F00C9&amp;ply_type=2&amp;policy=2&amp;signature=fea25abdc9417914da861c02951d471e&amp;tk=tt_chain_token</t>
  </si>
  <si>
    <t>https://www.tiktok.com/@igorpsicologo/video/7407604517925047557</t>
  </si>
  <si>
    <t>tdah,saudemental,psicologia,psicologoonline,fyp,foryou,emocoes</t>
  </si>
  <si>
    <t>7384565805939264773</t>
  </si>
  <si>
    <t>claralisle</t>
  </si>
  <si>
    <t>Clara Lisle</t>
  </si>
  <si>
    <t>https://www.tiktok.com/@gustavotubarao/video/7538834980567305477</t>
  </si>
  <si>
    <t>https://p16-sign-sg.tiktokcdn.com/tos-alisg-avt-0068/9832aa685b2cfe94db09e06f702f0a77~tplv-tiktokx-cropcenter:100:100.jpeg?dr=14579&amp;refresh_token=7f323dc4&amp;x-expires=1763172000&amp;x-signature=ZYpVkRaxkusjJF3GuxG54nOp0tI%3D&amp;t=4d5b0474&amp;ps=13740610&amp;shp=a5d48078&amp;shcp=81f88b70&amp;idc=my</t>
  </si>
  <si>
    <t>GFJGF</t>
  </si>
  <si>
    <t>Se identifica??🤣🤣 #tdah #tdahadulto #tdahhumor #tdahmemes #terapeuta</t>
  </si>
  <si>
    <t>7384565817478417158</t>
  </si>
  <si>
    <t>https://v16-webapp-prime.tiktok.com/video/tos/useast2a/tos-useast2a-v-27dcd7/ooMAS8s5FCyQnELTyCwQIwSAA9oHgfeHq8fGIM/?a=1988&amp;bti=ODszNWYuMDE6&amp;ch=0&amp;cr=0&amp;dr=0&amp;er=0&amp;lr=default&amp;cd=0%7C0%7C0%7C0&amp;br=250&amp;bt=125&amp;ds=5&amp;ft=GNDpcInz7Th4K-UPXq8Zmo&amp;mime_type=audio_mpeg&amp;qs=13&amp;rc=amY6N3Y5cjNtczMzNzU8M0BpamY6N3Y5cjNtczMzNzU8M0BlbGRrMmRrc3FgLS1kMTZzYSNlbGRrMmRrc3FgLS1kMTZzcw%3D%3D&amp;btag=e00048000&amp;expire=1763004162&amp;l=2025111310220790E74D25ACF9796D8D06&amp;ply_type=3&amp;policy=3&amp;signature=1dbf7e2ed95a8b23048fe368a546c954&amp;tk=7571587458748974088</t>
  </si>
  <si>
    <t>7355855148909890822</t>
  </si>
  <si>
    <t>musadumont</t>
  </si>
  <si>
    <t>Musa Dumont</t>
  </si>
  <si>
    <t>https://p16-sign-va.tiktokcdn.com/tos-maliva-avt-0068/7321752650215129093~tplv-tiktokx-cropcenter:100:100.jpeg?dr=14579&amp;refresh_token=8da1a5b8&amp;x-expires=1764727200&amp;x-signature=P3mWLZnAsUOkqtQ7J82OcXAfXrc%3D&amp;t=4d5b0474&amp;ps=13740610&amp;shp=a5d48078&amp;shcp=81f88b70&amp;idc=my</t>
  </si>
  <si>
    <t>https://p77-sign-sg.tiktokcdn.com/tos-alisg-avt-0068/9832aa685b2cfe94db09e06f702f0a77~tplv-tiktokx-cropcenter:1080:1080.jpeg?dr=14579&amp;refresh_token=8a8a26c2&amp;x-expires=1763172000&amp;x-signature=sU5tTwK2XB%2FfCIEXt2tigwfL%2BuY%3D&amp;t=4d5b0474&amp;ps=13740610&amp;shp=a5d48078&amp;shcp=81f88b70&amp;idc=my</t>
  </si>
  <si>
    <t>https://v16-webapp-prime.tiktok.com/video/tos/alisg/tos-alisg-pve-0037c001/oQ2DigAimIcxjIQop8CPu9EZImhhBfdAk7wzwo/?a=1988&amp;bti=ODszNWYuMDE6&amp;ch=0&amp;cr=3&amp;dr=0&amp;lr=all&amp;cd=0%7C0%7C0%7C&amp;cv=1&amp;br=1468&amp;bt=734&amp;cs=0&amp;ds=3&amp;ft=-Csk_mrMPD12Nyhopd-UxFN2aY6e3wv25ycAp&amp;mime_type=video_mp4&amp;qs=0&amp;rc=N2Q7NWk4Z2RlOGY5OTw6NkBpM2h0dms5cmptczMzNzczM0AwXl80Mi9gNjIxNDI0Ly01YSNnYTNoMmRzcXFgLS1kMTZzcw%3D%3D&amp;btag=e00088000&amp;expire=1763173362&amp;l=2025111310220790E74D25ACF9796D8D06&amp;ply_type=2&amp;policy=2&amp;signature=4688c0a6b4c6426ec97db0cdc215d436&amp;tk=tt_chain_token</t>
  </si>
  <si>
    <t>Acho que toda mãe tem TDAH… Tu tbm é assim? 😅</t>
  </si>
  <si>
    <t>O dia de uma pessoa 
com TDAH 😅</t>
  </si>
  <si>
    <t>Som Da Lata</t>
  </si>
  <si>
    <t>7354832120886183953</t>
  </si>
  <si>
    <t>https://p16-sign-sg.tiktokcdn.com/tos-alisg-v-2774/okAIgEmAZKYImChfjAmEAcWiEzGDtBF3QH4Bey~720x720.jpeg?lk3s=08d74b56&amp;x-expires=1764577215&amp;x-signature=v753JKSgWCMuI6P26MUYlNw%2BgPc%3D</t>
  </si>
  <si>
    <t>https://www.tiktok.com/@claralisle/video/7384565805939264773</t>
  </si>
  <si>
    <t>Dj Três</t>
  </si>
  <si>
    <t>https://v16-webapp-prime.tiktok.com/video/tos/alisg/tos-alisg-pve-0037c001/ooeICK1SKRAnmhhJLe7t4eAVMgInaCGBMg6jAL/?a=1988&amp;bti=ODszNWYuMDE6&amp;ch=0&amp;cr=3&amp;dr=0&amp;lr=all&amp;cd=0%7C0%7C0%7C&amp;cv=1&amp;br=2014&amp;bt=1007&amp;cs=0&amp;ds=3&amp;ft=-Csk_mrMPD12N0dh5d-UxPO2hY6e3wv252cAp&amp;mime_type=video_mp4&amp;qs=0&amp;rc=ZDU5PDk0PGg6aTg7NWhmaEBpanN0O3M5cmhtcjMzNzczM0BiXi4zLjZhNi4xY2MxMGBhYSNlMmdvMmRrb15gLS1kMTZzcw%3D%3D&amp;btag=e00090000&amp;expire=1764728478&amp;l=20251201102014E2CB5F4C19000C61E683&amp;ply_type=2&amp;policy=2&amp;signature=80c9a530f659fef20453e51294fadd55&amp;tk=tt_chain_token</t>
  </si>
  <si>
    <t>tdah,tdahadulto,tdahhumor,tdahmemes,terapeuta</t>
  </si>
  <si>
    <t>7257936743163301126</t>
  </si>
  <si>
    <t>https://p77-sign-va.tiktokcdn.com/tos-maliva-avt-0068/924cd2a569ead49e262b2573224c311d~tplv-tiktokx-cropcenter:100:100.jpeg?dr=14579&amp;refresh_token=8ec138bd&amp;x-expires=1763172000&amp;x-signature=igHZ3raDMR2tbvP%2BZSLDa2z0oPY%3D&amp;t=4d5b0474&amp;ps=13740610&amp;shp=a5d48078&amp;shcp=81f88b70&amp;idc=my</t>
  </si>
  <si>
    <t>Você consegue adivinhar qual das duas possui TDAH? 🤔 #tdahinfantil #terapiatdah #tdahta</t>
  </si>
  <si>
    <t>Experience (Cover Ludovico Einaudi)</t>
  </si>
  <si>
    <t>7111571383352379400</t>
  </si>
  <si>
    <t>https://p16-sign-sg.tiktokcdn.com/tos-alisg-v-2774/1230945312bd4c8da2a75413d6267791~720x720.jpeg?lk3s=08d74b56&amp;x-expires=1763022374&amp;x-signature=A25dXQw5snCkNMv8zUhoQaSuZks%3D</t>
  </si>
  <si>
    <t>北昼</t>
  </si>
  <si>
    <t>https://v16-webapp-prime.tiktok.com/video/tos/useast2a/tos-useast2a-ve-0068c001/oY9qEAtmkXUQvXISCioVI3fhZ2F6Ty5zzigKAq/?a=1988&amp;bti=ODszNWYuMDE6&amp;ch=0&amp;cr=3&amp;dr=0&amp;lr=all&amp;cd=0%7C0%7C0%7C&amp;cv=1&amp;br=596&amp;bt=298&amp;cs=0&amp;ds=3&amp;ft=-Csk_mrMPD12NF_opd-UxbX5bY6e3wv25zcAp&amp;mime_type=video_mp4&amp;qs=0&amp;rc=ZTdpN2UzZDU6OTZpZmlkaEBpanRxPDc6ZmtvbDMzNzczM0AvXjNiMF4wXi8xYzM0Y2A1YSNrY2ZpcjRfcXBgLS1kMTZzcw%3D%3D&amp;btag=e00090000&amp;expire=1763173720&amp;l=20251113102614E0AE0D1C94494C7B69A1&amp;ply_type=2&amp;policy=2&amp;signature=c4c3ad7acf829aa8c93f521beef7ba62&amp;tk=tt_chain_token</t>
  </si>
  <si>
    <t>https://www.tiktok.com/@musadumont/video/7355855148909890822</t>
  </si>
  <si>
    <t>https://www.tiktok.com/@lorenatdahta/video/7257936743163301126</t>
  </si>
  <si>
    <t>7230465344375180549</t>
  </si>
  <si>
    <t>https://p77-sign-va.tiktokcdn.com/tos-maliva-avt-0068/924cd2a569ead49e262b2573224c311d~tplv-tiktokx-cropcenter:100:100.jpeg?dr=14579&amp;refresh_token=7cf73781&amp;x-expires=1764727200&amp;x-signature=bThaw9XTMMBggQoc7uI1iUcXr2g%3D&amp;t=4d5b0474&amp;ps=13740610&amp;shp=a5d48078&amp;shcp=81f88b70&amp;idc=my</t>
  </si>
  <si>
    <t>tdahinfantil,terapiatdah,tdahta</t>
  </si>
  <si>
    <t>7456957972246187270</t>
  </si>
  <si>
    <t>gmrlopes</t>
  </si>
  <si>
    <t>Geovana Lopes 🦁</t>
  </si>
  <si>
    <t>https://p77-sign-va.tiktokcdn.com/tos-maliva-avt-0068/537c2e54e34424e435f89ef9f03582d2~tplv-tiktokx-cropcenter:100:100.jpeg?dr=14579&amp;refresh_token=fc7f6c17&amp;x-expires=1763172000&amp;x-signature=gENlyOEUCsDD2vTbafTzlLIcJ6Q%3D&amp;t=4d5b0474&amp;ps=13740610&amp;shp=a5d48078&amp;shcp=81f88b70&amp;idc=my</t>
  </si>
  <si>
    <t>Relato de uma TDAH #fyp #tdah</t>
  </si>
  <si>
    <t>TDAH NÃO SENTE SAUDADE</t>
  </si>
  <si>
    <t>Lay All Your Love On Me</t>
  </si>
  <si>
    <t>7001822718018455553</t>
  </si>
  <si>
    <t>https://sf16-ies-music-sg.tiktokcdn.com/obj/tos-alisg-ve-2774/f8d01e4cfcae4e30829388665c48738d</t>
  </si>
  <si>
    <t>O universo totalmente particular da mente de um TDAH. 🤯🌪️ A animação traz de forma divertida, aspectos do funcionamento do cérebro de um portador do transtorno. A bagunça, o caos e desconcentração... Mas ao mesmo tempo a criatividade e seu universo próprio.</t>
  </si>
  <si>
    <t>O UNIVERSO PARTICULAR
DA MENTE TDAH</t>
  </si>
  <si>
    <t>https://p77-sg.tiktokcdn.com/aweme/720x720/tos-alisg-v-2774/ogBpC8CNfFBA8tHAImEDtmfGIA5Ogk6IBQo3AZ.jpeg</t>
  </si>
  <si>
    <t>7230465392682322693</t>
  </si>
  <si>
    <t>ABBA</t>
  </si>
  <si>
    <t>https://v16-webapp-prime.tiktok.com/video/tos/useast2a/tos-useast2a-pve-0068/ooNECjfDSQrljsOIM3A47f7G4CeAUE9TFgQPIg/?a=1988&amp;bti=ODszNWYuMDE6&amp;ch=0&amp;cr=3&amp;dr=0&amp;lr=all&amp;cd=0%7C0%7C0%7C&amp;cv=1&amp;br=2214&amp;bt=1107&amp;cs=0&amp;ds=3&amp;ft=-Csk_mrMPD12NDhopd-Ux2.2GY6e3wv25rcAp&amp;mime_type=video_mp4&amp;qs=0&amp;rc=M2Q5NzQzPDM2OTdlaDRkOUBpM3c6M285cm05dzMzNzczM0BgXzExX2AuXmIxNS0vMjJjYSNyYGZnMmRzcnJgLS1kMTZzcw%3D%3D&amp;btag=e00090000&amp;expire=1763173416&amp;l=20251113102236D675DBC36011DA84E058&amp;ply_type=2&amp;policy=2&amp;signature=61214dd4ebe8d8249c4c99ed7d816778&amp;tk=tt_chain_token</t>
  </si>
  <si>
    <t>https://v16-webapp-prime.tiktok.com/video/tos/useast2a/tos-useast2a-v-27dcd7/512c49cba05d4899871edfe391c80383/?a=1988&amp;bti=ODszNWYuMDE6&amp;ch=0&amp;cr=0&amp;dr=0&amp;er=0&amp;lr=default&amp;cd=0%7C0%7C0%7C0&amp;br=250&amp;bt=125&amp;ds=5&amp;ft=GNDpcInz7ThkPKvPXq8Zmo&amp;mime_type=audio_mpeg&amp;qs=13&amp;rc=amxsNWc6ZjN2azMzNzU8M0BpamxsNWc6ZjN2azMzNzU8M0BzZWxpcjQwYF9gLS1kMTZzYSNzZWxpcjQwYF9gLS1kMTZzcw%3D%3D&amp;btag=e00050000&amp;expire=1764559360&amp;l=2025120110204563AE4C62401D615C8166&amp;ply_type=3&amp;policy=3&amp;signature=e44731fdc57ecff37e21867dd205c9d1&amp;tk=7571587458748974088</t>
  </si>
  <si>
    <t>https://www.tiktok.com/@gmrlopes/video/7456957972246187270</t>
  </si>
  <si>
    <t>fyp,tdah</t>
  </si>
  <si>
    <t>7383842849407782149</t>
  </si>
  <si>
    <t>Quando se é TDAH, não se sente antes de terminar. É uma armadilha! 💀🫠_____________________________ Adorei dublar e fazer a adaptação dessa animação do @neurodivers.show . Mais um hiperfoco aleatório que eu descubro e levo o domingo todo fazendo! 🤣🤯 _____________________________ #tdahta #tdahhumor #tdahdesorganizado #tdahmemes #tdahbrasil</t>
  </si>
  <si>
    <t>som original - Lorena TDAHTA🐈‍⬛</t>
  </si>
  <si>
    <t>7383842874171542278</t>
  </si>
  <si>
    <t>https://v16-webapp-prime.tiktok.com/video/tos/useast2a/tos-useast2a-v-27dcd7/ooAUAe4eGCDMLAjo7xIWVKIf8CSIs2xg50TAvE/?a=1988&amp;bti=ODszNWYuMDE6&amp;ch=0&amp;cr=0&amp;dr=0&amp;er=0&amp;lr=default&amp;cd=0%7C0%7C0%7C0&amp;br=250&amp;bt=125&amp;ds=5&amp;ft=GNDpcInz7ThRK-UPXq8Zmo&amp;mime_type=audio_mpeg&amp;qs=13&amp;rc=anY6bXg5cnlkczMzNzU8M0BpanY6bXg5cnlkczMzNzU8M0BhZW5hMmRjb3BgLS1kMTZzYSNhZW5hMmRjb3BgLS1kMTZzcw%3D%3D&amp;btag=e00048000&amp;expire=1763004185&amp;l=202511131022245A53A91EDE77CC8B0DB4&amp;ply_type=3&amp;policy=3&amp;signature=b3617a18efc5ad44e9f0b84840466aad&amp;tk=7571587458748974088</t>
  </si>
  <si>
    <t>https://p16-sign-va.tiktokcdn.com/tos-maliva-avt-0068/924cd2a569ead49e262b2573224c311d~tplv-tiktokx-cropcenter:1080:1080.jpeg?dr=14579&amp;refresh_token=5949444d&amp;x-expires=1764727200&amp;x-signature=8Z589VEOLIito0uRxQQeH568oE8%3D&amp;t=4d5b0474&amp;ps=13740610&amp;shp=a5d48078&amp;shcp=81f88b70&amp;idc=my</t>
  </si>
  <si>
    <t>https://p3-sg.tiktokcdn.com/aweme/720x720/tiktok-obj/7384014270524803857.jpeg</t>
  </si>
  <si>
    <t>https://v16-webapp-prime.tiktok.com/video/tos/useast2a/tos-useast2a-ve-0068c001/ooBKjfXEhU9IQMVBeYNJRG7ARwYnkzJMBQUwB8/?a=1988&amp;bti=ODszNWYuMDE6&amp;ch=0&amp;cr=3&amp;dr=0&amp;lr=all&amp;cd=0%7C0%7C0%7C&amp;cv=1&amp;br=960&amp;bt=480&amp;cs=0&amp;ds=3&amp;ft=-Csk_mrMPD12Nqdh5d-UxgS5hY6e3wv25icAp&amp;mime_type=video_mp4&amp;qs=0&amp;rc=MzQ1aGZnZjlpPDs6OmlnNEBpajZqcGQ6Znd2azMzNzczM0AvLjEtNjViX2ExMmNeLy5hYSM1MC5fcjRnNl9gLS1kMTZzcw%3D%3D&amp;btag=e00090000&amp;expire=1764728560&amp;l=2025120110204563AE4C62401D615C8166&amp;ply_type=2&amp;policy=2&amp;signature=bbf519e6ca3d25ff09ec9c4cf3690b22&amp;tk=tt_chain_token</t>
  </si>
  <si>
    <t>Lorena TDAHTA🐈‍⬛</t>
  </si>
  <si>
    <t>https://v16-webapp-prime.tiktok.com/video/tos/useast2a/tos-useast2a-ve-0068c002/ooEBMeQ6qseKICIRTdzCCqKAilSg4vCIigfijr/?a=1988&amp;bti=ODszNWYuMDE6&amp;ch=0&amp;cr=3&amp;dr=0&amp;lr=all&amp;cd=0%7C0%7C0%7C&amp;br=848&amp;bt=424&amp;cs=0&amp;ds=3&amp;ft=-Csk_mrMPD12NXhopd-UxB6vSY6e3wv25rcAp&amp;mime_type=video_mp4&amp;qs=0&amp;rc=N2RpOjY1NzM4ZTZkM2U4OUBpM2lscnQ5cnlkczMzNzczM0AzXy5iMi4yX2ExXl5hMl8zYSMxaWk1MmRjbXBgLS1kMTZzcw%3D%3D&amp;btag=e00088000&amp;expire=1763173385&amp;l=202511131022245A53A91EDE77CC8B0DB4&amp;ply_type=2&amp;policy=2&amp;signature=70a97bae94bf0089d2e0a1d7b294687c&amp;tk=tt_chain_token</t>
  </si>
  <si>
    <t>https://www.tiktok.com/@lorenatdahta/video/7383842849407782149</t>
  </si>
  <si>
    <t>tdahta,tdahhumor,tdahdesorganizado,tdahmemes,tdahbrasil</t>
  </si>
  <si>
    <t>7250209855347100934</t>
  </si>
  <si>
    <t xml:space="preserve">As manias são comportamentos que podem ser comuns em pessoas com TDAH. Embora nem todos os indivíduos com TDAH apresentem essas características, é importante destacar que algumas pessoas com o transtorno podem desenvolver certas manias como uma forma de lidar com a agitação mental e física que frequentemente acompanha essa condição. Uma das manias mais comuns em pessoas com TDAH é balançar a perna de forma rítmica ou incessante. Esse movimento repetitivo ajuda a aliviar a inquietude e proporciona uma sensação de alívio temporário. Outra mania frequente é a escoriação, que envolve arrancar a pele, espremer espinhas e cravos. Essa atividade pode ser uma forma de canalizar a hiperatividade e a ansiedade, embora seja importante ressaltar que a escoriação excessiva pode resultar em danos à pele e até em infecções. Gesticular muito com as mãos também é uma mania comum em pessoas com TDAH. Esses gestos expressivos podem acompanhar a fala e podem ajudar a pessoa a se concentrar ou expressar seus pensamentos e emoções. Arrancar ou enrolar o cabelo com as mãos é outra mania que algumas pessoas com TDAH podem apresentar. Essa ação repetitiva pode ocorrer como uma forma de alívio do estresse ou ansiedade, proporcionando uma sensação reconfortante. Além disso, falar sozinho é uma mania observada em algumas pessoas com TDAH. Embora possa parecer estranho para os outros, conversar consigo mesmo pode ajudar a organizar os pensamentos e concentrar-se em tarefas. É importante ressaltar que essas manias podem variar de pessoa para pessoa e nem todos os indivíduos com TDAH as manifestam. ⚠️SIGA @psicologo.mateus PARA MAIS CONTEÚDOS! #terapia #psicologo #psicologia #terapiacognitivo #saudemental #tdah #tdahadulto #tdahinfantil #tdahdescomplicado #tdahadultos #tdahcomamor #tdahmemes #tdahtiktok </t>
  </si>
  <si>
    <t>Car Keys (Ayla)</t>
  </si>
  <si>
    <t>7249458703392180226</t>
  </si>
  <si>
    <t>https://sf16-ies-music-sg.tiktokcdn.com/obj/tos-alisg-ve-2774/ocSaveTtDMSIgOmr0bbheqwCZpKCknQTBJPJBj</t>
  </si>
  <si>
    <t>https://p16-sg.tiktokcdn.com/aweme/720x720/tos-alisg-v-2774/oYmnYiChAvs2AEFEtAfyBACzw0o4AAcTt4UWqO.jpeg</t>
  </si>
  <si>
    <t>https://www.tiktok.com/@lorenatdahta/video/7230465344375180549</t>
  </si>
  <si>
    <t>Alok &amp; Ava Max</t>
  </si>
  <si>
    <t>https://v16-webapp-prime.tiktok.com/video/tos/useast2a/tos-useast2a-pve-0068/oUJYSZd5GC8IeAejKCNEr4lQDOIeg6bSXt6nDT/?a=1988&amp;bti=ODszNWYuMDE6&amp;ch=0&amp;cr=3&amp;dr=0&amp;lr=all&amp;cd=0%7C0%7C0%7C&amp;cv=1&amp;br=1668&amp;bt=834&amp;cs=0&amp;ds=3&amp;ft=I~da4oKyD12NviW0i.IxRHqNglBF-UjNSqopiX&amp;mime_type=video_mp4&amp;qs=0&amp;rc=MzppNWhoN2c8ZjQ1MzQ4PEBpanZyZzg6Zmt4bDMzNzczM0A0YTU1LzZfNWExNGE2X2NgYSM2b2NicjRnamJgLS1kMTZzcw%3D%3D&amp;btag=e00088000&amp;expire=1763173381&amp;l=202511131022270BBA173F4561DD71A814&amp;ply_type=2&amp;policy=2&amp;signature=5e9ede6283b081aaaf77a0dca0d0e99d&amp;tk=tt_chain_token</t>
  </si>
  <si>
    <t>7498479410048175415</t>
  </si>
  <si>
    <t>piguivideos</t>
  </si>
  <si>
    <t>PiguiVideos</t>
  </si>
  <si>
    <t>https://p16-sign-va.tiktokcdn.com/tos-maliva-avt-0068/d6256afed811bb7cfc08946a383186a8~tplv-tiktokx-cropcenter:100:100.jpeg?dr=14579&amp;refresh_token=4fa92570&amp;x-expires=1764727200&amp;x-signature=1ObrLbBq%2BuvEfLtnenIP7McaDnw%3D&amp;t=4d5b0474&amp;ps=13740610&amp;shp=a5d48078&amp;shcp=81f88b70&amp;idc=my</t>
  </si>
  <si>
    <t>https://www.tiktok.com/@psicologo.mateus/video/7250209855347100934</t>
  </si>
  <si>
    <t>terapia,psicologo,psicologia,terapiacognitivo,saudemental,tdah,tdahadulto,tdahinfantil,tdahdescomplicado,tdahadultos,tdahcomamor,tdahmemes,tdahtiktok</t>
  </si>
  <si>
    <t>7382621171432393990</t>
  </si>
  <si>
    <t>psicojaffia</t>
  </si>
  <si>
    <t>Jaffia Sena Guedes</t>
  </si>
  <si>
    <t>https://p77-sign-va.tiktokcdn.com/tos-maliva-avt-0068/4c3d6f28d50f72a7d7fda63d59b237c3~tplv-tiktokx-cropcenter:100:100.jpeg?dr=14579&amp;refresh_token=921f911b&amp;x-expires=1763172000&amp;x-signature=cULFbXQ4Ks2PiJeQGTMtstJu7bU%3D&amp;t=4d5b0474&amp;ps=13740610&amp;shp=a5d48078&amp;shcp=81f88b70&amp;idc=my</t>
  </si>
  <si>
    <t>TDAH #podcast3irmaos #andreavermont #filhos #adolescentes #psicanalise #tdah @andreavermont</t>
  </si>
  <si>
    <t xml:space="preserve">Sinais de autismo em adultos: O diagnóstico de autismo em adultos, mesmo que tardio, é fundamental para o autoconhecimento e o desenvolvimento da independência do indivíduo no espectro autista. O autismo em adultos pode parecer improvável, mas é bastante possível que as pessoas cheguem à fase adulta e não saibam que convivem há anos com o TEA (Transtorno do Espectro Autista). Isso se deve ao fato de esses indivíduos não manifestarem características dos níveis 2 e 3  do distúrbio. : #autismoemadulto#autismoftiktok #teaadulto #sinais #diagnosticotardio #autismoadulto #autismoleve #nivel1 #autismonivel1 #autismoleve #tea #psicologia #neuropsicologia #autismobrasil #autism #timidez #dificuldades#terapeuta #psimcz </t>
  </si>
  <si>
    <t>Sinais de AUTISMO 
em  ADULTOS…</t>
  </si>
  <si>
    <t>7312900478679960326</t>
  </si>
  <si>
    <t>https://v16-webapp-prime.tiktok.com/video/tos/useast2a/tos-useast2a-v-27dcd7/owAfliIRBEcEPB58ETpghYAaBviKvyBkoAA8Ex/?a=1988&amp;bti=ODszNWYuMDE6&amp;ch=0&amp;cr=0&amp;dr=0&amp;er=0&amp;lr=default&amp;cd=0%7C0%7C0%7C0&amp;br=250&amp;bt=125&amp;ds=5&amp;ft=GNDpcInz7ThQ9-UPXq8Zmo&amp;mime_type=audio_mpeg&amp;qs=13&amp;rc=anY8ZnM5cmpkbzMzNzU8M0BpanY8ZnM5cmpkbzMzNzU8M0A2bV9gMmRzNXJgLS1kMTZzYSM2bV9gMmRzNXJgLS1kMTZzcw%3D%3D&amp;btag=e00048000&amp;expire=1763004289&amp;l=202511131024053FAEE14371AE44A729CC&amp;ply_type=3&amp;policy=3&amp;signature=6a972e8111d73491a64c7769fbc34896&amp;tk=7571587458748974088</t>
  </si>
  <si>
    <t>som original - PiguiVideos</t>
  </si>
  <si>
    <t>7498479420048296710</t>
  </si>
  <si>
    <t>https://v16-webapp-prime.tiktok.com/video/tos/useast2a/tos-useast2a-v-27dcd7/oYj1PBCifkLh0iM0wBiPgAoGW8BTzGIUE7B8KV/?a=1988&amp;bti=ODszNWYuMDE6&amp;ch=0&amp;cr=0&amp;dr=0&amp;er=0&amp;lr=default&amp;cd=0%7C0%7C0%7C0&amp;br=250&amp;bt=125&amp;ft=GNDpcInz7ThyPKvPXq8Zmo&amp;mime_type=audio_mpeg&amp;qs=6&amp;rc=Njk6ZmU8NDpmNzVpZjVmNEBpM3BqO3Y5cm95MzMzNzU8M0A2NjRjM19iNi4xLTIwMWIzYSMwMXJeMmQ0MzRhLS1kMTZzcw%3D%3D&amp;btag=e00088000&amp;expire=1764559269&amp;l=202512011020211DC26370CAB01566B5CA&amp;ply_type=3&amp;policy=3&amp;signature=bddfa5757aa52c04310fb64e5b959cc6&amp;tk=7571587458748974088</t>
  </si>
  <si>
    <t>https://p16-sign-va.tiktokcdn.com/tos-maliva-avt-0068/0a91bc20a22a4afc8805ecc4d5df9b7d~tplv-tiktokx-cropcenter:1080:1080.jpeg?dr=14579&amp;refresh_token=6a2e80f3&amp;x-expires=1763172000&amp;x-signature=UKodVSSqm39ec4H8Dt%2BGuydrEB8%3D&amp;t=4d5b0474&amp;ps=13740610&amp;shp=a5d48078&amp;shcp=81f88b70&amp;idc=my</t>
  </si>
  <si>
    <t>gabiprado.psi</t>
  </si>
  <si>
    <t>https://v16-webapp-prime.tiktok.com/video/tos/alisg/tos-alisg-pve-0037c001/ocvFEtQejEtEJG4mAwgEIMQbfPEGYBBJgDoRdF/?a=1988&amp;bti=ODszNWYuMDE6&amp;ch=0&amp;cr=3&amp;dr=0&amp;lr=all&amp;cd=0%7C0%7C0%7C&amp;cv=1&amp;br=1188&amp;bt=594&amp;cs=0&amp;ds=3&amp;ft=-Csk_mrMPD12Nlcopd-UxB6vSY6e3wv25rcAp&amp;mime_type=video_mp4&amp;qs=0&amp;rc=ZjQ4ZGkzaTRnOGQ4OjRkZEBpM2o6aW45cnU4czMzNzczM0A1YTMtXzIuXjYxNDFeNTQuYSNgYS8vMmRzNG5gLS1kMTZzcw%3D%3D&amp;btag=e00088000&amp;expire=1763173487&amp;l=202511131024053FAEE14371AE44A729CC&amp;ply_type=2&amp;policy=2&amp;signature=ae3379c0ac499732646fcaff9895d95a&amp;tk=tt_chain_token</t>
  </si>
  <si>
    <t>https://p16-sign-va.tiktokcdn.com/tos-maliva-avt-0068/d6256afed811bb7cfc08946a383186a8~tplv-tiktokx-cropcenter:1080:1080.jpeg?dr=14579&amp;refresh_token=27ae290b&amp;x-expires=1764727200&amp;x-signature=6okzs%2FAOC1DfUGMst4HJU0if9tc%3D&amp;t=4d5b0474&amp;ps=13740610&amp;shp=a5d48078&amp;shcp=81f88b70&amp;idc=my</t>
  </si>
  <si>
    <t>https://www.tiktok.com/@psicojaffia/video/7382621171432393990</t>
  </si>
  <si>
    <t>https://v16-webapp-prime.tiktok.com/video/tos/useast2a/tos-useast2a-ve-0068c003/oo4VHAkMgEPzzfnWQTeeFAgfJF1t8PrAFWRYA7/?a=1988&amp;bti=ODszNWYuMDE6&amp;ch=0&amp;cr=3&amp;dr=0&amp;lr=all&amp;cd=0%7C0%7C0%7C&amp;cv=1&amp;br=1546&amp;bt=773&amp;cs=0&amp;ds=3&amp;ft=ytpHh9DfxxOusd.YtDKt8lcLVWOuRx_HFKKMNOWCuJETJDz7T&amp;mime_type=video_mp4&amp;qs=0&amp;rc=MzRnOWk2aWdnZzhnNTc6Z0BpM3ZvdnA5cml5MzMzNzgzM0A1Yy4zNmJeX14xXy8zNC0yYSNzZ19jMmRjMjRhLS1kLzZzcw%3D%3D&amp;btag=e00088000&amp;expire=1764728469&amp;l=202512011020211DC26370CAB01566B5CA&amp;ply_type=2&amp;policy=2&amp;signature=b7e5ddca1a63489dd3e4e0eb4b0d20c8&amp;tk=tt_chain_token</t>
  </si>
  <si>
    <t>autismoemadulto,autismoftiktok,teaadulto,sinais,diagnosticotardio,autismoadulto,autismoleve,nivel1,autismonivel1,autismoleve,tea,psicologia,neuropsicologia,autismobrasil,autism,timidez,dificuldades,terapeuta,psimcz</t>
  </si>
  <si>
    <t>autismoemadulto,autismoftiktok,teaadulto,sinais,diagnosticotardio,autismoadulto,autismoleve,nivel1,autismonivel1,tea,psicologia,neuropsicologia,autismobrasil,autism,timidez,dificuldades,terapeuta,psimcz</t>
  </si>
  <si>
    <t>7380102671203880197</t>
  </si>
  <si>
    <t>Aqui você aprende a viver em paz com quem você ê❤️🫶 Você não é um erro! #tdah #saudade #tdahadulto #tdahtiktok #terapeuta #tdahadulto🧡</t>
  </si>
  <si>
    <t>O TDAH SAUDADE que não sente</t>
  </si>
  <si>
    <t>7380102711571319557</t>
  </si>
  <si>
    <t>https://v16-webapp-prime.tiktok.com/video/tos/useast2a/tos-useast2a-v-27dcd7/o4D00AFSZC9PZU30AVldiYBEAABivmorzkQtE/?a=1988&amp;bti=ODszNWYuMDE6&amp;ch=0&amp;cr=0&amp;dr=0&amp;er=0&amp;lr=default&amp;cd=0%7C0%7C0%7C0&amp;br=250&amp;bt=125&amp;ds=5&amp;ft=GNDpcInz7Th_9-UPXq8Zmo&amp;mime_type=audio_mpeg&amp;qs=13&amp;rc=M3dpbW45cm9wczMzNzU8M0BpM3dpbW45cm9wczMzNzU8M0BobmxvMmRrNWlgLS1kMTZzYSNobmxvMmRrNWlgLS1kMTZzcw%3D%3D&amp;btag=e00050000&amp;expire=1763004383&amp;l=202511131024200DA040BB1F5C349EC2B1&amp;ply_type=3&amp;policy=3&amp;signature=398d08e096076190ad9e1c0e558cf2cb&amp;tk=7571587458748974088</t>
  </si>
  <si>
    <t>https://p16-sign-sg.tiktokcdn.com/tos-alisg-avt-0068/9832aa685b2cfe94db09e06f702f0a77~tplv-tiktokx-cropcenter:1080:1080.jpeg?dr=14579&amp;refresh_token=d57b4bd0&amp;x-expires=1763172000&amp;x-signature=0nm8UzgqhG3Wa%2Bb2eLmc9Jca%2BrQ%3D&amp;t=4d5b0474&amp;ps=13740610&amp;shp=a5d48078&amp;shcp=81f88b70&amp;idc=my</t>
  </si>
  <si>
    <t>https://v16-webapp-prime.tiktok.com/video/tos/useast2a/tos-useast2a-pve-0068/osQTiOmrxVAcBE51HSvBZZPvEiUlEiQI4St42/?a=1988&amp;bti=ODszNWYuMDE6&amp;ch=0&amp;cr=3&amp;dr=0&amp;lr=all&amp;cd=0%7C0%7C0%7C&amp;cv=1&amp;br=2070&amp;bt=1035&amp;cs=0&amp;ds=3&amp;ft=I~da4oKyD12NvyA0i.IxRhq_glBF-UjNSmopiX&amp;mime_type=video_mp4&amp;qs=0&amp;rc=ZDozaDZkNjQ2N2ZoZzc1ZkBpM2tpa3A5cnJwczMzNzczM0A2LjUyMDU1Xl8xNjItMjQuYSM0Xy9eMmRrMmlgLS1kMTZzcw%3D%3D&amp;btag=e00090000&amp;expire=1763173583&amp;l=202511131024200DA040BB1F5C349EC2B1&amp;ply_type=2&amp;policy=2&amp;signature=25b2fb8eed2d84a3e1d63d09b3ce10da&amp;tk=tt_chain_token</t>
  </si>
  <si>
    <t>https://www.tiktok.com/@piguivideos/video/7498479410048175415</t>
  </si>
  <si>
    <t>https://www.tiktok.com/@claralisle/video/7380102671203880197</t>
  </si>
  <si>
    <t>tdah,saudade,tdahadulto,tdahtiktok,terapeuta,tdahadulto🧡</t>
  </si>
  <si>
    <t>7448766255613431045</t>
  </si>
  <si>
    <t>7518757198554598661</t>
  </si>
  <si>
    <t>neurodivergenciaeopapo</t>
  </si>
  <si>
    <t>Neurodivergência é o papo!</t>
  </si>
  <si>
    <t>https://p77-sign-va.tiktokcdn.com/tos-maliva-avt-0068/fc1698d10dca32b79684fcca308c78cc~tplv-tiktokx-cropcenter:100:100.jpeg?dr=14579&amp;refresh_token=ce6507a1&amp;x-expires=1763172000&amp;x-signature=Th0dAAjHWibruQ8c2NVpp3gSDiw%3D&amp;t=4d5b0474&amp;ps=13740610&amp;shp=a5d48078&amp;shcp=81f88b70&amp;idc=my</t>
  </si>
  <si>
    <t>https://p16-sign-sg.tiktokcdn.com/tos-alisg-avt-0068/305c199048748400d13f89ce936c5a5e~tplv-tiktokx-cropcenter:100:100.jpeg?dr=14579&amp;refresh_token=52fb7177&amp;x-expires=1764727200&amp;x-signature=GkCgviyUQNKQLNsruThFnzBNyTI%3D&amp;t=4d5b0474&amp;ps=13740610&amp;shp=a5d48078&amp;shcp=81f88b70&amp;idc=my</t>
  </si>
  <si>
    <t>#tdah #tea #autismo #dislexia #tod #transtornoopositordesafiador #transtornosneurodivergentes #criancaatipica #maternidadeatipica #paternidadeatipica #neurodivergente #neurodivergencia #neurodivergenciaeopapo #foryoupage #foruyou</t>
  </si>
  <si>
    <t>Dicas de como lidar com esses comportamentos</t>
  </si>
  <si>
    <t>7518757235196021560</t>
  </si>
  <si>
    <t>https://v16-webapp-prime.tiktok.com/video/tos/useast2a/tos-useast2a-v-27dcd7/oEKyTefege24fAogYvKYwAeZAgKA8EvgT4BeMk0/?a=1988&amp;bti=ODszNWYuMDE6&amp;ch=0&amp;cr=0&amp;dr=0&amp;er=0&amp;lr=default&amp;cd=0%7C0%7C0%7C0&amp;br=250&amp;bt=125&amp;ds=5&amp;ft=GNDpcInz7ThMV-UPXq8Zmo&amp;mime_type=audio_mpeg&amp;qs=13&amp;rc=ajZpdng5cnN5NDMzNzU8M0BpajZpdng5cnN5NDMzNzU8M0A0MGxzMmQ0b19hLS1kMTZzYSM0MGxzMmQ0b19hLS1kMTZzcw%3D%3D&amp;btag=e00058000&amp;expire=1763004425&amp;l=2025111310232002E5437D242CEA8409F2&amp;ply_type=3&amp;policy=3&amp;signature=592fab6b5a8165cf4275bbe9823413ec&amp;tk=7571587458748974088</t>
  </si>
  <si>
    <t>Um cérebro TDAH está sempre acelerado, como se fosse uma Ferrari a 300km/h. Mas toda essa velocidade precisa de cuidado, porque o risco de 'capotar' é maior. O segredo não é frear completamente, mas aprender a dirigir com segurança, aproveitando cada curva desse processo de aprendizagem cheio de potencial.  É hora de aprender a explorar todo potêncial dessa máquina incrível que é o seu cérebro. Vamos aprender a pilotar essa Ferrari?  💬 Clique no link da bio e garanta jjá a sua vaga!</t>
  </si>
  <si>
    <t>https://p16-sign-va.tiktokcdn.com/tos-maliva-avt-0068/fc1698d10dca32b79684fcca308c78cc~tplv-tiktokx-cropcenter:1080:1080.jpeg?dr=14579&amp;refresh_token=7e197f98&amp;x-expires=1763172000&amp;x-signature=Ar1E%2BtXAdX7b7JlZ%2BVQgvVp1yPM%3D&amp;t=4d5b0474&amp;ps=13740610&amp;shp=a5d48078&amp;shcp=81f88b70&amp;idc=my</t>
  </si>
  <si>
    <t>7448766298968263429</t>
  </si>
  <si>
    <t>https://v16-webapp-prime.tiktok.com/video/tos/useast2a/tos-useast2a-v-27dcd7/o8qISLGKToCSXIAJYfII7sCEVAdgYqAUvOeeEC/?a=1988&amp;bti=ODszNWYuMDE6&amp;ch=0&amp;cr=0&amp;dr=0&amp;er=0&amp;lr=default&amp;cd=0%7C0%7C0%7C0&amp;br=250&amp;bt=125&amp;ds=5&amp;ft=GNDpcInz7ThkPKvPXq8Zmo&amp;mime_type=audio_mpeg&amp;qs=13&amp;rc=amtuNnQ5cjRvdzMzNzU8M0BpamtuNnQ5cjRvdzMzNzU8M0A0YmplMmQ0X2NgLS1kMTZzYSM0YmplMmQ0X2NgLS1kMTZzcw%3D%3D&amp;btag=e00050000&amp;expire=1764559321&amp;l=2025120110204563AE4C62401D615C8166&amp;ply_type=3&amp;policy=3&amp;signature=481734a04bb723f3702549856aca08e8&amp;tk=7571587458748974088</t>
  </si>
  <si>
    <t>https://v16-webapp-prime.tiktok.com/video/tos/useast2a/tos-useast2a-ve-0068c001/okZsIGDbQFAxIlCr2gESeAIgCqfhfjqYQBwFgg/?a=1988&amp;bti=ODszNWYuMDE6&amp;ch=0&amp;cr=3&amp;dr=0&amp;lr=all&amp;cd=0%7C0%7C0%7C&amp;cv=1&amp;br=1198&amp;bt=599&amp;cs=0&amp;ds=3&amp;ft=-Csk_mrMPD12N9Yopd-Ux315hY6e3wv25dcAp&amp;mime_type=video_mp4&amp;qs=0&amp;rc=ODpkNGloOjppNzM1ODhnZ0BpampvO285cnB5NDMzNzczM0BgNmA2NGIyXjMxX15hNF5eYSNhYDMzMmRzbF9hLS1kMTZzcw%3D%3D&amp;btag=e00098000&amp;expire=1763173625&amp;l=2025111310232002E5437D242CEA8409F2&amp;ply_type=2&amp;policy=2&amp;signature=c29df8065e4cd04c60bb58ad2900f57e&amp;tk=tt_chain_token</t>
  </si>
  <si>
    <t>https://www.tiktok.com/@neurodivergenciaeopapo/video/7518757198554598661</t>
  </si>
  <si>
    <t>tdah,tea,autismo,dislexia,tod,transtornoopositordesafiador,transtornosneurodivergentes,criancaatipica,maternidadeatipica,paternidadeatipica,neurodivergente,neurodivergencia,neurodivergenciaeopapo,foryoupage,foruyou</t>
  </si>
  <si>
    <t>https://v16-webapp-prime.tiktok.com/video/tos/useast2a/tos-useast2a-pve-0068/ooFYI0JRXE81JiDlBSQFRXaLQfV6nyEBFgVtfA/?a=1988&amp;bti=ODszNWYuMDE6&amp;ch=0&amp;cr=3&amp;dr=0&amp;lr=all&amp;cd=0%7C0%7C0%7C&amp;cv=1&amp;br=1956&amp;bt=978&amp;cs=0&amp;ds=3&amp;ft=-Csk_mrMPD12Nqdh5d-UxgS5hY6e3wv25icAp&amp;mime_type=video_mp4&amp;qs=0&amp;rc=ZjlkZzc3ODxkaTk4OjhlN0BpMztvO3A5cnZvdzMzNzczM0BiLTBiMzQwNjYxNF4zLzIvYSNxMmtmMmRrXmNgLS1kMTZzcw%3D%3D&amp;btag=e00090000&amp;expire=1764728521&amp;l=2025120110204563AE4C62401D615C8166&amp;ply_type=2&amp;policy=2&amp;signature=0975af12bcb6383c0c071166488951a0&amp;tk=tt_chain_token</t>
  </si>
  <si>
    <t>6995313827717991686</t>
  </si>
  <si>
    <t>chloemariedub</t>
  </si>
  <si>
    <t>Chlo 💌</t>
  </si>
  <si>
    <t>https://p16-sign-va.tiktokcdn.com/tos-maliva-avt-0068/3b2037a41ca3ac175d2aa905cd61cf2b~tplv-tiktokx-cropcenter:100:100.jpeg?dr=14579&amp;refresh_token=7c04022f&amp;x-expires=1763172000&amp;x-signature=Epj5%2B1N%2FJ0z8PpneYCGEG%2F5WKi8%3D&amp;t=4d5b0474&amp;ps=13740610&amp;shp=a5d48078&amp;shcp=81f88b70&amp;idc=my</t>
  </si>
  <si>
    <t>Kkkk alguem mais??? #fypシ #tdah #ansiedade</t>
  </si>
  <si>
    <t>Qual é a pior coisa sobre ter TDAH?</t>
  </si>
  <si>
    <t>6995313694330653446</t>
  </si>
  <si>
    <t>https://v16-webapp-prime.tiktok.com/video/tos/useast2a/tos-useast2a-v-27dcd7/3748cb0b6f084e3e9400f5e33c99d3b8/?a=1988&amp;bti=ODszNWYuMDE6&amp;ch=0&amp;cr=0&amp;dr=0&amp;er=0&amp;lr=default&amp;cd=0%7C0%7C0%7C0&amp;br=226&amp;bt=113&amp;ds=5&amp;ft=GNDpcInz7ThEY-UPXq8Zmo&amp;mime_type=video_mp4&amp;qs=13&amp;rc=amhobmk6ZnI4NzMzNzU8M0Bpamhobmk6ZnI4NzMzNzU8M0A2czJjcjRnZV5gLS1kMTZzYSM2czJjcjRnZV5gLS1kMTZzcw%3D%3D&amp;btag=e00050000&amp;expire=1763004477&amp;l=202511131026218DEF8CE7185C8F9E5844&amp;ply_type=3&amp;policy=3&amp;signature=712be247feef24a41011361fb1480d51&amp;tk=7571587458748974088</t>
  </si>
  <si>
    <t>https://www.tiktok.com/@draanabeatriz11/video/7448766255613431045</t>
  </si>
  <si>
    <t>https://p16-sign-va.tiktokcdn.com/tos-maliva-avt-0068/3b2037a41ca3ac175d2aa905cd61cf2b~tplv-tiktokx-cropcenter:1080:1080.jpeg?dr=14579&amp;refresh_token=7e0ca9e7&amp;x-expires=1763172000&amp;x-signature=BQMfLU8Zk314DpJ0vZGkSCSV2Zc%3D&amp;t=4d5b0474&amp;ps=13740610&amp;shp=a5d48078&amp;shcp=81f88b70&amp;idc=my</t>
  </si>
  <si>
    <t>7527809174118386949</t>
  </si>
  <si>
    <t>tdah.na.real</t>
  </si>
  <si>
    <t>TDAH na real</t>
  </si>
  <si>
    <t>https://p77-sign-va.tiktokcdn.com/tos-maliva-avt-0068/9b6af4958a7cc6ac09fb0db99868e9da~tplv-tiktokx-cropcenter:100:100.jpeg?dr=14579&amp;refresh_token=90b14842&amp;x-expires=1764727200&amp;x-signature=QaMizGSmFOFpuIR2NfjXdFDkvP0%3D&amp;t=4d5b0474&amp;ps=13740610&amp;shp=a5d48078&amp;shcp=81f88b70&amp;idc=my</t>
  </si>
  <si>
    <t>https://v16-webapp-prime.tiktok.com/video/tos/alisg/tos-alisg-pve-0037c001/oIICrfwViAN8gOzQEtijDkQohGRcXiPUrOwAIK/?a=1988&amp;bti=ODszNWYuMDE6&amp;ch=0&amp;cr=3&amp;dr=0&amp;lr=all&amp;cd=0%7C0%7C0%7C&amp;cv=1&amp;br=2132&amp;bt=1066&amp;cs=0&amp;ds=3&amp;ft=-Csk_mrMPD12NH_opd-UxDTFGY6e3wv25ocAp&amp;mime_type=video_mp4&amp;qs=0&amp;rc=Ojs2N2U5N2Y2PDc0ZDtoNUBpanZ0cWk6ZmQ4NzMzNzczM0A2XmIzMTMvNWMxXy40YTExYSNfay5ecjRfZF5gLS1kMTZzcw%3D%3D&amp;btag=e00090000&amp;expire=1763173677&amp;l=202511131026218DEF8CE7185C8F9E5844&amp;ply_type=2&amp;policy=2&amp;signature=d07326497982cefae98da0d2ced673d4&amp;tk=tt_chain_token</t>
  </si>
  <si>
    <t>TDAH não é brincadeira! Preparamos um ebook com todo carinho para você, clique no link da bio e adquira o seu! Os créditos deste vídeo vão para @portaldrauziovarella    #TDAHnaInfância #TDAHReal #MeuFilhoTemTDAH #MãeDeTDAH #CriançaComTDAH #Neurodivergente #RotinaComTDAH #VidaComTDAH #EntendaOTDAH #tdahnãoéfrescura</t>
  </si>
  <si>
    <t>https://www.tiktok.com/@chloemariedub/video/6995313827717991686</t>
  </si>
  <si>
    <t>som original - TDAH na real</t>
  </si>
  <si>
    <t>7527809197238651704</t>
  </si>
  <si>
    <t>https://v16-webapp-prime.tiktok.com/video/tos/useast2a/tos-useast2a-v-27dcd7/oIQiSpPmkulIHBwOiGJK4a4sxmMUGpCPCAgPK/?a=1988&amp;bti=ODszNWYuMDE6&amp;ch=0&amp;cr=0&amp;dr=0&amp;er=0&amp;lr=default&amp;cd=0%7C0%7C0%7C0&amp;br=250&amp;bt=125&amp;ft=GNDpcInz7ThIPKvPXq8Zmo&amp;mime_type=audio_mpeg&amp;qs=6&amp;rc=Mzw2Z2Q6M2RmM2c2NDs5OEBpanJyZWo5cjk1NDMzNzU8M0AxMC9jLjZjNi8xYF4uNDVfYSM0aWQ0MmQ0YXBhLS1kMTZzcw%3D%3D&amp;btag=e000b8000&amp;expire=1764559239&amp;l=20251201102014E2CB5F4C19000C61E683&amp;ply_type=3&amp;policy=3&amp;signature=f6b6e599e53e2ec36901bc34d2a7c223&amp;tk=7571587458748974088</t>
  </si>
  <si>
    <t>fypシ,tdah,ansiedade</t>
  </si>
  <si>
    <t>https://p16-sign-va.tiktokcdn.com/tos-maliva-avt-0068/4842f829bdaf28a70fa2e96759a81700~tplv-tiktokx-cropcenter:100:100.jpeg?dr=14579&amp;refresh_token=6aa4aa8b&amp;x-expires=1763172000&amp;x-signature=axfGm%2BFSc7Up%2FHQ7gB%2FpHRxl4LU%3D&amp;t=4d5b0474&amp;ps=13740610&amp;shp=a5d48078&amp;shcp=81f88b70&amp;idc=my</t>
  </si>
  <si>
    <t>https://v16-webapp-prime.tiktok.com/video/tos/useast2a/tos-useast2a-v-27dcd7/oAoQwzIgSqELOIMyDkTgkweQAvGrCCAIfAfQNA/?a=1988&amp;bti=ODszNWYuMDE6&amp;ch=0&amp;cr=0&amp;dr=0&amp;er=0&amp;lr=default&amp;cd=0%7C0%7C0%7C0&amp;br=250&amp;bt=125&amp;ds=5&amp;ft=GNDpcInz7ThX9-UPXq8Zmo&amp;mime_type=audio_mpeg&amp;qs=13&amp;rc=ampqb3M5cng5NDMzNzU8M0Bpampqb3M5cng5NDMzNzU8M0Awcy0uMmRjX2RhLS1kMTZzYSMwcy0uMmRjX2RhLS1kMTZzcw%3D%3D&amp;btag=e00048000&amp;expire=1763004318&amp;l=20251113102424EE0F9FCD2CC2B68BE0E2&amp;ply_type=3&amp;policy=3&amp;signature=93f2cc95948bd23dfd9d99c9ae18a074&amp;tk=7571587458748974088</t>
  </si>
  <si>
    <t>https://p77-sign-va.tiktokcdn.com/tos-maliva-avt-0068/9b6af4958a7cc6ac09fb0db99868e9da~tplv-tiktokx-cropcenter:1080:1080.jpeg?dr=14579&amp;refresh_token=92566151&amp;x-expires=1764727200&amp;x-signature=8wGT4ixTyIM4eC3vj5BUJFewGww%3D&amp;t=4d5b0474&amp;ps=13740610&amp;shp=a5d48078&amp;shcp=81f88b70&amp;idc=my</t>
  </si>
  <si>
    <t>https://p16-sign-va.tiktokcdn.com/tos-maliva-avt-0068/4842f829bdaf28a70fa2e96759a81700~tplv-tiktokx-cropcenter:1080:1080.jpeg?dr=14579&amp;refresh_token=2319a2ca&amp;x-expires=1763172000&amp;x-signature=7j%2BTbAwNNdJCYwwynFiAXSJIb1s%3D&amp;t=4d5b0474&amp;ps=13740610&amp;shp=a5d48078&amp;shcp=81f88b70&amp;idc=my</t>
  </si>
  <si>
    <t>https://v16-webapp-prime.tiktok.com/video/tos/useast2a/tos-useast2a-ve-0068c003/oAdC8piMlIBo1zQALL3of6iX0gEyI9wgkFgDZA/?a=1988&amp;bti=ODszNWYuMDE6&amp;ch=0&amp;cr=3&amp;dr=0&amp;lr=all&amp;cd=0%7C0%7C0%7C&amp;cv=1&amp;br=1810&amp;bt=905&amp;cs=0&amp;ds=3&amp;ft=-Csk_mrMPD12N-copd-Ux7~2bY6e3wv25bcAp&amp;mime_type=video_mp4&amp;qs=0&amp;rc=NGU1OmVmO2lpOGZlaTs2M0Bpajg2eG05cnQ5NDMzNzczM0BeXy8vNjIuNWIxLjYyYGM0YSMybWpfMmRzX2RhLS1kMTZzcw%3D%3D&amp;btag=e00088000&amp;expire=1763173518&amp;l=20251113102424EE0F9FCD2CC2B68BE0E2&amp;ply_type=2&amp;policy=2&amp;signature=846d5bd7af671ab69cb43563ab47a1fd&amp;tk=tt_chain_token</t>
  </si>
  <si>
    <t>https://v16-webapp-prime.tiktok.com/video/tos/useast2a/tos-useast2a-ve-0068c001/ogQ8bmQ2EIEbCflEIfCwECAcQrFuFSf2LgQDrE/?a=1988&amp;bti=ODszNWYuMDE6&amp;ch=0&amp;cr=3&amp;dr=0&amp;lr=all&amp;cd=0%7C0%7C0%7C&amp;cv=1&amp;br=1216&amp;bt=608&amp;cs=0&amp;ds=3&amp;ft=-Csk_mrMPD12N0dh5d-UxPO2hY6e3wv252cAp&amp;mime_type=video_mp4&amp;qs=0&amp;rc=NmUzOTk3ZDYzNzRnPDU4ZUBpamo0aG05cnk1NDMzNzgzM0BfL2ExNTAuXzExNTYuLjJeYSNhcm02MmRzXnBhLS1kLzZzcw%3D%3D&amp;btag=e000b8000&amp;expire=1764728439&amp;l=20251201102014E2CB5F4C19000C61E683&amp;ply_type=2&amp;policy=2&amp;signature=02ae5a05bf417fcf1527009a20cf7d44&amp;tk=tt_chain_token</t>
  </si>
  <si>
    <t>7508413469335588152</t>
  </si>
  <si>
    <t>vibes.brasil1</t>
  </si>
  <si>
    <t>vibes.brasil</t>
  </si>
  <si>
    <t>https://p16-sign-va.tiktokcdn.com/tos-maliva-avt-0068/fb5d8971b8ddf2b63242e238ef781ec7~tplv-tiktokx-cropcenter:100:100.jpeg?dr=14579&amp;refresh_token=1031174e&amp;x-expires=1763172000&amp;x-signature=VwITcIqm9MDKaETCXd2rW%2BRpUEQ%3D&amp;t=4d5b0474&amp;ps=13740610&amp;shp=a5d48078&amp;shcp=81f88b70&amp;idc=my</t>
  </si>
  <si>
    <t>pov: TDAH 🤣 ... .. . #tdah #tdahmemes #tdahtiktok #memesbrasil #brasilmemes #perolasbrasileiras #memesbr</t>
  </si>
  <si>
    <t>7508413526621375288</t>
  </si>
  <si>
    <t>https://v16-webapp-prime.tiktok.com/video/tos/useast2a/tos-useast2a-v-27dcd7/oYZ8Ik1KoBBlPqBcFZixgE0QoK1ooAGGMrfFzi/?a=1988&amp;bti=ODszNWYuMDE6&amp;ch=0&amp;cr=0&amp;dr=0&amp;er=0&amp;lr=default&amp;cd=0%7C0%7C0%7C0&amp;br=250&amp;bt=125&amp;ft=GNDpcInz7ThGD-UPXq8Zmo&amp;mime_type=audio_mpeg&amp;qs=6&amp;rc=Mzo2aGdmNmc2NDNpNTg6aUBpajtpZGs5cm5tMzMzNzU8M0A0YDEzMi0yXjYxNC8zYF8wYSNuX2kyMmRjcG1hLS1kMTZzcw%3D%3D&amp;btag=e00090000&amp;expire=1763004415&amp;l=2025111310254344385823DD6566920070&amp;ply_type=3&amp;policy=3&amp;signature=77e9938f64f3f1b03e5210d3b02cbc82&amp;tk=7571587458748974088</t>
  </si>
  <si>
    <t>https://www.tiktok.com/@tdah.na.real/video/7527809174118386949</t>
  </si>
  <si>
    <t>7563678079781014805</t>
  </si>
  <si>
    <t>dr.thiagocastrooficial</t>
  </si>
  <si>
    <t>dr.thiagocastro</t>
  </si>
  <si>
    <t>https://p77-sign-va.tiktokcdn.com/tos-maliva-avt-0068/fb5d8971b8ddf2b63242e238ef781ec7~tplv-tiktokx-cropcenter:1080:1080.jpeg?dr=14579&amp;refresh_token=56763b80&amp;x-expires=1763172000&amp;x-signature=OOpAYO47pj5LLtea%2B5KKEyOh3wU%3D&amp;t=4d5b0474&amp;ps=13740610&amp;shp=a5d48078&amp;shcp=81f88b70&amp;idc=my</t>
  </si>
  <si>
    <t>https://p16-sign-va.tiktokcdn.com/tos-maliva-avt-0068/6be26b68d84c67932ffb00957a6ebeb5~tplv-tiktokx-cropcenter:100:100.jpeg?dr=14579&amp;refresh_token=48ca4d6a&amp;x-expires=1764727200&amp;x-signature=gObk7sY%2F9xw0Sy4xsIv8WsM3TIY%3D&amp;t=4d5b0474&amp;ps=13740610&amp;shp=a5d48078&amp;shcp=81f88b70&amp;idc=my</t>
  </si>
  <si>
    <t>https://v16-webapp-prime.tiktok.com/video/tos/useast2a/tos-useast2a-pve-0068/ocfZzbqABQBEhDQcv2DwJoEmMIH2MPR4zFfEAd/?a=1988&amp;bti=ODszNWYuMDE6&amp;ch=0&amp;cr=3&amp;dr=0&amp;lr=all&amp;cd=0%7C0%7C0%7C&amp;cv=1&amp;br=1726&amp;bt=863&amp;cs=0&amp;ds=3&amp;ft=-Csk_mrMPD12Nn.opd-UxJTFGY6e3wv25bcAp&amp;mime_type=video_mp4&amp;qs=0&amp;rc=aDhnZmRnZztkN2loOjZlZUBpanJsNnE5cmRtMzMzNzczM0AwNTFgMmBeXjYxNjJfNi9jYSNjMGlrMmRrb21hLS1kMTZzcw%3D%3D&amp;btag=e00090000&amp;expire=1763173615&amp;l=2025111310254344385823DD6566920070&amp;ply_type=2&amp;policy=2&amp;signature=4a5a7eec3e0ea8f66b79956751464892&amp;tk=tt_chain_token</t>
  </si>
  <si>
    <t>https://www.tiktok.com/@vibes.brasil1/video/7508413469335588152</t>
  </si>
  <si>
    <t>Muitos adultos com TDAH cresceram ouvindo que eram “preguiçosos”, “distraídos” ou “sem foco”. Mas a verdade é que não faltava esforço, faltava compreensão. Décadas atrás, pouco se sabia sobre o funcionamento cerebral do TDAH. Hoje, pesquisas publicadas no Journal of Attention Disorders (2023) e no NeuroImage: Clinical (2024) mostram que há diferenças estruturais e funcionais nas áreas do cérebro responsáveis pela atenção, memória de trabalho e autorregulação emocional. Ou seja, não é falta de vontade, é uma forma diferente de processar o mundo. E quando o ambiente é punitivo em vez de compreensivo, a criança cresce com culpa e vergonha do próprio funcionamento. Com diagnóstico, apoio psicossocial e, quando necessário, tratamento medicamentoso, é possível transformar o que antes era sofrimento em criatividade, energia e pensamento inovador, características frequentemente observadas em adultos com TDAH bem direcionados. Envie este vídeo para alguém que cresceu ouvindo que não era suficiente, mas que só precisava ser compreendido.</t>
  </si>
  <si>
    <t>tdah,tdahmemes,tdahtiktok,memesbrasil,brasilmemes,perolasbrasileiras,memesbr</t>
  </si>
  <si>
    <t>7301711830014102790</t>
  </si>
  <si>
    <t>7563678158646446865</t>
  </si>
  <si>
    <t>visaopsicologia</t>
  </si>
  <si>
    <t>Visão Psicologia</t>
  </si>
  <si>
    <t>https://v16-webapp-prime.tiktok.com/video/tos/alisg/tos-alisg-v-27dcd7/o0UnstQgQ3CFkE5lfXJR49fAYUDvBBEYBgToM3/?a=1988&amp;bti=ODszNWYuMDE6&amp;ch=0&amp;cr=0&amp;dr=0&amp;er=0&amp;lr=default&amp;cd=0%7C0%7C0%7C0&amp;br=250&amp;bt=125&amp;ft=GNDpcInz7ThoPKvPXq8Zmo&amp;mime_type=audio_mpeg&amp;qs=6&amp;rc=aWU0Nzg5NDhnZjxoM2g1NEBpMztoM3Y5cmVzNjMzODU8NEAzL2EzXzAwNTExYGFeXzIzYSNtLi8wMmRjXm9hLS1kMS1zcw%3D%3D&amp;btag=e00090000&amp;expire=1764559350&amp;l=202512011020068133AB7BCB086C5F4CDC&amp;ply_type=3&amp;policy=3&amp;signature=38702ef2a5cbd69aef9b32b3183af897&amp;tk=7571587458748974088</t>
  </si>
  <si>
    <t>https://p77-sign-va.tiktokcdn.com/tos-maliva-avt-0068/a6997ba41f00721a265948498ce03461~tplv-tiktokx-cropcenter:100:100.jpeg?dr=14579&amp;refresh_token=ee5ec38f&amp;x-expires=1763172000&amp;x-signature=iFtx6jhhjUSvkTYX2Nm8FDfgLc8%3D&amp;t=4d5b0474&amp;ps=13740610&amp;shp=a5d48078&amp;shcp=81f88b70&amp;idc=my</t>
  </si>
  <si>
    <t>Lado bom de ter TDAH #draanabeatriz #psicologia #tdah</t>
  </si>
  <si>
    <t>Experience (Slowed)</t>
  </si>
  <si>
    <t>7119289760031459329</t>
  </si>
  <si>
    <t>https://sf16-ies-music-sg.tiktokcdn.com/obj/tos-alisg-ve-2774/fa032b0f59bd43bd9845381982779e60</t>
  </si>
  <si>
    <t>https://p77-sg.tiktokcdn.com/aweme/720x720/tos-alisg-v-2774/edbd178cb6ba48de855388c2538a9bda.jpeg</t>
  </si>
  <si>
    <t>noel.smt</t>
  </si>
  <si>
    <t>https://v16-webapp-prime.tiktok.com/video/tos/alisg/tos-alisg-pve-0037c001/oU7QtT63EIEgPPt60UZiBgBST6idQFVo6i6Aj/?a=1988&amp;bti=ODszNWYuMDE6&amp;ch=0&amp;cr=3&amp;dr=0&amp;lr=all&amp;cd=0%7C0%7C0%7C&amp;cv=1&amp;br=1394&amp;bt=697&amp;cs=0&amp;ds=3&amp;ft=-Csk_mrMPD12NE.opd-UxG4vXY6e3wv25McAp&amp;mime_type=video_mp4&amp;qs=0&amp;rc=ODZkPDloODpmNzdmaGZlOUBpM2lwOnE5cnRobzMzNzczM0BgXjMvNDAuNS0xX141M2NjYSNxbmFuMmQ0NF5gLS1kMTZzcw%3D%3D&amp;btag=e00090000&amp;expire=1763173598&amp;l=20251113102536F89EBD83B531C49CD72A&amp;ply_type=2&amp;policy=2&amp;signature=d02ba98621dd9e9d9129e8769f5a39c1&amp;tk=tt_chain_token</t>
  </si>
  <si>
    <t>https://p77-sign-va.tiktokcdn.com/tos-maliva-avt-0068/6be26b68d84c67932ffb00957a6ebeb5~tplv-tiktokx-cropcenter:1080:1080.jpeg?dr=14579&amp;refresh_token=35bc7e71&amp;x-expires=1764727200&amp;x-signature=9kgeXHmuBa%2FceQqvh13XxZRQbzY%3D&amp;t=4d5b0474&amp;ps=13740610&amp;shp=a5d48078&amp;shcp=81f88b70&amp;idc=my</t>
  </si>
  <si>
    <t>https://www.tiktok.com/@visaopsicologia/video/7301711830014102790</t>
  </si>
  <si>
    <t>draanabeatriz,psicologia,tdah</t>
  </si>
  <si>
    <t>7428337289136229637</t>
  </si>
  <si>
    <t>karen_abreuu</t>
  </si>
  <si>
    <t>Karen Cristina</t>
  </si>
  <si>
    <t>https://p16-sign-va.tiktokcdn.com/tos-maliva-avt-0068/7326699641977634821~tplv-tiktokx-cropcenter:100:100.jpeg?dr=14579&amp;refresh_token=e5674d72&amp;x-expires=1763172000&amp;x-signature=iqxvKHUZr51LNXmkpKZO4b2%2FT3o%3D&amp;t=4d5b0474&amp;ps=13740610&amp;shp=a5d48078&amp;shcp=81f88b70&amp;idc=my</t>
  </si>
  <si>
    <t>https://v16-webapp-prime.tiktok.com/video/tos/alisg/tos-alisg-pve-0037c001/oIPaMUwABQBiDZgOwvB4coEheITUa6RDeioE0L/?a=1988&amp;bti=ODszNWYuMDE6&amp;ch=0&amp;cr=3&amp;dr=0&amp;lr=all&amp;cd=0%7C0%7C0%7C&amp;cv=1&amp;br=2170&amp;bt=1085&amp;cs=0&amp;ds=3&amp;ft=-Csk_mrMPD12Nudh5d-Uxs12aY6e3wv252cAp&amp;mime_type=video_mp4&amp;qs=0&amp;rc=ODRpPDhmOGhkMzhlNDc6NEBpM3I8NWo5cmpzNjMzODczNEAtMGM2LzY1NTMxYzUuMDA2YSNoZ280MmQ0Nm9hLS1kMWBzcw%3D%3D&amp;btag=e00090000&amp;expire=1764728550&amp;l=202512011020068133AB7BCB086C5F4CDC&amp;ply_type=2&amp;policy=2&amp;signature=9ddeb5897c24f434ebad2afe36313782&amp;tk=tt_chain_token</t>
  </si>
  <si>
    <t>Qyem mais se identifica!? . . . #humor #reels #instagram #videos #viral #tdah #tdahadulto #fy #fyp</t>
  </si>
  <si>
    <t>7428337298967464709</t>
  </si>
  <si>
    <t>https://v16-webapp-prime.tiktok.com/video/tos/useast2a/tos-useast2a-v-27dcd7/oEPXWCTcsJAYeEEnAFFfBBQG6wmAFiExJAD6U2/?a=1988&amp;bti=ODszNWYuMDE6&amp;ch=0&amp;cr=0&amp;dr=0&amp;er=0&amp;lr=default&amp;cd=0%7C0%7C0%7C0&amp;br=250&amp;bt=125&amp;ds=5&amp;ft=GNDpcInz7ThaK-UPXq8Zmo&amp;mime_type=audio_mpeg&amp;qs=13&amp;rc=M3RzPHc5cndmdjMzNzU8M0BpM3RzPHc5cndmdjMzNzU8M0BlNHNgMmRrL19gLS1kMTZzYSNlNHNgMmRrL19gLS1kMTZzcw%3D%3D&amp;btag=e00078000&amp;expire=1763004185&amp;l=202511131022406C90E0DA9AAAC98C2302&amp;ply_type=3&amp;policy=3&amp;signature=88c8e91a37392abbdb84eb56fab5eecf&amp;tk=7571587458748974088</t>
  </si>
  <si>
    <t>https://p77-sign-va.tiktokcdn.com/tos-maliva-avt-0068/7326699641977634821~tplv-tiktokx-cropcenter:1080:1080.jpeg?dr=14579&amp;refresh_token=26b797d8&amp;x-expires=1763172000&amp;x-signature=u%2BfrypIxucBbf7g5agsBgrDIrJY%3D&amp;t=4d5b0474&amp;ps=13740610&amp;shp=a5d48078&amp;shcp=81f88b70&amp;idc=my</t>
  </si>
  <si>
    <t>https://v16-webapp-prime.tiktok.com/video/tos/useast2a/tos-useast2a-pve-0068/oQFlAexiGCxOLnVIRbIFYeg6LCSRdgWgoTjeJA/?a=1988&amp;bti=ODszNWYuMDE6&amp;ch=0&amp;cr=3&amp;dr=0&amp;lr=all&amp;cd=0%7C0%7C0%7C&amp;cv=1&amp;br=906&amp;bt=453&amp;cs=0&amp;ds=3&amp;ft=-Csk_mrMPD12N8hopd-Ux~v2bY6e3wv251cAp&amp;mime_type=video_mp4&amp;qs=0&amp;rc=Z2hoZTg3NWQ0NWlnaTg0NEBpM2ZvcHQ5cmRmdjMzNzczM0A0XzY2YF9eNWMxMDMtYDIuYSNgXzEwMmQ0L19gLS1kMTZzcw%3D%3D&amp;btag=e000b8000&amp;expire=1763173385&amp;l=202511131022406C90E0DA9AAAC98C2302&amp;ply_type=2&amp;policy=2&amp;signature=9e7240e06ef32345821e88c18cdac982&amp;tk=tt_chain_token</t>
  </si>
  <si>
    <t>https://www.tiktok.com/@dr.thiagocastrooficial/video/7563678079781014805</t>
  </si>
  <si>
    <t>7472532990564863238</t>
  </si>
  <si>
    <t>veigasaymon</t>
  </si>
  <si>
    <t>https://www.tiktok.com/@karen_abreuu/video/7428337289136229637</t>
  </si>
  <si>
    <t>https://p16-sign-va.tiktokcdn.com/tos-maliva-avt-0068/409b8f094a519052398ae01ba95bf160~tplv-tiktokx-cropcenter:100:100.jpeg?dr=14579&amp;refresh_token=5748a869&amp;x-expires=1764727200&amp;x-signature=N%2FBc5DyrAsE9yoOdqQowyLACSfM%3D&amp;t=4d5b0474&amp;ps=13740610&amp;shp=a5d48078&amp;shcp=81f88b70&amp;idc=my</t>
  </si>
  <si>
    <t>humor,reels,instagram,videos,viral,tdah,tdahadulto,fy,fyp</t>
  </si>
  <si>
    <t>7090555724526308614</t>
  </si>
  <si>
    <t>cansei.deserotario</t>
  </si>
  <si>
    <t>Inteligência Social</t>
  </si>
  <si>
    <t>https://p16-sign-va.tiktokcdn.com/tos-maliva-avt-0068/41d2e0effe06cb8a5f52e9f24371109a~tplv-tiktokx-cropcenter:100:100.jpeg?dr=14579&amp;refresh_token=344a1b24&amp;x-expires=1763172000&amp;x-signature=wTP8wPgC3bnnTkg0r4wuNVpnl5o%3D&amp;t=4d5b0474&amp;ps=13740610&amp;shp=a5d48078&amp;shcp=81f88b70&amp;idc=my</t>
  </si>
  <si>
    <t>Tdah é excesso de atenção | Especialista: Eslen Delanogare #canseideserotario</t>
  </si>
  <si>
    <t>7090555713310804741</t>
  </si>
  <si>
    <t>https://v16-webapp-prime.tiktok.com/video/tos/useast2a/tos-useast2a-v-27dcd7/4fb18f6ddca44b33b365c1a851456c14/?a=1988&amp;bti=ODszNWYuMDE6&amp;ch=0&amp;cr=0&amp;dr=0&amp;er=0&amp;lr=default&amp;cd=0%7C0%7C0%7C0&amp;br=252&amp;bt=126&amp;ds=5&amp;ft=GNDpcInz7ThEY-UPXq8Zmo&amp;mime_type=video_mp4&amp;qs=13&amp;rc=ajNkc2Y6ZnJlPDMzNzU8M0BpajNkc2Y6ZnJlPDMzNzU8M0BvMDZkcjQwYWdgLS1kMTZzYSNvMDZkcjQwYWdgLS1kMTZzcw%3D%3D&amp;btag=e00048000&amp;expire=1763004439&amp;l=202511131026218DEF8CE7185C8F9E5844&amp;ply_type=3&amp;policy=3&amp;signature=caafc35578a15a1fa7662fa701016f36&amp;tk=7571587458748974088</t>
  </si>
  <si>
    <t>‼️A GENTE SENTE DEMAIS‼️👇🏼 Ter TDAH significa que minhas emoções muitas vezes parecem um carro sem freios. Quando algo me afeta, a intensidade pode ser desproporcional—tanto para o lado bom quanto para o ruim. Se fico animado, posso parecer eufórico; se algo me frustra, a raiva ou a tristeza podem ser avassaladoras. O problema não é só sentir demais, mas a dificuldade em ajustar essas emoções de forma adequada. Eu posso me irritar por algo pequeno e, minutos depois, me perguntar por que fiquei tão abalado. Ou então, posso ter dificuldade em me acalmar depois de uma discussão, mesmo que racionalmente eu saiba que não foi tão grave assim. Também é difícil segurar as emoções no momento certo. Se estou empolgado, posso interromper os outros sem perceber. Se estou triste, posso acabar me fechando totalmente. Isso pode impactar meus relacionamentos e minha autoestima, porque às vezes pareço exagerado ou “sensível demais” para quem não entende o que está acontecendo dentro da minha cabeça. Mas isso não significa que eu não possa aprender a lidar melhor com isso. Com estratégias certas, como terapia, exercícios físicos e técnicas de regulação emocional, eu consigo desenvolver mais controle. Não se trata de sentir menos, mas de encontrar formas de equilibrar essas emoções para que elas não dominem minha vida.</t>
  </si>
  <si>
    <t>som original - Saymon - TDAH PRA GENTE GRANDE</t>
  </si>
  <si>
    <t>7472533017333205815</t>
  </si>
  <si>
    <t>https://v16-webapp-prime.tiktok.com/video/tos/useast2a/tos-useast2a-v-27dcd7/oga3iO8sQKxJCE1TnAECxWicUxBzJefxBqAqBA/?a=1988&amp;bti=ODszNWYuMDE6&amp;ch=0&amp;cr=0&amp;dr=0&amp;er=0&amp;lr=default&amp;cd=0%7C0%7C0%7C0&amp;br=250&amp;bt=125&amp;ds=5&amp;ft=GNDpcInz7ThFgKvPXq8Zmo&amp;mime_type=audio_mpeg&amp;qs=13&amp;rc=M2RxZms5cmd2eDMzNzU8M0BpM2RxZms5cmd2eDMzNzU8M0BpMGI0MmRjXm1gLS1kMTZzYSNpMGI0MmRjXm1gLS1kMTZzcw%3D%3D&amp;btag=e00050000&amp;expire=1764559485&amp;l=2025120110233096978CEC0666EFF2D3F0&amp;ply_type=3&amp;policy=3&amp;signature=24202df633454f3e407c3f6c32f4cf64&amp;tk=7571587458748974088</t>
  </si>
  <si>
    <t>https://p16-sign-va.tiktokcdn.com/tos-maliva-avt-0068/41d2e0effe06cb8a5f52e9f24371109a~tplv-tiktokx-cropcenter:1080:1080.jpeg?dr=14579&amp;refresh_token=2d801521&amp;x-expires=1763172000&amp;x-signature=maezkmfXVJIPk5rdZyYvIlXo3zE%3D&amp;t=4d5b0474&amp;ps=13740610&amp;shp=a5d48078&amp;shcp=81f88b70&amp;idc=my</t>
  </si>
  <si>
    <t>https://v16-webapp-prime.tiktok.com/video/tos/alisg/tos-alisg-pve-0037c001/okE0O0QQJWAeADrDP1R7QZbifVntBBJIKgliod/?a=1988&amp;bti=ODszNWYuMDE6&amp;ch=0&amp;cr=3&amp;dr=0&amp;lr=all&amp;cd=0%7C0%7C0%7C&amp;cv=1&amp;br=1300&amp;bt=650&amp;cs=0&amp;ds=3&amp;ft=-Csk_mrMPD12NH_opd-UxDTFGY6e3wv25ocAp&amp;mime_type=video_mp4&amp;qs=0&amp;rc=aGdkZTVnZTozZDxmZGZkOkBpM3c7Nzs6ZndlPDMzNzczM0AtXjAzMmEzXi8xXzIwL2MwYSNkXl9ecjQwXmdgLS1kMTZzcw%3D%3D&amp;btag=e00088000&amp;expire=1763173639&amp;l=202511131026218DEF8CE7185C8F9E5844&amp;ply_type=2&amp;policy=2&amp;signature=bf3f7834f16c3c3da0d3a8337d1ac988&amp;tk=tt_chain_token</t>
  </si>
  <si>
    <t>https://p16-sign-va.tiktokcdn.com/tos-maliva-avt-0068/409b8f094a519052398ae01ba95bf160~tplv-tiktokx-cropcenter:1080:1080.jpeg?dr=14579&amp;refresh_token=88af2447&amp;x-expires=1764727200&amp;x-signature=h1%2FGjwg20EJeaSgECLYSfH6uVDk%3D&amp;t=4d5b0474&amp;ps=13740610&amp;shp=a5d48078&amp;shcp=81f88b70&amp;idc=my</t>
  </si>
  <si>
    <t>https://www.tiktok.com/@cansei.deserotario/video/7090555724526308614</t>
  </si>
  <si>
    <t>canseideserotario</t>
  </si>
  <si>
    <t>7274246260524174598</t>
  </si>
  <si>
    <t>olucascavalcanti</t>
  </si>
  <si>
    <t>Lucas Cavalcanti</t>
  </si>
  <si>
    <t>https://p77-sign-va.tiktokcdn.com/tos-maliva-avt-0068/d9d6fd23fb9944744ec98c9a6f9ca6f4~tplv-tiktokx-cropcenter:100:100.jpeg?dr=14579&amp;refresh_token=cfc0b249&amp;x-expires=1763172000&amp;x-signature=XhOy4yPf1pp7Moiqtp89eeAaofo%3D&amp;t=4d5b0474&amp;ps=13740610&amp;shp=a5d48078&amp;shcp=81f88b70&amp;idc=my</t>
  </si>
  <si>
    <t>É bem isso gente 😆  Pensamentos de quem tem tdah  #humor #tdah #memestiktok #tdahadulto #tdahtiktok #comedia</t>
  </si>
  <si>
    <t>Dentro da cabeça de quem tem TDAH</t>
  </si>
  <si>
    <t>7274246317739215621</t>
  </si>
  <si>
    <t>https://v16-webapp-prime.tiktok.com/video/tos/useast2a/tos-useast2a-v-27dcd7/ogAHo1gSnIHP4mTBCZeAJeJ8LBb4kABIDtQkU8/?a=1988&amp;bti=ODszNWYuMDE6&amp;ch=0&amp;cr=0&amp;dr=0&amp;er=0&amp;lr=default&amp;cd=0%7C0%7C0%7C0&amp;br=250&amp;bt=125&amp;ds=5&amp;ft=GNDpcInz7ThMV-UPXq8Zmo&amp;mime_type=audio_mpeg&amp;qs=13&amp;rc=Mzhobjw6ZnlvbTMzNzU8M0BpMzhobjw6ZnlvbTMzNzU8M0BybWRocjQwLW1gLS1kMTZzYSNybWRocjQwLW1gLS1kMTZzcw%3D%3D&amp;btag=e00050000&amp;expire=1763004283&amp;l=2025111310232002E5437D242CEA8409F2&amp;ply_type=3&amp;policy=3&amp;signature=4de6a0714fe74aea4f1427b3779ce4af&amp;tk=7571587458748974088</t>
  </si>
  <si>
    <t>https://v16-webapp-prime.tiktok.com/video/tos/useast2a/tos-useast2a-pve-0068/oIzIyJA2iQF6Psw7BU0NZ0xiIQpAUVrdvSE6l/?a=1988&amp;bti=ODszNWYuMDE6&amp;ch=0&amp;cr=3&amp;dr=0&amp;lr=all&amp;cd=0%7C0%7C0%7C&amp;cv=1&amp;br=1952&amp;bt=976&amp;cs=0&amp;ds=3&amp;ft=-Csk_mrMPD12NBZh5d-UxSc2hY6e3wv252cAp&amp;mime_type=video_mp4&amp;qs=0&amp;rc=M2ZoZTNmZGgzOjplaDNpO0BpM25xdWo5cjx2eDMzNzgzM0A1MzJjYS0vNTExNS8uNDMyYSNtYTBpMmRrXm1gLS1kLzZzcw%3D%3D&amp;btag=e00090000&amp;expire=1764728685&amp;l=2025120110233096978CEC0666EFF2D3F0&amp;ply_type=2&amp;policy=2&amp;signature=410df2af6440b0bc0f96f18d3e53af9d&amp;tk=tt_chain_token</t>
  </si>
  <si>
    <t>https://p16-sign-va.tiktokcdn.com/tos-maliva-avt-0068/d9d6fd23fb9944744ec98c9a6f9ca6f4~tplv-tiktokx-cropcenter:1080:1080.jpeg?dr=14579&amp;refresh_token=2595f07a&amp;x-expires=1763172000&amp;x-signature=vBil8vQOUG%2FoPKpdOBUu3ftA4Sg%3D&amp;t=4d5b0474&amp;ps=13740610&amp;shp=a5d48078&amp;shcp=81f88b70&amp;idc=my</t>
  </si>
  <si>
    <t>https://v16-webapp-prime.tiktok.com/video/tos/alisg/tos-alisg-pve-0037c001/o0bRIEA7AeBPWE3qzrBOERClQQ85BkA18fnJrD/?a=1988&amp;bti=ODszNWYuMDE6&amp;ch=0&amp;cr=3&amp;dr=0&amp;lr=all&amp;cd=0%7C0%7C0%7C&amp;cv=1&amp;br=878&amp;bt=439&amp;cs=0&amp;ds=3&amp;ft=-Csk_mrMPD12N9Yopd-Ux315hY6e3wv25dcAp&amp;mime_type=video_mp4&amp;qs=0&amp;rc=OWlpaTU3ZDNoaGQ7aWU6aUBpM204eGk6ZjNvbTMzNzczM0BhNF8zXmI1NmExLS1fL2JhYSMtc3BicjRfLW1gLS1kMTZzcw%3D%3D&amp;btag=e00090000&amp;expire=1763173483&amp;l=2025111310232002E5437D242CEA8409F2&amp;ply_type=2&amp;policy=2&amp;signature=da1b3ec8de6647c3ee30ed6f71931167&amp;tk=tt_chain_token</t>
  </si>
  <si>
    <t>https://www.tiktok.com/@veigasaymon/video/7472532990564863238</t>
  </si>
  <si>
    <t>https://www.tiktok.com/@olucascavalcanti/video/7274246260524174598</t>
  </si>
  <si>
    <t>humor,tdah,memestiktok,tdahadulto,tdahtiktok,comedia</t>
  </si>
  <si>
    <t>7551181760227282184</t>
  </si>
  <si>
    <t>7483688263765462278</t>
  </si>
  <si>
    <t>https://p77-sign-va.tiktokcdn.com/tos-maliva-avt-0068/9c7e33a443eac8b62c597b69b16902e0~tplv-tiktokx-cropcenter:100:100.jpeg?dr=14579&amp;refresh_token=b0a268c6&amp;x-expires=1764727200&amp;x-signature=RZ88uCkE%2F%2FDP3h5rmoAZwiaAV%2Fc%3D&amp;t=4d5b0474&amp;ps=13740610&amp;shp=a5d48078&amp;shcp=81f88b70&amp;idc=my</t>
  </si>
  <si>
    <t>#saudemental #tdah #psicologia #psicoterapia #psicologoonline #fyp #foryoupage #fy</t>
  </si>
  <si>
    <t>de quem TEM TDAH 4 Sinais “GR0SSEIR0S” 1- FALAR de um JEITO DIRETO 
parecendo ser rude 2- MUDAR DE HUMOR,
parecendo se irritar do nada Parecer “SECO” nas conversas  4- ESQUECER DE AGRADECER 
ou demonstrar gratidão </t>
  </si>
  <si>
    <t>7483688293047192326</t>
  </si>
  <si>
    <t>https://v16-webapp-prime.tiktok.com/video/tos/useast2a/tos-useast2a-v-27dcd7/ooeb2PEzE7CsEFyDaASEAgCZIeAtC1D5oEtfTm/?a=1988&amp;bti=ODszNWYuMDE6&amp;ch=0&amp;cr=0&amp;dr=0&amp;er=0&amp;lr=default&amp;cd=0%7C0%7C0%7C0&amp;br=250&amp;bt=125&amp;ds=5&amp;ft=GNDpcInz7ThOD-UPXq8Zmo&amp;mime_type=audio_mpeg&amp;qs=13&amp;rc=ajlzcnY5cnFweTMzNzU8M0BpajlzcnY5cnFweTMzNzU8M0BuaWdwMmRrYWFgLS1kMTZzYSNuaWdwMmRrYWFgLS1kMTZzcw%3D%3D&amp;btag=e00050000&amp;expire=1763004403&amp;l=20251113102536F89EBD83B531C49CD72A&amp;ply_type=3&amp;policy=3&amp;signature=5a472414fe51ed2678aadc5087e044b3&amp;tk=7571587458748974088</t>
  </si>
  <si>
    <t>https://p16-sign-va.tiktokcdn.com/tos-maliva-avt-0068/13a628e0ffd8c13e59721b894863e44e~tplv-tiktokx-cropcenter:1080:1080.jpeg?dr=14579&amp;refresh_token=eae8606b&amp;x-expires=1763172000&amp;x-signature=c5EEMKopNsmSJLQjs5NpeoYKOks%3D&amp;t=4d5b0474&amp;ps=13740610&amp;shp=a5d48078&amp;shcp=81f88b70&amp;idc=my</t>
  </si>
  <si>
    <t>Entenda as dificuldades mais comuns do TDAH adulto. https://clube.tdah.com.br</t>
  </si>
  <si>
    <t>7551181850144688913</t>
  </si>
  <si>
    <t>https://v16-webapp-prime.tiktok.com/video/tos/alisg/tos-alisg-v-27dcd7/oAgDSCarEmbgY8FARTkEzXlfLf5TCcolWQDe2g/?a=1988&amp;bti=ODszNWYuMDE6&amp;ch=0&amp;cr=0&amp;dr=0&amp;er=0&amp;lr=default&amp;cd=0%7C0%7C0%7C0&amp;br=250&amp;bt=125&amp;ft=GNDpcInz7ThJzKvPXq8Zmo&amp;mime_type=audio_mpeg&amp;qs=6&amp;rc=Mzw6aGhpZDNlNzhmNDpkZUBpamw6eHY5cnFsNjMzODU8NEBhMWE0NjBgXjExMmIvNGFhYSMxLW9mMmQ0czJhLS1kMS1zcw%3D%3D&amp;btag=e00090000&amp;expire=1764559389&amp;l=20251201102141EAAE30DD17435761F356&amp;ply_type=3&amp;policy=3&amp;signature=05ad5879a17ce55e4aacf40524c40c2e&amp;tk=7571587458748974088</t>
  </si>
  <si>
    <t>https://v16-webapp-prime.tiktok.com/video/tos/useast2a/tos-useast2a-ve-0068c004/okhZP8EjiUm9BvrJvTvkiQpqSbHtAEzIQZBL7/?a=1988&amp;bti=ODszNWYuMDE6&amp;ch=0&amp;cr=3&amp;dr=0&amp;lr=all&amp;cd=0%7C0%7C0%7C&amp;cv=1&amp;br=2592&amp;bt=1296&amp;cs=0&amp;ds=3&amp;ft=-Csk_mrMPD12NE.opd-UxG4vXY6e3wv25McAp&amp;mime_type=video_mp4&amp;qs=0&amp;rc=NTk8aTw4ZjM7aTNoMzRkZ0BpamU4eXU5cm1weTMzNzczM0AxXy41YC4xXmExYy40YjUvYSNrNDBoMmRrNmFgLS1kMTZzcw%3D%3D&amp;btag=e00090000&amp;expire=1763173603&amp;l=20251113102536F89EBD83B531C49CD72A&amp;ply_type=2&amp;policy=2&amp;signature=47c24d9e9e23ad94b270faa43205ac23&amp;tk=tt_chain_token</t>
  </si>
  <si>
    <t>https://www.tiktok.com/@igorpsicologo/video/7483688263765462278</t>
  </si>
  <si>
    <t>saudemental,tdah,psicologia,psicoterapia,psicologoonline,fyp,foryoupage,fy</t>
  </si>
  <si>
    <t>https://p77-sign-va.tiktokcdn.com/tos-maliva-avt-0068/4842f829bdaf28a70fa2e96759a81700~tplv-tiktokx-cropcenter:100:100.jpeg?dr=14579&amp;refresh_token=992af602&amp;x-expires=1763172000&amp;x-signature=JGblNlIlLYOiRnYYXckwOonB7EQ%3D&amp;t=4d5b0474&amp;ps=13740610&amp;shp=a5d48078&amp;shcp=81f88b70&amp;idc=my</t>
  </si>
  <si>
    <t>https://p77-sign-va.tiktokcdn.com/tos-maliva-avt-0068/9c7e33a443eac8b62c597b69b16902e0~tplv-tiktokx-cropcenter:1080:1080.jpeg?dr=14579&amp;refresh_token=e9c61db9&amp;x-expires=1764727200&amp;x-signature=%2B9ee08jMrygBa78IbwjBrh9znMM%3D&amp;t=4d5b0474&amp;ps=13740610&amp;shp=a5d48078&amp;shcp=81f88b70&amp;idc=my</t>
  </si>
  <si>
    <t>https://v16-webapp-prime.tiktok.com/video/tos/useast2a/tos-useast2a-v-27dcd7/o4byoBAfEDLXIYABlWlUGnjBBEIuJ3AbQCTeAJ/?a=1988&amp;bti=ODszNWYuMDE6&amp;ch=0&amp;cr=0&amp;dr=0&amp;er=0&amp;lr=default&amp;cd=0%7C0%7C0%7C0&amp;br=250&amp;bt=125&amp;ds=5&amp;ft=GNDpcInz7ThOD-UPXq8Zmo&amp;mime_type=audio_mpeg&amp;qs=13&amp;rc=ajhpdzM6ZmY4bjMzNzU8M0BpajhpdzM6ZmY4bjMzNzU8M0Bza21ocjRnaDBgLS1kMTZzYSNza21ocjRnaDBgLS1kMTZzcw%3D%3D&amp;btag=e00050000&amp;expire=1763004403&amp;l=20251113102536F89EBD83B531C49CD72A&amp;ply_type=3&amp;policy=3&amp;signature=0c26c0b0733bdfcfdfe7ed60d32d32f3&amp;tk=7571587458748974088</t>
  </si>
  <si>
    <t>https://v16-webapp-prime.tiktok.com/video/tos/alisg/tos-alisg-ve-4863-sg/oQAieqg6QEuA8sOGlXRfWDeFlIYzQoKfASBF27/?a=1988&amp;bti=ODszNWYuMDE6&amp;ch=0&amp;cr=3&amp;dr=0&amp;lr=all&amp;cd=0%7C0%7C0%7C&amp;cv=1&amp;br=1322&amp;bt=661&amp;cs=0&amp;ds=3&amp;ft=-Csk_mrMPD12NWDh5d-Uxvt2hY6e3wv251cAp&amp;mime_type=video_mp4&amp;qs=0&amp;rc=aGg6ZTY4NDwzZThoaTNkM0BpanE0aG85cjtsNjQzOGk1NEA2LzYuYDZgXzIxMV5eXjYwYSNiNWAtMmRrczJhLS1kYzFzcw%3D%3D&amp;btag=e00090000&amp;expire=1764728589&amp;l=20251201102141EAAE30DD17435761F356&amp;ply_type=2&amp;policy=2&amp;signature=0a37ec57cfc9335ca07685b558ec146b&amp;tk=tt_chain_token</t>
  </si>
  <si>
    <t>https://p77-sign-va.tiktokcdn.com/tos-maliva-avt-0068/4842f829bdaf28a70fa2e96759a81700~tplv-tiktokx-cropcenter:1080:1080.jpeg?dr=14579&amp;refresh_token=2364b330&amp;x-expires=1763172000&amp;x-signature=YlrhiUb%2BmIFzg%2F03XBPPWs2P0%2BI%3D&amp;t=4d5b0474&amp;ps=13740610&amp;shp=a5d48078&amp;shcp=81f88b70&amp;idc=my</t>
  </si>
  <si>
    <t>https://v16-webapp-prime.tiktok.com/video/tos/alisg/tos-alisg-pve-0037c001/ocIeIEBiQeRJWmQHQbL0EIl1lE2MQn7ABgDQAB/?a=1988&amp;bti=ODszNWYuMDE6&amp;ch=0&amp;cr=3&amp;dr=0&amp;lr=all&amp;cd=0%7C0%7C0%7C&amp;cv=1&amp;br=1968&amp;bt=984&amp;cs=0&amp;ds=3&amp;ft=-Csk_mrMPD12NE.opd-UxG4vXY6e3wv25McAp&amp;mime_type=video_mp4&amp;qs=0&amp;rc=PDM6aDU7MzU1OGRoaDU2OEBpMzdlNTg6ZjQ4bjMzNzczM0A2MjBjY2JgXi8xYy9gYTNgYSMvLzBxcjRvZzBgLS1kMTZzcw%3D%3D&amp;btag=e00090000&amp;expire=1763173603&amp;l=20251113102536F89EBD83B531C49CD72A&amp;ply_type=2&amp;policy=2&amp;signature=28a165fef07c0bebedce8c6c7d2a0900&amp;tk=tt_chain_token</t>
  </si>
  <si>
    <t>https://www.tiktok.com/@tdahdescomplicado/video/7551181760227282184</t>
  </si>
  <si>
    <t>7509597762946682117</t>
  </si>
  <si>
    <t>janainaferreira.2</t>
  </si>
  <si>
    <t>Mundo do Autista 🧩</t>
  </si>
  <si>
    <t>https://p16-sign-va.tiktokcdn.com/tos-maliva-avt-0068/a8c07d9cf8714e5a6a84c15bd0263d8a~tplv-tiktokx-cropcenter:100:100.jpeg?dr=14579&amp;refresh_token=be08f1e4&amp;x-expires=1763172000&amp;x-signature=S8WEm34cYzlJrmIAiSA0lImkLfM%3D&amp;t=4d5b0474&amp;ps=13740610&amp;shp=a5d48078&amp;shcp=81f88b70&amp;idc=my</t>
  </si>
  <si>
    <t>7485053498451578117</t>
  </si>
  <si>
    <t>TDHA não tratado.  #tdahadulto  #tdah #rededeapoio #inclusao #pesquisaautismo #maeatipica #maeautista #familiaautista #orgulhoautista #espectroautista #diamundialdoautismo #autismo #comunidadeautista #conscientizacaodoautismo #autismoftiktok #autismobrasil #autismoinfantil #autistanotiktok #tea</t>
  </si>
  <si>
    <t>7509597788200962872</t>
  </si>
  <si>
    <t>https://v16-webapp-prime.tiktok.com/video/tos/useast2a/tos-useast2a-v-27dcd7/oYsNEJezwDC3cPACA3F8BJoAAUDQOBjNE9fz3E/?a=1988&amp;bti=ODszNWYuMDE6&amp;ch=0&amp;cr=0&amp;dr=0&amp;er=0&amp;lr=default&amp;cd=0%7C0%7C0%7C0&amp;br=250&amp;bt=125&amp;ds=5&amp;ft=GNDpcInz7ThzK-UPXq8Zmo&amp;mime_type=audio_mpeg&amp;qs=13&amp;rc=Mzp0c3g5cnZxMzMzNzU8M0BpMzp0c3g5cnZxMzMzNzU8M0BjMHNgMmQ0M29hLS1kMTZzYSNjMHNgMmQ0M29hLS1kMTZzcw%3D%3D&amp;btag=e00050000&amp;expire=1763004216&amp;l=20251113102236D675DBC36011DA84E058&amp;ply_type=3&amp;policy=3&amp;signature=d22a0952a17b315486f3725d18f3ae94&amp;tk=7571587458748974088</t>
  </si>
  <si>
    <t>‼️SE IDENTIFICOU⁉️😂 Essa é uma característica comum de quem sofre de TDAH. Pular de tarefa em tarefa, sem concluir as demais. Acontece por aí? Me conta nos comentários👇🏼</t>
  </si>
  <si>
    <t>7485053510820580102</t>
  </si>
  <si>
    <t>https://v16-webapp-prime.tiktok.com/video/tos/useast2a/tos-useast2a-v-27dcd7/o0eTQoEk8DPfOAVBJlCeQy7AgALhCPEIwPGSAI/?a=1988&amp;bti=ODszNWYuMDE6&amp;ch=0&amp;cr=0&amp;dr=0&amp;er=0&amp;lr=default&amp;cd=0%7C0%7C0%7C0&amp;br=250&amp;bt=125&amp;ds=5&amp;ft=GNDpcInz7ThmPKvPXq8Zmo&amp;mime_type=audio_mpeg&amp;qs=13&amp;rc=amx1a2o5cjQ3eTMzNzU8M0Bpamx1a2o5cjQ3eTMzNzU8M0BjNF9wMmRzLmRgLS1kMTZzYSNjNF9wMmRzLmRgLS1kMTZzcw%3D%3D&amp;btag=e00078000&amp;expire=1764559235&amp;l=20251201102018B39B5434B49F795A75FD&amp;ply_type=3&amp;policy=3&amp;signature=0b02a016f8e07207fb0293ac3dbc596a&amp;tk=7571587458748974088</t>
  </si>
  <si>
    <t>https://p16-sign-va.tiktokcdn.com/tos-maliva-avt-0068/a8c07d9cf8714e5a6a84c15bd0263d8a~tplv-tiktokx-cropcenter:1080:1080.jpeg?dr=14579&amp;refresh_token=23a8c4f0&amp;x-expires=1763172000&amp;x-signature=pkTKvJrnKpBp0taa5UUEStXt5h0%3D&amp;t=4d5b0474&amp;ps=13740610&amp;shp=a5d48078&amp;shcp=81f88b70&amp;idc=my</t>
  </si>
  <si>
    <t>https://v16-webapp-prime.tiktok.com/video/tos/useast2a/tos-useast2a-ve-0068c001/o00mIkLtwBA3c4GoI7i5gI0QoCOoKAJGEEfc3i/?a=1988&amp;bti=ODszNWYuMDE6&amp;ch=0&amp;cr=3&amp;dr=0&amp;lr=all&amp;cd=0%7C0%7C0%7C&amp;cv=1&amp;br=1664&amp;bt=832&amp;cs=0&amp;ds=3&amp;ft=-Csk_mrMPD12NDhopd-Ux2.2GY6e3wv25rcAp&amp;mime_type=video_mp4&amp;qs=0&amp;rc=N2ZoaWRoZmQ0ZzhlODpoNEBpamRqeHM5cnJxMzMzNzczM0BeXy0zXzYtNS4xYWI2MWEwYSMycC1qMmRjM29hLS1kMTZzcw%3D%3D&amp;btag=e00090000&amp;expire=1763173416&amp;l=20251113102236D675DBC36011DA84E058&amp;ply_type=2&amp;policy=2&amp;signature=c1944f59f5bc86288659c728cdfa1cdf&amp;tk=tt_chain_token</t>
  </si>
  <si>
    <t>https://www.tiktok.com/@janainaferreira.2/video/7509597762946682117</t>
  </si>
  <si>
    <t>https://webapp-va.tiktok.com/c091102d18c719acf77dc3f68feba41a/692f9e74/kmoat/mps/logo/v3/r/p/v09025g40000cvg40u7og65juagsa980/0a2b7f6edf6e4323bb2f8d9b07434630/4db8e6ccafe7b77f601e59e889ed5481/mp4/main.mp4?a=1988&amp;bti=ODszNWYuMDE6&amp;ch=0&amp;cr=3&amp;dr=0&amp;lr=all&amp;cd=0%7C0%7C0%7C&amp;cv=1&amp;br=0&amp;bt=0&amp;cs=0&amp;ds=3&amp;ft=LrmaEoKyD12Nvu.WS.IxRntNWlBF-UjNSMopiX&amp;mime_type=video_mp4&amp;qs=0&amp;rc=cnF8b2hsc2d3SkBwaHIxaDFybndmMzk2OmVnaWU2NmhpaGllZEBpMzx2ZG05cng3eTMzNzgzM0BjRl5Nc3FePmJKYSNvYF90aHFmOiMwMTEtNjUvXy8xM2EzNC8tYSM1XmRyMmQ0LWRgLS1kLzZzcw%3D%3D&amp;btag=e000b8000&amp;definition=720p&amp;du=18&amp;item_id=7485053498451578117&amp;l=20251201102018B39B5434B49F795A75FD&amp;logo_type=tiktok_creator&amp;ply_type=2&amp;policy=eyJ2bSI6MiwiY2siOiJ0dF9jaGFpbl90b2tlbiJ9&amp;sign_params=item_id%2Cuser_text&amp;user_text=veigasaymon</t>
  </si>
  <si>
    <t>tdahadulto,tdah,rededeapoio,inclusao,pesquisaautismo,maeatipica,maeautista,familiaautista,orgulhoautista,espectroautista,diamundialdoautismo,autismo,comunidadeautista,conscientizacaodoautismo,autismoftiktok,autismobrasil,autismoinfantil,autistanotiktok,tea</t>
  </si>
  <si>
    <t>7483295703821749510</t>
  </si>
  <si>
    <t>https://p16-sign-va.tiktokcdn.com/tos-maliva-avt-0068/fc1698d10dca32b79684fcca308c78cc~tplv-tiktokx-cropcenter:100:100.jpeg?dr=14579&amp;refresh_token=430ac0a3&amp;x-expires=1763172000&amp;x-signature=JzZgoivC8GVRy2ecdpdDiLoynRk%3D&amp;t=4d5b0474&amp;ps=13740610&amp;shp=a5d48078&amp;shcp=81f88b70&amp;idc=my</t>
  </si>
  <si>
    <t>#tdah #tea #dislexia #autismo #dislexiainfantil #criancaatipica #maeatipica #maternidadeatipica #neurodivergencia #acolhimento #empatia #foryoupage @Neurodivergencia é o papo! @Neurodivergencia é o papo!</t>
  </si>
  <si>
    <t>TDAH, TEA e DISLEXIA</t>
  </si>
  <si>
    <t>7483295742208412422</t>
  </si>
  <si>
    <t>https://v16-webapp-prime.tiktok.com/video/tos/useast2a/tos-useast2a-v-27dcd7/ooa25FCTSDPDtaoOAgAeEdd0EfjeL5CEWMEAAA/?a=1988&amp;bti=ODszNWYuMDE6&amp;ch=0&amp;cr=0&amp;dr=0&amp;er=0&amp;lr=default&amp;cd=0%7C0%7C0%7C0&amp;br=250&amp;bt=125&amp;ds=5&amp;ft=GNDpcInz7ThlV-UPXq8Zmo&amp;mime_type=audio_mpeg&amp;qs=13&amp;rc=MzZleXY5cnEzeTMzNzU8M0BpMzZleXY5cnEzeTMzNzU8M0BvNmdmMmRrMGFgLS1kMTZzYSNvNmdmMmRrMGFgLS1kMTZzcw%3D%3D&amp;btag=e00050000&amp;expire=1763004276&amp;l=20251113102257F8D01E3BFCE9B2911856&amp;ply_type=3&amp;policy=3&amp;signature=4cd1e04a89beaef45824ce34fafef247&amp;tk=7571587458748974088</t>
  </si>
  <si>
    <t>https://p77-sign-va.tiktokcdn.com/tos-maliva-avt-0068/fc1698d10dca32b79684fcca308c78cc~tplv-tiktokx-cropcenter:1080:1080.jpeg?dr=14579&amp;refresh_token=39453837&amp;x-expires=1763172000&amp;x-signature=S02rfb1NJnYmdSr9h6XmXwXokiw%3D&amp;t=4d5b0474&amp;ps=13740610&amp;shp=a5d48078&amp;shcp=81f88b70&amp;idc=my</t>
  </si>
  <si>
    <t>https://www.tiktok.com/@veigasaymon/video/7485053498451578117</t>
  </si>
  <si>
    <t>https://v16-webapp-prime.tiktok.com/video/tos/useast2a/tos-useast2a-ve-0068c004/oUUPYfFfUAyjAjcvggWQtASMB8TRY8AQCICe0R/?a=1988&amp;bti=ODszNWYuMDE6&amp;ch=0&amp;cr=3&amp;dr=0&amp;lr=all&amp;cd=0%7C0%7C0%7C&amp;cv=1&amp;br=854&amp;bt=427&amp;cs=0&amp;ds=2&amp;ft=-Csk_mrMPD12N4Yopd-Ux9T2bY6e3wv25IcAp&amp;mime_type=video_mp4&amp;qs=0&amp;rc=NmVpZGg2aDU3OWU2Z2c3PEBpMzd5O245cjszeTMzNzczM0AzXi9hLjMwXi8xLjZfMzQyYSNeYGdhMmQ0LmFgLS1kMTZzcw%3D%3D&amp;btag=e00090000&amp;expire=1763173476&amp;l=20251113102257F8D01E3BFCE9B2911856&amp;ply_type=2&amp;policy=2&amp;signature=79c6a70db58690558e4e123c203fe8ad&amp;tk=tt_chain_token</t>
  </si>
  <si>
    <t>7227468635042860294</t>
  </si>
  <si>
    <t>editado.com.sucesso</t>
  </si>
  <si>
    <t>Edit's</t>
  </si>
  <si>
    <t>https://p16-sign-va.tiktokcdn.com/tos-maliva-avt-0068/8f988a8a6da971b38670c47e70486fcc~tplv-tiktokx-cropcenter:100:100.jpeg?dr=14579&amp;refresh_token=07d97d85&amp;x-expires=1764727200&amp;x-signature=y20jrKBNIHJ4%2BJOpvvXuErMHNgs%3D&amp;t=4d5b0474&amp;ps=13740610&amp;shp=a5d48078&amp;shcp=81f88b70&amp;idc=my</t>
  </si>
  <si>
    <t>https://www.tiktok.com/@neurodivergenciaeopapo/video/7483295703821749510</t>
  </si>
  <si>
    <t>tdah,tea,dislexia,autismo,dislexiainfantil,criancaatipica,maeatipica,maternidadeatipica,neurodivergencia,acolhimento,empatia,foryoupage</t>
  </si>
  <si>
    <t>7234531239645007110</t>
  </si>
  <si>
    <t xml:space="preserve">⭐️ LEIA A LEGENDA⬇️ 🔊 1. Mastigação barulhenta: Para muitas pessoas com TDAH, a mastigação barulhenta pode ser uma verdadeira irritação. O som alto e repetitivo de alguém mastigando pode desencadear uma resposta intensa de desconforto e irritabilidade, tornando difícil concentrar-se em outras tarefas ou até mesmo desfrutar de uma refeição tranquila. 😣 📝 2. Instruções “simples” (manual): Quando se deparam com instruções que são consideradas “simples” para a maioria das pessoas, indivíduos com TDAH podem sentir-se sobrecarregados. O processo de processamento e compreensão de informações pode ser mais desafiador, e isso pode levar a frustração e até mesmo a erros na execução de tarefas. É importante lembrar que o TDAH afeta a forma como o cérebro funciona, e instruções claras e adaptadas podem fazer toda a diferença. 🤔 ⏰ 3. Hiperfoco interrompido: O hiperfoco é um aspecto interessante do TDAH, onde uma pessoa com o transtorno pode se envolver profundamente em uma atividade, perdendo a noção do tempo e do ambiente ao redor. No entanto, quando esse hiperfoco é interrompido abruptamente, seja por uma distração externa ou uma mudança de contexto, pode levar a um sentimento de frustração e dificuldade em retomar a concentração inicial. ⏳😫 🗣️ 4. Pessoas barulhentas em público: Ambientes barulhentos e pessoas falando alto podem ser particularmente desafiadores para pessoas com TDAH. A dificuldade em filtrar estímulos sensoriais e manter o foco pode resultar em irritação e sobrecarga sensorial. Em um ambiente público ruidoso, é difícil para essas pessoas manterem a atenção em uma conversa ou executarem tarefas importantes. Isso pode gerar ansiedade e exaustão mental🙉 😖 É importante reconhecer que essas irritações podem variar de pessoa para pessoa com TDAH. Cada indivíduo tem suas próprias sensibilidades e desafios específicos. Compreender e respeitar essas dificuldades pode contribuir para um ambiente mais inclusivo e compreensivo para todos. 🌟💙 ⚠️SIGA @psicologo.mateus PARA MAIS CONTEÚDOS! Ib: @ADHD LOVE  #terapia #psicologo #psicologia #terapiacognitivo #saudemental #tdah #tdahadulto #tdahinfantil #tdahdescomplicado #tdahadultos #tdahcomamor#tdahtiktok </t>
  </si>
  <si>
    <t>Little Girl Gone</t>
  </si>
  <si>
    <t>7218296429549931270</t>
  </si>
  <si>
    <t>https://sf16-ies-music-sg.tiktokcdn.com/obj/tos-alisg-ve-2774/oo8EMC5hnQP4DDYkyRebBBgL5fEVxcQJZrndtA</t>
  </si>
  <si>
    <t>https://p16-sg.tiktokcdn.com/aweme/720x720/tos-alisg-v-2774/ocfmiKZBtSDNvsTEe5FOnIA0B4AnIgBintAQpC.jpeg</t>
  </si>
  <si>
    <t>O TDAH TEM UMA DIFICULDADE EM FOCAR E DIRECIONAR A ATENÇÃO PRA UM LUGAR..</t>
  </si>
  <si>
    <t>7227468643898297094</t>
  </si>
  <si>
    <t>https://v16-webapp-prime.tiktok.com/video/tos/useast2a/tos-useast2a-v-27dcd7/9a468d2f04c340edbe91c37f3f82ba18/?a=1988&amp;bti=ODszNWYuMDE6&amp;ch=0&amp;cr=0&amp;dr=0&amp;er=0&amp;lr=default&amp;cd=0%7C0%7C0%7C0&amp;br=250&amp;bt=125&amp;ds=5&amp;ft=GNDpcInz7ThvFKvPXq8Zmo&amp;mime_type=audio_mpeg&amp;qs=13&amp;rc=amw3ZDw6ZndsazMzNzU8M0Bpamw3ZDw6ZndsazMzNzU8M0AzMG8ucjRnLTNgLS1kMTZzYSMzMG8ucjRnLTNgLS1kMTZzcw%3D%3D&amp;btag=e00050000&amp;expire=1764559410&amp;l=2025120110220104295D62D2C47867A675&amp;ply_type=3&amp;policy=3&amp;signature=cb88b45991742fe9268c8366eab9fd5e&amp;tk=7571587458748974088</t>
  </si>
  <si>
    <t>CHINCHILLA</t>
  </si>
  <si>
    <t>https://v16-webapp-prime.tiktok.com/video/tos/maliva/tos-maliva-ve-0068c801-us/o0eMjGM9IQSEIYCIqCz8A7fDohngIeA9UgbK9z/?a=1988&amp;bti=ODszNWYuMDE6&amp;ch=0&amp;cr=3&amp;dr=0&amp;lr=all&amp;cd=0%7C0%7C0%7C&amp;cv=1&amp;br=1558&amp;bt=779&amp;cs=0&amp;ds=3&amp;ft=I~da4oKyD12Nv5A0i.IxRIk_glBF-UjNSbopiX&amp;mime_type=video_mp4&amp;qs=0&amp;rc=OGk4aWY4Njw8ODo0M2c0NUBpM3k0NjU6Zm82azMzNzczM0AuYDFeXmJfNi8xYjYuLjEuYSMwcjQucjQwY2dgLS1kMTZzcw%3D%3D&amp;btag=e000b8000&amp;expire=1763173473&amp;l=20251113102410CE8B814C77F7637842AC&amp;ply_type=2&amp;policy=2&amp;signature=6ea36a2cde4e6986647d802740d7122b&amp;tk=tt_chain_token</t>
  </si>
  <si>
    <t>https://www.tiktok.com/@psicologo.mateus/video/7234531239645007110</t>
  </si>
  <si>
    <t>terapia,psicologo,psicologia,terapiacognitivo,saudemental,tdah,tdahadulto,tdahinfantil,tdahdescomplicado,tdahadultos,tdahcomamor,tdahtiktok</t>
  </si>
  <si>
    <t>7159211808480414981</t>
  </si>
  <si>
    <t>ga.meireles</t>
  </si>
  <si>
    <t>https://p77-sign-va.tiktokcdn.com/tos-maliva-avt-0068/19646a8c33d8ce4c69d221dd717c4509~tplv-tiktokx-cropcenter:100:100.jpeg?dr=14579&amp;refresh_token=8fe40a0f&amp;x-expires=1763172000&amp;x-signature=356BhtDSFSszPrSWx4586JHUs64%3D&amp;t=4d5b0474&amp;ps=13740610&amp;shp=a5d48078&amp;shcp=81f88b70&amp;idc=my</t>
  </si>
  <si>
    <t>https://p16-sign-va.tiktokcdn.com/tos-maliva-avt-0068/8f988a8a6da971b38670c47e70486fcc~tplv-tiktokx-cropcenter:1080:1080.jpeg?dr=14579&amp;refresh_token=f1117938&amp;x-expires=1764727200&amp;x-signature=%2FvlW%2BuCApsSDKWptdi3rBSABO9w%3D&amp;t=4d5b0474&amp;ps=13740610&amp;shp=a5d48078&amp;shcp=81f88b70&amp;idc=my</t>
  </si>
  <si>
    <t>Passa por isso?🤔 #saude #curiosidades</t>
  </si>
  <si>
    <t>Cool Kids (our sped up version)</t>
  </si>
  <si>
    <t>7136115827699124226</t>
  </si>
  <si>
    <t>https://sf16-ies-music-sg.tiktokcdn.com/obj/tos-alisg-ve-2774/oMmXQADAFByIeCiZ5BFMyg7OoAtZgBfQC02BiQ</t>
  </si>
  <si>
    <t>https://p16-sg.tiktokcdn.com/aweme/720x720/tos-alisg-v-2774/oYUgDFIp7gAr4IEMABLeDCAWf2MAQMEFzAGeaV.jpeg</t>
  </si>
  <si>
    <t>Echosmith</t>
  </si>
  <si>
    <t>https://v16-webapp-prime.tiktok.com/video/tos/maliva/tos-maliva-ve-0068c801-us/oMqjBaMBD1Ue2NoAKQBIWfoSRE2jnBQFEbLU7J/?a=1988&amp;bti=ODszNWYuMDE6&amp;ch=0&amp;cr=3&amp;dr=0&amp;lr=all&amp;cd=0%7C0%7C0%7C&amp;cv=1&amp;br=1388&amp;bt=694&amp;cs=0&amp;ds=3&amp;ft=-Csk_mrMPD12N4Yopd-Ux9T2bY6e3wv25IcAp&amp;mime_type=video_mp4&amp;qs=0&amp;rc=Nmg3ZmY4Ozs1NGRkZGk6O0Bpanc6OTU6ZmdkZzMzNzczM0BjNjYuNWFgXy8xNjUtXzFjYSNzam5ucjRfL2FgLS1kMTZzcw%3D%3D&amp;btag=e000b8000&amp;expire=1763173392&amp;l=20251113102257F8D01E3BFCE9B2911856&amp;ply_type=2&amp;policy=2&amp;signature=7da39f0db0ae69dccd1e150fa43b95ff&amp;tk=tt_chain_token</t>
  </si>
  <si>
    <t>https://www.tiktok.com/@editado.com.sucesso/video/7227468635042860294</t>
  </si>
  <si>
    <t>https://www.tiktok.com/@ga.meireles/video/7159211808480414981</t>
  </si>
  <si>
    <t>7158107445657668870</t>
  </si>
  <si>
    <t>lutzpodcastdesativado</t>
  </si>
  <si>
    <t>Lutz Podcast1</t>
  </si>
  <si>
    <t>saude,curiosidades</t>
  </si>
  <si>
    <t>https://p77-sign-va.tiktokcdn.com/tos-maliva-avt-0068/63f6fa7e4cb74129badf2a29bc39db27~tplv-tiktokx-cropcenter:100:100.jpeg?dr=14579&amp;refresh_token=ae0e249c&amp;x-expires=1764727200&amp;x-signature=3UrmXRA7UefTpIEafcKUe9r1hZA%3D&amp;t=4d5b0474&amp;ps=13740610&amp;shp=a5d48078&amp;shcp=81f88b70&amp;idc=my</t>
  </si>
  <si>
    <t>7423178064366193926</t>
  </si>
  <si>
    <t>diario.do.tdah</t>
  </si>
  <si>
    <t>Diario do TDAH</t>
  </si>
  <si>
    <t>https://p77-sign-va.tiktokcdn.com/tos-maliva-avt-0068/91bd50ddc7ab01c8dfdc4361fe4d1101~tplv-tiktokx-cropcenter:100:100.jpeg?dr=14579&amp;refresh_token=a0fec839&amp;x-expires=1763172000&amp;x-signature=yR0Co955B4p8TckeCtAYyJiFTX8%3D&amp;t=4d5b0474&amp;ps=13740610&amp;shp=a5d48078&amp;shcp=81f88b70&amp;idc=my</t>
  </si>
  <si>
    <t>visite nossa loja virtual: https://hotmart.com/pt-br/marketplace/produtos/hagsxd-manual-do-tdah-as9pv/W95853126R #saude #ansiedade #neurodivergent #psicologia #tdahadulto #tdah #tdahinfantil #insônia #tratamento</t>
  </si>
  <si>
    <t>7423178087062620934</t>
  </si>
  <si>
    <t>https://v16-webapp-prime.tiktok.com/video/tos/useast2a/tos-useast2a-v-27dcd7/oc1FgofBkE36E7zKrbgEAgHjEASBHiaAiAAWEo/?a=1988&amp;bti=ODszNWYuMDE6&amp;ch=0&amp;cr=0&amp;dr=0&amp;er=0&amp;lr=default&amp;cd=0%7C0%7C0%7C0&amp;br=250&amp;bt=125&amp;ds=5&amp;ft=GNDpcInz7ThaV-UPXq8Zmo&amp;mime_type=audio_mpeg&amp;qs=13&amp;rc=Mzo2a3E5cmU5djMzNzU8M0BpMzo2a3E5cmU5djMzNzU8M0AvamFpMmRjbi9gLS1kMTZzYSMvamFpMmRjbi9gLS1kMTZzcw%3D%3D&amp;btag=e00048000&amp;expire=1763004263&amp;l=20251113102343D1A0044B947998B9C2A2&amp;ply_type=3&amp;policy=3&amp;signature=1a2d2ced5dc4e93ed7e24f41f9593a92&amp;tk=7571587458748974088</t>
  </si>
  <si>
    <t>Como é desenvolvimento social de uma pessoa que tem TDAH. @tdahpragentegrande no Lutz podcast 83</t>
  </si>
  <si>
    <t>7158107505545284358</t>
  </si>
  <si>
    <t>https://v16-webapp-prime.tiktok.com/video/tos/useast2a/tos-useast2a-v-27dcd7/ogqbroUZtdjCeVxas6DeB8VUJBbn4QTJaQbKEw/?a=1988&amp;bti=ODszNWYuMDE6&amp;ch=0&amp;cr=0&amp;dr=0&amp;er=0&amp;lr=default&amp;cd=0%7C0%7C0%7C0&amp;br=250&amp;bt=125&amp;ft=GNDpcInz7ThRPKvPXq8Zmo&amp;mime_type=audio_mpeg&amp;qs=6&amp;rc=ZGRlNjQ0ODY0Zzs8ZTQ2NEBpamZ0NTo6ZnBlZzMzNzU8M0BgNTJeY15hNl4xMzZgMGEwYSM0L2xjcjRfNl9gLS1kMTZzcw%3D%3D&amp;btag=e00088000&amp;expire=1764559271&amp;l=202512011020161DC26370CAB01566B4BC&amp;ply_type=3&amp;policy=3&amp;signature=7612a5d40b1a34e70f45fc55b9675860&amp;tk=7571587458748974088</t>
  </si>
  <si>
    <t>https://p77-sign-va.tiktokcdn.com/tos-maliva-avt-0068/91bd50ddc7ab01c8dfdc4361fe4d1101~tplv-tiktokx-cropcenter:1080:1080.jpeg?dr=14579&amp;refresh_token=c3519b96&amp;x-expires=1763172000&amp;x-signature=bZvNTdZGfh5X9CZcan20KeX1U8s%3D&amp;t=4d5b0474&amp;ps=13740610&amp;shp=a5d48078&amp;shcp=81f88b70&amp;idc=my</t>
  </si>
  <si>
    <t>https://v16-webapp-prime.tiktok.com/video/tos/alisg/tos-alisg-pve-0037c001/o8IYRAUAGJgl2EIneBFfBBQQsIWX0YQ3RKDoEO/?a=1988&amp;bti=ODszNWYuMDE6&amp;ch=0&amp;cr=3&amp;dr=0&amp;lr=all&amp;cd=0%7C0%7C0%7C&amp;cv=1&amp;br=1928&amp;bt=964&amp;cs=0&amp;ds=3&amp;ft=-Csk_mrMPD12N8Yopd-UxfeFaY6e3wv25HcAp&amp;mime_type=video_mp4&amp;qs=0&amp;rc=Zzo2NzY0ZDY5OmRpaDw8aEBpM3Bmc245cjY5djMzNzczM0A1XjMtMi4uNjAxYGJgMDUvYSMzaDBhMmRrbi9gLS1kMTZzcw%3D%3D&amp;btag=e00088000&amp;expire=1763173464&amp;l=20251113102343D1A0044B947998B9C2A2&amp;ply_type=2&amp;policy=2&amp;signature=337864098b298f4fe936290e946fe5a3&amp;tk=tt_chain_token</t>
  </si>
  <si>
    <t>https://p16-sign-va.tiktokcdn.com/tos-maliva-avt-0068/63f6fa7e4cb74129badf2a29bc39db27~tplv-tiktokx-cropcenter:1080:1080.jpeg?dr=14579&amp;refresh_token=51adef1d&amp;x-expires=1764727200&amp;x-signature=bSjYIi9z%2FDuwcLGdURiKxIT9xs4%3D&amp;t=4d5b0474&amp;ps=13740610&amp;shp=a5d48078&amp;shcp=81f88b70&amp;idc=my</t>
  </si>
  <si>
    <t>https://www.tiktok.com/@diario.do.tdah/video/7423178064366193926</t>
  </si>
  <si>
    <t>saude,ansiedade,neurodivergent,psicologia,tdahadulto,tdah,tdahinfantil,insônia,tratamento</t>
  </si>
  <si>
    <t>7551398640418295052</t>
  </si>
  <si>
    <t>fgmedpos</t>
  </si>
  <si>
    <t>fgmed</t>
  </si>
  <si>
    <t>https://p77-sign-va.tiktokcdn.com/tos-maliva-avt-0068/558a1246010c72cc49bee2096709c74b~tplv-tiktokx-cropcenter:100:100.jpeg?dr=14579&amp;refresh_token=01d16009&amp;x-expires=1763172000&amp;x-signature=YRGNX3zy5Gmk5RmSOo9v7dTyUnQ%3D&amp;t=4d5b0474&amp;ps=13740610&amp;shp=a5d48078&amp;shcp=81f88b70&amp;idc=my</t>
  </si>
  <si>
    <t>O TDAH tem mais tendência à exaustão mental do que à depressão. Descubra como a exaustão mental afeta o dia a dia e como lidar com ela. Fonte: PodPeople - Ana Beatriz Barbosa #TDAH #exaustãomental #saúdemental #bemestar</t>
  </si>
  <si>
    <t>som original - fgmed</t>
  </si>
  <si>
    <t>7551398651977927480</t>
  </si>
  <si>
    <t>https://v16-webapp-prime.tiktok.com/video/tos/useast2a/tos-useast2a-v-27dcd7/ocgro9guQIfaskCFe9jQLGRELY83kXfeAJvLPm/?a=1988&amp;bti=ODszNWYuMDE6&amp;ch=0&amp;cr=0&amp;dr=0&amp;er=0&amp;lr=default&amp;cd=0%7C0%7C0%7C0&amp;br=250&amp;bt=125&amp;ft=GNDpcInz7ThGD-UPXq8Zmo&amp;mime_type=audio_mpeg&amp;qs=6&amp;rc=NWQ8OGk4OWRnaGk3Zzs8NEBpanl0eXk5cjh5NjMzNzU8M0BeYTUvX14vXzUxY18yMy42YSNvX2JhMmRjXjJhLS1kMTZzcw%3D%3D&amp;btag=e00090000&amp;expire=1763004441&amp;l=2025111310254344385823DD6566920070&amp;ply_type=3&amp;policy=3&amp;signature=5c771d12b4e92fca49b9f3850d7c2204&amp;tk=7571587458748974088</t>
  </si>
  <si>
    <t>https://v16-webapp-prime.tiktok.com/video/tos/maliva/tos-maliva-ve-0068c801-us/oAWpHfAIkzx5qwCptoGmAFP1ItndlQgho7UB1Q/?a=1988&amp;bti=ODszNWYuMDE6&amp;ch=0&amp;cr=3&amp;dr=0&amp;lr=all&amp;cd=0%7C0%7C0%7C&amp;cv=1&amp;br=1760&amp;bt=880&amp;cs=0&amp;ds=3&amp;ft=-Csk_mrMPD12NXdh5d-Uxe42hY6e3wv25XcAp&amp;mime_type=video_mp4&amp;qs=0&amp;rc=Njc7aTU4OWllM2dlaWk2M0Bpajo2czo6ZmhlZzMzNzczM0BhYzI0YV41NTYxNGBgYjBhYSNoX2pmcjRvNl9gLS1kMTZzcw%3D%3D&amp;btag=e00088000&amp;expire=1764728472&amp;l=202512011020161DC26370CAB01566B4BC&amp;ply_type=2&amp;policy=2&amp;signature=5b765db74a10ea79dfaaa47a8d004da1&amp;tk=tt_chain_token</t>
  </si>
  <si>
    <t>https://p16-sign-va.tiktokcdn.com/tos-maliva-avt-0068/558a1246010c72cc49bee2096709c74b~tplv-tiktokx-cropcenter:1080:1080.jpeg?dr=14579&amp;refresh_token=4d9047ba&amp;x-expires=1763172000&amp;x-signature=sp17fZwbm11zXkReH5aKX8FqjYs%3D&amp;t=4d5b0474&amp;ps=13740610&amp;shp=a5d48078&amp;shcp=81f88b70&amp;idc=my</t>
  </si>
  <si>
    <t>https://v16-webapp-prime.tiktok.com/video/tos/maliva/tos-maliva-v-85c255-us/owJvyyiBxIJBw9FBiofQIqB4iDfQEBSIDE9LGi/?a=1988&amp;bti=ODszNWYuMDE6&amp;ch=0&amp;cr=3&amp;dr=0&amp;lr=all&amp;cd=0%7C0%7C0%7C&amp;cv=1&amp;br=1360&amp;bt=680&amp;cs=0&amp;ds=3&amp;ft=-Csk_mrMPD12Nn.opd-UxJTFGY6e3wv25bcAp&amp;mime_type=video_mp4&amp;qs=0&amp;rc=NDZpaTlpaGY8aGc5aDM2ZEBpM2s5a3I5cjR5NjQzNzM2M0AuXy4tYTIwNS8xMC1gXjExYSNtczUxMmRzXjJhLS1kLTZzcw%3D%3D&amp;btag=e00090000&amp;expire=1763173641&amp;l=2025111310254344385823DD6566920070&amp;ply_type=2&amp;policy=2&amp;signature=52ba9e6beb6e0ea60c0624000a142a96&amp;tk=tt_chain_token</t>
  </si>
  <si>
    <t>https://www.tiktok.com/@lutzpodcastdesativado/video/7158107445657668870</t>
  </si>
  <si>
    <t>https://www.tiktok.com/@fgmedpos/video/7551398640418295052</t>
  </si>
  <si>
    <t>7457228525431508229</t>
  </si>
  <si>
    <t>psicoppdanisouza</t>
  </si>
  <si>
    <t>tdah,exaustãomental,saúdemental,bemestar</t>
  </si>
  <si>
    <t>Daniela Souza</t>
  </si>
  <si>
    <t>https://p16-sign-va.tiktokcdn.com/tos-maliva-avt-0068/6a7699f36bab94940f74764045db563b~tplv-tiktokx-cropcenter:100:100.jpeg?dr=14579&amp;refresh_token=f6509692&amp;x-expires=1764727200&amp;x-signature=KAFThL20RxQajUG3zK%2FEaet8DXU%3D&amp;t=4d5b0474&amp;ps=13740610&amp;shp=a5d48078&amp;shcp=81f88b70&amp;idc=my</t>
  </si>
  <si>
    <t>7184583301187833094</t>
  </si>
  <si>
    <t>gabrielafidelis_</t>
  </si>
  <si>
    <t>Gabriela Fidelis</t>
  </si>
  <si>
    <t>https://p77-sign-va.tiktokcdn.com/tos-maliva-avt-0068/ed21d51408171852de114499558d74d7~tplv-tiktokx-cropcenter:100:100.jpeg?dr=14579&amp;refresh_token=798cdc28&amp;x-expires=1763172000&amp;x-signature=T%2BejteNk4phfZ6HyTE4jpZpmj9w%3D&amp;t=4d5b0474&amp;ps=13740610&amp;shp=a5d48078&amp;shcp=81f88b70&amp;idc=my</t>
  </si>
  <si>
    <t xml:space="preserve">Pra quem não sabe, é assim 🥲🤣 #tdah #humor </t>
  </si>
  <si>
    <t>Como é o dia da pessoa com TDAH</t>
  </si>
  <si>
    <t>7184583294096739077</t>
  </si>
  <si>
    <t>https://v16-webapp-prime.tiktok.com/video/tos/useast2a/tos-useast2a-v-27dcd7/c00a827e0ab64af0a1fdff44bae6b87d/?a=1988&amp;bti=ODszNWYuMDE6&amp;ch=0&amp;cr=0&amp;dr=0&amp;er=0&amp;lr=default&amp;cd=0%7C0%7C0%7C0&amp;br=250&amp;bt=125&amp;ds=5&amp;ft=GNDpcInz7ThaK-UPXq8Zmo&amp;mime_type=audio_mpeg&amp;qs=13&amp;rc=anM4dmc6ZnlmaDMzNzU8M0BpanM4dmc6ZnlmaDMzNzU8M0BjNXEycjRvNW5gLS1kMTZzYSNjNXEycjRvNW5gLS1kMTZzcw%3D%3D&amp;btag=e00050000&amp;expire=1763004222&amp;l=202511131022406C90E0DA9AAAC98C2302&amp;ply_type=3&amp;policy=3&amp;signature=f4b344a21720aa5a4d9ac84dae0485b4&amp;tk=7571587458748974088</t>
  </si>
  <si>
    <t>7422089990542560006</t>
  </si>
  <si>
    <t>https://v16-webapp-prime.tiktok.com/video/tos/useast2a/tos-useast2a-v-27dcd7/oozAQZ4MvC4wiA4i0lB6PQUhpOS4AkjbCVsbI/?a=1988&amp;bti=ODszNWYuMDE6&amp;ch=0&amp;cr=0&amp;dr=0&amp;er=0&amp;lr=default&amp;cd=0%7C0%7C0%7C0&amp;br=250&amp;bt=125&amp;ft=GNDpcInz7ThjFKvPXq8Zmo&amp;mime_type=audio_mpeg&amp;qs=6&amp;rc=ZGhlN2U4Ojw8N2dmaTg3ZkBpM3VvZHQ5cjQ7djMzNzU8M0BhLzMuMi0zNjExMS9eYzNjYSNwLV4tMmRrcy1gLS1kMTZzcw%3D%3D&amp;btag=e00090000&amp;expire=1764559376&amp;l=2025120110215532A809179141715F3748&amp;ply_type=3&amp;policy=3&amp;signature=18b466b03418aab4f6a1455cbda25f1f&amp;tk=7571587458748974088</t>
  </si>
  <si>
    <t>https://p16-sign-va.tiktokcdn.com/tos-maliva-avt-0068/ed21d51408171852de114499558d74d7~tplv-tiktokx-cropcenter:1080:1080.jpeg?dr=14579&amp;refresh_token=c6125f67&amp;x-expires=1763172000&amp;x-signature=3QpYHVKGIuqp%2BjNgO9okxNcGlEo%3D&amp;t=4d5b0474&amp;ps=13740610&amp;shp=a5d48078&amp;shcp=81f88b70&amp;idc=my</t>
  </si>
  <si>
    <t>https://v16-webapp-prime.tiktok.com/video/tos/alisg/tos-alisg-pve-0037c001/oU9C2Df2hIzpVMQAInyoNChAxnEiIUCgkJMmlA/?a=1988&amp;bti=ODszNWYuMDE6&amp;ch=0&amp;cr=3&amp;dr=0&amp;lr=all&amp;cd=0%7C0%7C0%7C&amp;cv=1&amp;br=2406&amp;bt=1203&amp;cs=0&amp;ds=3&amp;ft=-Csk_mrMPD12N8hopd-Ux~v2bY6e3wv251cAp&amp;mime_type=video_mp4&amp;qs=0&amp;rc=aDU8PGQzNGc5ODw5NmdpNUBpajRlM2Y6ZmRmaDMzNzczM0AzYTMxXzA0NmAxLjBjNmNfYSNnYWQtcjRnNW5gLS1kMTZzcw%3D%3D&amp;btag=e00090000&amp;expire=1763173422&amp;l=202511131022406C90E0DA9AAAC98C2302&amp;ply_type=2&amp;policy=2&amp;signature=0df87a5c4274f4d50712aac85990ba81&amp;tk=tt_chain_token</t>
  </si>
  <si>
    <t>https://p77-sign-va.tiktokcdn.com/tos-maliva-avt-0068/2d66d5a0d6c71b0ba1ea715df939cd92~tplv-tiktokx-cropcenter:1080:1080.jpeg?dr=14579&amp;refresh_token=66a5ad53&amp;x-expires=1764727200&amp;x-signature=TylSclyNlgfPPF6XIv1O%2Biv1UAM%3D&amp;t=4d5b0474&amp;ps=13740610&amp;shp=a5d48078&amp;shcp=81f88b70&amp;idc=my</t>
  </si>
  <si>
    <t>https://www.tiktok.com/@gabrielafidelis_/video/7184583301187833094</t>
  </si>
  <si>
    <t>tdah,humor</t>
  </si>
  <si>
    <t>7376794159052541189</t>
  </si>
  <si>
    <t>Se achou?? 🤣 #tdah #tdahadulto #tdahmemes #terapeuta</t>
  </si>
  <si>
    <t>7376794180533111558</t>
  </si>
  <si>
    <t>https://v16-webapp-prime.tiktok.com/video/tos/useast2a/tos-useast2a-v-27dcd7/ogLBeEGvARFCnLT3Mq65ZASogQefCGgQAAM0Ia/?a=1988&amp;bti=ODszNWYuMDE6&amp;ch=0&amp;cr=0&amp;dr=0&amp;er=0&amp;lr=default&amp;cd=0%7C0%7C0%7C0&amp;br=250&amp;bt=125&amp;ds=5&amp;ft=GNDpcInz7ThlV-UPXq8Zmo&amp;mime_type=audio_mpeg&amp;qs=13&amp;rc=M2hxO205cml0czMzNzU8M0BpM2hxO205cml0czMzNzU8M0BkYWEyMmQ0M2NgLS1kMTZzYSNkYWEyMmQ0M2NgLS1kMTZzcw%3D%3D&amp;btag=e00048000&amp;expire=1763004216&amp;l=20251113102257F8D01E3BFCE9B2911856&amp;ply_type=3&amp;policy=3&amp;signature=55ee633e91bc91c58640fa6ba3e0ba3f&amp;tk=7571587458748974088</t>
  </si>
  <si>
    <t>❝ 🍁🅳🅸🅻🅴🅽🅴🍁❝</t>
  </si>
  <si>
    <t>https://www.tiktok.com/@psicoppdanisouza/video/7457228525431508229</t>
  </si>
  <si>
    <t>tdah,sinais,agitação,desatenção,esquecimento,impulsividade</t>
  </si>
  <si>
    <t>7571813648218475783</t>
  </si>
  <si>
    <t>ismaeldeoliveira.neuro</t>
  </si>
  <si>
    <t>https://p16-sign-va.tiktokcdn.com/tos-maliva-avt-0068/e7618effcb364411813cb45b790bc17d~tplv-tiktokx-cropcenter:100:100.jpeg?dr=14579&amp;refresh_token=3cdfdb61&amp;x-expires=1764727200&amp;x-signature=GJX5OiGnqD7ibOH2CiyYxfYrsLY%3D&amp;t=4d5b0474&amp;ps=13740610&amp;shp=a5d48078&amp;shcp=81f88b70&amp;idc=my</t>
  </si>
  <si>
    <t>https://v16-webapp-prime.tiktok.com/video/tos/useast2a/tos-useast2a-pve-0068/oofypFBRJDmCXZEMoQHYAr0xQfhJOUBEVwIM6g/?a=1988&amp;bti=ODszNWYuMDE6&amp;ch=0&amp;cr=3&amp;dr=0&amp;lr=all&amp;cd=0%7C0%7C0%7C&amp;cv=1&amp;br=1504&amp;bt=752&amp;cs=0&amp;ds=3&amp;ft=-Csk_mrMPD12N4Yopd-Ux9T2bY6e3wv25IcAp&amp;mime_type=video_mp4&amp;qs=0&amp;rc=ZTlkNDZoN2Y6NjRlPGloaEBpamptbW45cjV0czMzNzczM0AtLTAyLTEyNTExLzUtNjFgYSNwZS5nMmRjM2NgLS1kMTZzcw%3D%3D&amp;btag=e00088000&amp;expire=1763173416&amp;l=20251113102257F8D01E3BFCE9B2911856&amp;ply_type=2&amp;policy=2&amp;signature=ed29fa69015bb5bf78a1882c8f4f86da&amp;tk=tt_chain_token</t>
  </si>
  <si>
    <t>7571813687758637840</t>
  </si>
  <si>
    <t>https://www.tiktok.com/@claralisle/video/7376794159052541189</t>
  </si>
  <si>
    <t>https://v16-webapp-prime.tiktok.com/video/tos/alisg/tos-alisg-v-27dcd7/o0ILEJBpBFofxF9MgOADHgAUQnBfCx3AUIAhEH/?a=1988&amp;bti=ODszNWYuMDE6&amp;ch=0&amp;cr=0&amp;dr=0&amp;er=0&amp;lr=default&amp;cd=0%7C0%7C0%7C0&amp;br=250&amp;bt=125&amp;ds=5&amp;ft=GNDpcInz7ThizKvPXq8Zmo&amp;mime_type=audio_mpeg&amp;qs=13&amp;rc=am08dmo5cnY6NzMzODU8NEBpam08dmo5cnY6NzMzODU8NEBncTJhMmRjbF5hLS1kMS1zYSNncTJhMmRjbF5hLS1kMS1zcw%3D%3D&amp;btag=e00050000&amp;expire=1764559387&amp;l=20251201102147CB7160225F86D969BC26&amp;ply_type=3&amp;policy=3&amp;signature=af2d3cb9cccb7ea82469650a760dee9a&amp;tk=7571587458748974088</t>
  </si>
  <si>
    <t>tdah,tdahadulto,tdahmemes,terapeuta</t>
  </si>
  <si>
    <t>7273920974033145094</t>
  </si>
  <si>
    <t>girodaengrenagem</t>
  </si>
  <si>
    <t>giro da engrenagem</t>
  </si>
  <si>
    <t>https://p16-sign-va.tiktokcdn.com/tos-maliva-avt-0068/b7841460d9b1783162ae78e8d2cf3a44~tplv-tiktokx-cropcenter:100:100.jpeg?dr=14579&amp;refresh_token=2f7c8878&amp;x-expires=1763172000&amp;x-signature=uuBaIbj2GuZsENOAsfMesDoXHb8%3D&amp;t=4d5b0474&amp;ps=13740610&amp;shp=a5d48078&amp;shcp=81f88b70&amp;idc=my</t>
  </si>
  <si>
    <t>Parte 1 | 15 sintomas de tdah em adultos | Dra. Ana Beatriz Barbosa | Médica Psiquiatra | Comportamento Humano  . . #foryou #TDAHadultos #tdah #sintomas #comportamentohumano #saudedamente #atencao</t>
  </si>
  <si>
    <t>som original - giro da engrenagem</t>
  </si>
  <si>
    <t>7273921398069512965</t>
  </si>
  <si>
    <t>https://v16-webapp-prime.tiktok.com/video/tos/useast2a/tos-useast2a-v-27dcd7/oUIUyekziBE8B3ntMbayTJQQDHKUh8SheTjCJP/?a=1988&amp;bti=ODszNWYuMDE6&amp;ch=0&amp;cr=0&amp;dr=0&amp;er=0&amp;lr=default&amp;cd=0%7C0%7C0%7C0&amp;br=250&amp;bt=125&amp;ft=GNDpcInz7Th4K-UPXq8Zmo&amp;mime_type=audio_mpeg&amp;qs=6&amp;rc=aThmaTQ0NWYzO2hmNTQ3NkBpanZpdDw6ZnI1bTMzNzU8M0BfNS42M2MzXjMxMDAtMWMuYSNkcWdgcjRfZW1gLS1kMTZzcw%3D%3D&amp;btag=e00098000&amp;expire=1763004409&amp;l=2025111310220790E74D25ACF9796D8D06&amp;ply_type=3&amp;policy=3&amp;signature=ce9e74d1e85c31854cacfba64b2f0eaa&amp;tk=7571587458748974088</t>
  </si>
  <si>
    <t>https://p77-sign-va.tiktokcdn.com/tos-maliva-avt-0068/b7841460d9b1783162ae78e8d2cf3a44~tplv-tiktokx-cropcenter:1080:1080.jpeg?dr=14579&amp;refresh_token=4865b881&amp;x-expires=1763172000&amp;x-signature=%2BFrJ6Bqjeaur4hPqLEnK%2Bi5w5xk%3D&amp;t=4d5b0474&amp;ps=13740610&amp;shp=a5d48078&amp;shcp=81f88b70&amp;idc=my</t>
  </si>
  <si>
    <t>https://p16-sign-va.tiktokcdn.com/tos-maliva-avt-0068/e7618effcb364411813cb45b790bc17d~tplv-tiktokx-cropcenter:1080:1080.jpeg?dr=14579&amp;refresh_token=39c67f35&amp;x-expires=1764727200&amp;x-signature=xlGdNQmB97OYE85UsLchwPioRO0%3D&amp;t=4d5b0474&amp;ps=13740610&amp;shp=a5d48078&amp;shcp=81f88b70&amp;idc=my</t>
  </si>
  <si>
    <t>https://v16-webapp-prime.tiktok.com/video/tos/alisg/tos-alisg-pve-0037/oUJISho3dCbQEAerNC9ICgLhC5ERgubeie0nD2/?a=1988&amp;bti=ODszNWYuMDE6&amp;ch=0&amp;cr=3&amp;dr=0&amp;lr=all&amp;cd=0%7C0%7C0%7C&amp;cv=1&amp;br=1894&amp;bt=947&amp;cs=0&amp;ds=3&amp;ft=-Csk_mrMPD12Nyhopd-UxFN2aY6e3wv25ycAp&amp;mime_type=video_mp4&amp;qs=0&amp;rc=ZzVmNTczNmdmODc1ZmZkaUBpamc2cjk6Zjo1bTMzNzgzM0A2XzFfNTZfXmIxYC9jXl5jYSNxcTZxcjRfY21gLS1kLzZzcw%3D%3D&amp;btag=e00098000&amp;expire=1763173609&amp;l=2025111310220790E74D25ACF9796D8D06&amp;ply_type=2&amp;policy=2&amp;signature=c394bf7ef95a352ba498a7c05b170d2d&amp;tk=tt_chain_token</t>
  </si>
  <si>
    <t>https://v16-webapp-prime.tiktok.com/video/tos/alisg/tos-alisg-pve-0037c001/ocsC0iXBwqLA84kifq0IAQA3I1UCIiEyjnAA1q/?a=1988&amp;bti=ODszNWYuMDE6&amp;ch=0&amp;cr=3&amp;dr=0&amp;lr=all&amp;cd=0%7C0%7C0%7C&amp;cv=1&amp;br=2404&amp;bt=1202&amp;cs=0&amp;ds=3&amp;ft=-Csk_mrMPD12N3Dh5d-UxIS5hY6e3wv25ocAp&amp;mime_type=video_mp4&amp;qs=0&amp;rc=OTgzZ2VoZGc5PDo7ZDlmZEBpamRsanE5cm06NzMzODczNEAwNS4wNi81NV4xY2IzYC0xYSNfNmtuMmRzbF5hLS1kMTFzcw%3D%3D&amp;btag=e00090000&amp;expire=1764728587&amp;l=20251201102147CB7160225F86D969BC26&amp;ply_type=2&amp;policy=2&amp;signature=f3a28a24585d46334420be99c8b78ec5&amp;tk=tt_chain_token</t>
  </si>
  <si>
    <t>https://www.tiktok.com/@girodaengrenagem/video/7273920974033145094</t>
  </si>
  <si>
    <t>foryou,tdahadultos,tdah,sintomas,comportamentohumano,saudedamente,atencao</t>
  </si>
  <si>
    <t>7469210932044958981</t>
  </si>
  <si>
    <t>#saudemental #tdah #mente #psicologia #psicologoonline #psicoterapia #fyp #foryou #foryoupage #viralizou</t>
  </si>
  <si>
    <t>“SIMULADOR” viva um TDAH NA PELE</t>
  </si>
  <si>
    <t>7469216096344705797</t>
  </si>
  <si>
    <t>https://v16-webapp-prime.tiktok.com/video/tos/useast2a/tos-useast2a-v-27dcd7/okhEVfgAIbSXIQfeUfMJKP8RAHM1KJAgqAP9Cf/?a=1988&amp;bti=ODszNWYuMDE6&amp;ch=0&amp;cr=0&amp;dr=0&amp;er=0&amp;lr=default&amp;cd=0%7C0%7C0%7C0&amp;br=250&amp;bt=125&amp;ds=5&amp;ft=GNDpcInz7Th_9-UPXq8Zmo&amp;mime_type=audio_mpeg&amp;qs=13&amp;rc=ams1N3M5cnl5eDMzNzU8M0Bpams1N3M5cnl5eDMzNzU8M0AxXmU1MmRzbGdgLS1kMTZzYSMxXmU1MmRzbGdgLS1kMTZzcw%3D%3D&amp;btag=e00050000&amp;expire=1763004321&amp;l=202511131024200DA040BB1F5C349EC2B1&amp;ply_type=3&amp;policy=3&amp;signature=49e7d90a9a97c127561455f43326c95e&amp;tk=7571587458748974088</t>
  </si>
  <si>
    <t>https://v16-webapp-prime.tiktok.com/video/tos/useast2a/tos-useast2a-pve-0068/oQs5qgIMeJ7ifQpXQNGeeAQfiKnP8nkAbMI89L/?a=1988&amp;bti=ODszNWYuMDE6&amp;ch=0&amp;cr=3&amp;dr=0&amp;lr=all&amp;cd=0%7C0%7C0%7C&amp;cv=1&amp;br=1766&amp;bt=883&amp;cs=0&amp;ds=3&amp;ft=I~da4oKyD12NvyA0i.IxRhq_glBF-UjNSmopiX&amp;mime_type=video_mp4&amp;qs=0&amp;rc=OTkzNWVlZDc5PDxmOTw3NkBpM3k6d3Y5cjx5eDMzNzczM0BeYzZjMzBfNTMxLl8yNTQtYSNvaGtfMmRjYmdgLS1kMTZzcw%3D%3D&amp;btag=e00090000&amp;expire=1763173521&amp;l=202511131024200DA040BB1F5C349EC2B1&amp;ply_type=2&amp;policy=2&amp;signature=c758fe74366c4ca07807e24ddd184c29&amp;tk=tt_chain_token</t>
  </si>
  <si>
    <t>https://www.tiktok.com/@ismaeldeoliveira.neuro/video/7571813648218475783</t>
  </si>
  <si>
    <t>7566824135070993671</t>
  </si>
  <si>
    <t>https://www.tiktok.com/@igorpsicologo/video/7469210932044958981</t>
  </si>
  <si>
    <t>7566824171511237383</t>
  </si>
  <si>
    <t>https://v16-webapp-prime.tiktok.com/video/tos/alisg/tos-alisg-v-27dcd7/oUcoHAFB1EDrffAET5AAfnEISCE9TuMDgAnYwC/?a=1988&amp;bti=ODszNWYuMDE6&amp;ch=0&amp;cr=0&amp;dr=0&amp;er=0&amp;lr=default&amp;cd=0%7C0%7C0%7C0&amp;br=250&amp;bt=125&amp;ds=5&amp;ft=GNDpcInz7ThhFKvPXq8Zmo&amp;mime_type=audio_mpeg&amp;qs=13&amp;rc=am9qPHk5cnlmNzMzODU8NEBpam9qPHk5cnlmNzMzODU8NEBwY20xMmRzMS5hLS1kMS1zYSNwY20xMmRzMS5hLS1kMS1zcw%3D%3D&amp;btag=e00050000&amp;expire=1764559387&amp;l=20251201102153319CD8E1EA373154CB8C&amp;ply_type=3&amp;policy=3&amp;signature=ec08c10a1575342503d0ec32ae352f19&amp;tk=7571587458748974088</t>
  </si>
  <si>
    <t>saudemental,tdah,mente,psicologia,psicologoonline,psicoterapia,fyp,foryou,foryoupage,viralizou</t>
  </si>
  <si>
    <t>7552259161241832716</t>
  </si>
  <si>
    <t>caminhandoecortando</t>
  </si>
  <si>
    <t>https://p77-sign-va.tiktokcdn.com/tos-maliva-avt-0068/9391b64494c1f12bb276ce4437f45ed2~tplv-tiktokx-cropcenter:100:100.jpeg?dr=14579&amp;refresh_token=ac7a8022&amp;x-expires=1763172000&amp;x-signature=yKED%2F7qJ8uD2otCeS4cEifBJ8pQ%3D&amp;t=4d5b0474&amp;ps=13740610&amp;shp=a5d48078&amp;shcp=81f88b70&amp;idc=my</t>
  </si>
  <si>
    <t>O cérebro de uma pessoa com TDAH | Andrea Vermont | Podcast 3 Irmãos  #podcast3irmaos</t>
  </si>
  <si>
    <t>7552259184512879416</t>
  </si>
  <si>
    <t>https://v16-webapp-prime.tiktok.com/video/tos/useast2a/tos-useast2a-v-27dcd7/oMOM0DuixUpSalgA7bAh85qAEQRqPECDABviA/?a=1988&amp;bti=ODszNWYuMDE6&amp;ch=0&amp;cr=0&amp;dr=0&amp;er=0&amp;lr=default&amp;cd=0%7C0%7C0%7C0&amp;br=250&amp;bt=125&amp;ds=5&amp;ft=GNDpcInz7ThRK-UPXq8Zmo&amp;mime_type=audio_mpeg&amp;qs=13&amp;rc=anM2OW45cmhqNjMzNzU8M0BpanM2OW45cmhqNjMzNzU8M0BkMHBpMmRrNDRhLS1kMTZzYSNkMHBpMmRrNDRhLS1kMTZzcw%3D%3D&amp;btag=e00078000&amp;expire=1763004167&amp;l=202511131022245A53A91EDE77CC8B0DB4&amp;ply_type=3&amp;policy=3&amp;signature=836dc6b0b5ce153d851db786c6f7ba9c&amp;tk=7571587458748974088</t>
  </si>
  <si>
    <t>https://p77-sign-va.tiktokcdn.com/tos-maliva-avt-0068/e7618effcb364411813cb45b790bc17d~tplv-tiktokx-cropcenter:1080:1080.jpeg?dr=14579&amp;refresh_token=1e0fcc8d&amp;x-expires=1764727200&amp;x-signature=f5vguwuDPxsjJujUByuOMWr8LjY%3D&amp;t=4d5b0474&amp;ps=13740610&amp;shp=a5d48078&amp;shcp=81f88b70&amp;idc=my</t>
  </si>
  <si>
    <t>https://p77-sign-va.tiktokcdn.com/tos-maliva-avt-0068/9391b64494c1f12bb276ce4437f45ed2~tplv-tiktokx-cropcenter:1080:1080.jpeg?dr=14579&amp;refresh_token=68599386&amp;x-expires=1763172000&amp;x-signature=8TPPGfnqv%2BScAB9RQ85Zr2dVIfQ%3D&amp;t=4d5b0474&amp;ps=13740610&amp;shp=a5d48078&amp;shcp=81f88b70&amp;idc=my</t>
  </si>
  <si>
    <t>https://v16-webapp-prime.tiktok.com/video/tos/useast2a/tos-useast2a-ve-0068c002/ocAgQOBPAR0EfAlB1PB4sIPukZCIiHioxJ2C7y/?a=1988&amp;bti=ODszNWYuMDE6&amp;ch=0&amp;cr=3&amp;dr=0&amp;lr=all&amp;cd=0%7C0%7C0%7C&amp;cv=1&amp;br=1230&amp;bt=615&amp;cs=0&amp;ds=3&amp;ft=-Csk_mrMPD12NXhopd-UxB6vSY6e3wv25rcAp&amp;mime_type=video_mp4&amp;qs=0&amp;rc=Ojw0ZTw6ODRmZ2Y4NjtpO0BpajR0dm85cjpqNjMzNzczM0AvMy1iNV9iXi0xMTFgYjJjYSNxbGo1MmRzNDRhLS1kMTZzcw%3D%3D&amp;btag=e000b8000&amp;expire=1763173367&amp;l=202511131022245A53A91EDE77CC8B0DB4&amp;ply_type=2&amp;policy=2&amp;signature=f29301e4cc230cc760bf139d82cafdb8&amp;tk=tt_chain_token</t>
  </si>
  <si>
    <t>https://v16-webapp-prime.tiktok.com/video/tos/alisg/tos-alisg-pve-0037c001/oEiI3wEC6oBYTnBnAwfai9AqQEI8pMGvAWg0wC/?a=1988&amp;bti=ODszNWYuMDE6&amp;ch=0&amp;cr=3&amp;dr=0&amp;lr=all&amp;cd=0%7C0%7C0%7C&amp;cv=1&amp;br=2750&amp;bt=1375&amp;cs=0&amp;ds=3&amp;ft=-Csk_mrMPD12NNBh5d-UxIS5hY6e3wv25ocAp&amp;mime_type=video_mp4&amp;qs=0&amp;rc=OzxoOTtlNzY4aGdpNTU7OUBpM3Z4cHQ5cnFmNzMzODczNEA2MWFjYC5hXi0xMDRfLzZiYSNhYzNyMmRzMS5hLS1kMTFzcw%3D%3D&amp;btag=e00090000&amp;expire=1764728587&amp;l=20251201102153319CD8E1EA373154CB8C&amp;ply_type=2&amp;policy=2&amp;signature=1fd8ababe16acfb4ce4fd5592cf9356f&amp;tk=tt_chain_token</t>
  </si>
  <si>
    <t>https://www.tiktok.com/@caminhandoecortando/video/7552259161241832716</t>
  </si>
  <si>
    <t>podcast3irmaos</t>
  </si>
  <si>
    <t>7374439603706531077</t>
  </si>
  <si>
    <t>pisicopop</t>
  </si>
  <si>
    <t>Saúde e ciência</t>
  </si>
  <si>
    <t>https://p16-sign-va.tiktokcdn.com/tos-maliva-avt-0068/0c857903b1d71ebd63a58d7ad9b30044~tplv-tiktokx-cropcenter:100:100.jpeg?dr=14579&amp;refresh_token=b634ec97&amp;x-expires=1763172000&amp;x-signature=YiukyuqobLHBKOV1wy4y%2FVf%2Bfyk%3D&amp;t=4d5b0474&amp;ps=13740610&amp;shp=a5d48078&amp;shcp=81f88b70&amp;idc=my</t>
  </si>
  <si>
    <t>https://www.tiktok.com/@ismaeldeoliveira.neuro/video/7566824135070993671</t>
  </si>
  <si>
    <t>#psicologia #tdah #tdahadulto #tdahtiktok #tda</t>
  </si>
  <si>
    <t>NUNCA SUBESTIME
UM TDAH</t>
  </si>
  <si>
    <t>7374439691163585286</t>
  </si>
  <si>
    <t>https://v16-webapp-prime.tiktok.com/video/tos/useast2a/tos-useast2a-v-27dcd7/ooXyyUidMQSd9FBAiSKlJRZxqlpOaM9vSIC2F/?a=1988&amp;bti=ODszNWYuMDE6&amp;ch=0&amp;cr=0&amp;dr=0&amp;er=0&amp;lr=default&amp;cd=0%7C0%7C0%7C0&amp;br=250&amp;bt=125&amp;ft=GNDpcInz7Th49-UPXq8Zmo&amp;mime_type=audio_mpeg&amp;qs=6&amp;rc=N2lkZzg2OTc5ZztoZmdnNUBpM3RxdHc5cmtuczMzNzU8M0BfMWBhLjU1NWAxLS8uMi9iYSNtYGsvMmRrX19gLS1kMTZzcw%3D%3D&amp;btag=e00090000&amp;expire=1763004316&amp;l=20251113102415EC11E565E652E77F00C9&amp;ply_type=3&amp;policy=3&amp;signature=9909a383a8aaac055383c27ac151990c&amp;tk=7571587458748974088</t>
  </si>
  <si>
    <t>7467585074255367429</t>
  </si>
  <si>
    <t>https://p77-sign-va.tiktokcdn.com/tos-maliva-avt-0068/409b8f094a519052398ae01ba95bf160~tplv-tiktokx-cropcenter:100:100.jpeg?dr=14579&amp;refresh_token=ea4abb33&amp;x-expires=1764727200&amp;x-signature=ulGbqLOsmXwSKH0AbdTjKUZA%2Boo%3D&amp;t=4d5b0474&amp;ps=13740610&amp;shp=a5d48078&amp;shcp=81f88b70&amp;idc=my</t>
  </si>
  <si>
    <t>https://p77-sign-va.tiktokcdn.com/tos-maliva-avt-0068/0c857903b1d71ebd63a58d7ad9b30044~tplv-tiktokx-cropcenter:1080:1080.jpeg?dr=14579&amp;refresh_token=2bffa430&amp;x-expires=1763172000&amp;x-signature=wEF%2Fz6Itzq6Pe1hgxJyHAYeXRzc%3D&amp;t=4d5b0474&amp;ps=13740610&amp;shp=a5d48078&amp;shcp=81f88b70&amp;idc=my</t>
  </si>
  <si>
    <t>‼️CANSA MUITO‼️Leia a legenda👇🏼 Ter TDAH cansa porque minha mente nunca para. Eu acordo já correndo atrás do tempo, tentando lembrar tudo o que tenho para fazer, mas, ao mesmo tempo, me distraio com qualquer coisa no meio do caminho. Eu quero ser produtivo, quero dar conta das minhas responsabilidades, mas, às vezes, parece que tem um muro invisível entre mim e as tarefas que preciso cumprir. Cansa porque o mundo espera consistência, e eu sou feito de picos e vales. Em um dia, sou um furacão de produtividade, faço o trabalho de uma semana em poucas horas. No outro, mal consigo levantar da cama e organizar meus próprios pensamentos. A culpa vem forte nesses dias, porque sei que posso ser eficiente, sei que consigo… mas não consigo sempre. Cansa explicar para os outros que não é “falta de esforço” ou “preguiça”. Eu me esforço o tempo todo, mais do que muita gente percebe. Eu crio estratégias, eu luto contra minha própria mente, eu tento acompanhar o ritmo do mundo… e, muitas vezes, falho. Isso dói. Isso desgasta. Isso me faz duvidar de mim mesmo. E cansa ainda mais ter que lidar com o peso da frustração. Eu começo projetos com toda a empolgação do mundo e, de repente, perco o interesse. Eu esqueço compromissos importantes, atraso prazos, decepciono pessoas sem querer. Eu tento ser organizado, mas o caos sempre me encontra. Mas, no meio desse cansaço todo, eu sigo em frente. Porque eu também sou criativo, intenso, apaixonado pelo que me interessa. Porque eu tenho momentos de hiperfoco que me fazem sentir imbatível. Porque, apesar de tudo, eu quero encontrar maneiras de fazer a minha vida funcionar, do meu jeito. Só queria que as pessoas entendessem que, por trás do meu jeito distraído e às vezes bagunçado, tem alguém tentando muito fazer dar certo.</t>
  </si>
  <si>
    <t>7467585088304237317</t>
  </si>
  <si>
    <t>https://v16-webapp-prime.tiktok.com/video/tos/useast2a/tos-useast2a-v-27dcd7/o8viZAAUBViAlICiAaCEEQpWQCpmMGxpR96SS/?a=1988&amp;bti=ODszNWYuMDE6&amp;ch=0&amp;cr=0&amp;dr=0&amp;er=0&amp;lr=default&amp;cd=0%7C0%7C0%7C0&amp;br=250&amp;bt=125&amp;ds=5&amp;ft=GNDpcInz7ThjFKvPXq8Zmo&amp;mime_type=audio_mpeg&amp;qs=13&amp;rc=MzxzOHc5cjk2eDMzNzU8M0BpMzxzOHc5cjk2eDMzNzU8M0BhLl4uMmRrL2VgLS1kMTZzYSNhLl4uMmRrL2VgLS1kMTZzcw%3D%3D&amp;btag=e00050000&amp;expire=1764559405&amp;l=2025120110215532A809179141715F3748&amp;ply_type=3&amp;policy=3&amp;signature=28ad38088531507bb65e0157a9b73763&amp;tk=7571587458748974088</t>
  </si>
  <si>
    <t>https://www.tiktok.com/@pisicopop/video/7374439603706531077</t>
  </si>
  <si>
    <t>psicologia,tdah,tdahadulto,tdahtiktok,tda</t>
  </si>
  <si>
    <t>7276105452415601925</t>
  </si>
  <si>
    <t>Sinceridade TDAH!  #longervideos #tdahadulto #bomhumor #Tdah #psicologia #terapia #saudemental #curiosidades #procrastinaçao #habitos #fatoscuriosos #fatossobremim #curiosidadesentiktok #tdahhumor #capcut #tdahmemes #ciencia #cienciaentiktok #criatividade #mensagem #sinceridade</t>
  </si>
  <si>
    <t>Sinceridade 
Sinceridade TDAH</t>
  </si>
  <si>
    <t>7276105506003094277</t>
  </si>
  <si>
    <t>https://v16-webapp-prime.tiktok.com/video/tos/useast2a/tos-useast2a-v-27dcd7/oQ2MEafnAiJ04p45BAzCEWfIJOkQ6BDUAPhWtg/?a=1988&amp;bti=ODszNWYuMDE6&amp;ch=0&amp;cr=0&amp;dr=0&amp;er=0&amp;lr=default&amp;cd=0%7C0%7C0%7C0&amp;br=250&amp;bt=125&amp;ds=5&amp;ft=GNDpcInz7Thm9-UPXq8Zmo&amp;mime_type=audio_mpeg&amp;qs=13&amp;rc=MzxyOzs6ZnR4bTMzNzU8M0BpMzxyOzs6ZnR4bTMzNzU8M0BhbWY0cjRfanBgLS1kMTZzYSNhbWY0cjRfanBgLS1kMTZzcw%3D%3D&amp;btag=e00050000&amp;expire=1763004360&amp;l=202511131024337F554789EF0D09A1F8EB&amp;ply_type=3&amp;policy=3&amp;signature=38b6f88de291fa36664f371c4400b102&amp;tk=7571587458748974088</t>
  </si>
  <si>
    <t>https://p77-sign-va.tiktokcdn.com/tos-maliva-avt-0068/409b8f094a519052398ae01ba95bf160~tplv-tiktokx-cropcenter:1080:1080.jpeg?dr=14579&amp;refresh_token=6c3d4ae0&amp;x-expires=1764727200&amp;x-signature=09gcSquBQbj8uwWlYvb54jHmp5A%3D&amp;t=4d5b0474&amp;ps=13740610&amp;shp=a5d48078&amp;shcp=81f88b70&amp;idc=my</t>
  </si>
  <si>
    <t>https://p16-sign-sg.tiktokcdn.com/tos-alisg-avt-0068/a922d44f129753f3f4657ae1aab09386~tplv-tiktokx-cropcenter:1080:1080.jpeg?dr=14579&amp;refresh_token=43a32604&amp;x-expires=1763172000&amp;x-signature=DV4s5L0h1SYLpGsOfTJJn3LagL4%3D&amp;t=4d5b0474&amp;ps=13740610&amp;shp=a5d48078&amp;shcp=81f88b70&amp;idc=my</t>
  </si>
  <si>
    <t>https://v16-webapp-prime.tiktok.com/video/tos/useast2a/tos-useast2a-ve-0068c003/oIC8AQkRhLedwEGAgPIGLkewRfiGgGdhCSipFr/?a=1988&amp;bti=ODszNWYuMDE6&amp;ch=0&amp;cr=3&amp;dr=0&amp;lr=all&amp;cd=0%7C0%7C0%7C&amp;cv=1&amp;br=1368&amp;bt=684&amp;cs=0&amp;ds=3&amp;ft=-Csk_mrMPD12NSBh5d-Uxs12aY6e3wv252cAp&amp;mime_type=video_mp4&amp;qs=0&amp;rc=ODo4ZDtnZDtkaDw1aTM4ZUBpM3N3NWw5cm82eDMzNzgzM0AuLV5iX19gX18xY181Xl41YSMzLy9yMmQ0LmVgLS1kLzZzcw%3D%3D&amp;btag=e00090000&amp;expire=1764728605&amp;l=2025120110215532A809179141715F3748&amp;ply_type=2&amp;policy=2&amp;signature=221797d1322760765bdbb640da0fc8f5&amp;tk=tt_chain_token</t>
  </si>
  <si>
    <t>https://v16-webapp-prime.tiktok.com/video/tos/useast2a/tos-useast2a-ve-0068c002/osLI3V7oCn68zSA5Bfe3goEDjABtQB0bILCJ4e/?a=1988&amp;bti=ODszNWYuMDE6&amp;ch=0&amp;cr=3&amp;dr=0&amp;lr=all&amp;cd=0%7C0%7C0%7C&amp;cv=1&amp;br=2252&amp;bt=1126&amp;cs=0&amp;ds=3&amp;ft=I~da4oKyD12NvuA0i.IxREJNglBF-UjNSmopiX&amp;mime_type=video_mp4&amp;qs=0&amp;rc=ZTQ4NmZmZmdmaDQ4OTs5NkBpanc5dzM6Zmd4bTMzNzczM0A1NmAtYGBeXl8xLjMyLi1fYSNzLTBmcjQwaHBgLS1kMTZzcw%3D%3D&amp;btag=e00090000&amp;expire=1763173560&amp;l=202511131024337F554789EF0D09A1F8EB&amp;ply_type=2&amp;policy=2&amp;signature=3af5a7c74b48c47fac27b300f333d0a7&amp;tk=tt_chain_token</t>
  </si>
  <si>
    <t>https://www.tiktok.com/@psi.jonathanorlandi/video/7276105452415601925</t>
  </si>
  <si>
    <t>https://www.tiktok.com/@veigasaymon/video/7467585074255367429</t>
  </si>
  <si>
    <t>longervideos,tdahadulto,bomhumor,tdah,psicologia,terapia,saudemental,curiosidades,procrastinaçao,habitos,fatoscuriosos,fatossobremim,curiosidadesentiktok,tdahhumor,capcut,tdahmemes,ciencia,cienciaentiktok,criatividade,mensagem,sinceridade</t>
  </si>
  <si>
    <t>longervideos,tdahadulto,bomhumor,tdah,psicologia,terapia,saudemental,curiosidades,procrastinaçao,habitos,fatoscuriosos,fatossobremim,curiosidadesentiktok,tdahhumor,CapCut,tdahmemes,ciencia,cienciaentiktok,criatividade,mensagem,sinceridade</t>
  </si>
  <si>
    <t>7184611982375439622</t>
  </si>
  <si>
    <t>7398674347025599749</t>
  </si>
  <si>
    <t>https://p77-sign-va.tiktokcdn.com/tos-maliva-avt-0068/409b8f094a519052398ae01ba95bf160~tplv-tiktokx-cropcenter:100:100.jpeg?dr=14579&amp;refresh_token=3ee24052&amp;x-expires=1763172000&amp;x-signature=8q419zgopgapTYRa6loQxNpoZ0g%3D&amp;t=4d5b0474&amp;ps=13740610&amp;shp=a5d48078&amp;shcp=81f88b70&amp;idc=my</t>
  </si>
  <si>
    <t>joaohenriquedupin</t>
  </si>
  <si>
    <t>João Henrique Dupin</t>
  </si>
  <si>
    <t>https://p77-sign-va.tiktokcdn.com/tos-maliva-avt-0068/7a393bdda4c8fab732f4abac8845c3c0~tplv-tiktokx-cropcenter:100:100.jpeg?dr=14579&amp;refresh_token=dca95d05&amp;x-expires=1764727200&amp;x-signature=A2WxMwHNTpLjUMm2ig7hfyV%2B0MI%3D&amp;t=4d5b0474&amp;ps=13740610&amp;shp=a5d48078&amp;shcp=81f88b70&amp;idc=my</t>
  </si>
  <si>
    <t>#tdah #tab #psiquiatria #psicologia</t>
  </si>
  <si>
    <t>DESABAFO DE UM TDAH + TAB</t>
  </si>
  <si>
    <t>7184611982217710341</t>
  </si>
  <si>
    <t>https://v16-webapp-prime.tiktok.com/video/tos/useast2a/tos-useast2a-v-27dcd7/b3f738b66b9542f18db59a9568f3cd65/?a=1988&amp;bti=ODszNWYuMDE6&amp;ch=0&amp;cr=0&amp;dr=0&amp;er=0&amp;lr=default&amp;cd=0%7C0%7C0%7C0&amp;br=250&amp;bt=125&amp;ds=5&amp;ft=GNDpcInz7ThEY-UPXq8Zmo&amp;mime_type=audio_mpeg&amp;qs=13&amp;rc=MzNvbDw6ZjhnaDMzNzU8M0BpMzNvbDw6ZjhnaDMzNzU8M0AtcXJjcjRvcW5gLS1kMTZzYSMtcXJjcjRvcW5gLS1kMTZzcw%3D%3D&amp;btag=e00048000&amp;expire=1763004434&amp;l=202511131026218DEF8CE7185C8F9E5844&amp;ply_type=3&amp;policy=3&amp;signature=f57518dad9681be6b4382c22869b6b10&amp;tk=7571587458748974088</t>
  </si>
  <si>
    <t>Respondendo a @jacquesgleyber</t>
  </si>
  <si>
    <t>7398674489002707718</t>
  </si>
  <si>
    <t>https://v16-webapp-prime.tiktok.com/video/tos/useast2a/tos-useast2a-v-27dcd7/o4AmAfZCDBCmFAfUHtEXVoE0rBJEKzLQwdJw9C/?a=1988&amp;bti=ODszNWYuMDE6&amp;ch=0&amp;cr=0&amp;dr=0&amp;er=0&amp;lr=default&amp;cd=0%7C0%7C0%7C0&amp;br=250&amp;bt=125&amp;ds=5&amp;ft=GNDpcInz7ThRgKvPXq8Zmo&amp;mime_type=audio_mpeg&amp;qs=13&amp;rc=anN2anI5cmtvdDMzNzU8M0BpanN2anI5cmtvdDMzNzU8M0Btal8vMmRzcmpgLS1kMTZzYSNtal8vMmRzcmpgLS1kMTZzcw%3D%3D&amp;btag=e00060000&amp;expire=1764559774&amp;l=20251201102327C09081FC4B70A8ED0834&amp;ply_type=3&amp;policy=3&amp;signature=0b7dfc8b16972c393d5f14dba7fb4ae1&amp;tk=7571587458748974088</t>
  </si>
  <si>
    <t>https://p16-sign-va.tiktokcdn.com/tos-maliva-avt-0068/409b8f094a519052398ae01ba95bf160~tplv-tiktokx-cropcenter:1080:1080.jpeg?dr=14579&amp;refresh_token=fac6ce42&amp;x-expires=1763172000&amp;x-signature=iy4tgtvdI62l3n9pTzcda5Gp1is%3D&amp;t=4d5b0474&amp;ps=13740610&amp;shp=a5d48078&amp;shcp=81f88b70&amp;idc=my</t>
  </si>
  <si>
    <t>https://p77-sign-va.tiktokcdn.com/tos-maliva-avt-0068/7a393bdda4c8fab732f4abac8845c3c0~tplv-tiktokx-cropcenter:1080:1080.jpeg?dr=14579&amp;refresh_token=d27c4d6a&amp;x-expires=1764727200&amp;x-signature=XIYtrui9shbMDHX3lwc1Nv8lwnM%3D&amp;t=4d5b0474&amp;ps=13740610&amp;shp=a5d48078&amp;shcp=81f88b70&amp;idc=my</t>
  </si>
  <si>
    <t>https://v16-webapp-prime.tiktok.com/video/tos/alisg/tos-alisg-pve-0037c001/o8BRAVztOe4JJENgQjDnDzbOI7zeQ5BOBJWz3R/?a=1988&amp;bti=ODszNWYuMDE6&amp;ch=0&amp;cr=3&amp;dr=0&amp;lr=all&amp;cd=0%7C0%7C0%7C&amp;cv=1&amp;br=1420&amp;bt=710&amp;cs=0&amp;ds=3&amp;ft=-Csk_mrMPD12NH_opd-UxDTFGY6e3wv25ocAp&amp;mime_type=video_mp4&amp;qs=0&amp;rc=aGhnNmdkOWk6OWdlOWQ2M0BpanM2PDQ6ZnZnaDMzNzczM0AwXy0wYjAxNTExM2MyMF8uYSNna2xmcjRvcG5gLS1kMTZzcw%3D%3D&amp;btag=e00088000&amp;expire=1763173634&amp;l=202511131026218DEF8CE7185C8F9E5844&amp;ply_type=2&amp;policy=2&amp;signature=e075b55a65a5f60e849d8c57fb4d534c&amp;tk=tt_chain_token</t>
  </si>
  <si>
    <t>https://v16-webapp-prime.tiktok.com/video/tos/useast2a/tos-useast2a-ve-0068c002/oM1eDQkBzAY3SHviiyTqjAI9CgZtvVboLIEH6u/?a=1988&amp;bti=ODszNWYuMDE6&amp;ch=0&amp;cr=3&amp;dr=0&amp;lr=all&amp;cd=0%7C0%7C0%7C&amp;cv=1&amp;br=2248&amp;bt=1124&amp;cs=0&amp;ds=3&amp;ft=-Csk_mrMPD12NXZh5d-UxPX2hY6e3wv25zcAp&amp;mime_type=video_mp4&amp;qs=0&amp;rc=Z2c8ZDtnODs4NTk3aDxlO0Bpamw5bHE5cmhvdDMzNzczM0AwNTAzNTNfXzYxNDIyNTQ2YSNucm9yMmRrcWpgLS1kMTZzcw%3D%3D&amp;btag=e000a0000&amp;expire=1764728974&amp;l=20251201102327C09081FC4B70A8ED0834&amp;ply_type=2&amp;policy=2&amp;signature=efa40b602e56d4bb4719a506f25a8b9d&amp;tk=tt_chain_token</t>
  </si>
  <si>
    <t>https://www.tiktok.com/@veigasaymon/video/7184611982375439622</t>
  </si>
  <si>
    <t>tdah,tab,psiquiatria,psicologia</t>
  </si>
  <si>
    <t>7198596524203412742</t>
  </si>
  <si>
    <t>sonsquecuram</t>
  </si>
  <si>
    <t>Sons que curam</t>
  </si>
  <si>
    <t>https://p77-sign-va.tiktokcdn.com/tos-maliva-avt-0068/54244e479aff55039c0ec9df4c3106ec~tplv-tiktokx-cropcenter:100:100.jpeg?dr=14579&amp;refresh_token=ccfde9d0&amp;x-expires=1763172000&amp;x-signature=sF5VHJa4uUDmJ2nXcNb%2ByuSteTM%3D&amp;t=4d5b0474&amp;ps=13740610&amp;shp=a5d48078&amp;shcp=81f88b70&amp;idc=my</t>
  </si>
  <si>
    <t>https://www.tiktok.com/@joaohenriquedupin/video/7398674347025599749</t>
  </si>
  <si>
    <t>Teste divertido para TDAH #TokDoEnem #intuitiontest #tdahteste #adhdtiktok #adhd #tdahadulto #tdahtiktok #testesvisuais #desafios</t>
  </si>
  <si>
    <t>Este é um teste para ver se você tem TDAH  Vamos descobrir! Comece focando no ponto verde piscando no centro quanto mais você permanecer focado os pontos ao redor começarão a desaparecer mas assim que você deixar seus olhos desfocarem um pouco Ou piscar os pontos  voltarão a aparecer  Se você só pode fazer um ou dois dos pontos desaparecerem Porque acha difícil se concentrar e se distrai facilmente Então você pode ter TDAH Mas se você pode fazer todos eles desaparecerem então você tem uma capacidade de atenção normal apenas 1 % das pessoas no planeta pode fazer Todos os pontos desaparecerem por mais de 5 segundos  Conte nos comentários como você se saiu</t>
  </si>
  <si>
    <t>Suspense, horror, piano and music box</t>
  </si>
  <si>
    <t>6817193198436255745</t>
  </si>
  <si>
    <t>https://sf16-ies-music-sg.tiktokcdn.com/obj/tos-alisg-ve-2774/ec28b201a97b4673ba761ff39b60fe91</t>
  </si>
  <si>
    <t>7244929574306401542</t>
  </si>
  <si>
    <t>mirianester159</t>
  </si>
  <si>
    <t>Mirian 🏘️</t>
  </si>
  <si>
    <t>https://p77-sign-va.tiktokcdn.com/tos-maliva-avt-0068/f1534bc204da122a39cdc9daf5569d52~tplv-tiktokx-cropcenter:100:100.jpeg?dr=14579&amp;refresh_token=368d5aa5&amp;x-expires=1764727200&amp;x-signature=Em269yYHjHaSefYME%2F6fLC4Cnsk%3D&amp;t=4d5b0474&amp;ps=13740610&amp;shp=a5d48078&amp;shcp=81f88b70&amp;idc=my</t>
  </si>
  <si>
    <t>https://p16-sg.tiktokcdn.com/aweme/720x720/tos-alisg-v-2774/604e1985ea7e4d018e3eb92ee6d522b4.jpeg</t>
  </si>
  <si>
    <t>takaya</t>
  </si>
  <si>
    <t>https://v16-webapp-prime.tiktok.com/video/tos/alisg/tos-alisg-pve-0037c001/o0YxsGa1HA4GQIyXoIfr8EkzmNxD3G0hgCA3PE/?a=1988&amp;bti=ODszNWYuMDE6&amp;ch=0&amp;cr=3&amp;dr=0&amp;lr=all&amp;cd=0%7C0%7C0%7C&amp;cv=1&amp;br=1798&amp;bt=899&amp;cs=0&amp;ds=3&amp;ft=-Csk_mrMPD12Nyhopd-UxFN2aY6e3wv25ycAp&amp;mime_type=video_mp4&amp;qs=0&amp;rc=ZTNlOzVoNzRnZDY6Z2k3O0BpajZxZjk6Zm07aTMzNzczM0AtXzVhNjQuNV4xLjIvMF4xYSNpYmJgcjQwbmdgLS1kMTZzcw%3D%3D&amp;btag=e00090000&amp;expire=1763173395&amp;l=2025111310220790E74D25ACF9796D8D06&amp;ply_type=2&amp;policy=2&amp;signature=ded6a745be907529ea3768e516778c1a&amp;tk=tt_chain_token</t>
  </si>
  <si>
    <t>Ser Mae Atipica doi as vezes ...</t>
  </si>
  <si>
    <t>Uma crise nervosa  muito forte ...
TDAH</t>
  </si>
  <si>
    <t>7244929593366481670</t>
  </si>
  <si>
    <t>https://v16-webapp-prime.tiktok.com/video/tos/useast2a/tos-useast2a-v-27dcd7/9facb52535ba471cb4ab4bc71ad10931/?a=1988&amp;bti=ODszNWYuMDE6&amp;ch=0&amp;cr=0&amp;dr=0&amp;er=0&amp;lr=default&amp;cd=0%7C0%7C0%7C0&amp;br=250&amp;bt=125&amp;ds=5&amp;ft=GNDpcInz7Th8zKvPXq8Zmo&amp;mime_type=audio_mpeg&amp;qs=13&amp;rc=M246c2c6ZjlsbDMzNzU8M0BpM246c2c6ZjlsbDMzNzU8M0BhczAvcjRfZjJgLS1kMTZzYSNhczAvcjRfZjJgLS1kMTZzcw%3D%3D&amp;btag=e00058000&amp;expire=1764559428&amp;l=202512011020485614ECD0EEDB8C5FDDDB&amp;ply_type=3&amp;policy=3&amp;signature=5d704cc83395bc2f95d35424aed88f68&amp;tk=7571587458748974088</t>
  </si>
  <si>
    <t>https://www.tiktok.com/@sonsquecuram/video/7198596524203412742</t>
  </si>
  <si>
    <t>tokdoenem,intuitiontest,tdahteste,adhdtiktok,adhd,tdahadulto,tdahtiktok,testesvisuais,desafios</t>
  </si>
  <si>
    <t>7244929879337209094</t>
  </si>
  <si>
    <t>rafaelgrattap</t>
  </si>
  <si>
    <t>Rafael Gratta</t>
  </si>
  <si>
    <t>https://p16-sign-va.tiktokcdn.com/tos-maliva-avt-0068/a4433909479e5c5be1a6365400a4bf02~tplv-tiktokx-cropcenter:100:100.jpeg?dr=14579&amp;refresh_token=75096bd2&amp;x-expires=1763172000&amp;x-signature=1PYOFiy6G3nxCyXma8%2BFXXrCvWw%3D&amp;t=4d5b0474&amp;ps=13740610&amp;shp=a5d48078&amp;shcp=81f88b70&amp;idc=my</t>
  </si>
  <si>
    <t>https://p16-sign-va.tiktokcdn.com/tos-maliva-avt-0068/f1534bc204da122a39cdc9daf5569d52~tplv-tiktokx-cropcenter:1080:1080.jpeg?dr=14579&amp;refresh_token=131148a9&amp;x-expires=1764727200&amp;x-signature=kD7HrS2UVOIRW%2FG6X3AQzFLzw6o%3D&amp;t=4d5b0474&amp;ps=13740610&amp;shp=a5d48078&amp;shcp=81f88b70&amp;idc=my</t>
  </si>
  <si>
    <t>Com qual (is) você se identificou? 😂 Me conta aqui nos comentários!  A falsa percepção de tempo e a paralisia de escolha são classificados como sintomas típicos de TDAH, causados por uma desregulação no controle do lobo frontal. 🧠  Se você quer ferramentas para ajudar a vencer o TDAH, dá uma olhada no link da minha bio! #tdah #ansiedade #procrastinação #saúdemental</t>
  </si>
  <si>
    <t>7244929891560409861</t>
  </si>
  <si>
    <t>https://v16-webapp-prime.tiktok.com/video/tos/maliva/tos-maliva-ve-0068c801-us/octLQyaph1GZAfgKcQkINogKI9TRAAzLCUSNIi/?a=1988&amp;bti=ODszNWYuMDE6&amp;ch=0&amp;cr=3&amp;dr=0&amp;lr=all&amp;cd=0%7C0%7C0%7C&amp;cv=1&amp;br=1746&amp;bt=873&amp;cs=0&amp;ds=3&amp;ft=-Csk_mrMPD12NxDh5d-UxIS5hY6e3wv25ycAp&amp;mime_type=video_mp4&amp;qs=0&amp;rc=PGQ3aWRkNmQ8aGQ6ZjQ7aEBpMzVvcGU6ZnhsbDMzNzczM0A0NmFhXy8tNWMxNjYxLTIyYSMtbWlocjRnZDJgLS1kMTZzcw%3D%3D&amp;btag=e00098000&amp;expire=1764728628&amp;l=202512011020485614ECD0EEDB8C5FDDDB&amp;ply_type=2&amp;policy=2&amp;signature=ff68fe4b6d5181537cdca0f06d8b32b5&amp;tk=tt_chain_token</t>
  </si>
  <si>
    <t>https://v16-webapp-prime.tiktok.com/video/tos/useast2a/tos-useast2a-v-27dcd7/218454df15564e17963ce7e0d5d62c1a/?a=1988&amp;bti=ODszNWYuMDE6&amp;ch=0&amp;cr=0&amp;dr=0&amp;er=0&amp;lr=default&amp;cd=0%7C0%7C0%7C0&amp;br=250&amp;bt=125&amp;ds=5&amp;ft=GNDpcInz7ThlV-UPXq8Zmo&amp;mime_type=audio_mpeg&amp;qs=13&amp;rc=anV4OGY6ZnFsbDMzNzU8M0BpanV4OGY6ZnFsbDMzNzU8M0BkXjJmcjRfZjJgLS1kMTZzYSNkXjJmcjRfZjJgLS1kMTZzcw%3D%3D&amp;btag=e00078000&amp;expire=1763004205&amp;l=20251113102257F8D01E3BFCE9B2911856&amp;ply_type=3&amp;policy=3&amp;signature=3540024e09d41c9a9b6fc09ca2c5db25&amp;tk=7571587458748974088</t>
  </si>
  <si>
    <t>https://p16-sign-va.tiktokcdn.com/tos-maliva-avt-0068/a4433909479e5c5be1a6365400a4bf02~tplv-tiktokx-cropcenter:1080:1080.jpeg?dr=14579&amp;refresh_token=3ae4df48&amp;x-expires=1763172000&amp;x-signature=T%2BcbzCg9Nei9%2Fd5L3wYTSwEerQM%3D&amp;t=4d5b0474&amp;ps=13740610&amp;shp=a5d48078&amp;shcp=81f88b70&amp;idc=my</t>
  </si>
  <si>
    <t>https://www.tiktok.com/@mirianester159/video/7244929574306401542</t>
  </si>
  <si>
    <t>7555957323055795512</t>
  </si>
  <si>
    <t>lucianauchoapsi</t>
  </si>
  <si>
    <t>https://p77-sign-va.tiktokcdn.com/tos-maliva-avt-0068/93c84bb435ea3c051171fc4e9f92e331~tplv-tiktokx-cropcenter:100:100.jpeg?dr=14579&amp;refresh_token=c00650f5&amp;x-expires=1764727200&amp;x-signature=o5LMETAB05niyTOa8DH0BuJ1m8Q%3D&amp;t=4d5b0474&amp;ps=13740610&amp;shp=a5d48078&amp;shcp=81f88b70&amp;idc=my</t>
  </si>
  <si>
    <t>https://v16-webapp-prime.tiktok.com/video/tos/maliva/tos-maliva-ve-0068c801-us/oAyhcK9WIDLCkERADLjztgOISdAfQvZoD6nyUm/?a=1988&amp;bti=ODszNWYuMDE6&amp;ch=0&amp;cr=3&amp;dr=0&amp;lr=all&amp;cd=0%7C0%7C0%7C&amp;cv=1&amp;br=2180&amp;bt=1090&amp;cs=0&amp;ds=3&amp;ft=-Csk_mrMPD12N4Yopd-Ux9T2bY6e3wv25IcAp&amp;mime_type=video_mp4&amp;qs=0&amp;rc=OGQ0aTdnZGVkaGVoN2VkaUBpMzZtc2U6ZmhsbDMzNzczM0AzMmAxNWBgNTUxYGJeNDVjYSM0bmcucjRvZjJgLS1kMTZzcw%3D%3D&amp;btag=e000b8000&amp;expire=1763173405&amp;l=20251113102257F8D01E3BFCE9B2911856&amp;ply_type=2&amp;policy=2&amp;signature=4796263847e54f6b1faaa41ac8433937&amp;tk=tt_chain_token</t>
  </si>
  <si>
    <t xml:space="preserve">Ler é uma tarefa que exige várias habilidades ao mesmo tempo: manter a atenção por um período longo, ignorar distrações, guardar na memória o que já foi lido e conseguir ligar essas informações ao que vem depois. No TDAH, essas habilidades podem se desorganizar. Isso faz com que a pessoa perca facilmente a linha do texto, precise reler várias vezes, tenha dificuldade de entender o conteúdo como um todo e leia em um ritmo mais lento. Mas é importante lembrar: ter dificuldade para ler não significa automaticamente ter TDAH. Só uma avaliação profissional pode dar um diagnóstico correto. Vídeo by @Victor Lamoglia </t>
  </si>
  <si>
    <t>7555957329393732363</t>
  </si>
  <si>
    <t>https://v16-webapp-prime.tiktok.com/video/tos/useast2a/tos-useast2a-v-27dcd7/ocJU5EFDQvABvchFfAoJBACeE8cPz3ESCxHDuJ/?a=1988&amp;bti=ODszNWYuMDE6&amp;ch=0&amp;cr=0&amp;dr=0&amp;er=0&amp;lr=default&amp;cd=0%7C0%7C0%7C0&amp;br=250&amp;bt=125&amp;ds=5&amp;ft=GNDpcInz7ThvFKvPXq8Zmo&amp;mime_type=audio_mpeg&amp;qs=13&amp;rc=aml4Nng5cmY1NjMzNzU8M0Bpaml4Nng5cmY1NjMzNzU8M0AvMHFyMmRjYmJhLS1kMTZzYSMvMHFyMmRjYmJhLS1kMTZzcw%3D%3D&amp;btag=e00050000&amp;expire=1764559397&amp;l=2025120110220104295D62D2C47867A675&amp;ply_type=3&amp;policy=3&amp;signature=eda595a908e755489b42d1dca6365d6b&amp;tk=7571587458748974088</t>
  </si>
  <si>
    <t>https://www.tiktok.com/@rafaelgrattap/video/7244929879337209094</t>
  </si>
  <si>
    <t>tdah,ansiedade,procrastinação,saúdemental</t>
  </si>
  <si>
    <t>7396274967115074822</t>
  </si>
  <si>
    <t xml:space="preserve">Hoje em dia todo mundo fala que tem TDAH, mas será mesmo? As estimativas de porcentagem de adultos com TDAH variam de 5 a 10%, então mesmo tendo sido generoso com a porcentagem, o número não bate com o tanto de gente que “é tdah” hoje. A verdade é que a maioria das pessoas que fala que tem TDAH, na verdade tem sintomas de TDAH mas não tem realmente TDAH. MFMA 🙏🏽 #saúdemental #ansiedade #neurociência #tdah </t>
  </si>
  <si>
    <t>7396275007680908037</t>
  </si>
  <si>
    <t>https://v16-webapp-prime.tiktok.com/video/tos/useast2a/tos-useast2a-v-27dcd7/oQNLJFDUJUBbvEA27kEEyjBC2AyQPkAepmfr9C/?a=1988&amp;bti=ODszNWYuMDE6&amp;ch=0&amp;cr=0&amp;dr=0&amp;er=0&amp;lr=default&amp;cd=0%7C0%7C0%7C0&amp;br=250&amp;bt=125&amp;ds=5&amp;ft=GNDpcInz7Thm9-UPXq8Zmo&amp;mime_type=audio_mpeg&amp;qs=13&amp;rc=and1eGw5cndndDMzNzU8M0Bpand1eGw5cndndDMzNzU8M0BpMl8vMmRrZWZgLS1kMTZzYSNpMl8vMmRrZWZgLS1kMTZzcw%3D%3D&amp;btag=e00048000&amp;expire=1763004331&amp;l=202511131024337F554789EF0D09A1F8EB&amp;ply_type=3&amp;policy=3&amp;signature=9b0bb61f659ec198808212266701f4e1&amp;tk=7571587458748974088</t>
  </si>
  <si>
    <t>https://p77-sign-va.tiktokcdn.com/tos-maliva-avt-0068/93c84bb435ea3c051171fc4e9f92e331~tplv-tiktokx-cropcenter:1080:1080.jpeg?dr=14579&amp;refresh_token=8568f22f&amp;x-expires=1764727200&amp;x-signature=2v%2F0KZbZ0ly%2Bk9xFl8aZcQe%2FZLE%3D&amp;t=4d5b0474&amp;ps=13740610&amp;shp=a5d48078&amp;shcp=81f88b70&amp;idc=my</t>
  </si>
  <si>
    <t>https://v16-webapp-prime.tiktok.com/video/tos/alisg/tos-alisg-ve-37c813-sg/o8ycIhOP0IkECbg6TAbiXHNiErBQRlASSofDRY/?a=1988&amp;bti=ODszNWYuMDE6&amp;ch=0&amp;cr=3&amp;dr=0&amp;lr=all&amp;cd=0%7C0%7C0%7C&amp;cv=1&amp;br=942&amp;bt=471&amp;cs=0&amp;ds=3&amp;ft=-Csk_mrMPD12NOBh5d-Uxbt2hY6e3wv25HcAp&amp;mime_type=video_mp4&amp;qs=0&amp;rc=NzY5ZDozaDhlO2g1aDU3NkBpM2xncHQ5cjw1NjMzNzczM0A0Yi9eNi4vNTMxMDIwX2FhYSM0MjI1MmRjYWJhLS1kMTZzcw%3D%3D&amp;btag=e00090000&amp;expire=1764728598&amp;l=2025120110220104295D62D2C47867A675&amp;ply_type=2&amp;policy=2&amp;signature=e9651cdad315055937b7b4bfffcd221c&amp;tk=tt_chain_token</t>
  </si>
  <si>
    <t>https://v16-webapp-prime.tiktok.com/video/tos/useast2a/tos-useast2a-ve-0068c003/o0VbZNXq8ACfAvMhIfnTBfRgZXjPbS934SQgCU/?a=1988&amp;bti=ODszNWYuMDE6&amp;ch=0&amp;cr=3&amp;dr=0&amp;lr=all&amp;cd=0%7C0%7C0%7C&amp;cv=1&amp;br=3928&amp;bt=1964&amp;cs=0&amp;ds=3&amp;ft=I~da4oKyD12NvuA0i.IxREJNglBF-UjNSmopiX&amp;mime_type=video_mp4&amp;qs=0&amp;rc=ODxpNjY7ZWhkZjNoOjdoZUBpajhzeHU5cmZndDMzNzczM0AuYi5iNTRiNTAxNS40NjAvYSNecHJjMmQ0ZGZgLS1kMTZzcw%3D%3D&amp;btag=e00088000&amp;expire=1763173531&amp;l=202511131024337F554789EF0D09A1F8EB&amp;ply_type=2&amp;policy=2&amp;signature=96c1ebc231ade44fa9417279f67408a8&amp;tk=tt_chain_token</t>
  </si>
  <si>
    <t>https://www.tiktok.com/@lucianauchoapsi/video/7555957323055795512</t>
  </si>
  <si>
    <t>https://www.tiktok.com/@rafaelgrattap/video/7396274967115074822</t>
  </si>
  <si>
    <t>https://p16-sign-va.tiktokcdn.com/tos-maliva-avt-0068/23f741bbff26d84d055bb979a49b53c0~tplv-tiktokx-cropcenter:100:100.jpeg?dr=14579&amp;refresh_token=14519383&amp;x-expires=1764727200&amp;x-signature=e8jpsU0dfCg%2BEtvdYXI1gf%2BhRKg%3D&amp;t=4d5b0474&amp;ps=13740610&amp;shp=a5d48078&amp;shcp=81f88b70&amp;idc=my</t>
  </si>
  <si>
    <t>saúdemental,ansiedade,neurociência,tdah</t>
  </si>
  <si>
    <t>7466964243288460550</t>
  </si>
  <si>
    <t>mr.tdahzinho</t>
  </si>
  <si>
    <t>Mr tdahzinho🧠</t>
  </si>
  <si>
    <t>https://p16-sign-va.tiktokcdn.com/tos-maliva-avt-0068/431bee7578e519987635a70e5b8f7fb3~tplv-tiktokx-cropcenter:100:100.jpeg?dr=14579&amp;refresh_token=44fd81bd&amp;x-expires=1763172000&amp;x-signature=5qONbfsCauye%2F1LhYL2k7p4zjgc%3D&amp;t=4d5b0474&amp;ps=13740610&amp;shp=a5d48078&amp;shcp=81f88b70&amp;idc=my</t>
  </si>
  <si>
    <t>https://v16-webapp-prime.tiktok.com/video/tos/useast2a/tos-useast2a-v-27dcd7/72b971116150422884bc226cedd60d30/?a=1988&amp;bti=ODszNWYuMDE6&amp;ch=0&amp;cr=0&amp;dr=0&amp;er=0&amp;lr=default&amp;cd=0%7C0%7C0%7C0&amp;br=250&amp;bt=125&amp;ds=5&amp;ft=GNDpcInz7ThcFKvPXq8Zmo&amp;mime_type=audio_mpeg&amp;qs=13&amp;rc=anMzNTk6Zjt1azMzNzU8M0BpanMzNTk6Zjt1azMzNzU8M0A2Mi1gcjQwaG1gLS1kMTZzYSM2Mi1gcjQwaG1gLS1kMTZzcw%3D%3D&amp;btag=e00048000&amp;expire=1764559378&amp;l=2025120110220384643B3986DED954E961&amp;ply_type=3&amp;policy=3&amp;signature=cb486e1a0012f98c078145d01e268c85&amp;tk=7571587458748974088</t>
  </si>
  <si>
    <t xml:space="preserve">Simulador de TDAH🕹️🧠 Obs: Este vídeo apenas mostra como a hiperatividade física, mental e o esquecimento estão presentes na vida de uma pessoa que tem TDAH (Transtorno do Déficit de atenção e hiperatividade) Se identificar com vídeo não significa necessariamente que você tenha TDAH, porque os sintomas vão muito além disso e só um profissional da saúde mental pode te diagnosticar com o mesmo. #tdah #tdahadulto  #tdahinfantil #tda #psicologia #pov #creatorsearchinsights </t>
  </si>
  <si>
    <t>7466964413636299526</t>
  </si>
  <si>
    <t>https://v16-webapp-prime.tiktok.com/video/tos/useast2a/tos-useast2a-v-27dcd7/owAk1AIM8JeJ14HWQAAfCSgChKLf8feAKMgSTv/?a=1988&amp;bti=ODszNWYuMDE6&amp;ch=0&amp;cr=0&amp;dr=0&amp;er=0&amp;lr=default&amp;cd=0%7C0%7C0%7C0&amp;br=250&amp;bt=125&amp;ds=5&amp;ft=GNDpcInz7ThUK-UPXq8Zmo&amp;mime_type=audio_mpeg&amp;qs=13&amp;rc=M3g4N2s5cjh5eDMzNzU8M0BpM3g4N2s5cjh5eDMzNzU8M0BoZV4xMmRzbWNgLS1kMTZzYSNoZV4xMmRzbWNgLS1kMTZzcw%3D%3D&amp;btag=e00050000&amp;expire=1763004264&amp;l=202511131022270BBA173F4561DD71A814&amp;ply_type=3&amp;policy=3&amp;signature=e865beee078575777e7d9cb8cac88347&amp;tk=7571587458748974088</t>
  </si>
  <si>
    <t>https://p77-sign-va.tiktokcdn.com/tos-maliva-avt-0068/ebc42eb348fcf29a09bcbf1c40faef80~tplv-tiktokx-cropcenter:1080:1080.jpeg?dr=14579&amp;refresh_token=6dfdbf14&amp;x-expires=1764727200&amp;x-signature=9GiXHj2gH90WU1WzIHcDPGSE%2F%2FI%3D&amp;t=4d5b0474&amp;ps=13740610&amp;shp=a5d48078&amp;shcp=81f88b70&amp;idc=my</t>
  </si>
  <si>
    <t>https://p16-sign-va.tiktokcdn.com/tos-maliva-avt-0068/431bee7578e519987635a70e5b8f7fb3~tplv-tiktokx-cropcenter:1080:1080.jpeg?dr=14579&amp;refresh_token=ac4d06e8&amp;x-expires=1763172000&amp;x-signature=aP9%2BeRL%2FhEk8DJIKtOd%2BOqyM4R4%3D&amp;t=4d5b0474&amp;ps=13740610&amp;shp=a5d48078&amp;shcp=81f88b70&amp;idc=my</t>
  </si>
  <si>
    <t>https://v16-webapp-prime.tiktok.com/video/tos/useast2a/tos-useast2a-pve-0068/ogRg8RuEcVj2QEdIRCFPARKDgFSSiCgLffPIel/?a=1988&amp;bti=ODszNWYuMDE6&amp;ch=0&amp;cr=3&amp;dr=0&amp;lr=all&amp;cd=0%7C0%7C0%7C&amp;cv=1&amp;br=4828&amp;bt=2414&amp;cs=0&amp;ds=3&amp;ft=I~da4oKyD12NviW0i.IxRHqNglBF-UjNSqopiX&amp;mime_type=video_mp4&amp;qs=0&amp;rc=ZjplZDs8NTw0aGg0NmVkZ0BpamtnZGw5cml5eDMzNzczM0A0NC5hNmA0Xi4xYDUuM141YSMvcGtoMmQ0a2NgLS1kMTZzcw%3D%3D&amp;btag=e00090000&amp;expire=1763173464&amp;l=202511131022270BBA173F4561DD71A814&amp;ply_type=2&amp;policy=2&amp;signature=98ec6c6cda29620a6ea72693f20b99be&amp;tk=tt_chain_token</t>
  </si>
  <si>
    <t>https://v16-webapp-prime.tiktok.com/video/tos/useast2a/tos-useast2a-ve-0068c002/okixDOrfg9CjAQf3IIILrm8nIHCeSkbTCwganU/?a=1988&amp;bti=ODszNWYuMDE6&amp;ch=0&amp;cr=3&amp;dr=0&amp;lr=all&amp;cd=0%7C0%7C0%7C&amp;cv=1&amp;br=1316&amp;bt=658&amp;cs=0&amp;ds=3&amp;ft=I~da4oKyD12NvaMWS.IxRYjNWlBF-UjNSkopiX&amp;mime_type=video_mp4&amp;qs=0&amp;rc=NTM1NmY6aTRnNGY8OzZkOUBpanJ4dDM6ZnI3azMzNzczM0AyX2EwXy9gX14xYjUzLl8uYSMzNGtlcjRncnNgLS1kMTZzcw%3D%3D&amp;btag=e00088000&amp;expire=1764728575&amp;l=2025120110220384643B3986DED954E961&amp;ply_type=2&amp;policy=2&amp;signature=071c87ee5fe4f0e67dcc9da32b295dff&amp;tk=tt_chain_token</t>
  </si>
  <si>
    <t>https://www.tiktok.com/@mr.tdahzinho/video/7466964243288460550</t>
  </si>
  <si>
    <t>tdah,tdahadulto,tdahinfantil,tda,psicologia,pov,creatorsearchinsights</t>
  </si>
  <si>
    <t>tdah,tdahadulto,tdahinfantil,tda,psicologia,POV,creatorsearchinsights</t>
  </si>
  <si>
    <t>7483907785650867462</t>
  </si>
  <si>
    <t>fstiegele</t>
  </si>
  <si>
    <t>fabio</t>
  </si>
  <si>
    <t>Destiny</t>
  </si>
  <si>
    <t>https://p16-sign-va.tiktokcdn.com/tos-maliva-avt-0068/aa2f8f9536b46443df4f50ec3d97a8e0~tplv-tiktokx-cropcenter:100:100.jpeg?dr=14579&amp;refresh_token=5b6b081a&amp;x-expires=1763172000&amp;x-signature=KP21YqYyTsNjRTCWcwCrWelYD9w%3D&amp;t=4d5b0474&amp;ps=13740610&amp;shp=a5d48078&amp;shcp=81f88b70&amp;idc=my</t>
  </si>
  <si>
    <t>https://p16-sign-va.tiktokcdn.com/tos-maliva-avt-0068/41d2e0effe06cb8a5f52e9f24371109a~tplv-tiktokx-cropcenter:100:100.jpeg?dr=14579&amp;refresh_token=3ac713bf&amp;x-expires=1764727200&amp;x-signature=%2FIaUGu3GYq6ra9DjsC1Z29IOufA%3D&amp;t=4d5b0474&amp;ps=13740610&amp;shp=a5d48078&amp;shcp=81f88b70&amp;idc=my</t>
  </si>
  <si>
    <t>É mágico! Conheço gente que chorou qd tomou pela primeira vez! #humortiktok #tdah #tdahtiktok #tdahadulto</t>
  </si>
  <si>
    <t>7483907788063705862</t>
  </si>
  <si>
    <t>https://v16-webapp-prime.tiktok.com/video/tos/useast2a/tos-useast2a-v-27dcd7/ocCnBcEAECoFfDLC5Q7E3SGAJ6hPDBApUfJEZJ/?a=1988&amp;bti=ODszNWYuMDE6&amp;ch=0&amp;cr=0&amp;dr=0&amp;er=0&amp;lr=default&amp;cd=0%7C0%7C0%7C0&amp;br=250&amp;bt=125&amp;ds=5&amp;ft=GNDpcInz7ThlV-UPXq8Zmo&amp;mime_type=audio_mpeg&amp;qs=13&amp;rc=M3N5bm45cjM1eTMzNzU8M0BpM3N5bm45cjM1eTMzNzU8M0A2cjFlMmRrcWJgLS1kMTZzYSM2cjFlMmRrcWJgLS1kMTZzcw%3D%3D&amp;btag=e00078000&amp;expire=1763004199&amp;l=20251113102257F8D01E3BFCE9B2911856&amp;ply_type=3&amp;policy=3&amp;signature=03b8c529f7723b3d0993b7a4a5fd42d3&amp;tk=7571587458748974088</t>
  </si>
  <si>
    <t>https://v16-webapp-prime.tiktok.com/video/tos/useast2a/tos-useast2a-v-27dcd7/4fb18f6ddca44b33b365c1a851456c14/?a=1988&amp;bti=ODszNWYuMDE6&amp;ch=0&amp;cr=0&amp;dr=0&amp;er=0&amp;lr=default&amp;cd=0%7C0%7C0%7C0&amp;br=252&amp;bt=126&amp;ds=5&amp;ft=GNDpcInz7Th0zKvPXq8Zmo&amp;mime_type=video_mp4&amp;qs=13&amp;rc=ajNkc2Y6ZnJlPDMzNzU8M0BpajNkc2Y6ZnJlPDMzNzU8M0BvMDZkcjQwYWdgLS1kMTZzYSNvMDZkcjQwYWdgLS1kMTZzcw%3D%3D&amp;btag=e00048000&amp;expire=1764559351&amp;l=2025120110213238A64472738F9C5726DD&amp;ply_type=3&amp;policy=3&amp;signature=f37b196747e7251396db4ede807dfe5e&amp;tk=7571587458748974088</t>
  </si>
  <si>
    <t>https://p77-sign-va.tiktokcdn.com/tos-maliva-avt-0068/aa2f8f9536b46443df4f50ec3d97a8e0~tplv-tiktokx-cropcenter:1080:1080.jpeg?dr=14579&amp;refresh_token=b85dc7a7&amp;x-expires=1763172000&amp;x-signature=5z8tFxyJejx9O8gUJb5q18ZrDEU%3D&amp;t=4d5b0474&amp;ps=13740610&amp;shp=a5d48078&amp;shcp=81f88b70&amp;idc=my</t>
  </si>
  <si>
    <t>https://p16-sign-va.tiktokcdn.com/tos-maliva-avt-0068/41d2e0effe06cb8a5f52e9f24371109a~tplv-tiktokx-cropcenter:1080:1080.jpeg?dr=14579&amp;refresh_token=93079f94&amp;x-expires=1764727200&amp;x-signature=qeemBLhm3h8TY3XE7egTczdqfE8%3D&amp;t=4d5b0474&amp;ps=13740610&amp;shp=a5d48078&amp;shcp=81f88b70&amp;idc=my</t>
  </si>
  <si>
    <t>https://v16-webapp-prime.tiktok.com/video/tos/useast2a/tos-useast2a-ve-0068c003/ooAYOn48jPQttSCWCzMweyXFnieugAJgkeuKRI/?a=1988&amp;bti=ODszNWYuMDE6&amp;ch=0&amp;cr=3&amp;dr=0&amp;lr=all&amp;cd=0%7C0%7C0%7C&amp;cv=1&amp;br=1926&amp;bt=963&amp;cs=0&amp;ds=3&amp;ft=-Csk_mrMPD12N4Yopd-Ux9T2bY6e3wv25IcAp&amp;mime_type=video_mp4&amp;qs=0&amp;rc=PDs7NDVlODQ1aGQ1ZGlmZ0BpMzlzO3M5cm41eTMzNzczM0AwM2IuYTEtXzAxXzRiMzViYSM0c2IzMmRzcGJgLS1kMTZzcw%3D%3D&amp;btag=e000b8000&amp;expire=1763173399&amp;l=20251113102257F8D01E3BFCE9B2911856&amp;ply_type=2&amp;policy=2&amp;signature=9877ac02f1395726aa629cfa46489e09&amp;tk=tt_chain_token</t>
  </si>
  <si>
    <t>https://v16-webapp-prime.tiktok.com/video/tos/maliva/tos-maliva-ve-0068c801-us/e71ae534a176491a8f1765724382d18e/?a=1988&amp;bti=ODszNWYuMDE6&amp;ch=0&amp;cr=3&amp;dr=0&amp;lr=all&amp;cd=0%7C0%7C0%7C&amp;cv=1&amp;br=1504&amp;bt=752&amp;cs=0&amp;ds=3&amp;ft=-Csk_mrMPD12NsDh5d-UxSc2hY6e3wv25DcAp&amp;mime_type=video_mp4&amp;qs=0&amp;rc=NDllOmU5ODwzNmYzaGQ1ZkBpM3c7Nzs6ZndlPDMzNzczM0BiYy02LmFeXzMxMl41XzQxYSNkXl9ecjQwXmdgLS1kMTZzcw%3D%3D&amp;btag=e00088000&amp;expire=1764728551&amp;l=2025120110213238A64472738F9C5726DD&amp;ply_type=2&amp;policy=2&amp;signature=855f8135c59e3d77d9b5c6b2ad848ab7&amp;tk=tt_chain_token</t>
  </si>
  <si>
    <t>https://www.tiktok.com/@fstiegele/video/7483907785650867462</t>
  </si>
  <si>
    <t>humortiktok,tdah,tdahtiktok,tdahadulto</t>
  </si>
  <si>
    <t>7379736571341229318</t>
  </si>
  <si>
    <t>Quemm??😅 Me acompanha para saber mais sobre o assunto! #tdah #tdahadulto #tdahtiktok #autoconhecimento #terapeuta</t>
  </si>
  <si>
    <t>Quando você tem TDAH:</t>
  </si>
  <si>
    <t>7379736594973215493</t>
  </si>
  <si>
    <t>https://v16-webapp-prime.tiktok.com/video/tos/useast2a/tos-useast2a-v-27dcd7/oMCBArpUCJmIfBfA6DDhFIYpJaLJEdFQALgUYN/?a=1988&amp;bti=ODszNWYuMDE6&amp;ch=0&amp;cr=0&amp;dr=0&amp;er=0&amp;lr=default&amp;cd=0%7C0%7C0%7C0&amp;br=250&amp;bt=125&amp;ds=5&amp;ft=GNDpcInz7ThN9-UPXq8Zmo&amp;mime_type=audio_mpeg&amp;qs=13&amp;rc=M24zPHc5cnA0czMzNzU8M0BpM24zPHc5cnA0czMzNzU8M0BqMmovMmQ0YmlgLS1kMTZzYSNqMmovMmQ0YmlgLS1kMTZzcw%3D%3D&amp;btag=e00048000&amp;expire=1763004284&amp;l=20251113102410CE8B814C77F7637842AC&amp;ply_type=3&amp;policy=3&amp;signature=2cc12cddd27356c4f832397ceb272068&amp;tk=7571587458748974088</t>
  </si>
  <si>
    <t>https://p16-sign-va.tiktokcdn.com/tos-maliva-avt-0068/9391b64494c1f12bb276ce4437f45ed2~tplv-tiktokx-cropcenter:100:100.jpeg?dr=14579&amp;refresh_token=b0ee7d27&amp;x-expires=1764727200&amp;x-signature=sJdPc7mtE766Le3E3Ft1oIBwWVI%3D&amp;t=4d5b0474&amp;ps=13740610&amp;shp=a5d48078&amp;shcp=81f88b70&amp;idc=my</t>
  </si>
  <si>
    <t>https://v16-webapp-prime.tiktok.com/video/tos/maliva/tos-maliva-ve-0068c801-us/o0jC0XCTQfn8de1XCMlHAdSqJDIIEDezMCm3Qg/?a=1988&amp;bti=ODszNWYuMDE6&amp;ch=0&amp;cr=3&amp;dr=0&amp;lr=all&amp;cd=0%7C0%7C0%7C&amp;cv=1&amp;br=1432&amp;bt=716&amp;cs=0&amp;ds=3&amp;ft=I~da4oKyD12Nv5A0i.IxRIk_glBF-UjNSbopiX&amp;mime_type=video_mp4&amp;qs=0&amp;rc=Z2ZmaGk8N2c4N2Y8ZmQ2OUBpanE6eXk5cjc0czMzNzczM0AwXzNiL15gNTExMl4tNTIxYSNicXNmMmRzYWlgLS1kMTZzcw%3D%3D&amp;btag=e00088000&amp;expire=1763173484&amp;l=20251113102410CE8B814C77F7637842AC&amp;ply_type=2&amp;policy=2&amp;signature=4286a0e3864b12e880468e681b40dc5f&amp;tk=tt_chain_token</t>
  </si>
  <si>
    <t>https://v16-webapp-prime.tiktok.com/video/tos/useast2a/tos-useast2a-v-27dcd7/oMOM0DuixUpSalgA7bAh85qAEQRqPECDABviA/?a=1988&amp;bti=ODszNWYuMDE6&amp;ch=0&amp;cr=0&amp;dr=0&amp;er=0&amp;lr=default&amp;cd=0%7C0%7C0%7C0&amp;br=250&amp;bt=125&amp;ds=5&amp;ft=GNDpcInz7ThoPKvPXq8Zmo&amp;mime_type=audio_mpeg&amp;qs=13&amp;rc=anM2OW45cmhqNjMzNzU8M0BpanM2OW45cmhqNjMzNzU8M0BkMHBpMmRrNDRhLS1kMTZzYSNkMHBpMmRrNDRhLS1kMTZzcw%3D%3D&amp;btag=e00078000&amp;expire=1764559230&amp;l=202512011020068133AB7BCB086C5F4CDC&amp;ply_type=3&amp;policy=3&amp;signature=7855e264a3a4121a31416a772663b869&amp;tk=7571587458748974088</t>
  </si>
  <si>
    <t>https://www.tiktok.com/@claralisle/video/7379736571341229318</t>
  </si>
  <si>
    <t>tdah,tdahadulto,tdahtiktok,autoconhecimento,terapeuta</t>
  </si>
  <si>
    <t>7530453564590705976</t>
  </si>
  <si>
    <t>felcapensa</t>
  </si>
  <si>
    <t>Felca Pensa</t>
  </si>
  <si>
    <t>https://p16-sign-va.tiktokcdn.com/tos-maliva-avt-0068/dab25d3bf4f7caa5b88946351ce41f46~tplv-tiktokx-cropcenter:100:100.jpeg?dr=14579&amp;refresh_token=8dbce795&amp;x-expires=1763172000&amp;x-signature=PcMdwpQCv6WTy%2FP3QB822mH85cs%3D&amp;t=4d5b0474&amp;ps=13740610&amp;shp=a5d48078&amp;shcp=81f88b70&amp;idc=my</t>
  </si>
  <si>
    <t>https://p16-sign-va.tiktokcdn.com/tos-maliva-avt-0068/9391b64494c1f12bb276ce4437f45ed2~tplv-tiktokx-cropcenter:1080:1080.jpeg?dr=14579&amp;refresh_token=2347a0e9&amp;x-expires=1764727200&amp;x-signature=OwDNcpBx1xsMX9SKIiq2uMz3vvw%3D&amp;t=4d5b0474&amp;ps=13740610&amp;shp=a5d48078&amp;shcp=81f88b70&amp;idc=my</t>
  </si>
  <si>
    <t xml:space="preserve">Você se identifica com TDAH, mas nunca teve diagnóstico? Felca conversa com a Dra. Ana Beatriz sobre sinais que passam batido na vida adulta. Um bate-papo claro e necessário sobre como o TDAH realmente se manifesta.  #felca  #felcacamp #tdah #tdahadulto #draanabeatriz #tiktokviral  #fyptiktok </t>
  </si>
  <si>
    <t>7530453619520654086</t>
  </si>
  <si>
    <t>https://v16-webapp-prime.tiktok.com/video/tos/useast2a/tos-useast2a-ve-0068c002/ocAgQOBPAR0EfAlB1PB4sIPukZCIiHioxJ2C7y/?a=1988&amp;bti=ODszNWYuMDE6&amp;ch=0&amp;cr=3&amp;dr=0&amp;lr=all&amp;cd=0%7C0%7C0%7C&amp;cv=1&amp;br=1230&amp;bt=615&amp;cs=0&amp;ds=3&amp;ft=-Csk_mrMPD12Nudh5d-Uxs12aY6e3wv252cAp&amp;mime_type=video_mp4&amp;qs=0&amp;rc=Ojw0ZTw6ODRmZ2Y4NjtpO0BpajR0dm85cjpqNjMzNzczM0AvMy1iNV9iXi0xMTFgYjJjYSNxbGo1MmRzNDRhLS1kMTZzcw%3D%3D&amp;btag=e000b8000&amp;expire=1764728430&amp;l=202512011020068133AB7BCB086C5F4CDC&amp;ply_type=2&amp;policy=2&amp;signature=7507e12f02cabe321bc90f4a7c389e74&amp;tk=tt_chain_token</t>
  </si>
  <si>
    <t>https://v16-webapp-prime.tiktok.com/video/tos/useast2a/tos-useast2a-v-27dcd7/o8YhJFDrJUBRjMiqPBEITuBCiQhQ7wCmgofgfu/?a=1988&amp;bti=ODszNWYuMDE6&amp;ch=0&amp;cr=0&amp;dr=0&amp;er=0&amp;lr=default&amp;cd=0%7C0%7C0%7C0&amp;br=250&amp;bt=125&amp;ft=GNDpcInz7ThQ9-UPXq8Zmo&amp;mime_type=audio_mpeg&amp;qs=6&amp;rc=aDo6ODQ2Z2ZmaDxlZmZoZkBpM3lnZHI5cmRyNTMzNzU8M0A0LV80LjVgNi4xY2MvNTUzYSNkLmI1MmRray1hLS1kMTZzcw%3D%3D&amp;btag=e00090000&amp;expire=1763004411&amp;l=202511131024053FAEE14371AE44A729CC&amp;ply_type=3&amp;policy=3&amp;signature=1f1bf22e5e5ecf39f7a96053d6b67757&amp;tk=7571587458748974088</t>
  </si>
  <si>
    <t>https://p16-sign-va.tiktokcdn.com/tos-maliva-avt-0068/dab25d3bf4f7caa5b88946351ce41f46~tplv-tiktokx-cropcenter:1080:1080.jpeg?dr=14579&amp;refresh_token=65a310f3&amp;x-expires=1763172000&amp;x-signature=ggwqHgQHfgql1pt0q5e89qDvZGE%3D&amp;t=4d5b0474&amp;ps=13740610&amp;shp=a5d48078&amp;shcp=81f88b70&amp;idc=my</t>
  </si>
  <si>
    <t>https://v16-webapp-prime.tiktok.com/video/tos/useast2a/tos-useast2a-pve-0068/ocBLAimgkFCWiEYgQoED48fwIeqGQt8TBJBI5R/?a=1988&amp;bti=ODszNWYuMDE6&amp;ch=0&amp;cr=3&amp;dr=0&amp;lr=all&amp;cd=0%7C0%7C0%7C&amp;cv=1&amp;br=1128&amp;bt=564&amp;cs=0&amp;ds=3&amp;ft=-Csk_mrMPD12Nlcopd-UxB6vSY6e3wv25rcAp&amp;mime_type=video_mp4&amp;qs=0&amp;rc=NjRkODM2PGY4NGY1Mzw4N0BpM21zbHY5cmxyNTMzNzczM0AxMzU0NTI1X2AxYDIuMWEzYSNgbWM1MmQ0ai1hLS1kMTZzcw%3D%3D&amp;btag=e00090000&amp;expire=1763173611&amp;l=202511131024053FAEE14371AE44A729CC&amp;ply_type=2&amp;policy=2&amp;signature=160331bb231e9c5871008562fc35c960&amp;tk=tt_chain_token</t>
  </si>
  <si>
    <t>7559709300189334796</t>
  </si>
  <si>
    <t>thiagojatoba_</t>
  </si>
  <si>
    <t>Thiago Jatobá</t>
  </si>
  <si>
    <t>https://p16-sign-va.tiktokcdn.com/tos-maliva-avt-0068/0fb17d655c9941cc7d7260156b5d573f~tplv-tiktokx-cropcenter:100:100.jpeg?dr=14579&amp;refresh_token=69a13ef9&amp;x-expires=1764727200&amp;x-signature=MQhrRkmVJvwJb9YxjnMN3D09VyA%3D&amp;t=4d5b0474&amp;ps=13740610&amp;shp=a5d48078&amp;shcp=81f88b70&amp;idc=my</t>
  </si>
  <si>
    <t>Ter TDAH = ter superpoderes kkkk | #TDAH</t>
  </si>
  <si>
    <t>7559709355869408056</t>
  </si>
  <si>
    <t>https://v16-webapp-prime.tiktok.com/video/tos/useast2a/tos-useast2a-v-27dcd7/o40uSAJDoBek7rgFEAAX1CIHUBSSf6OQxJI6Hj/?a=1988&amp;bti=ODszNWYuMDE6&amp;ch=0&amp;cr=0&amp;dr=0&amp;er=0&amp;lr=default&amp;cd=0%7C0%7C0%7C0&amp;br=250&amp;bt=125&amp;ds=5&amp;ft=GNDpcInz7ThjFKvPXq8Zmo&amp;mime_type=audio_mpeg&amp;qs=13&amp;rc=M3c4eGw5cjtxNjMzNzU8M0BpM3c4eGw5cjtxNjMzNzU8M0BxLTIuMmRza2hhLS1kMTZzYSNxLTIuMmRza2hhLS1kMTZzcw%3D%3D&amp;btag=e00058000&amp;expire=1764559523&amp;l=2025120110215532A809179141715F3748&amp;ply_type=3&amp;policy=3&amp;signature=08b481789c3e38bb55617ed3859b40a6&amp;tk=7571587458748974088</t>
  </si>
  <si>
    <t>https://www.tiktok.com/@felcapensa/video/7530453564590705976</t>
  </si>
  <si>
    <t>felca,felcacamp,tdah,tdahadulto,draanabeatriz,tiktokviral,fyptiktok</t>
  </si>
  <si>
    <t>7270169135575878918</t>
  </si>
  <si>
    <t>https://p16-sign-va.tiktokcdn.com/tos-maliva-avt-0068/32df75d3b89fa1e2fb023193ee39e5b7~tplv-tiktokx-cropcenter:100:100.jpeg?dr=14579&amp;refresh_token=88c740b2&amp;x-expires=1763172000&amp;x-signature=4RhXbb8Bh%2Fu4uFQaixG4Rj8KGJ0%3D&amp;t=4d5b0474&amp;ps=13740610&amp;shp=a5d48078&amp;shcp=81f88b70&amp;idc=my</t>
  </si>
  <si>
    <t>Coisas boas do TDAH. ❤️ #humor #tdah #comedia #tdahadulto #neurodivergente #psicologia</t>
  </si>
  <si>
    <t>Coisas boas de
muitos TDAH s</t>
  </si>
  <si>
    <t>FULL MASHUP ON YOUTUBE _ MINLEEMUSIC</t>
  </si>
  <si>
    <t>https://p77-sign-va.tiktokcdn.com/tos-maliva-avt-0068/0fb17d655c9941cc7d7260156b5d573f~tplv-tiktokx-cropcenter:1080:1080.jpeg?dr=14579&amp;refresh_token=84b9a4e6&amp;x-expires=1764727200&amp;x-signature=urWC5Uf%2FarBgdO0iiyn2zd2Q%2FfQ%3D&amp;t=4d5b0474&amp;ps=13740610&amp;shp=a5d48078&amp;shcp=81f88b70&amp;idc=my</t>
  </si>
  <si>
    <t>7258295087338752770</t>
  </si>
  <si>
    <t>https://v16-webapp-prime.tiktok.com/video/tos/alisg/tos-alisg-v-27dcd7/ooInkuAPfDuqUBUkw3TBaLACDFQd1QAIXgbeJS/?a=1988&amp;bti=ODszNWYuMDE6&amp;ch=0&amp;cr=0&amp;dr=0&amp;er=0&amp;lr=default&amp;cd=0%7C0%7C0%7C0&amp;br=250&amp;bt=125&amp;ds=5&amp;ft=GNDpcInz7ThX9-UPXq8Zmo&amp;mime_type=audio_mpeg&amp;qs=13&amp;rc=Mzs5NTo6ZnVkbDMzODU8NEBpMzs5NTo6ZnVkbDMzODU8NEAyX3BtcjRnNnFgLS1kMS1zYSMyX3BtcjRnNnFgLS1kMS1zcw%3D%3D&amp;btag=e00048000&amp;expire=1763004307&amp;l=20251113102424EE0F9FCD2CC2B68BE0E2&amp;ply_type=3&amp;policy=3&amp;signature=bb733098f6d11c5d07cc84f6703decda&amp;tk=7571587458748974088</t>
  </si>
  <si>
    <t>https://v16-webapp-prime.tiktok.com/video/tos/useast2a/tos-useast2a-pve-0068/oc5C7vR7gfjXQxVIWuAPwQIMSgvS01fCuv89Ae/?a=1988&amp;bti=ODszNWYuMDE6&amp;ch=0&amp;cr=3&amp;dr=0&amp;lr=all&amp;cd=0%7C0%7C0%7C&amp;cv=1&amp;br=2278&amp;bt=1139&amp;cs=0&amp;ds=3&amp;ft=-Csk_mrMPD12NSBh5d-Uxs12aY6e3wv252cAp&amp;mime_type=video_mp4&amp;qs=0&amp;rc=MzY0NjtmOTs7MzhlZjxlNEBpamV1cXE5cnhxNjMzNzczM0AyMGMyNGM2Ni0xMmNfLy1iYSNvc2tmMmQ0X2hhLS1kMTZzcw%3D%3D&amp;btag=e00098000&amp;expire=1764728723&amp;l=2025120110215532A809179141715F3748&amp;ply_type=2&amp;policy=2&amp;signature=bfe43981e7a6bab015ce03bad5299eea&amp;tk=tt_chain_token</t>
  </si>
  <si>
    <t>https://p16-sign-sg.tiktokcdn.com/tos-alisg-avt-0068/03f644960028713d5ef31bc8e00d4382~tplv-tiktokx-cropcenter:1080:1080.jpeg?dr=14579&amp;refresh_token=80c0bdb3&amp;x-expires=1763172000&amp;x-signature=mZ54uJ5Nkva5fo7aX5OhWE%2BC63o%3D&amp;t=4d5b0474&amp;ps=13740610&amp;shp=a5d48078&amp;shcp=81f88b70&amp;idc=my</t>
  </si>
  <si>
    <t>minlee</t>
  </si>
  <si>
    <t>https://v16-webapp-prime.tiktok.com/video/tos/maliva/tos-maliva-ve-0068c801-us/oUoNBhmoygU81zZPAzAtX5zcfQnIkENIGCDdk8/?a=1988&amp;bti=ODszNWYuMDE6&amp;ch=0&amp;cr=3&amp;dr=0&amp;lr=all&amp;cd=0%7C0%7C0%7C&amp;cv=1&amp;br=3480&amp;bt=1740&amp;cs=0&amp;ds=3&amp;ft=-Csk_mrMPD12N-copd-Ux7~2bY6e3wv25bcAp&amp;mime_type=video_mp4&amp;qs=0&amp;rc=ZTk3NmVlMzw6OmUzNDxpNkBpM20zamk6ZmZnbTMzNzczM0AwXjFhMGIwNmMxNF41NjRfYSNyMHFicjRnNGZgLS1kMTZzcw%3D%3D&amp;btag=e00090000&amp;expire=1763173527&amp;l=20251113102424EE0F9FCD2CC2B68BE0E2&amp;ply_type=2&amp;policy=2&amp;signature=b88267ee3f06cea7ee124a138644d4f1&amp;tk=tt_chain_token</t>
  </si>
  <si>
    <t>https://www.tiktok.com/@thiagojatoba_/video/7559709300189334796</t>
  </si>
  <si>
    <t>7434901965995314488</t>
  </si>
  <si>
    <t>eu_autista</t>
  </si>
  <si>
    <t>EuAutista</t>
  </si>
  <si>
    <t>https://p16-sign-va.tiktokcdn.com/tos-maliva-avt-0068/83128de402d81c535812dcbf27bbe6fc~tplv-tiktokx-cropcenter:100:100.jpeg?dr=14579&amp;refresh_token=66c897dd&amp;x-expires=1764727200&amp;x-signature=XaaoH0Wtgxs4PZOKjoPKjBCZRm4%3D&amp;t=4d5b0474&amp;ps=13740610&amp;shp=a5d48078&amp;shcp=81f88b70&amp;idc=my</t>
  </si>
  <si>
    <t>https://www.tiktok.com/@cattarinalia/video/7270169135575878918</t>
  </si>
  <si>
    <t>humor,tdah,comedia,tdahadulto,neurodivergente,psicologia</t>
  </si>
  <si>
    <t>7255084792608247046</t>
  </si>
  <si>
    <t>psi.carolynedestefani</t>
  </si>
  <si>
    <t>Psicóloga Carolyne de Stefani</t>
  </si>
  <si>
    <t>https://p16-sign-va.tiktokcdn.com/tos-maliva-avt-0068/00f6ab8b637b29865ceebe24b10fef4a~tplv-tiktokx-cropcenter:100:100.jpeg?dr=14579&amp;refresh_token=43ba8f66&amp;x-expires=1763172000&amp;x-signature=npx%2B4RzGAoTVUF%2BK%2BqStL%2B7wHcc%3D&amp;t=4d5b0474&amp;ps=13740610&amp;shp=a5d48078&amp;shcp=81f88b70&amp;idc=my</t>
  </si>
  <si>
    <t xml:space="preserve">Tea,tdah,tod.@EuAutista </t>
  </si>
  <si>
    <t>TEA
TDAH
TOD</t>
  </si>
  <si>
    <t>7434901995786488631</t>
  </si>
  <si>
    <t>https://v16-webapp-prime.tiktok.com/video/tos/useast2a/tos-useast2a-v-27dcd7/o4LgAAlOXEf5CvBAIBZCCTUCSM4eQeFAog8gQG/?a=1988&amp;bti=ODszNWYuMDE6&amp;ch=0&amp;cr=0&amp;dr=0&amp;er=0&amp;lr=default&amp;cd=0%7C0%7C0%7C0&amp;br=250&amp;bt=125&amp;ds=5&amp;ft=GNDpcInz7ThGgKvPXq8Zmo&amp;mime_type=audio_mpeg&amp;qs=13&amp;rc=anU4NGo5cjM0djMzNzU8M0BpanU4NGo5cjM0djMzNzU8M0BzcGZgMmQ0NWtgLS1kMTZzYSNzcGZgMmQ0NWtgLS1kMTZzcw%3D%3D&amp;btag=e00050000&amp;expire=1764559487&amp;l=202512011023356697B490C7BD5AE9D72E&amp;ply_type=3&amp;policy=3&amp;signature=5677b0c651137aaddc7fdd2f6fd63b2a&amp;tk=7571587458748974088</t>
  </si>
  <si>
    <t>Você sabia que existem três tipos de TDAH? Saiba mais neste vídeo. #tdah #tdahadulto #deficitdeatencao #hiperfoco #hiperatividade #foco #saudemental #terapia #terapiaonline #terapiacognitivocomportamental #psicologia #psicologa</t>
  </si>
  <si>
    <t>TIPOS DE TDAH</t>
  </si>
  <si>
    <t>Pieces (Solo Piano Version)</t>
  </si>
  <si>
    <t>6777274113254754306</t>
  </si>
  <si>
    <t>https://sf16-ies-music-sg.tiktokcdn.com/obj/tos-alisg-ve-2774/36c45fbf26c943c0ab9627251afd960b</t>
  </si>
  <si>
    <t>https://p77-sg.tiktokcdn.com/aweme/720x720/tos-alisg-v-2774/47ccb712fc744e03b97c5b232ff279cc.jpeg</t>
  </si>
  <si>
    <t>Danilo Stankovic</t>
  </si>
  <si>
    <t>https://v16-webapp-prime.tiktok.com/video/tos/maliva/tos-maliva-ve-0068c801-us/oQLVDGHrQx3RAQ7WkYoiiS8tEeBvJzbPBJgAne/?a=1988&amp;bti=ODszNWYuMDE6&amp;ch=0&amp;cr=3&amp;dr=0&amp;lr=all&amp;cd=0%7C0%7C0%7C&amp;cv=1&amp;br=1536&amp;bt=768&amp;cs=0&amp;ds=3&amp;ft=-Csk_mrMPD12NOYopd-Uxtv5GY6e3wv252cAp&amp;mime_type=video_mp4&amp;qs=0&amp;rc=aWk5M2Y2Njs2aDtkOzplOkBpMzd1dGc6ZmxtbDMzNzczM0BfYzM1NWEyNWIxLzMxXjNiYSNkcjJscjRvbGtgLS1kMTZzcw%3D%3D&amp;btag=e00090000&amp;expire=1763173519&amp;l=20251113102306B19E1F5BC676BF8CC05E&amp;ply_type=2&amp;policy=2&amp;signature=48fb7b143c091c6c544ac060bba8471c&amp;tk=tt_chain_token</t>
  </si>
  <si>
    <t>https://p77-sign-va.tiktokcdn.com/tos-maliva-avt-0068/83128de402d81c535812dcbf27bbe6fc~tplv-tiktokx-cropcenter:1080:1080.jpeg?dr=14579&amp;refresh_token=80fcd9c2&amp;x-expires=1764727200&amp;x-signature=OQb%2FCj5j2LIVd68Ck9zt1gDiEew%3D&amp;t=4d5b0474&amp;ps=13740610&amp;shp=a5d48078&amp;shcp=81f88b70&amp;idc=my</t>
  </si>
  <si>
    <t>https://v16-webapp-prime.tiktok.com/video/tos/useast2a/tos-useast2a-pve-0068/oMOujCh2OISCIXCfFCXL5ccIEBGQfYAvRgevAF/?a=1988&amp;bti=ODszNWYuMDE6&amp;ch=0&amp;cr=3&amp;dr=0&amp;lr=all&amp;cd=0%7C0%7C0%7C&amp;cv=1&amp;br=544&amp;bt=272&amp;cs=0&amp;ds=6&amp;ft=-Csk_mrMPD12NnZh5d-UxHv2hY6e3wv25DcAp&amp;mime_type=video_mp4&amp;qs=5&amp;rc=NDNmPDY1ZmY5aTw6OmlpN0Bpamg5a3k5cjU0djMzNzczM0A0Li4xLS9iNTQxNWBfYy9iYSNkcjVzMmQ0NGtgLS1kMTZzcw%3D%3D&amp;btag=e00090000&amp;expire=1764728687&amp;l=202512011023356697B490C7BD5AE9D72E&amp;ply_type=2&amp;policy=2&amp;signature=bd92f1e3842720e7700a9cd0b42c433d&amp;tk=tt_chain_token</t>
  </si>
  <si>
    <t>https://www.tiktok.com/@psi.carolynedestefani/video/7255084792608247046</t>
  </si>
  <si>
    <t>tdah,tdahadulto,deficitdeatencao,hiperfoco,hiperatividade,foco,saudemental,terapia,terapiaonline,terapiacognitivocomportamental,psicologia,psicologa</t>
  </si>
  <si>
    <t>POSH</t>
  </si>
  <si>
    <t>7530778160170814725</t>
  </si>
  <si>
    <t>liberdade.mentall</t>
  </si>
  <si>
    <t>Liberdade Mental 🧠💫</t>
  </si>
  <si>
    <t>https://p77-sign-va.tiktokcdn.com/tos-maliva-avt-0068/4949bb024f91e1b4bc8f1b459a9fc215~tplv-tiktokx-cropcenter:100:100.jpeg?dr=14579&amp;refresh_token=15498380&amp;x-expires=1763172000&amp;x-signature=WJSwMjt%2B9R1nuT2bhLsz2xZQs1g%3D&amp;t=4d5b0474&amp;ps=13740610&amp;shp=a5d48078&amp;shcp=81f88b70&amp;idc=my</t>
  </si>
  <si>
    <t>https://www.tiktok.com/@eu_autista/video/7434901965995314488</t>
  </si>
  <si>
    <t xml:space="preserve">Você sabe o que é TDAH? Deixa eu te explicar o que é TDAH de verdade... TDAH não é só desatenção. Não é só esquecer onde colocou a chave ou ter dificuldade pra estudar. TDAH é um caos interno constante. É tua cabeça funcionando o tempo todo, como se tivesse 20 abas abertas e todas gritando ao mesmo tempo. É você querer muito fazer algo, mas travar. Saber o que precisa ser feito… mas ficar olhando pro nada, com a mente te sabotando. É ter energia demais pra coisas inúteis e nenhuma praquilo que realmente importa. É viver com culpa, frustração e promessas quebradas — todo santo dia. TDAH é começar mil coisas e não terminar nenhuma. É explodir do nada e se arrepender depois. É procrastinar até o último segundo, e depois entrar em desespero. É se sentir burro, preguiçoso, desorganizado… quando na real, o problema tá no funcionamento do teu cérebro, não na tua vontade. E o pior? É que ninguém vê isso de fora. Pra todo mundo, você é só “distraído”, “esquecido”, “imaturo”. Mas por dentro… você tá desmoronando, lutando com uma mente que não para, que te sabota o tempo inteiro. É isso que é o TDAH. Um transtorno real, que se não for tratado, destrói tua vida por dentro... em silêncio. Mas a boa notícia? Dá pra virar esse jogo. Só não dá pra fingir que isso é “frescura” ou “falta de foco”. Porque é muito mais profundo do que parece.  #tdah #oqueetdah #sintomastdah #tdahadulto </t>
  </si>
  <si>
    <t>7530778205491579654</t>
  </si>
  <si>
    <t>https://v16-webapp-prime.tiktok.com/video/tos/useast2a/tos-useast2a-v-27dcd7/oMYZdAHMR0C6lNkFCdLIgXGBoBETeQexgTe3SW/?a=1988&amp;bti=ODszNWYuMDE6&amp;ch=0&amp;cr=0&amp;dr=0&amp;er=0&amp;lr=default&amp;cd=0%7C0%7C0%7C0&amp;br=250&amp;bt=125&amp;ft=GNDpcInz7Th4K-UPXq8Zmo&amp;mime_type=audio_mpeg&amp;qs=6&amp;rc=Z2U0ZzY3ZjU5Nzw2Mzo6O0Bpam03Z3E5cnJlNTMzNzU8M0AvYjMxMGM2Ni4xNTU2LS8vYSM2b2VeMmQ0Mi5hLS1kMTZzcw%3D%3D&amp;btag=e00090000&amp;expire=1763004258&amp;l=2025111310220790E74D25ACF9796D8D06&amp;ply_type=3&amp;policy=3&amp;signature=e9de863086a23b863c3bdf67051d26fc&amp;tk=7571587458748974088</t>
  </si>
  <si>
    <t>@EuAutista</t>
  </si>
  <si>
    <t>7571982346174401799</t>
  </si>
  <si>
    <t>#tdah</t>
  </si>
  <si>
    <t>7571982527092902663</t>
  </si>
  <si>
    <t>https://v16-webapp-prime.tiktok.com/video/tos/alisg/tos-alisg-v-27dcd7/oQPAoiWElAAViXAnRVCgAaYF8wAREAAUkBoU4/?a=1988&amp;bti=ODszNWYuMDE6&amp;ch=0&amp;cr=0&amp;dr=0&amp;er=0&amp;lr=default&amp;cd=0%7C0%7C0%7C0&amp;br=250&amp;bt=125&amp;ds=5&amp;ft=GNDpcInz7ThezKvPXq8Zmo&amp;mime_type=audio_mpeg&amp;qs=13&amp;rc=am81eWo5cjNrNzMzODU8NEBpam81eWo5cjNrNzMzODU8NEA1NTJnMmQ0YF5hLS1kMS1zYSM1NTJnMmQ0YF5hLS1kMS1zcw%3D%3D&amp;btag=e00050000&amp;expire=1764559379&amp;l=202512011021342A4EB9620CED315EA2E7&amp;ply_type=3&amp;policy=3&amp;signature=a90d4cef5e8e97369ad4896e87d96d4b&amp;tk=7571587458748974088</t>
  </si>
  <si>
    <t>https://p77-sign-va.tiktokcdn.com/tos-maliva-avt-0068/4949bb024f91e1b4bc8f1b459a9fc215~tplv-tiktokx-cropcenter:1080:1080.jpeg?dr=14579&amp;refresh_token=62e7cd27&amp;x-expires=1763172000&amp;x-signature=wulijpfzsi9v0AaPlpI3xwkZneM%3D&amp;t=4d5b0474&amp;ps=13740610&amp;shp=a5d48078&amp;shcp=81f88b70&amp;idc=my</t>
  </si>
  <si>
    <t>https://v16-webapp-prime.tiktok.com/video/tos/alisg/tos-alisg-pve-0037c001/oE0FUIXEDoJRRBFLgEfgAqQu4FEgMpBEvzeRCV/?a=1988&amp;bti=ODszNWYuMDE6&amp;ch=0&amp;cr=3&amp;dr=0&amp;lr=all&amp;cd=0%7C0%7C0%7C&amp;cv=1&amp;br=2470&amp;bt=1235&amp;cs=0&amp;ds=3&amp;ft=-Csk_mrMPD12N6Dh5d-Uxq42hY6e3wv25IcAp&amp;mime_type=video_mp4&amp;qs=0&amp;rc=aDpmNjs4NTs3NTk3N2U4O0BpMzhrN3M5cm9rNzMzODczNEA0MV5hMTZeNl8xYzEtXzA0YSNzbC9lMmRzNV5hLS1kMTFzcw%3D%3D&amp;btag=e00090000&amp;expire=1764728579&amp;l=202512011021342A4EB9620CED315EA2E7&amp;ply_type=2&amp;policy=2&amp;signature=8daf5167cb10a31d02e70329f8381dc4&amp;tk=tt_chain_token</t>
  </si>
  <si>
    <t>https://v16-webapp-prime.tiktok.com/video/tos/useast2a/tos-useast2a-ve-0068c003/oE9C5WiQsIBAz1QAjOuof8iN0CE4IiCgkGuVsA/?a=1988&amp;bti=ODszNWYuMDE6&amp;ch=0&amp;cr=3&amp;dr=0&amp;lr=all&amp;cd=0%7C0%7C0%7C&amp;cv=1&amp;br=844&amp;bt=422&amp;cs=0&amp;ds=3&amp;ft=-Csk_mrMPD12Nyhopd-UxFN2aY6e3wv25ycAp&amp;mime_type=video_mp4&amp;qs=0&amp;rc=N2RoZDVpNjg2NDM1Ojw3aUBpM2ZleW85cnNlNTMzNzczM0AzYjEwNV8zNWAxYzMuMjVeYSM0Zy0zMmRzMC5hLS1kMTZzcw%3D%3D&amp;btag=e00090000&amp;expire=1763173458&amp;l=2025111310220790E74D25ACF9796D8D06&amp;ply_type=2&amp;policy=2&amp;signature=c6632f40c19dc590cf8af4c1e95f1f03&amp;tk=tt_chain_token</t>
  </si>
  <si>
    <t>https://www.tiktok.com/@ismaeldeoliveira.neuro/video/7571982346174401799</t>
  </si>
  <si>
    <t>https://www.tiktok.com/@liberdade.mentall/video/7530778160170814725</t>
  </si>
  <si>
    <t>tdah,oqueetdah,sintomastdah,tdahadulto</t>
  </si>
  <si>
    <t>7573246381477874952</t>
  </si>
  <si>
    <t>7344407056033565957</t>
  </si>
  <si>
    <t>distrair.sim</t>
  </si>
  <si>
    <t>https://p77-sign-va.tiktokcdn.com/tos-maliva-avt-0068/0ba3a01936084552f91d998ee7010370~tplv-tiktokx-cropcenter:100:100.jpeg?dr=14579&amp;refresh_token=0f241cd9&amp;x-expires=1763172000&amp;x-signature=sdOigRzItGqs%2Fo3m%2BFb1O4cfhqc%3D&amp;t=4d5b0474&amp;ps=13740610&amp;shp=a5d48078&amp;shcp=81f88b70&amp;idc=my</t>
  </si>
  <si>
    <t>Epic Music(863502)</t>
  </si>
  <si>
    <t>6873501791145691137</t>
  </si>
  <si>
    <t>https://sf16-ies-music-sg.tiktokcdn.com/obj/tos-alisg-ve-2774/826033f166d448029eefc3940921daaf</t>
  </si>
  <si>
    <t>https://p77-sg.tiktokcdn.com/aweme/720x720/tos-alisg-v-2774/568a79982fd64d27bf506255ecb58f1e.jpeg</t>
  </si>
  <si>
    <t>#tdah #psicologia #saude #mente #verdade #fyp</t>
  </si>
  <si>
    <t>como as pessoas com
TDAH são naturalmente  perda de foco esquecimento  distração  fala rápida  pensamento
com muita informação  empolgação  interrupção da
conversa</t>
  </si>
  <si>
    <t>Comico</t>
  </si>
  <si>
    <t>7271015755893721090</t>
  </si>
  <si>
    <t>https://sf16-ies-music-sg.tiktokcdn.com/obj/tos-alisg-ve-2774/o0nnfQn5YBE5rQDcvbZ1ttQBaZ1A9gwrdSCqek</t>
  </si>
  <si>
    <t>Draganov89</t>
  </si>
  <si>
    <t>https://v16-webapp-prime.tiktok.com/video/tos/alisg/tos-alisg-pve-0037c001/osfRIEMUL4U8YNmZaOBVEvkkgQF7BpAZGfDUME/?a=1988&amp;bti=ODszNWYuMDE6&amp;ch=0&amp;cr=3&amp;dr=0&amp;lr=all&amp;cd=0%7C0%7C0%7C&amp;cv=1&amp;br=2240&amp;bt=1120&amp;cs=0&amp;ds=3&amp;ft=-Csk_mrMPD12N3Dh5d-UxIS5hY6e3wv25ocAp&amp;mime_type=video_mp4&amp;qs=0&amp;rc=Mzs7Mzg7NDdlaTNkOjYzM0BpanQ8N3Y5cjhzNzMzODczNEAtMi5hMl5fXl8xMV8uMGEwYSMycm4yMmQ0M2BhLS1kMTFzcw%3D%3D&amp;btag=e00090000&amp;expire=1764728604&amp;l=20251201102147CB7160225F86D969BC26&amp;ply_type=2&amp;policy=2&amp;signature=d9196cbb200507c061983831bc2c5312&amp;tk=tt_chain_token</t>
  </si>
  <si>
    <t>https://p16-sg.tiktokcdn.com/aweme/720x720/tos-alisg-v-2774/o8EtFZBkR5n1Z8SGBkDnngAtQmBbCxeAfEAbD9.jpeg</t>
  </si>
  <si>
    <t>L Lexs Instrumental</t>
  </si>
  <si>
    <t>https://www.tiktok.com/@distrair.sim/video/7344407056033565957</t>
  </si>
  <si>
    <t>tdah,psicologia,saude,mente,verdade,fyp</t>
  </si>
  <si>
    <t>7329878442994846982</t>
  </si>
  <si>
    <t>https://p77-sign-va.tiktokcdn.com/tos-maliva-avt-0068/431bee7578e519987635a70e5b8f7fb3~tplv-tiktokx-cropcenter:100:100.jpeg?dr=14579&amp;refresh_token=e3f271e8&amp;x-expires=1763172000&amp;x-signature=w7vjthC%2FHV5BMUgxQR1CdU54vQE%3D&amp;t=4d5b0474&amp;ps=13740610&amp;shp=a5d48078&amp;shcp=81f88b70&amp;idc=my</t>
  </si>
  <si>
    <t>https://www.tiktok.com/@ismaeldeoliveira.neuro/video/7573246381477874952</t>
  </si>
  <si>
    <t>7288700501900659974</t>
  </si>
  <si>
    <t>mundopsi13</t>
  </si>
  <si>
    <t>Mundo Psi</t>
  </si>
  <si>
    <t>https://p16-sign-va.tiktokcdn.com/tos-maliva-avt-0068/8ca82cc9ed150d573b3fc912a90379f5~tplv-tiktokx-cropcenter:100:100.jpeg?dr=14579&amp;refresh_token=0a7e5af5&amp;x-expires=1764727200&amp;x-signature=g354jgEFhHctmdNhejG7YDkkQQQ%3D&amp;t=4d5b0474&amp;ps=13740610&amp;shp=a5d48078&amp;shcp=81f88b70&amp;idc=my</t>
  </si>
  <si>
    <t>Você tbm é assim?😂 #tdah #tdahadulto #tdahinfantil #tda #tdahtiktok #tdahmemes #fy #fyp #vaiprofycaramba</t>
  </si>
  <si>
    <t>"Eu tenho TDAH"
Eu tenho TDAH, 
então é claro que…
🧠🧠🧠🧠🧠🧠🧠🧠🧠</t>
  </si>
  <si>
    <t>7329878466751138566</t>
  </si>
  <si>
    <t>https://v16-webapp-prime.tiktok.com/video/tos/useast2a/tos-useast2a-v-27dcd7/oQEDluAoldkPUBfgNSWBwPACECJa4nAEUQfFJ9/?a=1988&amp;bti=ODszNWYuMDE6&amp;ch=0&amp;cr=0&amp;dr=0&amp;er=0&amp;lr=default&amp;cd=0%7C0%7C0%7C0&amp;br=250&amp;bt=125&amp;ds=5&amp;ft=GNDpcInz7ThzK-UPXq8Zmo&amp;mime_type=audio_mpeg&amp;qs=13&amp;rc=am10NW45cjxpcDMzNzU8M0Bpam10NW45cjxpcDMzNzU8M0BzY2U1MmQ0X3BgLS1kMTZzYSNzY2U1MmQ0X3BgLS1kMTZzcw%3D%3D&amp;btag=e00050000&amp;expire=1763004232&amp;l=20251113102236D675DBC36011DA84E058&amp;ply_type=3&amp;policy=3&amp;signature=aafcaeb0902fedad609c243a59cb9ee0&amp;tk=7571587458748974088</t>
  </si>
  <si>
    <t xml:space="preserve">O desenvolvimento do cérebro de uma pessoa com TDAH, deixe sua opinião nos comentários e me sigam para mais conteúdos. #psicologia </t>
  </si>
  <si>
    <t>7288700553773452038</t>
  </si>
  <si>
    <t>https://v16-webapp-prime.tiktok.com/video/tos/useast2a/tos-useast2a-v-27dcd7/o0BAAlqBhfqDUteJX1EAXqCJGqQbhKGmAAJEon/?a=1988&amp;bti=ODszNWYuMDE6&amp;ch=0&amp;cr=0&amp;dr=0&amp;er=0&amp;lr=default&amp;cd=0%7C0%7C0%7C0&amp;br=250&amp;bt=125&amp;ds=5&amp;ft=GNDpcInz7Th6zKvPXq8Zmo&amp;mime_type=audio_mpeg&amp;qs=13&amp;rc=am9nOzY6ZjVkbjMzNzU8M0Bpam9nOzY6ZjVkbjMzNzU8M0Bkcy01cjRnaWdgLS1kMTZzYSNkcy01cjRnaWdgLS1kMTZzcw%3D%3D&amp;btag=e00058000&amp;expire=1764559594&amp;l=202512011021446E702D323C03BE6BD085&amp;ply_type=3&amp;policy=3&amp;signature=7e2109b6605e55da2a5332479afc635f&amp;tk=7571587458748974088</t>
  </si>
  <si>
    <t>https://v16-webapp-prime.tiktok.com/video/tos/useast2a/tos-useast2a-ve-0068c002/osrFjrG4Li3X41jr1Gf4AEvR71xgRkAeAWeHfI/?a=1988&amp;bti=ODszNWYuMDE6&amp;ch=0&amp;cr=3&amp;dr=0&amp;lr=all&amp;cd=0%7C0%7C0%7C&amp;cv=1&amp;br=1858&amp;bt=929&amp;cs=0&amp;ds=3&amp;ft=-Csk_mrMPD12NDhopd-Ux2.2GY6e3wv25rcAp&amp;mime_type=video_mp4&amp;qs=0&amp;rc=Omc6aDg5ODw2PGVmNzU1OEBpM3drZnc5cnRpcDMzNzczM0BfLTRfYGMvXjMxMmJhLmJiYSNza2NjMmRzNXBgLS1kMTZzcw%3D%3D&amp;btag=e00090000&amp;expire=1763173432&amp;l=20251113102236D675DBC36011DA84E058&amp;ply_type=2&amp;policy=2&amp;signature=0c76c6e4984d8fe0b632111f42a64dea&amp;tk=tt_chain_token</t>
  </si>
  <si>
    <t>https://p77-sign-va.tiktokcdn.com/tos-maliva-avt-0068/8ca82cc9ed150d573b3fc912a90379f5~tplv-tiktokx-cropcenter:1080:1080.jpeg?dr=14579&amp;refresh_token=06eb3934&amp;x-expires=1764727200&amp;x-signature=J8CTfrFvo6hbJtXjmhg4zxXusRE%3D&amp;t=4d5b0474&amp;ps=13740610&amp;shp=a5d48078&amp;shcp=81f88b70&amp;idc=my</t>
  </si>
  <si>
    <t>https://www.tiktok.com/@mr.tdahzinho/video/7329878442994846982</t>
  </si>
  <si>
    <t>https://v16-webapp-prime.tiktok.com/video/tos/alisg/tos-alisg-ve-37c813-sg/okANRqiolQJ3EPBfXBJ8JJkDIFngyYADJQbfFz/?a=1988&amp;bti=ODszNWYuMDE6&amp;ch=0&amp;cr=3&amp;dr=0&amp;lr=all&amp;cd=0%7C0%7C0%7C&amp;br=1562&amp;bt=781&amp;cs=0&amp;ds=3&amp;ft=-Csk_mrMPD12NVDh5d-UxIS5hY6e3wv25ocAp&amp;mime_type=video_mp4&amp;qs=0&amp;rc=Nzc2aWQ3NWhlMzRmODdnZkBpajNkcGk6ZjVkbjMzNzczM0BiMmExNi8uNTMxLzZgNWIvYSM1MGBwcjRfZmdgLS1kMTZzcw%3D%3D&amp;btag=e00098000&amp;expire=1764728794&amp;l=202512011021446E702D323C03BE6BD085&amp;ply_type=2&amp;policy=2&amp;signature=24760f45cb7984e78ffba1ff973b1bd1&amp;tk=tt_chain_token</t>
  </si>
  <si>
    <t>tdah,tdahadulto,tdahinfantil,tda,tdahtiktok,tdahmemes,fy,fyp,vaiprofycaramba</t>
  </si>
  <si>
    <t>7238987840082791686</t>
  </si>
  <si>
    <t>🧠O Transtorno do Déficit de Atenção e Hiperatividade (TDAH) pode ter impactos significativos no ambiente de trabalho.  ↘️Confira alguns: 😵‍💫Dificuldade de concentração: A capacidade de manter o foco em uma tarefa específica pode ser comprometida, levando a uma menor produtividade e à dificuldade em concluir tarefas. 🫤Problemas de organização: Pessoas com TDAH podem ter dificuldade em organizar seu trabalho, estabelecer prioridades e cumprir prazos. Isso pode levar a atrasos e falta de eficiência. 😳Impulsividade: A impulsividade associada ao TDAH pode levar a tomar decisões precipitadas ou agir sem considerar as consequências, o que pode afetar negativamente a qualidade do trabalho. 🫨Hiperatividade: A energia excessiva e a necessidade de se mover constantemente podem interferir na capacidade de se sentar e se concentrar por longos períodos, o que pode afetar o desempenho em trabalhos que exigem sedentarismo. 🫢Dificuldades de comunicação: A inquietação e a tendência a interromper podem dificultar a participação efetiva em reuniões ou colaboração com colegas de trabalho. 🚨É importante reconhecer esses impactos e buscar estratégias e apoio adequados para lidar com os desafios do TDAH no trabalho.  📍Isso pode incluir ajustes razoáveis no ambiente de trabalho, técnicas de gerenciamento de tempo, terapia comportamental e, em alguns casos, medicamentos prescritos por profissionais de saúde especializados. Ib: djcause ⚠️SIGA @psicologo.mateus PARA MAIS CONTEÚDOS! #saudemental #tdah #tdahadulto #tdahinfantil #tdahdescomplicado #tdahadultos #tdahcomamor</t>
  </si>
  <si>
    <t>7238987869632252677</t>
  </si>
  <si>
    <t>https://v16-webapp-prime.tiktok.com/video/tos/useast2a/tos-useast2a-v-27dcd7/5a25064863174c2a8c69404135700d23/?a=1988&amp;bti=ODszNWYuMDE6&amp;ch=0&amp;cr=0&amp;dr=0&amp;er=0&amp;lr=default&amp;cd=0%7C0%7C0%7C0&amp;br=250&amp;bt=125&amp;ds=5&amp;ft=GNDpcInz7ThzK-UPXq8Zmo&amp;mime_type=audio_mpeg&amp;qs=13&amp;rc=ajd0ajM6ZjszazMzNzU8M0Bpajd0ajM6ZjszazMzNzU8M0A1MnBscjQwbm9gLS1kMTZzYSM1MnBscjQwbm9gLS1kMTZzcw%3D%3D&amp;btag=e00048000&amp;expire=1763004185&amp;l=20251113102236D675DBC36011DA84E058&amp;ply_type=3&amp;policy=3&amp;signature=330ab73d34f416bebbe64b0dd46a135a&amp;tk=7571587458748974088</t>
  </si>
  <si>
    <t>https://www.tiktok.com/@mundopsi13/video/7288700501900659974</t>
  </si>
  <si>
    <t>psicologia</t>
  </si>
  <si>
    <t>https://v16-webapp-prime.tiktok.com/video/tos/maliva/tos-maliva-ve-0068c801-us/o8Ctwfa2A5vIbzCqEDDgFv76JchCOy8koQA2Ia/?a=1988&amp;bti=ODszNWYuMDE6&amp;ch=0&amp;cr=3&amp;dr=0&amp;lr=all&amp;cd=0%7C0%7C0%7C&amp;cv=1&amp;br=1600&amp;bt=800&amp;cs=0&amp;ds=3&amp;ft=-Csk_mrMPD12NDhopd-Ux2.2GY6e3wv25rcAp&amp;mime_type=video_mp4&amp;qs=0&amp;rc=M2Q6ZjhkZWdlO2VpZjM6M0BpamRkcDU6ZjUzazMzNzczM0A0YTJgYTA2NmExLzZjYi4vYSMuc2trcjRvbm9gLS1kMTZzcw%3D%3D&amp;btag=e00088000&amp;expire=1763173385&amp;l=20251113102236D675DBC36011DA84E058&amp;ply_type=2&amp;policy=2&amp;signature=297be81b335963edea48bd0b2576c925&amp;tk=tt_chain_token</t>
  </si>
  <si>
    <t>https://p16-sign-va.tiktokcdn.com/tos-maliva-avt-0068/537c2e54e34424e435f89ef9f03582d2~tplv-tiktokx-cropcenter:100:100.jpeg?dr=14579&amp;refresh_token=c6e5e817&amp;x-expires=1764727200&amp;x-signature=YchBPKj1yfdclj%2F4S%2B9aeBY%2BktA%3D&amp;t=4d5b0474&amp;ps=13740610&amp;shp=a5d48078&amp;shcp=81f88b70&amp;idc=my</t>
  </si>
  <si>
    <t>https://www.tiktok.com/@psicologo.mateus/video/7238987840082791686</t>
  </si>
  <si>
    <t>saudemental,tdah,tdahadulto,tdahinfantil,tdahdescomplicado,tdahadultos,tdahcomamor</t>
  </si>
  <si>
    <t>7530401479438486789</t>
  </si>
  <si>
    <t>psi.walace</t>
  </si>
  <si>
    <t>Walace Almeida | Psicólogo</t>
  </si>
  <si>
    <t>https://p16-sign-va.tiktokcdn.com/tos-maliva-avt-0068/1b1ab6d65ae96fbe11db1ee88f115e37~tplv-tiktokx-cropcenter:100:100.jpeg?dr=14579&amp;refresh_token=91dd3316&amp;x-expires=1763172000&amp;x-signature=NvnThC%2FG%2F%2BMG80CoieY3uGK0Q%2Bo%3D&amp;t=4d5b0474&amp;ps=13740610&amp;shp=a5d48078&amp;shcp=81f88b70&amp;idc=my</t>
  </si>
  <si>
    <t>https://p16-sg.tiktokcdn.com/aweme/720x720/tos-alisg-v-2774/ogBpC8CNfFBA8tHAImEDtmfGIA5Ogk6IBQo3AZ.jpeg</t>
  </si>
  <si>
    <t>https://v16-webapp-prime.tiktok.com/video/tos/useast2a/tos-useast2a-ve-0068c002/ogRjBigRImOQ2dI9EC8GdSiDCf8XbCfG1WA4en/?a=1988&amp;bti=ODszNWYuMDE6&amp;ch=0&amp;cr=3&amp;dr=0&amp;lr=all&amp;cd=0%7C0%7C0%7C&amp;cv=1&amp;br=840&amp;bt=420&amp;cs=0&amp;ds=6&amp;ft=-Csk_mrMPD12NxDh5d-UxIS5hY6e3wv25ycAp&amp;mime_type=video_mp4&amp;qs=5&amp;rc=Zjc8Njo0NDk5aDdpNDk1OUBpM3c6M285cm05dzMzNzczM0BhNmJjXjNhXzIxNWEtYGNiYSNyYGZnMmRzcnJgLS1kMTZzcw%3D%3D&amp;btag=e00090000&amp;expire=1764728508&amp;l=202512011020485614ECD0EEDB8C5FDDDB&amp;ply_type=2&amp;policy=2&amp;signature=c215576616dc0a47cd11e3e5ac3cfab2&amp;tk=tt_chain_token</t>
  </si>
  <si>
    <t xml:space="preserve">Com você é assim? A mente de uma pessoa com TDAH é muita acelerada. Vários pensamentos se atravessam e causam essa caos interno. É realmente muito difícil de lidar com o transtorno, até nesses pequenos detalhes… #psicologia #tdah #tdahadulto </t>
  </si>
  <si>
    <t>7530401485831801656</t>
  </si>
  <si>
    <t>https://v16-webapp-prime.tiktok.com/video/tos/useast2a/tos-useast2a-v-27dcd7/oYkoGtXkBU4KKwk0Eg7AgNkOEiEZEAiBACAQfB/?a=1988&amp;bti=ODszNWYuMDE6&amp;ch=0&amp;cr=0&amp;dr=0&amp;er=0&amp;lr=default&amp;cd=0%7C0%7C0%7C0&amp;br=250&amp;bt=125&amp;ds=5&amp;ft=GNDpcInz7Th4K-UPXq8Zmo&amp;mime_type=audio_mpeg&amp;qs=13&amp;rc=amdqNGo5cmxvNTMzNzU8M0BpamdqNGo5cmxvNTMzNzU8M0Bxb2heMmRjbC1hLS1kMTZzYSNxb2heMmRjbC1hLS1kMTZzcw%3D%3D&amp;btag=e00050000&amp;expire=1763004200&amp;l=2025111310220790E74D25ACF9796D8D06&amp;ply_type=3&amp;policy=3&amp;signature=b20a7cc6e858b6586262750d59d4196d&amp;tk=7571587458748974088</t>
  </si>
  <si>
    <t>https://p77-sign-va.tiktokcdn.com/tos-maliva-avt-0068/1b1ab6d65ae96fbe11db1ee88f115e37~tplv-tiktokx-cropcenter:1080:1080.jpeg?dr=14579&amp;refresh_token=d66e5223&amp;x-expires=1763172000&amp;x-signature=R6kR8LEXgLbL9Kvgxfo27gqUrfM%3D&amp;t=4d5b0474&amp;ps=13740610&amp;shp=a5d48078&amp;shcp=81f88b70&amp;idc=my</t>
  </si>
  <si>
    <t>7228393702429969669</t>
  </si>
  <si>
    <t>https://p16-sign-va.tiktokcdn.com/tos-maliva-avt-0068/9c7e33a443eac8b62c597b69b16902e0~tplv-tiktokx-cropcenter:100:100.jpeg?dr=14579&amp;refresh_token=bd39b3f6&amp;x-expires=1764727200&amp;x-signature=PuL%2BDruBfVXtzTd%2B22mjh%2BIuA3s%3D&amp;t=4d5b0474&amp;ps=13740610&amp;shp=a5d48078&amp;shcp=81f88b70&amp;idc=my</t>
  </si>
  <si>
    <t>https://v16-webapp-prime.tiktok.com/video/tos/useast2a/tos-useast2a-ve-0068c003/oMwgDfxbEEzJIMumBgoQFBZCQWRVA3gKUBfN8m/?a=1988&amp;bti=ODszNWYuMDE6&amp;ch=0&amp;cr=3&amp;dr=0&amp;lr=all&amp;cd=0%7C0%7C0%7C&amp;cv=1&amp;br=1560&amp;bt=780&amp;cs=0&amp;ds=3&amp;ft=-Csk_mrMPD12Nyhopd-UxFN2aY6e3wv25ycAp&amp;mime_type=video_mp4&amp;qs=0&amp;rc=O2k8NztpOWZpNjxmPDM5NkBpam1zZXI5cjlvNTMzNzczM0A1X2BjYmBfNmAxXjFgLl5jYSMvLTRkMmRzbC1hLS1kMTZzcw%3D%3D&amp;btag=e00090000&amp;expire=1763173400&amp;l=2025111310220790E74D25ACF9796D8D06&amp;ply_type=2&amp;policy=2&amp;signature=fa381ad89f08d726ac60115949d0f098&amp;tk=tt_chain_token</t>
  </si>
  <si>
    <t>A sensação de um seguidor ao iniciar o tratamento para TDAH #tdah #tdahdescomplicado</t>
  </si>
  <si>
    <t>7228393703647169285</t>
  </si>
  <si>
    <t>https://v16-webapp-prime.tiktok.com/video/tos/useast2a/tos-useast2a-v-27dcd7/241696df412a4c90a46554ddf8e82fc0/?a=1988&amp;bti=ODszNWYuMDE6&amp;ch=0&amp;cr=0&amp;dr=0&amp;er=0&amp;lr=default&amp;cd=0%7C0%7C0%7C0&amp;br=250&amp;bt=125&amp;ds=5&amp;ft=GNDpcInz7ThmpKvPXq8Zmo&amp;mime_type=audio_mpeg&amp;qs=13&amp;rc=anluazw6Zm05azMzNzU8M0Bpanluazw6Zm05azMzNzU8M0BkZl5zcjRvZzVgLS1kMTZzYSNkZl5zcjRvZzVgLS1kMTZzcw%3D%3D&amp;btag=e00078000&amp;expire=1764559555&amp;l=20251201102538FD2B0CCA7A49266A013E&amp;ply_type=3&amp;policy=3&amp;signature=a2cd382bbe4da208900ec3df20d4408c&amp;tk=7571587458748974088</t>
  </si>
  <si>
    <t>https://www.tiktok.com/@psi.walace/video/7530401479438486789</t>
  </si>
  <si>
    <t>psicologia,tdah,tdahadulto</t>
  </si>
  <si>
    <t>7243064239751957766</t>
  </si>
  <si>
    <t xml:space="preserve">Manias tóxicas (aleatórias) do TDAH, que ninguém te conta! 🫢🤯 #tdahcuriosidades #tdahta #tdahcheck </t>
  </si>
  <si>
    <t>MANIAS TÓXICAS ALEATÓRIAS DO TDAH, QUE NINGUÉM TE CONTA!</t>
  </si>
  <si>
    <t>7243064272990554886</t>
  </si>
  <si>
    <t>https://v16-webapp-prime.tiktok.com/video/tos/useast2a/tos-useast2a-v-27dcd7/16794874abc04847b6efe93806f531f1/?a=1988&amp;bti=ODszNWYuMDE6&amp;ch=0&amp;cr=0&amp;dr=0&amp;er=0&amp;lr=default&amp;cd=0%7C0%7C0%7C0&amp;br=250&amp;bt=125&amp;ds=5&amp;ft=GNDpcInz7ThMV-UPXq8Zmo&amp;mime_type=audio_mpeg&amp;qs=13&amp;rc=ajpwcDw6Zjk7bDMzNzU8M0BpajpwcDw6Zjk7bDMzNzU8M0Brai1ncjRnZS9gLS1kMTZzYSNrai1ncjRnZS9gLS1kMTZzcw%3D%3D&amp;btag=e00050000&amp;expire=1763004348&amp;l=2025111310232002E5437D242CEA8409F2&amp;ply_type=3&amp;policy=3&amp;signature=aa80db4083d036665d8f9ce39ca223bb&amp;tk=7571587458748974088</t>
  </si>
  <si>
    <t>https://webapp-va.tiktok.com/fcbec602da18f3292f3057d8390604c1/692f9fb3/kmoat/mps/logo/v3/r/p/v09044g40000ch86jijc77u1bkce8gbg/613ae3029b6441b28d504346f6a857ec/a333cd6af2cbc1ed927c4801092701dc/mp4/main.mp4?a=1988&amp;bti=ODszNWYuMDE6&amp;ch=0&amp;cr=3&amp;dr=0&amp;lr=all&amp;cd=0%7C0%7C0%7C&amp;cv=1&amp;br=0&amp;bt=0&amp;cs=0&amp;ds=3&amp;ft=bLZkJmrMPD12Nfgh5d-UxIX5bY6e3wv25McAp&amp;mime_type=video_mp4&amp;qs=0&amp;rc=cnF8b2hsc2d3SkBwaHIxaDFybndmZjo7OTk2M2c1NDdlNTZkNEBpampobjQ6Zmw5azMzNzczM0BjRl5Nc3FePmJKYSNvYF90aHFmOiNiMl5jMTEyNV8xMzYtYjAzYSNfNWBfcjRnZzVgLS1kMTZzcw%3D%3D&amp;btag=e000b8000&amp;definition=720p&amp;du=17&amp;item_id=7228393702429969669&amp;l=20251201102538FD2B0CCA7A49266A013E&amp;logo_type=tiktok_creator&amp;ply_type=2&amp;policy=eyJ2bSI6MiwiY2siOiJ0dF9jaGFpbl90b2tlbiJ9&amp;sign_params=item_id%2Cuser_text&amp;user_text=tdahdescomplicado</t>
  </si>
  <si>
    <t>https://p16-sign-va.tiktokcdn.com/tos-maliva-avt-0068/924cd2a569ead49e262b2573224c311d~tplv-tiktokx-cropcenter:1080:1080.jpeg?dr=14579&amp;refresh_token=4bce579b&amp;x-expires=1763172000&amp;x-signature=xUvkMpVI7y3piZXn6hlPtNUK%2FBg%3D&amp;t=4d5b0474&amp;ps=13740610&amp;shp=a5d48078&amp;shcp=81f88b70&amp;idc=my</t>
  </si>
  <si>
    <t>https://www.tiktok.com/@tdahdescomplicado/video/7228393702429969669</t>
  </si>
  <si>
    <t>https://v16-webapp-prime.tiktok.com/video/tos/alisg/tos-alisg-pve-0037c001/oIEIOkyAkhj3hUU6zgIUVQfioOQAHotGhPCMxn/?a=1988&amp;bti=ODszNWYuMDE6&amp;ch=0&amp;cr=3&amp;dr=0&amp;lr=all&amp;cd=0%7C0%7C0%7C&amp;cv=1&amp;br=1520&amp;bt=760&amp;cs=0&amp;ds=3&amp;ft=-Csk_mrMPD12N9Yopd-Ux315hY6e3wv25dcAp&amp;mime_type=video_mp4&amp;qs=0&amp;rc=Mzg4ZjY4ZTVoNzVpMzQ4NkBpM293djk6ZmQ7bDMzNzczM0AvYy4xMTAzNjUxYC4yMTJgYSNeNTVvcjRfYi9gLS1kMTZzcw%3D%3D&amp;btag=e00090000&amp;expire=1763173548&amp;l=2025111310232002E5437D242CEA8409F2&amp;ply_type=2&amp;policy=2&amp;signature=72dc9ad122f154084e8908be5e73fae3&amp;tk=tt_chain_token</t>
  </si>
  <si>
    <t>tdah,tdahdescomplicado</t>
  </si>
  <si>
    <t>7244543496407780614</t>
  </si>
  <si>
    <t>drajupsiquiatra</t>
  </si>
  <si>
    <t>Juliana Fonseca</t>
  </si>
  <si>
    <t>https://p77-sign-va.tiktokcdn.com/tos-maliva-avt-0068/18e50a227eb34ef7736cd251f9b31829~tplv-tiktokx-cropcenter:100:100.jpeg?dr=14579&amp;refresh_token=66fee008&amp;x-expires=1764727200&amp;x-signature=yY41pOKRYTUnDQ0sgpwE4sgreN4%3D&amp;t=4d5b0474&amp;ps=13740610&amp;shp=a5d48078&amp;shcp=81f88b70&amp;idc=my</t>
  </si>
  <si>
    <t>https://www.tiktok.com/@lorenatdahta/video/7243064239751957766</t>
  </si>
  <si>
    <t>#tdah #eslendelanogare</t>
  </si>
  <si>
    <t>7244543497634745093</t>
  </si>
  <si>
    <t>https://v16-webapp-prime.tiktok.com/video/tos/useast2a/tos-useast2a-v-27dcd7/7597f5f2ec77499c85f9104d7a9d625d/?a=1988&amp;bti=ODszNWYuMDE6&amp;ch=0&amp;cr=0&amp;dr=0&amp;er=0&amp;lr=default&amp;cd=0%7C0%7C0%7C0&amp;br=250&amp;bt=125&amp;ds=5&amp;ft=GNDpcInz7ThcFKvPXq8Zmo&amp;mime_type=audio_mpeg&amp;qs=13&amp;rc=ajNtb2Q6ZnZ2bDMzNzU8M0BpajNtb2Q6ZnZ2bDMzNzU8M0BsYWIvcjRvZzFgLS1kMTZzYSNsYWIvcjRvZzFgLS1kMTZzcw%3D%3D&amp;btag=e00050000&amp;expire=1764559394&amp;l=2025120110220384643B3986DED954E961&amp;ply_type=3&amp;policy=3&amp;signature=843c98194caa63ab86163d5aa86552a0&amp;tk=7571587458748974088</t>
  </si>
  <si>
    <t>tdahcuriosidades,tdahta,tdahcheck</t>
  </si>
  <si>
    <t>7479776290283851014</t>
  </si>
  <si>
    <t>conexaoesentido</t>
  </si>
  <si>
    <t>Conexão e Sentido - Cortes</t>
  </si>
  <si>
    <t>https://p77-sign-va.tiktokcdn.com/tos-maliva-avt-0068/2812903061ac3d553750149b334f78a1~tplv-tiktokx-cropcenter:100:100.jpeg?dr=14579&amp;refresh_token=36e99b43&amp;x-expires=1763172000&amp;x-signature=nbV4K8oVLqNQgBXscA%2BtKUBvI1k%3D&amp;t=4d5b0474&amp;ps=13740610&amp;shp=a5d48078&amp;shcp=81f88b70&amp;idc=my</t>
  </si>
  <si>
    <t>TDAH é excesso de pensamento e velocidade mental. Isso gera ansiedade e exaustão! @Ana Beatriz Barbosa  #tdah #ansiedade #menteacelerada #foco #saúdemental</t>
  </si>
  <si>
    <t>6952500153416780545</t>
  </si>
  <si>
    <t>https://v16-webapp-prime.tiktok.com/video/tos/alisg/tos-alisg-v-27dcd7/9daa3ecee66e471ab79c9529d474b7a5/?a=1988&amp;bti=ODszNWYuMDE6&amp;ch=0&amp;cr=0&amp;dr=0&amp;er=0&amp;lr=default&amp;cd=0%7C0%7C0%7C0&amp;br=252&amp;bt=126&amp;ds=5&amp;ft=GNDpcInz7ThRK-UPXq8Zmo&amp;mime_type=audio_mp4&amp;qs=13&amp;rc=anhuZ202ODY2NDMzODU8M0BpanhuZ202ODY2NDMzODU8M0BnMHJtMTRycHJgLS1kMTRzYSNnMHJtMTRycHJgLS1kMTRzcw%3D%3D&amp;btag=e00050000&amp;expire=1763004235&amp;l=202511131022245A53A91EDE77CC8B0DB4&amp;ply_type=3&amp;policy=3&amp;signature=215a07875c4b90922e896a849b74e222&amp;tk=7571587458748974088</t>
  </si>
  <si>
    <t>https://p16-sign-va.tiktokcdn.com/tos-maliva-avt-0068/18e50a227eb34ef7736cd251f9b31829~tplv-tiktokx-cropcenter:1080:1080.jpeg?dr=14579&amp;refresh_token=a1b333ae&amp;x-expires=1764727200&amp;x-signature=NDJBoXFxsoNYNVxGL9%2FgMEtn95Y%3D&amp;t=4d5b0474&amp;ps=13740610&amp;shp=a5d48078&amp;shcp=81f88b70&amp;idc=my</t>
  </si>
  <si>
    <t>https://v16-webapp-prime.tiktok.com/video/tos/useast2a/tos-useast2a-ve-0068c004/oEcJEAPUCCCHyYBI2IAgife5s5nKTpwPfdrjSJ/?a=1988&amp;bti=ODszNWYuMDE6&amp;ch=0&amp;cr=3&amp;dr=0&amp;lr=all&amp;cd=0%7C0%7C0%7C&amp;cv=1&amp;br=1488&amp;bt=744&amp;cs=0&amp;ds=3&amp;ft=I~da4oKyD12NvaMWS.IxRYjNWlBF-UjNSkopiX&amp;mime_type=video_mp4&amp;qs=0&amp;rc=Ozk6Mzk5NDw2NWY7M2ZmO0BpajlwcDs6ZnN2bDMzNzczM0A1MDRhMjJeXl4xYTEwLWIzYSMvMnAzcjRfZzFgLS1kMTZzcw%3D%3D&amp;btag=e00090000&amp;expire=1764728594&amp;l=2025120110220384643B3986DED954E961&amp;ply_type=2&amp;policy=2&amp;signature=dbb1ba85cc929c77b9a4ab22677847a2&amp;tk=tt_chain_token</t>
  </si>
  <si>
    <t>https://p16-sign-sg.tiktokcdn.com/tos-alisg-avt-0068/d313dc76b863f4309ac7cf1c4c6c2d84~tplv-tiktokx-cropcenter:1080:1080.jpeg?dr=14579&amp;refresh_token=9ccdc947&amp;x-expires=1763172000&amp;x-signature=hrb0gktgwJSR8x7UaLo5cSTKTnc%3D&amp;t=4d5b0474&amp;ps=13740610&amp;shp=a5d48078&amp;shcp=81f88b70&amp;idc=my</t>
  </si>
  <si>
    <t>UrsulaRoets</t>
  </si>
  <si>
    <t>https://v16-webapp-prime.tiktok.com/video/tos/useast2a/tos-useast2a-pve-0068/ooAnws9gHAt1QREOQIFhzgJDEfD5fQXEBEBTNE/?a=1988&amp;bti=ODszNWYuMDE6&amp;ch=0&amp;cr=3&amp;dr=0&amp;lr=all&amp;cd=0%7C0%7C0%7C&amp;cv=1&amp;br=2030&amp;bt=1015&amp;cs=0&amp;ds=3&amp;ft=-Csk_mrMPD12NXhopd-UxB6vSY6e3wv25rcAp&amp;mime_type=video_mp4&amp;qs=0&amp;rc=Zjw2M2k3OWlmOTZpOmdkOEBpanM0M3Q5cmtxeTMzNzczM0A0YmFeLS5jX14xLWAuNDE2YSNkc2JkMmQ0cjNgLS1kMTZzcw%3D%3D&amp;btag=e00090000&amp;expire=1763173406&amp;l=202511131022245A53A91EDE77CC8B0DB4&amp;ply_type=2&amp;policy=2&amp;signature=97211a9f8ffa04ffc0c379ee05cec763&amp;tk=tt_chain_token</t>
  </si>
  <si>
    <t>https://www.tiktok.com/@drajupsiquiatra/video/7244543496407780614</t>
  </si>
  <si>
    <t>tdah,eslendelanogare</t>
  </si>
  <si>
    <t>7338914146458684677</t>
  </si>
  <si>
    <t>stehprestess</t>
  </si>
  <si>
    <t>Steh prestes</t>
  </si>
  <si>
    <t>https://p77-sign-va.tiktokcdn.com/tos-maliva-avt-0068/59f709c3491b2ea558121494582c7315~tplv-tiktokx-cropcenter:100:100.jpeg?dr=14579&amp;refresh_token=c8d18d23&amp;x-expires=1764727200&amp;x-signature=eqX2Jr6zVOlaiPwKSESzqD2GqHM%3D&amp;t=4d5b0474&amp;ps=13740610&amp;shp=a5d48078&amp;shcp=81f88b70&amp;idc=my</t>
  </si>
  <si>
    <t>https://www.tiktok.com/@conexaoesentido/video/7479776290283851014</t>
  </si>
  <si>
    <t>tdah,ansiedade,menteacelerada,foco,saúdemental</t>
  </si>
  <si>
    <t>7339331212869127430</t>
  </si>
  <si>
    <t>Eu pensei muito antes de postar esse video, mas foram 27 anos achando que eu era um problema, nao consegui controlar o choro veio 🥹  #tdahadulto #vlog</t>
  </si>
  <si>
    <t xml:space="preserve">Minha reação ao tomar a medicação pra tdah pela primeira vez 🥺
Minha reacao tomando 
O venvanse pela primeira vez </t>
  </si>
  <si>
    <t>7338914192126855941</t>
  </si>
  <si>
    <t xml:space="preserve">15 principais sintomas do TDAH em ADULTOS 🧐 . . . . Se você se reconhece nos sintomas e se esses te causam sofrimento ou prejuízos, busque o auxílio de um profissional de saúde mental. Pode ser Psiquiatra, Neuro e em alguns casos, até mesmo Psicólogo. #tdahta #tdahsintomas  #tdahadulto #draanabeatriz11 </t>
  </si>
  <si>
    <t>https://v16-webapp-prime.tiktok.com/video/tos/useast2a/tos-useast2a-v-27dcd7/owyyTLAesGbQoHYqCEIARe88rRqgfWIMAVSCUh/?a=1988&amp;bti=ODszNWYuMDE6&amp;ch=0&amp;cr=0&amp;dr=0&amp;er=0&amp;lr=default&amp;cd=0%7C0%7C0%7C0&amp;br=250&amp;bt=125&amp;ds=5&amp;ft=GNDpcInz7Th6zKvPXq8Zmo&amp;mime_type=audio_mpeg&amp;qs=13&amp;rc=Mzs1bXE5cjhqcTMzNzU8M0BpMzs1bXE5cjhqcTMzNzU8M0BpaWFrMmRjc2BgLS1kMTZzYSNpaWFrMmRjc2BgLS1kMTZzcw%3D%3D&amp;btag=e00050000&amp;expire=1764559444&amp;l=202512011021446E702D323C03BE6BD085&amp;ply_type=3&amp;policy=3&amp;signature=e1063302ae0371b1527987dc36b31206&amp;tk=7571587458748974088</t>
  </si>
  <si>
    <t>7339331235963734790</t>
  </si>
  <si>
    <t>https://v16-webapp-prime.tiktok.com/video/tos/useast2a/tos-useast2a-v-27dcd7/ogA04lefJlEiDJBZBxDaArFoAuI2QC4EWWiAEU/?a=1988&amp;bti=ODszNWYuMDE6&amp;ch=0&amp;cr=0&amp;dr=0&amp;er=0&amp;lr=default&amp;cd=0%7C0%7C0%7C0&amp;br=250&amp;bt=125&amp;ds=5&amp;ft=GNDpcInz7ThPV-UPXq8Zmo&amp;mime_type=audio_mpeg&amp;qs=13&amp;rc=M3Q1cXY5cnM7cTMzNzU8M0BpM3Q1cXY5cnM7cTMzNzU8M0BjLTAyMmRjaWFgLS1kMTZzYSNjLTAyMmRjaWFgLS1kMTZzcw%3D%3D&amp;btag=e00050000&amp;expire=1763004267&amp;l=202511131023026989DBCE704A6574DC2E&amp;ply_type=3&amp;policy=3&amp;signature=a3852c8e0698fbf806bac33b1e923938&amp;tk=7571587458748974088</t>
  </si>
  <si>
    <t>https://p77-sign-va.tiktokcdn.com/tos-maliva-avt-0068/59f709c3491b2ea558121494582c7315~tplv-tiktokx-cropcenter:1080:1080.jpeg?dr=14579&amp;refresh_token=ec32b0c6&amp;x-expires=1764727200&amp;x-signature=XgMJPvcSiFGTVWTgmNbjp2y15TQ%3D&amp;t=4d5b0474&amp;ps=13740610&amp;shp=a5d48078&amp;shcp=81f88b70&amp;idc=my</t>
  </si>
  <si>
    <t>https://p77-sign-va.tiktokcdn.com/tos-maliva-avt-0068/924cd2a569ead49e262b2573224c311d~tplv-tiktokx-cropcenter:1080:1080.jpeg?dr=14579&amp;refresh_token=1b54cdd5&amp;x-expires=1763172000&amp;x-signature=Rj%2BAq%2FfuZzXnlbHFUvOHwXWFhVQ%3D&amp;t=4d5b0474&amp;ps=13740610&amp;shp=a5d48078&amp;shcp=81f88b70&amp;idc=my</t>
  </si>
  <si>
    <t>https://v16-webapp-prime.tiktok.com/video/tos/useast2a/tos-useast2a-pve-0068/ogfnaApABQBEnZQnlFDfJlEx2IKpPiRQoFcErM/?a=1988&amp;bti=ODszNWYuMDE6&amp;ch=0&amp;cr=3&amp;dr=0&amp;lr=all&amp;cd=0%7C0%7C0%7C&amp;cv=1&amp;br=2046&amp;bt=1023&amp;cs=0&amp;ds=3&amp;ft=-Csk_mrMPD12NdYopd-UxMTFGY6e3wv25LcAp&amp;mime_type=video_mp4&amp;qs=0&amp;rc=Ozk5NWY2Ojw2ZWU8ZzhpN0BpM3loc2w5cnQ7cTMzNzczM0AxMi1fYTU1NmExLjItYzM0YSNibWZtMmRjaGFgLS1kMTZzcw%3D%3D&amp;btag=e00090000&amp;expire=1763173466&amp;l=202511131023026989DBCE704A6574DC2E&amp;ply_type=2&amp;policy=2&amp;signature=52f6f5acd86df08ad8879c36e0ec41bc&amp;tk=tt_chain_token</t>
  </si>
  <si>
    <t>https://v16-webapp-prime.tiktok.com/video/tos/alisg/tos-alisg-pve-0037c001/oIR67QY6DIJauO46AHFgJxRmxBfeliBQENQsE2/?a=1988&amp;bti=ODszNWYuMDE6&amp;ch=0&amp;cr=3&amp;dr=0&amp;lr=all&amp;cd=0%7C0%7C0%7C&amp;cv=1&amp;br=1950&amp;bt=975&amp;cs=0&amp;ds=3&amp;ft=-Csk_mrMPD12NVDh5d-UxIS5hY6e3wv25ocAp&amp;mime_type=video_mp4&amp;qs=0&amp;rc=aTg0Nzg2Z2Y0Nmc7OWVmM0BpanJub3Y5cjxqcTMzNzczM0BeMC0vY2EzXzIxYDYvLjMvYSNvNGdiMmRrcWBgLS1kMTZzcw%3D%3D&amp;btag=e00090000&amp;expire=1764728644&amp;l=202512011021446E702D323C03BE6BD085&amp;ply_type=2&amp;policy=2&amp;signature=1ccc5826c23f3226b5964cc098f8a293&amp;tk=tt_chain_token</t>
  </si>
  <si>
    <t>https://www.tiktok.com/@lorenatdahta/video/7339331212869127430</t>
  </si>
  <si>
    <t>https://www.tiktok.com/@stehprestess/video/7338914146458684677</t>
  </si>
  <si>
    <t>tdahta,tdahsintomas,tdahadulto,draanabeatriz11</t>
  </si>
  <si>
    <t>tdahadulto,vlog</t>
  </si>
  <si>
    <t>tdahadulto,VLog</t>
  </si>
  <si>
    <t>7561613140161596683</t>
  </si>
  <si>
    <t>https://p77-sign-va.tiktokcdn.com/tos-maliva-avt-0068/13a628e0ffd8c13e59721b894863e44e~tplv-tiktokx-cropcenter:100:100.jpeg?dr=14579&amp;refresh_token=59861aa0&amp;x-expires=1763172000&amp;x-signature=IlHx%2BjEMDso01n95fxQyI5Claas%3D&amp;t=4d5b0474&amp;ps=13740610&amp;shp=a5d48078&amp;shcp=81f88b70&amp;idc=my</t>
  </si>
  <si>
    <t>7441743466159230263</t>
  </si>
  <si>
    <t>metropolesoficial</t>
  </si>
  <si>
    <t>Metrópoles Oficial</t>
  </si>
  <si>
    <t>https://p16-sign-va.tiktokcdn.com/tos-maliva-avt-0068/9cd5e3d299591426ac369cf36bfc8ebb~tplv-tiktokx-cropcenter:100:100.jpeg?dr=14579&amp;refresh_token=7589de6e&amp;x-expires=1764727200&amp;x-signature=n6we%2BBUztjacsuXAEQXMNCYFO%2Fo%3D&amp;t=4d5b0474&amp;ps=13740610&amp;shp=a5d48078&amp;shcp=81f88b70&amp;idc=my</t>
  </si>
  <si>
    <t>#saudemental #tdah #psicologia #psicologoonline #foryoupage</t>
  </si>
  <si>
    <t>4 REAÇÕES de UM TDAH quando se “SENTE INVADIDO” 1- DAR RESPOSTAS 
“ATRAVESSADAS “ 2- FECHAR A CARA e 
se calar… 3- REVIDAR com excesso de 
ARGUMENTOS  4- EXPL0DIR por um 
DETALHE MÍNIMO </t>
  </si>
  <si>
    <t>7561613163028810508</t>
  </si>
  <si>
    <t>https://v16-webapp-prime.tiktok.com/video/tos/useast2a/tos-useast2a-v-27dcd7/owewJDOaoEJAUABnPB8F8D8EEiDAiECyhQfky0/?a=1988&amp;bti=ODszNWYuMDE6&amp;ch=0&amp;cr=0&amp;dr=0&amp;er=0&amp;lr=default&amp;cd=0%7C0%7C0%7C0&amp;br=250&amp;bt=125&amp;ds=5&amp;ft=GNDpcInz7ThVY-UPXq8Zmo&amp;mime_type=audio_mpeg&amp;qs=13&amp;rc=M3g4cG05cjs2NjMzNzU8M0BpM3g4cG05cjs2NjMzNzU8M0A0ZmZsMmRjcmxhLS1kMTZzYSM0ZmZsMmRjcmxhLS1kMTZzcw%3D%3D&amp;btag=e00050000&amp;expire=1763004472&amp;l=202511131026378F10DAFBB0AF239B249B&amp;ply_type=3&amp;policy=3&amp;signature=a2129df68f2fbfdf087527361c9427d7&amp;tk=7571587458748974088</t>
  </si>
  <si>
    <t>Você tem dúvida de como funciona a rotina de uma pessoa que tem transtorno de déficit de atenção (#TDAH)? O influenciador Jean Langbecker compartilhou um vídeo para tirar todas as suas dúvidas! E você, também é assim ou conhece alguém que tem uma rotina parecida? Conte para a gente nos comentários! #TikTokNotícias 🎥: @⁣eanlangbecker (ig) | @myhoodbr</t>
  </si>
  <si>
    <t>7441743480177543991</t>
  </si>
  <si>
    <t>https://v16-webapp-prime.tiktok.com/video/tos/useast2a/tos-useast2a-v-27dcd7/oUB9GkfEAIDzziAKtPxABlkkioEgYE9oEgBAtP/?a=1988&amp;bti=ODszNWYuMDE6&amp;ch=0&amp;cr=0&amp;dr=0&amp;er=0&amp;lr=default&amp;cd=0%7C0%7C0%7C0&amp;br=250&amp;bt=125&amp;ds=5&amp;ft=GNDpcInz7ThVPKvPXq8Zmo&amp;mime_type=audio_mpeg&amp;qs=13&amp;rc=MzY1eWs5cmw5dzMzNzU8M0BpMzY1eWs5cmw5dzMzNzU8M0BmLTZyMmRzMTBgLS1kMTZzYSNmLTZyMmRzMTBgLS1kMTZzcw%3D%3D&amp;btag=e00050000&amp;expire=1764559301&amp;l=2025120110201396469B6E0854EC6377C0&amp;ply_type=3&amp;policy=3&amp;signature=4f13622307674c65bd563b31e9481ed6&amp;tk=7571587458748974088</t>
  </si>
  <si>
    <t>https://v16-webapp-prime.tiktok.com/video/tos/useast2a/tos-useast2a-ve-0068c004/ooGQDEJvwfoA0UIcrCEtBF8ERBJDHQ3JdIfniC/?a=1988&amp;bti=ODszNWYuMDE6&amp;ch=0&amp;cr=3&amp;dr=0&amp;lr=all&amp;cd=0%7C0%7C0%7C&amp;cv=1&amp;br=2010&amp;bt=1005&amp;cs=0&amp;ds=3&amp;ft=-Csk_mrMPD12NY_opd-Uxz42hY6e3wv25ycAp&amp;mime_type=video_mp4&amp;qs=0&amp;rc=PGVmNDs8aWU1NDM3OmU2OEBpMzVwdHk5cnU2NjMzNzczM0AwXmAtMjMvNWMxXmIwMV5gYSNuMW8wMmRzb2xhLS1kMTZzcw%3D%3D&amp;btag=e00090000&amp;expire=1763173672&amp;l=202511131026378F10DAFBB0AF239B249B&amp;ply_type=2&amp;policy=2&amp;signature=dc8d6c9ea936e9e1dccc2c47a5df48be&amp;tk=tt_chain_token</t>
  </si>
  <si>
    <t>https://p77-sign-va.tiktokcdn.com/tos-maliva-avt-0068/9cd5e3d299591426ac369cf36bfc8ebb~tplv-tiktokx-cropcenter:1080:1080.jpeg?dr=14579&amp;refresh_token=c2bde914&amp;x-expires=1764727200&amp;x-signature=WCnWY5nPY2J2k9HtTGAKibF8rBg%3D&amp;t=4d5b0474&amp;ps=13740610&amp;shp=a5d48078&amp;shcp=81f88b70&amp;idc=my</t>
  </si>
  <si>
    <t>https://v16-webapp-prime.tiktok.com/video/tos/useast2a/tos-useast2a-ve-0068c002/oMJRDfqBEEWJElYJTQnQFBfGIvRmAouuFB8JcR/?a=1988&amp;bti=ODszNWYuMDE6&amp;ch=0&amp;cr=3&amp;dr=0&amp;lr=all&amp;cd=0%7C0%7C0%7C&amp;cv=1&amp;br=1794&amp;bt=897&amp;cs=0&amp;ds=3&amp;ft=I~da4oKyD12Nvl.WS.IxR51NWlBF-UjNSMopiX&amp;mime_type=video_mp4&amp;qs=0&amp;rc=OzM0PGY2PDg4OzUzZjRlM0BpMzxseW85cmo5dzMzNzczM0BjNWExXzYtXzQxXzIzMGAuYSNrcG8xMmRjMTBgLS1kMTZzcw%3D%3D&amp;btag=e00090000&amp;expire=1764728501&amp;l=2025120110201396469B6E0854EC6377C0&amp;ply_type=2&amp;policy=2&amp;signature=268ecbe3c91d6ce0b25ad8b695e8b658&amp;tk=tt_chain_token</t>
  </si>
  <si>
    <t>https://www.tiktok.com/@igorpsicologo/video/7561613140161596683</t>
  </si>
  <si>
    <t>saudemental,tdah,psicologia,psicologoonline,foryoupage</t>
  </si>
  <si>
    <t>https://p77-sign-sg.tiktokcdn.com/tos-alisg-avt-0068/52d41b2050c6a63d5901041181b2726c~tplv-tiktokx-cropcenter:100:100.jpeg?dr=14579&amp;refresh_token=3ea081dd&amp;x-expires=1763172000&amp;x-signature=vWWHfYp6t6PTvgM%2Bq7l6v3rG0wk%3D&amp;t=4d5b0474&amp;ps=13740610&amp;shp=a5d48078&amp;shcp=81f88b70&amp;idc=my</t>
  </si>
  <si>
    <t>https://www.tiktok.com/@metropolesoficial/video/7441743466159230263</t>
  </si>
  <si>
    <t>https://v16-webapp-prime.tiktok.com/video/tos/useast2a/tos-useast2a-v-27dcd7/ocAAkmIIICgOZvqejZLSroCeohY9eoEUGC2TA9/?a=1988&amp;bti=ODszNWYuMDE6&amp;ch=0&amp;cr=0&amp;dr=0&amp;er=0&amp;lr=default&amp;cd=0%7C0%7C0%7C0&amp;br=250&amp;bt=125&amp;ds=5&amp;ft=GNDpcInz7Th29-UPXq8Zmo&amp;mime_type=audio_mpeg&amp;qs=13&amp;rc=M2x3bHk5cjZ1dzMzNzU8M0BpM2x3bHk5cjZ1dzMzNzU8M0BecjReMmQ0M15gLS1kMTZzYSNecjReMmQ0M15gLS1kMTZzcw%3D%3D&amp;btag=e00058000&amp;expire=1763004462&amp;l=20251113102443BFAC5C39F8934C8F8E6A&amp;ply_type=3&amp;policy=3&amp;signature=15af9d5457cfeea996dfb17ccf2608eb&amp;tk=7571587458748974088</t>
  </si>
  <si>
    <t>tdah,tiktoknotícias</t>
  </si>
  <si>
    <t>7511453738578513157</t>
  </si>
  <si>
    <t>jeanalessandrob</t>
  </si>
  <si>
    <t>https://p16-sign-va.tiktokcdn.com/tos-maliva-avt-0068/8bc5cafa0969c1cbad00f88541c52e3c~tplv-tiktokx-cropcenter:100:100.jpeg?dr=14579&amp;refresh_token=bbe3f750&amp;x-expires=1764727200&amp;x-signature=1k1yFcNBSg6VKoWlvU2oeDHu6jc%3D&amp;t=4d5b0474&amp;ps=13740610&amp;shp=a5d48078&amp;shcp=81f88b70&amp;idc=my</t>
  </si>
  <si>
    <t>Você conhece alguem que tem AHSD e foi diagnosticado com TDAH? Deixa aqui nos comentários! 👇👇👇#superdotação #altashabilidades</t>
  </si>
  <si>
    <t>som original - jeanalessandrob</t>
  </si>
  <si>
    <t>7511453779204721464</t>
  </si>
  <si>
    <t>https://v16-webapp-prime.tiktok.com/video/tos/useast2a/tos-useast2a-v-27dcd7/ogZOwebIBbQCfC3gJOgYmCiL0exWXMQkFGeEA8/?a=1988&amp;bti=ODszNWYuMDE6&amp;ch=0&amp;cr=0&amp;dr=0&amp;er=0&amp;lr=default&amp;cd=0%7C0%7C0%7C0&amp;br=250&amp;bt=125&amp;ft=GNDpcInz7ThhFKvPXq8Zmo&amp;mime_type=audio_mpeg&amp;qs=6&amp;rc=ODs6ZjVmNjc4aTs6NWloZEBpajNodHA5cnUzMzMzNzU8M0AwNl8zNjYxNl4xLmBiLTIxYSNrcjE2MmRjanNhLS1kMTZzcw%3D%3D&amp;btag=e00090000&amp;expire=1764559404&amp;l=20251201102153319CD8E1EA373154CB8C&amp;ply_type=3&amp;policy=3&amp;signature=7072c3b911e5e1e65ab16e17704680d4&amp;tk=7571587458748974088</t>
  </si>
  <si>
    <t>https://p16-sign-sg.tiktokcdn.com/tos-alisg-avt-0068/52d41b2050c6a63d5901041181b2726c~tplv-tiktokx-cropcenter:1080:1080.jpeg?dr=14579&amp;refresh_token=24febf33&amp;x-expires=1763172000&amp;x-signature=sbpdOPXMx5DsI7%2BjHdEeJEha2Es%3D&amp;t=4d5b0474&amp;ps=13740610&amp;shp=a5d48078&amp;shcp=81f88b70&amp;idc=my</t>
  </si>
  <si>
    <t>https://v16-webapp-prime.tiktok.com/video/tos/useast2a/tos-useast2a-pve-0068/oUHr5B3QOiCaqB9rCTLIgVGlIqAjQeeRg0eWS2/?a=1988&amp;bti=ODszNWYuMDE6&amp;ch=0&amp;cr=3&amp;dr=0&amp;lr=all&amp;cd=0%7C0%7C0%7C&amp;cv=1&amp;br=2734&amp;bt=1367&amp;cs=0&amp;ds=3&amp;ft=I~da4oKyD12NvOA0i.IxRehNblBF-UjNSMopiX&amp;mime_type=video_mp4&amp;qs=0&amp;rc=Z2k8ODloZTtkaGVkNDM6O0BpMzN3am45cmZ1dzMzNzczM0AzYDA1MzNeNWIxLWBeYWI0YSNeX2NyMmRrMl5gLS1kMTZzcw%3D%3D&amp;btag=e00098000&amp;expire=1763173662&amp;l=20251113102443BFAC5C39F8934C8F8E6A&amp;ply_type=2&amp;policy=2&amp;signature=795a849dc0f4841f65802f4e4faa818b&amp;tk=tt_chain_token</t>
  </si>
  <si>
    <t>https://p16-sign-va.tiktokcdn.com/tos-maliva-avt-0068/8bc5cafa0969c1cbad00f88541c52e3c~tplv-tiktokx-cropcenter:1080:1080.jpeg?dr=14579&amp;refresh_token=65a4956d&amp;x-expires=1764727200&amp;x-signature=J8DQ4WQMnuaQS%2FPsCwuvxwwEXik%3D&amp;t=4d5b0474&amp;ps=13740610&amp;shp=a5d48078&amp;shcp=81f88b70&amp;idc=my</t>
  </si>
  <si>
    <t>https://v16-webapp-prime.tiktok.com/video/tos/useast2a/tos-useast2a-ve-0068c001/oMOotlt0gAThgVODQQFAPCJDBfa4V3gEBCBJeI/?a=1988&amp;bti=ODszNWYuMDE6&amp;ch=0&amp;cr=3&amp;dr=0&amp;lr=all&amp;cd=0%7C0%7C0%7C&amp;cv=1&amp;br=2924&amp;bt=1462&amp;cs=0&amp;ds=3&amp;ft=-Csk_mrMPD12NNBh5d-UxIS5hY6e3wv25ocAp&amp;mime_type=video_mp4&amp;qs=0&amp;rc=PDc1NDY1NTZnNTYzNWU4NUBpM3Y7bWo5cmozMzMzNzgzM0A0LV9iMzIzNjExMzVgYi5jYSMtaV9nMmRjanNhLS1kLzZzcw%3D%3D&amp;btag=e00090000&amp;expire=1764728604&amp;l=20251201102153319CD8E1EA373154CB8C&amp;ply_type=2&amp;policy=2&amp;signature=88142d3f3eedae909ab8a78fcb100480&amp;tk=tt_chain_token</t>
  </si>
  <si>
    <t>7393112094926753029</t>
  </si>
  <si>
    <t>https://p77-sign-sg.tiktokcdn.com/tos-alisg-avt-0068/9832aa685b2cfe94db09e06f702f0a77~tplv-tiktokx-cropcenter:100:100.jpeg?dr=14579&amp;refresh_token=03df4f30&amp;x-expires=1763172000&amp;x-signature=hk%2BHpDNlUZoxLmdHkWMMFknvicA%3D&amp;t=4d5b0474&amp;ps=13740610&amp;shp=a5d48078&amp;shcp=81f88b70&amp;idc=my</t>
  </si>
  <si>
    <t>Voce guarda rancor? #tdah #tdahadulto #tdahtiktok #terapeuta</t>
  </si>
  <si>
    <t>7393112242771806982</t>
  </si>
  <si>
    <t>https://v16-webapp-prime.tiktok.com/video/tos/useast2a/tos-useast2a-v-27dcd7/ooYzmnAJaIkAQAFNOEZLHEGIITGAzeJ3fAeZNe/?a=1988&amp;bti=ODszNWYuMDE6&amp;ch=0&amp;cr=0&amp;dr=0&amp;er=0&amp;lr=default&amp;cd=0%7C0%7C0%7C0&amp;br=250&amp;bt=125&amp;ds=5&amp;ft=GNDpcInz7ThNV-UPXq8Zmo&amp;mime_type=audio_mpeg&amp;qs=13&amp;rc=M2Y6aW05cnVzdDMzNzU8M0BpM2Y6aW05cnVzdDMzNzU8M0Ata21iMmRzbGBgLS1kMTZzYSMta21iMmRzbGBgLS1kMTZzcw%3D%3D&amp;btag=e00050000&amp;expire=1763004310&amp;l=20251113102306B19E1F5BC676BF8CC05E&amp;ply_type=3&amp;policy=3&amp;signature=a0f9acc749de064dd0c293aeebc38f02&amp;tk=7571587458748974088</t>
  </si>
  <si>
    <t>https://www.tiktok.com/@jeanalessandrob/video/7511453738578513157</t>
  </si>
  <si>
    <t>superdotação,altashabilidades</t>
  </si>
  <si>
    <t>7283518571957816582</t>
  </si>
  <si>
    <t>mentespansantes</t>
  </si>
  <si>
    <t>Mentes pensantes</t>
  </si>
  <si>
    <t>https://p16-sign-va.tiktokcdn.com/tos-maliva-avt-0068/73f2b4a7adfba0e0a1105f8d8f9eea8a~tplv-tiktokx-cropcenter:100:100.jpeg?dr=14579&amp;refresh_token=40d0faef&amp;x-expires=1764727200&amp;x-signature=ic8pKClhxDWPnvq04ziMsoLcUGc%3D&amp;t=4d5b0474&amp;ps=13740610&amp;shp=a5d48078&amp;shcp=81f88b70&amp;idc=my</t>
  </si>
  <si>
    <t>https://v16-webapp-prime.tiktok.com/video/tos/useast2a/tos-useast2a-pve-0068/oMyTkIfEBjh3MAnqoiPMAwQoJiwbVzgC8xRIEZ/?a=1988&amp;bti=ODszNWYuMDE6&amp;ch=0&amp;cr=3&amp;dr=0&amp;lr=all&amp;cd=0%7C0%7C0%7C&amp;cv=1&amp;br=2854&amp;bt=1427&amp;cs=0&amp;ds=3&amp;ft=-Csk_mrMPD12NOYopd-Uxtv5GY6e3wv252cAp&amp;mime_type=video_mp4&amp;qs=0&amp;rc=NGc4aTY0ZGg3Mzo7ZTszZ0BpamRmOWs5cnlzdDMzNzczM0A1Xi9iMTI2X2IxY2AxMmAuYSM1Z3BsMmQ0a2BgLS1kMTZzcw%3D%3D&amp;btag=e00090000&amp;expire=1763173510&amp;l=20251113102306B19E1F5BC676BF8CC05E&amp;ply_type=2&amp;policy=2&amp;signature=e096bab0bff33454e5aa34cab9d80b63&amp;tk=tt_chain_token</t>
  </si>
  <si>
    <t>#tdah #depressao</t>
  </si>
  <si>
    <t>https://www.tiktok.com/@claralisle/video/7393112094926753029</t>
  </si>
  <si>
    <t>TDAH PARTE 2</t>
  </si>
  <si>
    <t>7283518714996443910</t>
  </si>
  <si>
    <t>https://v16-webapp-prime.tiktok.com/video/tos/useast2a/tos-useast2a-v-27dcd7/o0RqbAkUJQECrJ7b6BQA1FnlAeA8DBvEBQeGBF/?a=1988&amp;bti=ODszNWYuMDE6&amp;ch=0&amp;cr=0&amp;dr=0&amp;er=0&amp;lr=default&amp;cd=0%7C0%7C0%7C0&amp;br=250&amp;bt=125&amp;ds=5&amp;ft=GNDpcInz7ThvFKvPXq8Zmo&amp;mime_type=audio_mpeg&amp;qs=13&amp;rc=Mzk4bWg6ZmU3bjMzNzU8M0BpMzk4bWg6ZmU3bjMzNzU8M0BsaV5kcjRvMF5gLS1kMTZzYSNsaV5kcjRvMF5gLS1kMTZzcw%3D%3D&amp;btag=e00060000&amp;expire=1764559707&amp;l=2025120110220104295D62D2C47867A675&amp;ply_type=3&amp;policy=3&amp;signature=4fd27a92b7a82bf9c1f4dffc2fa9e2b5&amp;tk=7571587458748974088</t>
  </si>
  <si>
    <t>tdah,tdahadulto,tdahtiktok,terapeuta</t>
  </si>
  <si>
    <t>7390167456788122886</t>
  </si>
  <si>
    <t>A percepção do tempo para um TDAH ⌛️🤯 _____________________________  E pra você, TDAH? Essa questão afeta muito sua vida? 💬_____________________________ Voz de: Eslen Delanogare #tdahta #tdahadulto  #tdahsintomas  #eslendelanogare #tdahtiktok</t>
  </si>
  <si>
    <t>Comptine d'un autre été, l'après-midi</t>
  </si>
  <si>
    <t>6978763222531672065</t>
  </si>
  <si>
    <t>https://sf16-ies-music-sg.tiktokcdn.com/obj/tos-alisg-ve-2774/8f884d9ce34b47c094368ca53341c44e</t>
  </si>
  <si>
    <t>https://p77-sg.tiktokcdn.com/aweme/720x720/tos-alisg-v-2774/7851b9d4cd8c4aa98ae927a8c7b9fe1b.jpeg</t>
  </si>
  <si>
    <t>Yann Tiersen</t>
  </si>
  <si>
    <t>https://v16-webapp-prime.tiktok.com/video/tos/useast2a/tos-useast2a-pve-0068/oclkDUi6wQm87lBAiSwoWWZrIBLQwEHPLIE26/?a=1988&amp;bti=ODszNWYuMDE6&amp;ch=0&amp;cr=3&amp;dr=0&amp;lr=all&amp;cd=0%7C0%7C0%7C&amp;br=1360&amp;bt=680&amp;cs=0&amp;ds=3&amp;ft=-Csk_mrMPD12Nyhopd-UxFN2aY6e3wv25ycAp&amp;mime_type=video_mp4&amp;qs=0&amp;rc=PDYzODRmNzc8OjU4NTVpaUBpM2p5NXU5cmVsdDMzNzczM0AtMC4wLmE1NjIxMTIxLTAvYSNmYS1xMmQ0XzRgLS1kMTZzcw%3D%3D&amp;btag=e00088000&amp;expire=1763173369&amp;l=2025111310220790E74D25ACF9796D8D06&amp;ply_type=2&amp;policy=2&amp;signature=95fa124de5be171eb278a1725007064a&amp;tk=tt_chain_token</t>
  </si>
  <si>
    <t>https://p16-sign-va.tiktokcdn.com/tos-maliva-avt-0068/73f2b4a7adfba0e0a1105f8d8f9eea8a~tplv-tiktokx-cropcenter:1080:1080.jpeg?dr=14579&amp;refresh_token=74c68151&amp;x-expires=1764727200&amp;x-signature=%2FsXDbyB0zNGX04wG7r%2BOA9vk5Bw%3D&amp;t=4d5b0474&amp;ps=13740610&amp;shp=a5d48078&amp;shcp=81f88b70&amp;idc=my</t>
  </si>
  <si>
    <t>https://www.tiktok.com/@lorenatdahta/video/7390167456788122886</t>
  </si>
  <si>
    <t>https://v16-webapp-prime.tiktok.com/video/tos/maliva/tos-maliva-ve-68c800-us/oYZBOQJnlBYSbmCeDqPEkAIwEBOUbFVQfREd4S/?a=1988&amp;bti=ODszNWYuMDE6&amp;ch=0&amp;cr=3&amp;dr=0&amp;lr=all&amp;cd=0%7C0%7C0%7C&amp;cv=1&amp;br=1790&amp;bt=895&amp;cs=0&amp;ds=3&amp;ft=-Csk_mrMPD12NOBh5d-Uxbt2hY6e3wv25HcAp&amp;mime_type=video_mp4&amp;qs=0&amp;rc=OjY2ZWhoM2k5OTNmNDVkZUBpanVyOjw6Zm43bjMzNzczM0BjNjA1XmFhNl4xMjQvNTEvYSNgMW1gcjRnLV5gLS1kMTZzcw%3D%3D&amp;btag=e000a0000&amp;expire=1764728908&amp;l=2025120110220104295D62D2C47867A675&amp;ply_type=2&amp;policy=2&amp;signature=71837e60e0bf2fa41824c4b2e6fa3ba1&amp;tk=tt_chain_token</t>
  </si>
  <si>
    <t>tdahta,tdahadulto,tdahsintomas,eslendelanogare,tdahtiktok</t>
  </si>
  <si>
    <t>7190010685957360902</t>
  </si>
  <si>
    <t>brunolnunes</t>
  </si>
  <si>
    <t>Bruno Lima Nunes</t>
  </si>
  <si>
    <t>https://p16-sign-va.tiktokcdn.com/tos-maliva-avt-0068/72466cc9d5b9a27930c91e8fb7677589~tplv-tiktokx-cropcenter:100:100.jpeg?dr=14579&amp;refresh_token=360b5aa4&amp;x-expires=1763172000&amp;x-signature=p1cIn4dv34Pq8aQhB91qKMjNhdk%3D&amp;t=4d5b0474&amp;ps=13740610&amp;shp=a5d48078&amp;shcp=81f88b70&amp;idc=my</t>
  </si>
  <si>
    <t>Diz para mim: Você também tem essa sensação? 💬 @ferascast  #tdah #tda #dda #tdahadultos #tdahadulto</t>
  </si>
  <si>
    <t>7190010735143963398</t>
  </si>
  <si>
    <t>https://v16-webapp-prime.tiktok.com/video/tos/useast2a/tos-useast2a-v-27dcd7/o09KICIQAJf7pDQjfy8bBBQPUD31ywhTJrnkUp/?a=1988&amp;bti=ODszNWYuMDE6&amp;ch=0&amp;cr=0&amp;dr=0&amp;er=0&amp;lr=default&amp;cd=0%7C0%7C0%7C0&amp;br=250&amp;bt=125&amp;ft=GNDpcInz7Th49-UPXq8Zmo&amp;mime_type=audio_mpeg&amp;qs=6&amp;rc=OjQ0aDhnZWk1OTM2aTo0ZUBpMzg8aTw6ZmQzaTMzNzU8M0AwLS5jYS80Ni4xYC4vLTZiYSMzMW8vcjRfbTFgLS1kMTZzcw%3D%3D&amp;btag=e00090000&amp;expire=1763004320&amp;l=20251113102415EC11E565E652E77F00C9&amp;ply_type=3&amp;policy=3&amp;signature=a62b633fdc27cf327a39b0405383ab29&amp;tk=7571587458748974088</t>
  </si>
  <si>
    <t>https://www.tiktok.com/@mentespansantes/video/7283518571957816582</t>
  </si>
  <si>
    <t>tdah,depressao</t>
  </si>
  <si>
    <t>https://p16-sign-va.tiktokcdn.com/tos-maliva-avt-0068/72466cc9d5b9a27930c91e8fb7677589~tplv-tiktokx-cropcenter:1080:1080.jpeg?dr=14579&amp;refresh_token=72b31f13&amp;x-expires=1763172000&amp;x-signature=BB%2Feg0hCMnot8riQo9d8Z9XOVCQ%3D&amp;t=4d5b0474&amp;ps=13740610&amp;shp=a5d48078&amp;shcp=81f88b70&amp;idc=my</t>
  </si>
  <si>
    <t>7371137252296068358</t>
  </si>
  <si>
    <t>analucia_silva11</t>
  </si>
  <si>
    <t>Ana Lúcia11🧩👧🏻</t>
  </si>
  <si>
    <t>https://p77-sign-va.tiktokcdn.com/tos-maliva-avt-0068/a80fa2ff45cb70cc3ce5f42f79a2c129~tplv-tiktokx-cropcenter:100:100.jpeg?dr=14579&amp;refresh_token=674e7030&amp;x-expires=1764727200&amp;x-signature=BN%2FWCoXcnJ9CLvNOreU0hJT02S8%3D&amp;t=4d5b0474&amp;ps=13740610&amp;shp=a5d48078&amp;shcp=81f88b70&amp;idc=my</t>
  </si>
  <si>
    <t>https://v16-webapp-prime.tiktok.com/video/tos/useast2a/tos-useast2a-pve-0068/o8OCjXPM4U3SkGQdejDQACkIVfHhRSA2gHBpeH/?a=1988&amp;bti=ODszNWYuMDE6&amp;ch=0&amp;cr=3&amp;dr=0&amp;lr=all&amp;cd=0%7C0%7C0%7C&amp;cv=1&amp;br=1320&amp;bt=660&amp;cs=0&amp;ds=3&amp;ft=-Csk_mrMPD12Nycopd-UxG4vXY6e3wv25McAp&amp;mime_type=video_mp4&amp;qs=0&amp;rc=ZGk3ZztoOGU0OTtnZTY2OEBpM2c6cDo6ZnQzaTMzNzczM0A1YjMuMTEvNS8xLi8vNjFgYSNuZmZucjRfbDFgLS1kMTZzcw%3D%3D&amp;btag=e00090000&amp;expire=1763173520&amp;l=20251113102415EC11E565E652E77F00C9&amp;ply_type=2&amp;policy=2&amp;signature=228776b7cfa99f9891db651450f3de0e&amp;tk=tt_chain_token</t>
  </si>
  <si>
    <t>#TDAH #fy</t>
  </si>
  <si>
    <t xml:space="preserve">TDAH 🫠 
3 Técnicas
Para o 
TDAH 🫠 </t>
  </si>
  <si>
    <t>7371137278751443718</t>
  </si>
  <si>
    <t>https://v16-webapp-prime.tiktok.com/video/tos/useast2a/tos-useast2a-v-27dcd7/ooBUEkiBAkfgN88AizcLKEvEkAiJ5EBJynAuHo/?a=1988&amp;bti=ODszNWYuMDE6&amp;ch=0&amp;cr=0&amp;dr=0&amp;er=0&amp;lr=default&amp;cd=0%7C0%7C0%7C0&amp;br=250&amp;bt=125&amp;ds=5&amp;ft=GNDpcInz7ThuzKvPXq8Zmo&amp;mime_type=audio_mpeg&amp;qs=13&amp;rc=ajc7aHY5cm1yczMzNzU8M0Bpajc7aHY5cm1yczMzNzU8M0BrbmJmMmRzaDJgLS1kMTZzYSNrbmJmMmRzaDJgLS1kMTZzcw%3D%3D&amp;btag=e00050000&amp;expire=1764559400&amp;l=202512011021508D2E02B19879BA6D89C0&amp;ply_type=3&amp;policy=3&amp;signature=7729883ac5f03e2d9886d3bda91c45f7&amp;tk=7571587458748974088</t>
  </si>
  <si>
    <t>https://www.tiktok.com/@brunolnunes/video/7190010685957360902</t>
  </si>
  <si>
    <t>tdah,tda,dda,tdahadultos,tdahadulto</t>
  </si>
  <si>
    <t>7567500903712836894</t>
  </si>
  <si>
    <t>opsiquiatrasincero</t>
  </si>
  <si>
    <t>Rafael Fabri - Psiquiatra</t>
  </si>
  <si>
    <t>https://p77-sign-va.tiktokcdn.com/tos-maliva-avt-0068/da7a6883faf98893a78013cae3307500~tplv-tiktokx-cropcenter:100:100.jpeg?dr=14579&amp;refresh_token=5409937a&amp;x-expires=1763172000&amp;x-signature=J59h4PtQaxDpiMVwBFRlhudrkd4%3D&amp;t=4d5b0474&amp;ps=13740610&amp;shp=a5d48078&amp;shcp=81f88b70&amp;idc=my</t>
  </si>
  <si>
    <t>https://p77-sign-va.tiktokcdn.com/tos-maliva-avt-0068/a80fa2ff45cb70cc3ce5f42f79a2c129~tplv-tiktokx-cropcenter:1080:1080.jpeg?dr=14579&amp;refresh_token=8fd028f3&amp;x-expires=1764727200&amp;x-signature=8BJ8%2FpvWz5ChsgMK7mu%2Fp6oEee4%3D&amp;t=4d5b0474&amp;ps=13740610&amp;shp=a5d48078&amp;shcp=81f88b70&amp;idc=my</t>
  </si>
  <si>
    <t xml:space="preserve">Pronto! sintomas e comportamentos do Transtorno de Déficit de Atenção e Hiperatividade em 1 minuto, “quase todos” #mentelevevidaforte #tdah #autoconhecimento #tdahadulto </t>
  </si>
  <si>
    <t>Comportamentos do TDAH
Em 1 minuto  🧠
TDAH</t>
  </si>
  <si>
    <t>Stories 2</t>
  </si>
  <si>
    <t>6777279827805390850</t>
  </si>
  <si>
    <t>https://sf16-ies-music-sg.tiktokcdn.com/obj/tos-alisg-ve-2774/0c5d43b2a5b846d89bc774707470526c</t>
  </si>
  <si>
    <t>https://v16-webapp-prime.tiktok.com/video/tos/maliva/tos-maliva-ve-0068c801-us/oQNSJQnID8Gn4BkXQEfCA2gfbFM1YmBEj1GRNL/?a=1988&amp;bti=ODszNWYuMDE6&amp;ch=0&amp;cr=3&amp;dr=0&amp;lr=all&amp;cd=0%7C0%7C0%7C&amp;cv=1&amp;br=2272&amp;bt=1136&amp;cs=0&amp;ds=3&amp;ft=-Csk_mrMPD12NGDh5d-UxSc2hY6e3wv25DcAp&amp;mime_type=video_mp4&amp;qs=0&amp;rc=OWVmOGY1Zmc2OTU3ZmQ2ZkBpamVyOXQ5cnNyczMzNzczM0A0MV8zMTYvNjYxNjBfYGIvYSNlb2tnMmRzZzJgLS1kMTZzcw%3D%3D&amp;btag=e00090000&amp;expire=1764728600&amp;l=202512011021508D2E02B19879BA6D89C0&amp;ply_type=2&amp;policy=2&amp;signature=775a71fcb1fc430792075cf36a7cd243&amp;tk=tt_chain_token</t>
  </si>
  <si>
    <t>https://v16-webapp-prime.tiktok.com/video/tos/maliva/tos-maliva-ve-0068c799-us/oshE4fSFdAmRDAHEQeiEA7BVKEBFIPx3pihYog/?a=1988&amp;bti=ODszNWYuMDE6&amp;ch=0&amp;cr=3&amp;dr=0&amp;lr=all&amp;cd=0%7C0%7C0%7C&amp;cv=1&amp;br=1694&amp;bt=847&amp;cs=0&amp;ds=3&amp;ft=-Csk_mrMPD12NdYopd-UxMTFGY6e3wv25LcAp&amp;mime_type=video_mp4&amp;qs=0&amp;rc=Zmc7PDM6OmY2MzY8NGY4NkBpMzVzOWs5cnhsNzMzaTczNEAxY2M0YjJgNl4xNC9gXmItYSNwb3MzMmRzZC9hLS1kMTJzcw%3D%3D&amp;btag=e00090000&amp;expire=1763173455&amp;l=202511131023026989DBCE704A6574DC2E&amp;ply_type=2&amp;policy=2&amp;signature=2e01d7c3ff124fd8048226f5f208c313&amp;tk=tt_chain_token</t>
  </si>
  <si>
    <t>https://www.tiktok.com/@analucia_silva11/video/7371137252296068358</t>
  </si>
  <si>
    <t>https://www.tiktok.com/@opsiquiatrasincero/video/7567500903712836894</t>
  </si>
  <si>
    <t>tdah,fy</t>
  </si>
  <si>
    <t>7457329509142973701</t>
  </si>
  <si>
    <t>ordenio_pereira</t>
  </si>
  <si>
    <t>Ordênio Pereira</t>
  </si>
  <si>
    <t>https://p16-sign-va.tiktokcdn.com/tos-maliva-avt-0068/dbce235d5e67004c27a5c1e7f9318f60~tplv-tiktokx-cropcenter:100:100.jpeg?dr=14579&amp;refresh_token=37ab70bd&amp;x-expires=1764727200&amp;x-signature=Lv92pQ53CtyTLkTjOPF6qEklnpY%3D&amp;t=4d5b0474&amp;ps=13740610&amp;shp=a5d48078&amp;shcp=81f88b70&amp;idc=my</t>
  </si>
  <si>
    <t>mentelevevidaforte,tdah,autoconhecimento,tdahadulto</t>
  </si>
  <si>
    <t>7308804131991440645</t>
  </si>
  <si>
    <t>https://p77-sign-va.tiktokcdn.com/tos-maliva-avt-0068/0c857903b1d71ebd63a58d7ad9b30044~tplv-tiktokx-cropcenter:100:100.jpeg?dr=14579&amp;refresh_token=bd7ccf7b&amp;x-expires=1763172000&amp;x-signature=qnFlEFg%2F126y2FC73ux9%2Bx6bk0k%3D&amp;t=4d5b0474&amp;ps=13740610&amp;shp=a5d48078&amp;shcp=81f88b70&amp;idc=my</t>
  </si>
  <si>
    <t>#tdah #meme</t>
  </si>
  <si>
    <t>7457329563367885574</t>
  </si>
  <si>
    <t>https://v16-webapp-prime.tiktok.com/video/tos/useast2a/tos-useast2a-v-27dcd7/o8AASawAQiEbBon9uZBQUSvBTCz3A3InliLEZ/?a=1988&amp;bti=ODszNWYuMDE6&amp;ch=0&amp;cr=0&amp;dr=0&amp;er=0&amp;lr=default&amp;cd=0%7C0%7C0%7C0&amp;br=250&amp;bt=125&amp;ds=5&amp;ft=GNDpcInz7ThLgKvPXq8Zmo&amp;mime_type=audio_mpeg&amp;qs=13&amp;rc=M2U3bm05cmh2dzMzNzU8M0BpM2U3bm05cmh2dzMzNzU8M0BhZDBnMmRrMHJgLS1kMTZzYSNhZDBnMmRrMHJgLS1kMTZzcw%3D%3D&amp;btag=e00070000&amp;expire=1764559399&amp;l=20251201102310FC54B381C57309EF4F27&amp;ply_type=3&amp;policy=3&amp;signature=ccce06d8a53bfbfa5a186c5971771b3d&amp;tk=7571587458748974088</t>
  </si>
  <si>
    <t>Uma aula sobre tdah #psicologia #psicologa #tda #tdahadulto #tdah #tdahadulto #podcast #anabeatrizbarbosa</t>
  </si>
  <si>
    <t xml:space="preserve">TDAH
UMA AULA SOBRE TDAH </t>
  </si>
  <si>
    <t>7308804153663965957</t>
  </si>
  <si>
    <t>https://v16-webapp-prime.tiktok.com/video/tos/useast2a/tos-useast2a-v-27dcd7/o0EAuyuKxAwAooEz6LEBBiigtFBbQtAspf9Vqk/?a=1988&amp;bti=ODszNWYuMDE6&amp;ch=0&amp;cr=0&amp;dr=0&amp;er=0&amp;lr=default&amp;cd=0%7C0%7C0%7C0&amp;br=250&amp;bt=125&amp;ds=5&amp;ft=GNDpcInz7Th4K-UPXq8Zmo&amp;mime_type=audio_mpeg&amp;qs=13&amp;rc=ampodnQ5cmQ0bzMzNzU8M0BpampodnQ5cmQ0bzMzNzU8M0BycG1oMmRzYWtgLS1kMTZzYSNycG1oMmRzYWtgLS1kMTZzcw%3D%3D&amp;btag=e00050000&amp;expire=1763004188&amp;l=2025111310220790E74D25ACF9796D8D06&amp;ply_type=3&amp;policy=3&amp;signature=29d2b53a65df535d641a6b8910fbd779&amp;tk=7571587458748974088</t>
  </si>
  <si>
    <t>https://p77-sign-va.tiktokcdn.com/tos-maliva-avt-0068/dbce235d5e67004c27a5c1e7f9318f60~tplv-tiktokx-cropcenter:1080:1080.jpeg?dr=14579&amp;refresh_token=76a63412&amp;x-expires=1764727200&amp;x-signature=BkVkE7vcusLmGyMQ7wey2ltBTLA%3D&amp;t=4d5b0474&amp;ps=13740610&amp;shp=a5d48078&amp;shcp=81f88b70&amp;idc=my</t>
  </si>
  <si>
    <t>https://www.tiktok.com/@pisicopop/video/7308804131991440645</t>
  </si>
  <si>
    <t>psicologia,psicologa,tda,tdahadulto,tdah,tdahadulto,podcast,anabeatrizbarbosa</t>
  </si>
  <si>
    <t>psicologia,psicologa,tda,tdahadulto,tdah,podcast,anabeatrizbarbosa</t>
  </si>
  <si>
    <t>https://webapp-sg.tiktok.com/0e007145130eadbb255e7ff0de21eb46/692f9f17/kmoat/mps/logo/v2/r/p/v09044g40000ctus347og65mt7op6pd0/3be3e841a7bf4de688f308a6c4d7c2cb/923377b09c47d2eaecf41511abe9a3cc/mp4/main.mp4?a=1988&amp;bti=ODszNWYuMDE6&amp;ch=0&amp;cr=3&amp;dr=0&amp;lr=all&amp;cd=0%7C0%7C0%7C&amp;cv=1&amp;br=0&amp;bt=0&amp;cs=0&amp;ds=3&amp;eid=1286&amp;ft=bLZkAmrMPD12N7Zh5d-UxXt2hY6e3wv25IcAp&amp;mime_type=video_mp4&amp;qs=0&amp;rc=cnF8b2hsc2d3SkBwaHIxaDFybndmZTU6Nzk7Njs5Z2k6NDs2ZUBpM3NzOnA5cjd2dzMzNzczM0BjRl5Nc3FePmJKYSNvYF90aHFmOiNgYGFgXi1jNWIxX14xYmIwYSNhM2xxMmQ0MHJgLS1kMTZzcw%3D%3D&amp;btag=e000b0000&amp;definition=720p&amp;du=9&amp;item_id=7457329509142973701&amp;l=20251201102310FC54B381C57309EF4F27&amp;logo_type=tiktok_m&amp;ply_type=2&amp;policy=eyJ2bSI6MiwiY2siOiJ0dF9jaGFpbl90b2tlbiJ9&amp;user_text=ordenio_pereira</t>
  </si>
  <si>
    <t>7415349529945312517</t>
  </si>
  <si>
    <t>tdahvibe</t>
  </si>
  <si>
    <t>TDAH VIBE</t>
  </si>
  <si>
    <t>https://p77-sign-va.tiktokcdn.com/tos-maliva-avt-0068/e59283bc7cddea9e513758e2827eb4b6~tplv-tiktokx-cropcenter:100:100.jpeg?dr=14579&amp;refresh_token=28e748c6&amp;x-expires=1763172000&amp;x-signature=1J4XkU%2F3nPQlHc4evU3lMevU8EI%3D&amp;t=4d5b0474&amp;ps=13740610&amp;shp=a5d48078&amp;shcp=81f88b70&amp;idc=my</t>
  </si>
  <si>
    <t>ENTENDA O CÉREBRO DO TDAH INFANTIL  #tdah #tda #tod #bord #traumas #autism #autismo #down #bordeline #autismoinfantil #tdahmeninos #tdahmeninas #tdahinfantil</t>
  </si>
  <si>
    <t>CÉREBRO TDAH</t>
  </si>
  <si>
    <t>7415349565094284037</t>
  </si>
  <si>
    <t>https://v16-webapp-prime.tiktok.com/video/tos/useast2a/tos-useast2a-v-27dcd7/ocED4gVlB4AEYASzyEkii6gdEAgfnAuoPoBnKl/?a=1988&amp;bti=ODszNWYuMDE6&amp;ch=0&amp;cr=0&amp;dr=0&amp;er=0&amp;lr=default&amp;cd=0%7C0%7C0%7C0&amp;br=250&amp;bt=125&amp;ds=5&amp;ft=GNDpcInz7ThaV-UPXq8Zmo&amp;mime_type=audio_mpeg&amp;qs=13&amp;rc=M3JwcnI5cmQ8dTMzNzU8M0BpM3JwcnI5cmQ8dTMzNzU8M0BtLTFmMmRzbmhgLS1kMTZzYSNtLTFmMmRzbmhgLS1kMTZzcw%3D%3D&amp;btag=e00050000&amp;expire=1763004342&amp;l=20251113102343D1A0044B947998B9C2A2&amp;ply_type=3&amp;policy=3&amp;signature=db26d6ff3b23bee751acc0ebcf6c86ff&amp;tk=7571587458748974088</t>
  </si>
  <si>
    <t>https://www.tiktok.com/@ordenio_pereira/video/7457329509142973701</t>
  </si>
  <si>
    <t>https://p77-sign-va.tiktokcdn.com/tos-maliva-avt-0068/e59283bc7cddea9e513758e2827eb4b6~tplv-tiktokx-cropcenter:1080:1080.jpeg?dr=14579&amp;refresh_token=35a8e7b6&amp;x-expires=1763172000&amp;x-signature=XCDRc5y4lEx%2BCP61QjyqGysIOrQ%3D&amp;t=4d5b0474&amp;ps=13740610&amp;shp=a5d48078&amp;shcp=81f88b70&amp;idc=my</t>
  </si>
  <si>
    <t>tdah,meme</t>
  </si>
  <si>
    <t>https://p16-sign-va.tiktokcdn.com/tos-maliva-avt-0068/dc1254c61f7c029eaaef87fbdfa88d8d~tplv-tiktokx-cropcenter:100:100.jpeg?dr=14579&amp;refresh_token=c3d6ed8f&amp;x-expires=1764727200&amp;x-signature=%2FfPg2qYnNRHeT7V%2BS3p4ALc0oGI%3D&amp;t=4d5b0474&amp;ps=13740610&amp;shp=a5d48078&amp;shcp=81f88b70&amp;idc=my</t>
  </si>
  <si>
    <t>https://v16-webapp-prime.tiktok.com/video/tos/useast2a/tos-useast2a-pve-0068/ogV0GeXXIIQSIwPR9gNgLCmRQNjTAXeCnCeRr9/?a=1988&amp;bti=ODszNWYuMDE6&amp;ch=0&amp;cr=3&amp;dr=0&amp;lr=all&amp;cd=0%7C0%7C0%7C&amp;cv=1&amp;br=1198&amp;bt=599&amp;cs=0&amp;ds=3&amp;ft=-Csk_mrMPD12N8Yopd-UxfeFaY6e3wv25HcAp&amp;mime_type=video_mp4&amp;qs=0&amp;rc=NmRnNjg3aTUzPGVpaWc7M0BpajtlcG85cmQ8dTMzNzczM0BjXl8xNmEwNjExLi9jLi02YSNkcmFzMmRzaWhgLS1kMTZzcw%3D%3D&amp;btag=e00090000&amp;expire=1763173542&amp;l=20251113102343D1A0044B947998B9C2A2&amp;ply_type=2&amp;policy=2&amp;signature=99bbbeb60799f0a78e5ea54049d88b48&amp;tk=tt_chain_token</t>
  </si>
  <si>
    <t>https://v16-webapp-prime.tiktok.com/video/tos/useast2a/tos-useast2a-v-27dcd7/1230c652a2d54c00a8ed488892dae72e/?a=1988&amp;bti=ODszNWYuMDE6&amp;ch=0&amp;cr=0&amp;dr=0&amp;er=0&amp;lr=default&amp;cd=0%7C0%7C0%7C0&amp;br=218&amp;bt=109&amp;ds=5&amp;ft=GNDpcInz7ThvzKvPXq8Zmo&amp;mime_type=video_mp4&amp;qs=13&amp;rc=anBtaDQ6ZnA1ZDMzNzU8M0BpanBtaDQ6ZnA1ZDMzNzU8M0BocXI1cjRncF9gLS1kMTZzYSNocXI1cjRncF9gLS1kMTZzcw%3D%3D&amp;btag=e00048000&amp;expire=1764559297&amp;l=2025120110205711DA509A8B9B2F6AA181&amp;ply_type=3&amp;policy=3&amp;signature=ff3eaebd0dbee5f2e501db9190f58704&amp;tk=7571587458748974088</t>
  </si>
  <si>
    <t>https://www.tiktok.com/@tdahvibe/video/7415349529945312517</t>
  </si>
  <si>
    <t>tdah,tda,tod,bord,traumas,autism,autismo,down,bordeline,autismoinfantil,tdahmeninos,tdahmeninas,tdahinfantil</t>
  </si>
  <si>
    <t>7501501037203721478</t>
  </si>
  <si>
    <t>#saudemental #tdah #psicologoonline #psicoterapia #emocoes #psicologia #fyp #foryou #foryoupage #viralizou</t>
  </si>
  <si>
    <t>4 “MÁ Criações” de uma PESSOA COM TDAH 1- FAZER ESCÂNDALO por 
coisas pequenas  2- NÃO OUVIR 
quando é chamado 3- FALAR ALTO ou GRITAR
sem perceber… 4- EXPLODIR quando 
contrariado</t>
  </si>
  <si>
    <t>7501501025078086405</t>
  </si>
  <si>
    <t>https://v16-webapp-prime.tiktok.com/video/tos/useast2a/tos-useast2a-v-27dcd7/ogfJEUegF097AA4a03BsEkxrQAi3BoCqGiBJAi/?a=1988&amp;bti=ODszNWYuMDE6&amp;ch=0&amp;cr=0&amp;dr=0&amp;er=0&amp;lr=default&amp;cd=0%7C0%7C0%7C0&amp;br=250&amp;bt=125&amp;ds=5&amp;ft=GNDpcInz7ThyY-UPXq8Zmo&amp;mime_type=audio_mpeg&amp;qs=13&amp;rc=am45aG45cnhkMzMzNzU8M0Bpam45aG45cnhkMzMzNzU8M0AvMjNkMmRzcmFhLS1kMTZzYSMvMjNkMmRzcmFhLS1kMTZzcw%3D%3D&amp;btag=e00050000&amp;expire=1763004472&amp;l=2025111310264583C2663DA446357263D7&amp;ply_type=3&amp;policy=3&amp;signature=c7bcacc16150c6ee6657155c747e54e8&amp;tk=7571587458748974088</t>
  </si>
  <si>
    <t>https://p77-sign-va.tiktokcdn.com/tos-maliva-avt-0068/dc1254c61f7c029eaaef87fbdfa88d8d~tplv-tiktokx-cropcenter:1080:1080.jpeg?dr=14579&amp;refresh_token=0f231776&amp;x-expires=1764727200&amp;x-signature=OsaVcSwZlTT9QrLvy8yw4%2FKK%2B9M%3D&amp;t=4d5b0474&amp;ps=13740610&amp;shp=a5d48078&amp;shcp=81f88b70&amp;idc=my</t>
  </si>
  <si>
    <t>https://v16-webapp-prime.tiktok.com/video/tos/maliva/tos-maliva-ve-0068c801-us/0073c46f136d41778e2d7ed0fb62c8ee/?a=1988&amp;bti=ODszNWYuMDE6&amp;ch=0&amp;cr=3&amp;dr=0&amp;lr=all&amp;cd=0%7C0%7C0%7C&amp;cv=1&amp;br=2742&amp;bt=1371&amp;cs=0&amp;ds=3&amp;ft=-Csk_mrMPD12N5Dh5d-UxP12hY6e3wv25ocAp&amp;mime_type=video_mp4&amp;qs=0&amp;rc=Z2Y6ZTg6NzNpN2Y1OjVkOUBpanl4dzM6Zmo1ZDMzNzczM0AyLzEyYjUzX18xXi1eMi8tYSMtNXNicjRvcF9gLS1kMTZzcw%3D%3D&amp;btag=e00088000&amp;expire=1764728497&amp;l=2025120110205711DA509A8B9B2F6AA181&amp;ply_type=2&amp;policy=2&amp;signature=36bcfca2393668b82094ca6055362ecc&amp;tk=tt_chain_token</t>
  </si>
  <si>
    <t>https://v16-webapp-prime.tiktok.com/video/tos/useast2a/tos-useast2a-pve-0068/oQEY3kIQJ4AFWEqr8pRpiGfu84DyBBHEfQ7oda/?a=1988&amp;bti=ODszNWYuMDE6&amp;ch=0&amp;cr=3&amp;dr=0&amp;lr=all&amp;cd=0%7C0%7C0%7C&amp;cv=1&amp;br=1944&amp;bt=972&amp;cs=0&amp;ds=3&amp;ft=-Csk_mrMPD12Nw_opd-UxfeFaY6e3wv25HcAp&amp;mime_type=video_mp4&amp;qs=0&amp;rc=NDc3MzQzPGU2NDc2N2VoOkBpMzxrZ2s5cjxkMzMzNzczM0BiNC81Ni9hXjIxYC8xMWBgYSNfc200MmQ0cGFhLS1kMTZzcw%3D%3D&amp;btag=e00090000&amp;expire=1763173672&amp;l=2025111310264583C2663DA446357263D7&amp;ply_type=2&amp;policy=2&amp;signature=61432986f0c0f9f8d090676af935b5e2&amp;tk=tt_chain_token</t>
  </si>
  <si>
    <t>https://www.tiktok.com/@igorpsicologo/video/7501501037203721478</t>
  </si>
  <si>
    <t>saudemental,tdah,psicologoonline,psicoterapia,emocoes,psicologia,fyp,foryou,foryoupage,viralizou</t>
  </si>
  <si>
    <t>https://p16-sign-sg.tiktokcdn.com/tos-alisg-v-2774/1230945312bd4c8da2a75413d6267791~720x720.jpeg?lk3s=08d74b56&amp;x-expires=1764577321&amp;x-signature=DLfwRrj2TqRA7r5hztq9BqpEbzg%3D</t>
  </si>
  <si>
    <t>7136945772981013765</t>
  </si>
  <si>
    <t>taharibnn</t>
  </si>
  <si>
    <t>Tahar</t>
  </si>
  <si>
    <t>https://p16-sign-va.tiktokcdn.com/tos-maliva-avt-0068/f6c9ce0e62719a5be566968f7c4b37c5~tplv-tiktokx-cropcenter:100:100.jpeg?dr=14579&amp;refresh_token=c3e90c36&amp;x-expires=1763172000&amp;x-signature=l8MI6yyw3ngvM1dtkMLp48303IA%3D&amp;t=4d5b0474&amp;ps=13740610&amp;shp=a5d48078&amp;shcp=81f88b70&amp;idc=my</t>
  </si>
  <si>
    <t>https://v16-webapp-prime.tiktok.com/video/tos/useast2a/tos-useast2a-ve-0068c001/oY9qEAtmkXUQvXISCioVI3fhZ2F6Ty5zzigKAq/?a=1988&amp;bti=ODszNWYuMDE6&amp;ch=0&amp;cr=3&amp;dr=0&amp;lr=all&amp;cd=0%7C0%7C0%7C&amp;cv=1&amp;br=596&amp;bt=298&amp;cs=0&amp;ds=3&amp;ft=-Csk_mrMPD12NOBh5d-Uxbt2hY6e3wv25HcAp&amp;mime_type=video_mp4&amp;qs=0&amp;rc=ZTdpN2UzZDU6OTZpZmlkaEBpanRxPDc6ZmtvbDMzNzczM0AvXjNiMF4wXi8xYzM0Y2A1YSNrY2ZpcjRfcXBgLS1kMTZzcw%3D%3D&amp;btag=e00090000&amp;expire=1764728667&amp;l=2025120110220104295D62D2C47867A675&amp;ply_type=2&amp;policy=2&amp;signature=e7ab5a2d9707dd9856d7f6c017884de2&amp;tk=tt_chain_token</t>
  </si>
  <si>
    <t>#tdah #tdahadulto #humor #viral #desatento #tdahmemes #tdahhumor #tdahcheck</t>
  </si>
  <si>
    <t>7136945788877392645</t>
  </si>
  <si>
    <t>https://v16-webapp-prime.tiktok.com/video/tos/useast2a/tos-useast2a-v-27dcd7/039ca3f0b89e41e88f79f9d01742a9c2/?a=1988&amp;bti=ODszNWYuMDE6&amp;ch=0&amp;cr=0&amp;dr=0&amp;er=0&amp;lr=default&amp;cd=0%7C0%7C0%7C0&amp;br=248&amp;bt=124&amp;ds=5&amp;ft=GNDpcInz7ThbK-UPXq8Zmo&amp;mime_type=video_mp4&amp;qs=13&amp;rc=am1zdDY6ZnNyZjMzNzU8M0Bpam1zdDY6ZnNyZjMzNzU8M0AwLzZfcjRnYDJgLS1kMTZzYSMwLzZfcjRnYDJgLS1kMTZzcw%3D%3D&amp;btag=e00070000&amp;expire=1763004174&amp;l=202511131022442EE54DE47B86CCA867A8&amp;ply_type=3&amp;policy=3&amp;signature=7839ca4fab98f408f0b6d14dccfc2afc&amp;tk=7571587458748974088</t>
  </si>
  <si>
    <t>7522980040758496518</t>
  </si>
  <si>
    <t>https://p16-sign-va.tiktokcdn.com/tos-maliva-avt-0068/1b1ab6d65ae96fbe11db1ee88f115e37~tplv-tiktokx-cropcenter:100:100.jpeg?dr=14579&amp;refresh_token=43cfe800&amp;x-expires=1764727200&amp;x-signature=ZU2gQXOVNldFJRfGDCCcGmcfhB4%3D&amp;t=4d5b0474&amp;ps=13740610&amp;shp=a5d48078&amp;shcp=81f88b70&amp;idc=my</t>
  </si>
  <si>
    <t>https://p16-sign-va.tiktokcdn.com/tos-maliva-avt-0068/f6c9ce0e62719a5be566968f7c4b37c5~tplv-tiktokx-cropcenter:1080:1080.jpeg?dr=14579&amp;refresh_token=38b3d5a2&amp;x-expires=1763172000&amp;x-signature=exznBosDlgmPq%2BjQiPdGFf%2BnYRM%3D&amp;t=4d5b0474&amp;ps=13740610&amp;shp=a5d48078&amp;shcp=81f88b70&amp;idc=my</t>
  </si>
  <si>
    <t xml:space="preserve">O vídeo em si é falando sobre pessoas emocionalmente sensíveis, mas serve muito como exemplo prático para disforia sensível a rejeição, que é algo que aparece com frequência em pessoas que são TDAH! #psicologia #tdah #tdahadulto </t>
  </si>
  <si>
    <t>Rocket Man (I Think It's Going To Be A Long Long Time) - Remastered</t>
  </si>
  <si>
    <t>6743313522660231170</t>
  </si>
  <si>
    <t>https://sf16-ies-music-sg.tiktokcdn.com/obj/tos-alisg-ve-2774/oMyOHOoBzAh6qWbii1nknBIZWAFsflLwCsMz8X</t>
  </si>
  <si>
    <t>https://p16-sg.tiktokcdn.com/aweme/720x720/tos-alisg-v-2774/o8CZDEgpEsoAeWtxEBnAtQFAgpHQVBf148CJcS.jpeg</t>
  </si>
  <si>
    <t>https://v16-webapp-prime.tiktok.com/video/tos/maliva/tos-maliva-ve-0068c801-us/0208e4d4a9574dbbbefb3e9bd8bf06c3/?a=1988&amp;bti=ODszNWYuMDE6&amp;ch=0&amp;cr=3&amp;dr=0&amp;lr=all&amp;cd=0%7C0%7C0%7C&amp;cv=1&amp;br=2898&amp;bt=1449&amp;cs=0&amp;ds=3&amp;ft=-Csk_mrMPD12Nzhopd-UxfeFaY6e3wv25HcAp&amp;mime_type=video_mp4&amp;qs=0&amp;rc=ZjNkaWVnZzc0Ojs0NzQ7OkBpM2U2eWY6ZnByZjMzNzczM0A0M2FeLy9eNTYxYjQwY2FfYSNyLmtucjRnYDJgLS1kMTZzcw%3D%3D&amp;btag=e000b0000&amp;expire=1763173374&amp;l=202511131022442EE54DE47B86CCA867A8&amp;ply_type=2&amp;policy=2&amp;signature=ae2a63df27f367156b5d30eab27bb0e5&amp;tk=tt_chain_token</t>
  </si>
  <si>
    <t>Elton John</t>
  </si>
  <si>
    <t>https://v16-webapp-prime.tiktok.com/video/tos/useast2a/tos-useast2a-ve-0068c001/oEQRNo8EzBvUkQRr1oIAzFEB3fD5IZgYAfKDqJ/?a=1988&amp;bti=ODszNWYuMDE6&amp;ch=0&amp;cr=3&amp;dr=0&amp;lr=all&amp;cd=0%7C0%7C0%7C&amp;cv=1&amp;br=1780&amp;bt=890&amp;cs=0&amp;ds=3&amp;ft=I~da4oKyD12Nvm1WS.IxR~kNglBF-UjNSEopiX&amp;mime_type=video_mp4&amp;qs=0&amp;rc=NTU2OjlmM2g2NTo7PDg4aEBpajdrOHQ5cmppNDMzNzczM0AtMi02Yy1gNTYxNV8vMy5hYSMvcGJkMmRzb2dhLS1kMTZzcw%3D%3D&amp;btag=e00090000&amp;expire=1764728561&amp;l=2025120110210868B8F68F0D0B7F5CDC9D&amp;ply_type=2&amp;policy=2&amp;signature=21ef7d3dcf5a89afb0156e2c8fd5cd3f&amp;tk=tt_chain_token</t>
  </si>
  <si>
    <t>https://www.tiktok.com/@psi.walace/video/7522980040758496518</t>
  </si>
  <si>
    <t>https://www.tiktok.com/@taharibnn/video/7136945772981013765</t>
  </si>
  <si>
    <t>tdah,tdahadulto,humor,viral,desatento,tdahmemes,tdahhumor,tdahcheck</t>
  </si>
  <si>
    <t>https://p16-sign-va.tiktokcdn.com/tos-maliva-avt-0068/3b2037a41ca3ac175d2aa905cd61cf2b~tplv-tiktokx-cropcenter:100:100.jpeg?dr=14579&amp;refresh_token=5c44f445&amp;x-expires=1764727200&amp;x-signature=Cqmp6Z%2BXtCkoJBt7nXGxWotIhwk%3D&amp;t=4d5b0474&amp;ps=13740610&amp;shp=a5d48078&amp;shcp=81f88b70&amp;idc=my</t>
  </si>
  <si>
    <t>7320277478969429254</t>
  </si>
  <si>
    <t>O que é TDAH? #comoacabarcomotdah #tdah #tdahadulto #viral #viraltdah #viralvideo #viraltiktokvideo #videosdetdah #sintomasdotdah #oqueetdah #saudemental</t>
  </si>
  <si>
    <t>7320277532081785606</t>
  </si>
  <si>
    <t>https://v16-webapp-prime.tiktok.com/video/tos/useast2a/tos-useast2a-v-27dcd7/oUEAWy9KuA2A5oEx8cEBCiigz2BAGyAcYfkTak/?a=1988&amp;bti=ODszNWYuMDE6&amp;ch=0&amp;cr=0&amp;dr=0&amp;er=0&amp;lr=default&amp;cd=0%7C0%7C0%7C0&amp;br=250&amp;bt=125&amp;ds=5&amp;ft=GNDpcInz7ThQ9-UPXq8Zmo&amp;mime_type=audio_mpeg&amp;qs=13&amp;rc=MzltZnY5cjxncDMzNzU8M0BpMzltZnY5cjxncDMzNzU8M0Bmbl9gMmRzZ19gLS1kMTZzYSNmbl9gMmRzZ19gLS1kMTZzcw%3D%3D&amp;btag=e00050000&amp;expire=1763004372&amp;l=202511131024053FAEE14371AE44A729CC&amp;ply_type=3&amp;policy=3&amp;signature=a3d79f3e5112b61badc5fb294225129a&amp;tk=7571587458748974088</t>
  </si>
  <si>
    <t>https://v16-webapp-prime.tiktok.com/video/tos/useast2a/tos-useast2a-v-27dcd7/3748cb0b6f084e3e9400f5e33c99d3b8/?a=1988&amp;bti=ODszNWYuMDE6&amp;ch=0&amp;cr=0&amp;dr=0&amp;er=0&amp;lr=default&amp;cd=0%7C0%7C0%7C0&amp;br=226&amp;bt=113&amp;ds=5&amp;ft=GNDpcInz7ThJzKvPXq8Zmo&amp;mime_type=video_mp4&amp;qs=13&amp;rc=amhobmk6ZnI4NzMzNzU8M0Bpamhobmk6ZnI4NzMzNzU8M0A2czJjcjRnZV5gLS1kMTZzYSM2czJjcjRnZV5gLS1kMTZzcw%3D%3D&amp;btag=e00050000&amp;expire=1764559398&amp;l=20251201102141EAAE30DD17435761F356&amp;ply_type=3&amp;policy=3&amp;signature=7c414b592173b921101c04c6943e0500&amp;tk=7571587458748974088</t>
  </si>
  <si>
    <t>https://p16-sign-va.tiktokcdn.com/tos-maliva-avt-0068/4949bb024f91e1b4bc8f1b459a9fc215~tplv-tiktokx-cropcenter:1080:1080.jpeg?dr=14579&amp;refresh_token=c4a18408&amp;x-expires=1763172000&amp;x-signature=HUgmNZvL77D3iJSQMcy4jqkUaVk%3D&amp;t=4d5b0474&amp;ps=13740610&amp;shp=a5d48078&amp;shcp=81f88b70&amp;idc=my</t>
  </si>
  <si>
    <t>https://p16-sign-va.tiktokcdn.com/tos-maliva-avt-0068/3b2037a41ca3ac175d2aa905cd61cf2b~tplv-tiktokx-cropcenter:1080:1080.jpeg?dr=14579&amp;refresh_token=bd5826c1&amp;x-expires=1764727200&amp;x-signature=4cHCWmr%2B9%2BHlfCKolLVG1V67YSc%3D&amp;t=4d5b0474&amp;ps=13740610&amp;shp=a5d48078&amp;shcp=81f88b70&amp;idc=my</t>
  </si>
  <si>
    <t>https://v16-webapp-prime.tiktok.com/video/tos/alisg/tos-alisg-pve-0037c001/osjWMClfASfRbAfLAbSWQJOLgCa8ogjudgMsIj/?a=1988&amp;bti=ODszNWYuMDE6&amp;ch=0&amp;cr=3&amp;dr=0&amp;lr=all&amp;cd=0%7C0%7C0%7C&amp;cv=1&amp;br=1028&amp;bt=514&amp;cs=0&amp;ds=3&amp;ft=-Csk_mrMPD12Nlcopd-UxB6vSY6e3wv25rcAp&amp;mime_type=video_mp4&amp;qs=0&amp;rc=NzdkNjppPGU2NDQ0ZzZnOUBpMzl5OWw5cmZncDMzNzczM0AtXl9iLTIxNWIxLTViX2NjYSNsNG5eMmRrZl9gLS1kMTZzcw%3D%3D&amp;btag=e00090000&amp;expire=1763173572&amp;l=202511131024053FAEE14371AE44A729CC&amp;ply_type=2&amp;policy=2&amp;signature=81e1764c3e4f19b2d53c789ee2b1c058&amp;tk=tt_chain_token</t>
  </si>
  <si>
    <t>https://v16-webapp-prime.tiktok.com/video/tos/maliva/tos-maliva-ve-0068c801-us/bbe3f9929f574f3a947115d723cd4e7d/?a=1988&amp;bti=ODszNWYuMDE6&amp;ch=0&amp;cr=3&amp;dr=0&amp;lr=all&amp;cd=0%7C0%7C0%7C&amp;cv=1&amp;br=2414&amp;bt=1207&amp;cs=0&amp;ds=3&amp;ft=-Csk_mrMPD12NWDh5d-Uxvt2hY6e3wv251cAp&amp;mime_type=video_mp4&amp;qs=0&amp;rc=ZTc2PDk2NzVpNDQzOmhkZUBpanZ0cWk6ZmQ4NzMzNzczM0AyMGIvMTM2NmAxMF40Xi9hYSNfay5ecjRfZF5gLS1kMTZzcw%3D%3D&amp;btag=e00090000&amp;expire=1764728598&amp;l=20251201102141EAAE30DD17435761F356&amp;ply_type=2&amp;policy=2&amp;signature=33c1d8a65a6ca5a9977f089f1a6a26d9&amp;tk=tt_chain_token</t>
  </si>
  <si>
    <t>https://www.tiktok.com/@liberdade.mentall/video/7320277478969429254</t>
  </si>
  <si>
    <t>comoacabarcomotdah,tdah,tdahadulto,viral,viraltdah,viralvideo,viraltiktokvideo,videosdetdah,sintomasdotdah,oqueetdah,saudemental</t>
  </si>
  <si>
    <t>7549765760147803448</t>
  </si>
  <si>
    <t>vivendocomtdahoficial</t>
  </si>
  <si>
    <t>Vivendo com Tdah</t>
  </si>
  <si>
    <t>https://p77-sign-va.tiktokcdn.com/tos-maliva-avt-0068/05f75b0edba43a6b97d613fdef44637b~tplv-tiktokx-cropcenter:100:100.jpeg?dr=14579&amp;refresh_token=86cd1a8a&amp;x-expires=1763172000&amp;x-signature=nMPxmEYfHXtiHiAeuf65zg4rLiI%3D&amp;t=4d5b0474&amp;ps=13740610&amp;shp=a5d48078&amp;shcp=81f88b70&amp;idc=my</t>
  </si>
  <si>
    <t>Quem mais tem esses hábitos?  #tdah #tdahadulto #tdahmemes #tdahtiktok #tdahinfantil</t>
  </si>
  <si>
    <t>7549765805825051397</t>
  </si>
  <si>
    <t>https://p16-sign-va.tiktokcdn.com/tos-maliva-avt-0068/a6997ba41f00721a265948498ce03461~tplv-tiktokx-cropcenter:100:100.jpeg?dr=14579&amp;refresh_token=4dff1c07&amp;x-expires=1764727200&amp;x-signature=iJgRSjfrX6lpd5Iv%2FqMlk96TGns%3D&amp;t=4d5b0474&amp;ps=13740610&amp;shp=a5d48078&amp;shcp=81f88b70&amp;idc=my</t>
  </si>
  <si>
    <t>https://v16-webapp-prime.tiktok.com/video/tos/useast2a/tos-useast2a-v-27dcd7/oEiAEkjfxAvEZHKEBKY0tAiQBASBXDogBR6PGA/?a=1988&amp;bti=ODszNWYuMDE6&amp;ch=0&amp;cr=0&amp;dr=0&amp;er=0&amp;lr=default&amp;cd=0%7C0%7C0%7C0&amp;br=250&amp;bt=125&amp;ds=5&amp;ft=GNDpcInz7ThUK-UPXq8Zmo&amp;mime_type=audio_mpeg&amp;qs=13&amp;rc=amk4b3Q5cjM1NjMzNzU8M0Bpamk4b3Q5cjM1NjMzNzU8M0AtMG9qMmRzZDBhLS1kMTZzYSMtMG9qMmRzZDBhLS1kMTZzcw%3D%3D&amp;btag=e00048000&amp;expire=1763004196&amp;l=202511131022270BBA173F4561DD71A814&amp;ply_type=3&amp;policy=3&amp;signature=62e7b20cb37460498c0a4ef495e1732c&amp;tk=7571587458748974088</t>
  </si>
  <si>
    <t>https://p77-sign-va.tiktokcdn.com/tos-maliva-avt-0068/05f75b0edba43a6b97d613fdef44637b~tplv-tiktokx-cropcenter:1080:1080.jpeg?dr=14579&amp;refresh_token=8c5bd338&amp;x-expires=1763172000&amp;x-signature=QnuJlO2ltt1xAd%2BjxybV%2Bl0Z%2FmI%3D&amp;t=4d5b0474&amp;ps=13740610&amp;shp=a5d48078&amp;shcp=81f88b70&amp;idc=my</t>
  </si>
  <si>
    <t>https://v16-webapp-prime.tiktok.com/video/tos/useast2a/tos-useast2a-ve-0068c004/owxJJpj4apuqtKAegeJoMyfYAgZiI4AtjtpeRe/?a=1988&amp;bti=ODszNWYuMDE6&amp;ch=0&amp;cr=3&amp;dr=0&amp;lr=all&amp;cd=0%7C0%7C0%7C&amp;cv=1&amp;br=666&amp;bt=333&amp;cs=0&amp;ds=6&amp;ft=-Csk_mrMPD12NxDh5d-UxIS5hY6e3wv25ycAp&amp;mime_type=video_mp4&amp;qs=5&amp;rc=Njs5Zzg1NGYzZGc0aTU2aUBpM2lwOnE5cnRobzMzNzczM0BiNmAyMmNiX18xL14wNTQvYSNxbmFuMmQ0NF5gLS1kMTZzcw%3D%3D&amp;btag=e00090000&amp;expire=1764728509&amp;l=202512011020485614ECD0EEDB8C5FDDDB&amp;ply_type=2&amp;policy=2&amp;signature=15646cdc1008f5cabef4f0477108a899&amp;tk=tt_chain_token</t>
  </si>
  <si>
    <t>https://v16-webapp-prime.tiktok.com/video/tos/useast2a/tos-useast2a-ve-0068c004/oULTUzSiavyEpBR5D2nmNAELG3MQIQYkBRiV1/?a=1988&amp;bti=ODszNWYuMDE6&amp;ch=0&amp;cr=3&amp;dr=0&amp;lr=all&amp;cd=0%7C0%7C0%7C&amp;cv=1&amp;br=1246&amp;bt=623&amp;cs=0&amp;ds=3&amp;ft=I~da4oKyD12NviW0i.IxRHqNglBF-UjNSqopiX&amp;mime_type=video_mp4&amp;qs=0&amp;rc=NzszZjk3M2ZkaWY7NzQ2OUBpamVpbnE5cnA1NjMzNzczM0AtNDBhXl8uXl8xMzMvNTYyYSNeZl4yMmRrYzBhLS1kMTZzcw%3D%3D&amp;btag=e00088000&amp;expire=1763173396&amp;l=202511131022270BBA173F4561DD71A814&amp;ply_type=2&amp;policy=2&amp;signature=a5116148f41de34f11c2702e7f625f5c&amp;tk=tt_chain_token</t>
  </si>
  <si>
    <t>https://www.tiktok.com/@vivendocomtdahoficial/video/7549765760147803448</t>
  </si>
  <si>
    <t>tdah,tdahadulto,tdahmemes,tdahtiktok,tdahinfantil</t>
  </si>
  <si>
    <t>7150752474645728518</t>
  </si>
  <si>
    <t>psi.jess</t>
  </si>
  <si>
    <t>Psicóloga Jessica Santos</t>
  </si>
  <si>
    <t>https://p77-sign-va.tiktokcdn.com/tos-maliva-avt-0068/f5ef76b12fba1261aba4a784145116e5~tplv-tiktokx-cropcenter:100:100.jpeg?dr=14579&amp;refresh_token=7b0cce6c&amp;x-expires=1763172000&amp;x-signature=t49TUU2GLU3oJcG%2BV%2BpN5Y1PSSM%3D&amp;t=4d5b0474&amp;ps=13740610&amp;shp=a5d48078&amp;shcp=81f88b70&amp;idc=my</t>
  </si>
  <si>
    <t>https://v16-webapp-prime.tiktok.com/video/tos/useast2a/tos-useast2a-v-27dcd7/oYkoGtXkBU4KKwk0Eg7AgNkOEiEZEAiBACAQfB/?a=1988&amp;bti=ODszNWYuMDE6&amp;ch=0&amp;cr=0&amp;dr=0&amp;er=0&amp;lr=default&amp;cd=0%7C0%7C0%7C0&amp;br=250&amp;bt=125&amp;ds=5&amp;ft=GNDpcInz7ThoPKvPXq8Zmo&amp;mime_type=audio_mpeg&amp;qs=13&amp;rc=amdqNGo5cmxvNTMzNzU8M0BpamdqNGo5cmxvNTMzNzU8M0Bxb2heMmRjbC1hLS1kMTZzYSNxb2heMmRjbC1hLS1kMTZzcw%3D%3D&amp;btag=e00050000&amp;expire=1764559279&amp;l=202512011020068133AB7BCB086C5F4CDC&amp;ply_type=3&amp;policy=3&amp;signature=4898ebb3bf54a281189abf4dfa8a1ee9&amp;tk=7571587458748974088</t>
  </si>
  <si>
    <t>#psicologia #fyp #saudemental #terapia #relacionamento #autocuidado #psicologia #tdah #depressao #tdahadulto #tdahtiktok</t>
  </si>
  <si>
    <t xml:space="preserve">10 Sintomas de
TDAH em adultos 1: Desvia a atenção com facilidade  2: Desastrado/Desorganizado 3: Hiperfoco 4: Tela azul / Apagão  5: Interrompe durante a conversa 6: Agitado/ Inquieto ou em movimento 7: começa as coisas mas não termina 8: Impaciência 
Irritabilidade 
Oscilações de humor 9: Compulsões 10 : Prejuízos na vida acadêmica
Social
E afetiva </t>
  </si>
  <si>
    <t>When The Party's Over (Originally Performed by Billie Eilish) - Piano Karaoke Version</t>
  </si>
  <si>
    <t>6890910012974041089</t>
  </si>
  <si>
    <t>https://sf16-ies-music-sg.tiktokcdn.com/obj/tos-alisg-ve-2774/58514c1e758a47e2a54a049f9b0a1015</t>
  </si>
  <si>
    <t>https://p16-sign-va.tiktokcdn.com/tos-maliva-avt-0068/1b1ab6d65ae96fbe11db1ee88f115e37~tplv-tiktokx-cropcenter:1080:1080.jpeg?dr=14579&amp;refresh_token=de1fe9fb&amp;x-expires=1764727200&amp;x-signature=Bq7jzWo2iGucM%2B0%2Fa1yihHdvj8s%3D&amp;t=4d5b0474&amp;ps=13740610&amp;shp=a5d48078&amp;shcp=81f88b70&amp;idc=my</t>
  </si>
  <si>
    <t>https://p77-sg.tiktokcdn.com/aweme/720x720/tos-alisg-v-2774/owyPHEzAZEYPAAUA4dA0LAZiBAwPar9MiqAWD.jpeg</t>
  </si>
  <si>
    <t>Sing2Piano</t>
  </si>
  <si>
    <t>https://v16-webapp-prime.tiktok.com/video/tos/useast2a/tos-useast2a-ve-0068c004/67555ff4db2042f2a7383ff2c9ca1067/?a=1988&amp;bti=ODszNWYuMDE6&amp;ch=0&amp;cr=3&amp;dr=0&amp;lr=all&amp;cd=0%7C0%7C0%7C&amp;cv=1&amp;br=2712&amp;bt=1356&amp;cs=0&amp;ds=3&amp;ft=-Csk_mrMPD12NOYopd-Uxtv5GY6e3wv252cAp&amp;mime_type=video_mp4&amp;qs=0&amp;rc=Zjk5NjQ8ZGg1aGdkNDM1OUBpM3I1NWg6Zmk8ZjMzNzczM0AzYl5eXy01NjMxLTBhMDVjYSNfMTAycjRnM3JgLS1kMTZzcw%3D%3D&amp;btag=e00090000&amp;expire=1763173556&amp;l=20251113102306B19E1F5BC676BF8CC05E&amp;ply_type=2&amp;policy=2&amp;signature=cadb1ea7e9ac339e399c1007c2944659&amp;tk=tt_chain_token</t>
  </si>
  <si>
    <t>https://v16-webapp-prime.tiktok.com/video/tos/useast2a/tos-useast2a-ve-0068c003/oMwgDfxbEEzJIMumBgoQFBZCQWRVA3gKUBfN8m/?a=1988&amp;bti=ODszNWYuMDE6&amp;ch=0&amp;cr=3&amp;dr=0&amp;lr=all&amp;cd=0%7C0%7C0%7C&amp;cv=1&amp;br=1560&amp;bt=780&amp;cs=0&amp;ds=3&amp;ft=-Csk_mrMPD12Nudh5d-Uxs12aY6e3wv252cAp&amp;mime_type=video_mp4&amp;qs=0&amp;rc=O2k8NztpOWZpNjxmPDM5NkBpam1zZXI5cjlvNTMzNzczM0A1X2BjYmBfNmAxXjFgLl5jYSMvLTRkMmRzbC1hLS1kMTZzcw%3D%3D&amp;btag=e00090000&amp;expire=1764728479&amp;l=202512011020068133AB7BCB086C5F4CDC&amp;ply_type=2&amp;policy=2&amp;signature=6cda969c50509ffe59a58abcae44e104&amp;tk=tt_chain_token</t>
  </si>
  <si>
    <t>https://www.tiktok.com/@psi.jess/video/7150752474645728518</t>
  </si>
  <si>
    <t>psicologia,fyp,saudemental,terapia,relacionamento,autocuidado,psicologia,tdah,depressao,tdahadulto,tdahtiktok</t>
  </si>
  <si>
    <t>psicologia,fyp,saudemental,terapia,relacionamento,autocuidado,tdah,depressao,tdahadulto,tdahtiktok</t>
  </si>
  <si>
    <t>7542648377733844230</t>
  </si>
  <si>
    <t>https://p77-sign-va.tiktokcdn.com/tos-maliva-avt-0068/1b1ab6d65ae96fbe11db1ee88f115e37~tplv-tiktokx-cropcenter:100:100.jpeg?dr=14579&amp;refresh_token=7ef194bd&amp;x-expires=1763172000&amp;x-signature=cY5me%2BOPAuXYbxp%2F5kkYlJrvfvg%3D&amp;t=4d5b0474&amp;ps=13740610&amp;shp=a5d48078&amp;shcp=81f88b70&amp;idc=my</t>
  </si>
  <si>
    <t>https://v16-webapp-prime.tiktok.com/video/tos/useast2a/tos-useast2a-v-27dcd7/16794874abc04847b6efe93806f531f1/?a=1988&amp;bti=ODszNWYuMDE6&amp;ch=0&amp;cr=0&amp;dr=0&amp;er=0&amp;lr=default&amp;cd=0%7C0%7C0%7C0&amp;br=250&amp;bt=125&amp;ds=5&amp;ft=GNDpcInz7ThbzKvPXq8Zmo&amp;mime_type=audio_mpeg&amp;qs=13&amp;rc=ajpwcDw6Zjk7bDMzNzU8M0BpajpwcDw6Zjk7bDMzNzU8M0Brai1ncjRnZS9gLS1kMTZzYSNrai1ncjRnZS9gLS1kMTZzcw%3D%3D&amp;btag=e00050000&amp;expire=1764559448&amp;l=20251201102139650E38823033055E6EEC&amp;ply_type=3&amp;policy=3&amp;signature=c6af100f32c7676010e30e699e5a0905&amp;tk=7571587458748974088</t>
  </si>
  <si>
    <t xml:space="preserve">Pois é, parece um sexto sentido, um sentido aranha, mas essa intuição é apenas o cérebro neurodivergente trabalhando a todo vapor para entender e prever padrões. Por isso muitas vezes pessoas com TDAH parecem ser tão intuitivas. 😅 #psicologia #tdah #tdahadulto </t>
  </si>
  <si>
    <t>7542648534165424902</t>
  </si>
  <si>
    <t>https://v16-webapp-prime.tiktok.com/video/tos/useast2a/tos-useast2a-v-27dcd7/oQBrC3ZrmFCA1UNAEoEDguffEApdQ7uBBJsq2J/?a=1988&amp;bti=ODszNWYuMDE6&amp;ch=0&amp;cr=0&amp;dr=0&amp;er=0&amp;lr=default&amp;cd=0%7C0%7C0%7C0&amp;br=250&amp;bt=125&amp;ds=5&amp;ft=GNDpcInz7ThX9-UPXq8Zmo&amp;mime_type=audio_mpeg&amp;qs=13&amp;rc=amZ3O2o5cnRnNTMzNzU8M0BpamZ3O2o5cnRnNTMzNzU8M0BzajNhMmRrcWphLS1kMTZzYSNzajNhMmRrcWphLS1kMTZzcw%3D%3D&amp;btag=e00050000&amp;expire=1763004415&amp;l=20251113102424EE0F9FCD2CC2B68BE0E2&amp;ply_type=3&amp;policy=3&amp;signature=d7e50cfc03d7045553a7a0d1f0c6d0fc&amp;tk=7571587458748974088</t>
  </si>
  <si>
    <t>https://v16-webapp-prime.tiktok.com/video/tos/maliva/tos-maliva-ve-0068c801-us/oQPtkfO4AMUIRzGVUUigU3QHi6hCQyZkoQAEIx/?a=1988&amp;bti=ODszNWYuMDE6&amp;ch=0&amp;cr=3&amp;dr=0&amp;lr=all&amp;cd=0%7C0%7C0%7C&amp;cv=1&amp;br=1678&amp;bt=839&amp;cs=0&amp;ds=3&amp;ft=-Csk_mrMPD12NzDh5d-UxKyFaY6e3wv257cAp&amp;mime_type=video_mp4&amp;qs=0&amp;rc=N2VkOjdnNGg1Omg6O2hkOUBpM293djk6ZmQ7bDMzNzczM0BfYzVgX2JjX14xXjUtYjViYSNeNTVvcjRfYi9gLS1kMTZzcw%3D%3D&amp;btag=e00090000&amp;expire=1764728648&amp;l=20251201102139650E38823033055E6EEC&amp;ply_type=2&amp;policy=2&amp;signature=6748ffc083f91adce903a42d66afe443&amp;tk=tt_chain_token</t>
  </si>
  <si>
    <t>https://v16-webapp-prime.tiktok.com/video/tos/useast2a/tos-useast2a-ve-0068c001/ok15IJb5WDAx3TZs7NFqBRoQ2EfQUBtrEYf0sE/?a=1988&amp;bti=ODszNWYuMDE6&amp;ch=0&amp;cr=3&amp;dr=0&amp;lr=all&amp;cd=0%7C0%7C0%7C&amp;cv=1&amp;br=2822&amp;bt=1411&amp;cs=0&amp;ds=3&amp;ft=-Csk_mrMPD12N-copd-Ux7~2bY6e3wv25bcAp&amp;mime_type=video_mp4&amp;qs=0&amp;rc=NDs4OmZkOzo5OmQ5N2c8ZEBpam5rZG85cm9nNTMzNzczM0A2LWA2YDBiXl4xYjVfMDU2YSNhcmFiMmRrcGphLS1kMTZzcw%3D%3D&amp;btag=e00090000&amp;expire=1763173615&amp;l=20251113102424EE0F9FCD2CC2B68BE0E2&amp;ply_type=2&amp;policy=2&amp;signature=7519176e6a72e0abf564778318831a8d&amp;tk=tt_chain_token</t>
  </si>
  <si>
    <t>7569029488961506567</t>
  </si>
  <si>
    <t>https://www.tiktok.com/@psi.walace/video/7542648377733844230</t>
  </si>
  <si>
    <t>https://p16-sign-va.tiktokcdn.com/tos-maliva-avt-0068/4949bb024f91e1b4bc8f1b459a9fc215~tplv-tiktokx-cropcenter:100:100.jpeg?dr=14579&amp;refresh_token=fba24e79&amp;x-expires=1764727200&amp;x-signature=7FnBkpoZCpNPjSo94tkcqpayjMo%3D&amp;t=4d5b0474&amp;ps=13740610&amp;shp=a5d48078&amp;shcp=81f88b70&amp;idc=my</t>
  </si>
  <si>
    <t>O QUE É TDAH? #tdah #oqueetdah #sintomasdotdah</t>
  </si>
  <si>
    <t>som original - Liberdade Mental 🧠💫</t>
  </si>
  <si>
    <t>7569029556620004103</t>
  </si>
  <si>
    <t>https://v16-webapp-prime.tiktok.com/video/tos/alisg/tos-alisg-v-27dcd7/oECBQEXKhJpMfB8BfcDp6IC8QCmJEhFgdp3U6u/?a=1988&amp;bti=ODszNWYuMDE6&amp;ch=0&amp;cr=0&amp;dr=0&amp;er=0&amp;lr=default&amp;cd=0%7C0%7C0%7C0&amp;br=250&amp;bt=125&amp;ft=GNDpcInz7Th49-UPXq8Zmo&amp;mime_type=audio_mpeg&amp;qs=6&amp;rc=MzdlNGY0ZWY2Mzk0N2lkaUBpM3F5dXk5cmo8NzMzODU8NEBgLTIyYDQvNi4xNV9eMzIyYSNxaGoxMmRrZDJhLS1kMS1zcw%3D%3D&amp;btag=e00090000&amp;expire=1763004351&amp;l=20251113102415EC11E565E652E77F00C9&amp;ply_type=3&amp;policy=3&amp;signature=c1d4a679f4a2092ee4268f35cca4099e&amp;tk=7571587458748974088</t>
  </si>
  <si>
    <t>https://v16-webapp-prime.tiktok.com/video/tos/alisg/tos-alisg-v-27dcd7/oECBQEXKhJpMfB8BfcDp6IC8QCmJEhFgdp3U6u/?a=1988&amp;bti=ODszNWYuMDE6&amp;ch=0&amp;cr=0&amp;dr=0&amp;er=0&amp;lr=default&amp;cd=0%7C0%7C0%7C0&amp;br=250&amp;bt=125&amp;ft=GNDpcInz7ThJzKvPXq8Zmo&amp;mime_type=audio_mpeg&amp;qs=6&amp;rc=MzdlNGY0ZWY2Mzk0N2lkaUBpM3F5dXk5cmo8NzMzODU8NEBgLTIyYDQvNi4xNV9eMzIyYSNxaGoxMmRrZDJhLS1kMS1zcw%3D%3D&amp;btag=e00090000&amp;expire=1764559397&amp;l=20251201102141EAAE30DD17435761F356&amp;ply_type=3&amp;policy=3&amp;signature=f60e6eaca7ca765ae4402e9ee01890b3&amp;tk=7571587458748974088</t>
  </si>
  <si>
    <t>https://v16-webapp-prime.tiktok.com/video/tos/alisg/tos-alisg-pve-0037/o4kJkVgEpMQdCMJpAZgIVMgFHfIxYfCUBDmBgt/?a=1988&amp;bti=ODszNWYuMDE6&amp;ch=0&amp;cr=3&amp;dr=0&amp;lr=all&amp;cd=0%7C0%7C0%7C&amp;cv=1&amp;br=1076&amp;bt=538&amp;cs=0&amp;ds=3&amp;ft=-Csk_mrMPD12Nycopd-UxG4vXY6e3wv25McAp&amp;mime_type=video_mp4&amp;qs=0&amp;rc=N2lmODs7ODY5O2dnM2U4N0BpamhtZmw5cjY8NzMzODgzNEAtXmE2YjEuXzExMTExMDA2YSNtYS0zMmQ0ZDJhLS1kLzFzcw%3D%3D&amp;btag=e00090000&amp;expire=1763173551&amp;l=20251113102415EC11E565E652E77F00C9&amp;ply_type=2&amp;policy=2&amp;signature=5326ff8e2107ed8e07bff1313687aca0&amp;tk=tt_chain_token</t>
  </si>
  <si>
    <t>https://p16-sign-va.tiktokcdn.com/tos-maliva-avt-0068/4949bb024f91e1b4bc8f1b459a9fc215~tplv-tiktokx-cropcenter:1080:1080.jpeg?dr=14579&amp;refresh_token=c92f6bbc&amp;x-expires=1764727200&amp;x-signature=kqT8Sh%2BWqJoEp3tEQDAfIgiavbE%3D&amp;t=4d5b0474&amp;ps=13740610&amp;shp=a5d48078&amp;shcp=81f88b70&amp;idc=my</t>
  </si>
  <si>
    <t>https://www.tiktok.com/@liberdade.mentall/video/7569029488961506567</t>
  </si>
  <si>
    <t>tdah,oqueetdah,sintomasdotdah</t>
  </si>
  <si>
    <t>https://v16-webapp-prime.tiktok.com/video/tos/alisg/tos-alisg-pve-0037/o4kJkVgEpMQdCMJpAZgIVMgFHfIxYfCUBDmBgt/?a=1988&amp;bti=ODszNWYuMDE6&amp;ch=0&amp;cr=3&amp;dr=0&amp;lr=all&amp;cd=0%7C0%7C0%7C&amp;cv=1&amp;br=1076&amp;bt=538&amp;cs=0&amp;ds=3&amp;ft=-Csk_mrMPD12NWDh5d-Uxvt2hY6e3wv251cAp&amp;mime_type=video_mp4&amp;qs=0&amp;rc=N2lmODs7ODY5O2dnM2U4N0BpamhtZmw5cjY8NzMzODgzNEAtXmE2YjEuXzExMTExMDA2YSNtYS0zMmQ0ZDJhLS1kLzFzcw%3D%3D&amp;btag=e00090000&amp;expire=1764728597&amp;l=20251201102141EAAE30DD17435761F356&amp;ply_type=2&amp;policy=2&amp;signature=fb6472b5fc26cbcf9a2b57b27a41bc28&amp;tk=tt_chain_token</t>
  </si>
  <si>
    <t>7192622792641137926</t>
  </si>
  <si>
    <t>brlcortes</t>
  </si>
  <si>
    <t>BRLCORTES</t>
  </si>
  <si>
    <t>https://p16-sign-va.tiktokcdn.com/tos-maliva-avt-0068/205b74d7ce3340fe57e0f8414178c98d~tplv-tiktokx-cropcenter:100:100.jpeg?dr=14579&amp;refresh_token=ab279d8f&amp;x-expires=1763172000&amp;x-signature=%2B3e93h%2BKPw3PbYPMfPoL9Abo8Zw%3D&amp;t=4d5b0474&amp;ps=13740610&amp;shp=a5d48078&amp;shcp=81f88b70&amp;idc=my</t>
  </si>
  <si>
    <t>Ana Beatriz Barbosa no Flow #cortes #cortespodcast #tdah #tdahadulto #educacional #conteudoeducativo #saude #saudemental</t>
  </si>
  <si>
    <t>7192622791131286277</t>
  </si>
  <si>
    <t>https://v16-webapp-prime.tiktok.com/video/tos/useast2a/tos-useast2a-v-27dcd7/eb8e1aff39bf4247a9aa298cd9727f3c/?a=1988&amp;bti=ODszNWYuMDE6&amp;ch=0&amp;cr=0&amp;dr=0&amp;er=0&amp;lr=default&amp;cd=0%7C0%7C0%7C0&amp;br=250&amp;bt=125&amp;ds=5&amp;ft=GNDpcInz7ThbK-UPXq8Zmo&amp;mime_type=audio_mpeg&amp;qs=13&amp;rc=ajN4ZDg6ZnFvaTMzNzU8M0BpajN4ZDg6ZnFvaTMzNzU8M0Atbm9tcjQwNTVgLS1kMTZzYSMtbm9tcjQwNTVgLS1kMTZzcw%3D%3D&amp;btag=e00050000&amp;expire=1763004227&amp;l=202511131022442EE54DE47B86CCA867A8&amp;ply_type=3&amp;policy=3&amp;signature=e9f49f22958506ca649874023205104b&amp;tk=7571587458748974088</t>
  </si>
  <si>
    <t>https://p77-sign-va.tiktokcdn.com/tos-maliva-avt-0068/1b1ab6d65ae96fbe11db1ee88f115e37~tplv-tiktokx-cropcenter:100:100.jpeg?dr=14579&amp;refresh_token=cac818f6&amp;x-expires=1764727200&amp;x-signature=NI2d6KV0X9X9UsCVtNfyRso4FTI%3D&amp;t=4d5b0474&amp;ps=13740610&amp;shp=a5d48078&amp;shcp=81f88b70&amp;idc=my</t>
  </si>
  <si>
    <t>https://p77-sign-va.tiktokcdn.com/tos-maliva-avt-0068/205b74d7ce3340fe57e0f8414178c98d~tplv-tiktokx-cropcenter:1080:1080.jpeg?dr=14579&amp;refresh_token=bb5c1baa&amp;x-expires=1763172000&amp;x-signature=g5ZTyTiXZdjYdRa7p%2Fb8JdyL9Nk%3D&amp;t=4d5b0474&amp;ps=13740610&amp;shp=a5d48078&amp;shcp=81f88b70&amp;idc=my</t>
  </si>
  <si>
    <t>https://v16-webapp-prime.tiktok.com/video/tos/maliva/tos-maliva-ve-0068c801-us/oQheijQEzBVOYQRknHRAW8DBPqnm20AehbU4NJ/?a=1988&amp;bti=ODszNWYuMDE6&amp;ch=0&amp;cr=3&amp;dr=0&amp;lr=all&amp;cd=0%7C0%7C0%7C&amp;cv=1&amp;br=958&amp;bt=479&amp;cs=0&amp;ds=3&amp;ft=-Csk_mrMPD12Nzhopd-UxfeFaY6e3wv25HcAp&amp;mime_type=video_mp4&amp;qs=0&amp;rc=OzNpZDVpMzhnNjgzaGUzZUBpamc6OTw6ZnhvaTMzNzczM0BeNC0xLzEuNWAxXzEyNjJiYSNmNTVwcjQwNDVgLS1kMTZzcw%3D%3D&amp;btag=e00090000&amp;expire=1763173427&amp;l=202511131022442EE54DE47B86CCA867A8&amp;ply_type=2&amp;policy=2&amp;signature=0e25d69a532de15b12685f2c9b7e8b62&amp;tk=tt_chain_token</t>
  </si>
  <si>
    <t>https://v16-webapp-prime.tiktok.com/video/tos/useast2a/tos-useast2a-v-27dcd7/oQBrC3ZrmFCA1UNAEoEDguffEApdQ7uBBJsq2J/?a=1988&amp;bti=ODszNWYuMDE6&amp;ch=0&amp;cr=0&amp;dr=0&amp;er=0&amp;lr=default&amp;cd=0%7C0%7C0%7C0&amp;br=250&amp;bt=125&amp;ds=5&amp;ft=GNDpcInz7ThbzKvPXq8Zmo&amp;mime_type=audio_mpeg&amp;qs=13&amp;rc=amZ3O2o5cnRnNTMzNzU8M0BpamZ3O2o5cnRnNTMzNzU8M0BzajNhMmRrcWphLS1kMTZzYSNzajNhMmRrcWphLS1kMTZzcw%3D%3D&amp;btag=e00050000&amp;expire=1764559450&amp;l=20251201102139650E38823033055E6EEC&amp;ply_type=3&amp;policy=3&amp;signature=6ff227c6dd0aebdfe9c7c81611d60f02&amp;tk=7571587458748974088</t>
  </si>
  <si>
    <t>https://www.tiktok.com/@brlcortes/video/7192622792641137926</t>
  </si>
  <si>
    <t>https://v16-webapp-prime.tiktok.com/video/tos/useast2a/tos-useast2a-ve-0068c001/ok15IJb5WDAx3TZs7NFqBRoQ2EfQUBtrEYf0sE/?a=1988&amp;bti=ODszNWYuMDE6&amp;ch=0&amp;cr=3&amp;dr=0&amp;lr=all&amp;cd=0%7C0%7C0%7C&amp;cv=1&amp;br=2822&amp;bt=1411&amp;cs=0&amp;ds=3&amp;ft=-Csk_mrMPD12NzDh5d-UxKyFaY6e3wv257cAp&amp;mime_type=video_mp4&amp;qs=0&amp;rc=NDs4OmZkOzo5OmQ5N2c8ZEBpam5rZG85cm9nNTMzNzczM0A2LWA2YDBiXl4xYjVfMDU2YSNhcmFiMmRrcGphLS1kMTZzcw%3D%3D&amp;btag=e00090000&amp;expire=1764728650&amp;l=20251201102139650E38823033055E6EEC&amp;ply_type=2&amp;policy=2&amp;signature=eb987caf48282aaf11179fae6f2f159d&amp;tk=tt_chain_token</t>
  </si>
  <si>
    <t>cortes,cortespodcast,tdah,tdahadulto,educacional,conteudoeducativo,saude,saudemental</t>
  </si>
  <si>
    <t>https://p77-sign-va.tiktokcdn.com/tos-maliva-avt-0068/0fb17d655c9941cc7d7260156b5d573f~tplv-tiktokx-cropcenter:100:100.jpeg?dr=14579&amp;refresh_token=f8ea4619&amp;x-expires=1763172000&amp;x-signature=9sY%2F3O4veh1C471DOT%2Fc5%2BimBeM%3D&amp;t=4d5b0474&amp;ps=13740610&amp;shp=a5d48078&amp;shcp=81f88b70&amp;idc=my</t>
  </si>
  <si>
    <t>7575224237473041684</t>
  </si>
  <si>
    <t>conflitomundi</t>
  </si>
  <si>
    <t>Mundo em conflito</t>
  </si>
  <si>
    <t>https://v16-webapp-prime.tiktok.com/video/tos/useast2a/tos-useast2a-v-27dcd7/o40uSAJDoBek7rgFEAAX1CIHUBSSf6OQxJI6Hj/?a=1988&amp;bti=ODszNWYuMDE6&amp;ch=0&amp;cr=0&amp;dr=0&amp;er=0&amp;lr=default&amp;cd=0%7C0%7C0%7C0&amp;br=250&amp;bt=125&amp;ds=5&amp;ft=GNDpcInz7ThGD-UPXq8Zmo&amp;mime_type=audio_mpeg&amp;qs=13&amp;rc=M3c4eGw5cjtxNjMzNzU8M0BpM3c4eGw5cjtxNjMzNzU8M0BxLTIuMmRza2hhLS1kMTZzYSNxLTIuMmRza2hhLS1kMTZzcw%3D%3D&amp;btag=e00058000&amp;expire=1763004551&amp;l=2025111310254344385823DD6566920070&amp;ply_type=3&amp;policy=3&amp;signature=aef86505d768cb6b21e584f99098d1f9&amp;tk=7571587458748974088</t>
  </si>
  <si>
    <t>https://p77-sign-va.tiktokcdn.com/tos-maliva-avt-0068/48c4a6308415faf95e160b62087a6ad8~tplv-tiktokx-cropcenter:100:100.jpeg?dr=14579&amp;refresh_token=a60f4dce&amp;x-expires=1764727200&amp;x-signature=kTpV0NQaRyfTAcHd1GOQLlVC7Bo%3D&amp;t=4d5b0474&amp;ps=13740610&amp;shp=a5d48078&amp;shcp=81f88b70&amp;idc=my</t>
  </si>
  <si>
    <t>O lado poderoso do TDAH que passa despercebido #TDAH #neurociência #podcat3irmaos</t>
  </si>
  <si>
    <t>memories</t>
  </si>
  <si>
    <t>7145623012119676930</t>
  </si>
  <si>
    <t>https://sf16-ies-music-sg.tiktokcdn.com/obj/tos-alisg-ve-2774/osDtpndkVFGYCBQsEopnZGgqqEQDfBuDY4dVQf</t>
  </si>
  <si>
    <t>https://p77-sign-va.tiktokcdn.com/tos-maliva-avt-0068/0fb17d655c9941cc7d7260156b5d573f~tplv-tiktokx-cropcenter:1080:1080.jpeg?dr=14579&amp;refresh_token=855b71ba&amp;x-expires=1763172000&amp;x-signature=gno6OBwFTRxMG70aqDvnx5%2BYcuA%3D&amp;t=4d5b0474&amp;ps=13740610&amp;shp=a5d48078&amp;shcp=81f88b70&amp;idc=my</t>
  </si>
  <si>
    <t>https://p77-sg.tiktokcdn.com/aweme/720x720/tos-alisg-v-2774/ogICIADAzhKAFfGSRLAyeMtOkaeavIAAg9oqCH.jpeg</t>
  </si>
  <si>
    <t>https://v16-webapp-prime.tiktok.com/video/tos/useast2a/tos-useast2a-pve-0068/oc5C7vR7gfjXQxVIWuAPwQIMSgvS01fCuv89Ae/?a=1988&amp;bti=ODszNWYuMDE6&amp;ch=0&amp;cr=3&amp;dr=0&amp;lr=all&amp;cd=0%7C0%7C0%7C&amp;cv=1&amp;br=2278&amp;bt=1139&amp;cs=0&amp;ds=3&amp;ft=-Csk_mrMPD12Nn.opd-UxJTFGY6e3wv25bcAp&amp;mime_type=video_mp4&amp;qs=0&amp;rc=MzY0NjtmOTs7MzhlZjxlNEBpamV1cXE5cnhxNjMzNzczM0AyMGMyNGM2Ni0xMmNfLy1iYSNvc2tmMmQ0X2hhLS1kMTZzcw%3D%3D&amp;btag=e00098000&amp;expire=1763173751&amp;l=2025111310254344385823DD6566920070&amp;ply_type=2&amp;policy=2&amp;signature=122c27765e305480cfb7c976624fcb0e&amp;tk=tt_chain_token</t>
  </si>
  <si>
    <t>leadwave</t>
  </si>
  <si>
    <t>https://v16-webapp-prime.tiktok.com/video/tos/alisg/tos-alisg-pve-0037c001/owBKA1QyOii5IMwDCESUhViYEzgPSaY8A2BYa/?a=1988&amp;bti=ODszNWYuMDE6&amp;ch=0&amp;cr=3&amp;dr=0&amp;lr=all&amp;cd=0%7C0%7C0%7C&amp;cv=1&amp;br=1542&amp;bt=771&amp;cs=0&amp;ds=3&amp;ft=-Csk_mrMPD12NNBh5d-UxIS5hY6e3wv25ocAp&amp;mime_type=video_mp4&amp;qs=0&amp;rc=aTU1ZDdkaWU7NGdpZjdlNkBpM2Y8dm05cmQ8NzMzODczNEAuMTJgNF5gX2AxYzY0Yi0wYSNsXmhkMmQ0aGRhLS1kMS1zcw%3D%3D&amp;btag=e00088000&amp;expire=1764728544&amp;l=20251201102153319CD8E1EA373154CB8C&amp;ply_type=2&amp;policy=2&amp;signature=8b1fec156e73f6cb6a5ce80a6c462850&amp;tk=tt_chain_token</t>
  </si>
  <si>
    <t>https://www.tiktok.com/@conflitomundi/video/7575224237473041684</t>
  </si>
  <si>
    <t>7487770948054060343</t>
  </si>
  <si>
    <t>https://p16-sign-va.tiktokcdn.com/tos-maliva-avt-0068/4949bb024f91e1b4bc8f1b459a9fc215~tplv-tiktokx-cropcenter:100:100.jpeg?dr=14579&amp;refresh_token=284b51f7&amp;x-expires=1763172000&amp;x-signature=nsBLE%2BVwlu0QcqCmxxESfrMkiVY%3D&amp;t=4d5b0474&amp;ps=13740610&amp;shp=a5d48078&amp;shcp=81f88b70&amp;idc=my</t>
  </si>
  <si>
    <t>tdah,neurociência,podcat3irmaos</t>
  </si>
  <si>
    <t>7535613909680688390</t>
  </si>
  <si>
    <t>ESSE É O TDAH DE VERDADE... #tdah #sintomasdotdah #oqueetdah</t>
  </si>
  <si>
    <t>7535613957294263045</t>
  </si>
  <si>
    <t>https://v16-webapp-prime.tiktok.com/video/tos/useast2a/tos-useast2a-v-27dcd7/oAQnYgCJTwfJEPGRuLscezJgUHBozIDgS38gCf/?a=1988&amp;bti=ODszNWYuMDE6&amp;ch=0&amp;cr=0&amp;dr=0&amp;er=0&amp;lr=default&amp;cd=0%7C0%7C0%7C0&amp;br=250&amp;bt=125&amp;ft=GNDpcInz7ThngKvPXq8Zmo&amp;mime_type=audio_mpeg&amp;qs=6&amp;rc=PDM3OWc2aDM3OTU1NDVmaEBpM3N5dGo5cnh4NTMzNzU8M0AxLTUuMy8xXmIxMi0zMGMyYSNpay5hMmRjLjZhLS1kMTZzcw%3D%3D&amp;btag=e00090000&amp;expire=1764559525&amp;l=20251201102342C0946798717F92EC881C&amp;ply_type=3&amp;policy=3&amp;signature=7a22d593d8e9c0dcc204b191ea2e1549&amp;tk=7571587458748974088</t>
  </si>
  <si>
    <t xml:space="preserve">Não é pelo calor. É pelo barulho. Pelo som constante que abafa os pensamentos. Pelo ruído que silencia o caos interno. Porque o silêncio da madrugada vira tortura quando sua mente não para. Gente “normal” dorme quando quer. Você? Deita e começa a guerra. Repassa tudo que fez. Se culpa por tudo que não fez. Se compara, se critica, se odeia em silêncio. A cabeça não para. A respiração acelera. O coração bate forte, sem motivo. E a única coisa que alivia… é o barulho do ventilador. Porque ele distrai. Ele preenche. Ele ajuda você a esquecer — mesmo que por alguns minutos — que a sua mente tá te torturando. E o pior: você acha que isso é normal. Já se acostumou com o cansaço. Com as noites mal dormidas. Com os dias improdutivos. Com a sensação constante de que tá perdendo a vida… sem nem saber por onde recomeçar. Mas isso não é normal. Isso é TDAH. É ansiedade. É seu cérebro te sabotando todo santo dia. E você pode continuar fingindo que tá tudo bem… Ou pode fazer alguma coisa agora. O Manual da Liberdade foi feito exatamente pra quem vive assim. Pra quem não aguenta mais lutar contra a própria mente. Pra quem tá cansado de sobreviver, e quer começar a viver. Clica no link da bio. E para de fingir que viver assim é “só uma fase”. Porque se você não tratar, essa fase vai ser a sua vida inteira. #tdah #oqueetdah #sintomasdotdah </t>
  </si>
  <si>
    <t>7487770947022899973</t>
  </si>
  <si>
    <t>https://v16-webapp-prime.tiktok.com/video/tos/useast2a/tos-useast2a-v-27dcd7/ocmPADgI0AFeCxLfogkTYSPB0HT00ETfEIuCAY/?a=1988&amp;bti=ODszNWYuMDE6&amp;ch=0&amp;cr=0&amp;dr=0&amp;er=0&amp;lr=default&amp;cd=0%7C0%7C0%7C0&amp;br=250&amp;bt=125&amp;ds=5&amp;ft=GNDpcInz7ThiV-UPXq8Zmo&amp;mime_type=audio_mpeg&amp;qs=13&amp;rc=M213dWw5cjV4eTMzNzU8M0BpM213dWw5cjV4eTMzNzU8M0BhaC8wMmRzZGhgLS1kMTZzYSNhaC8wMmRzZGhgLS1kMTZzcw%3D%3D&amp;btag=e00050000&amp;expire=1763004334&amp;l=2025111310235634FE9FF2AA2A079ADB1D&amp;ply_type=3&amp;policy=3&amp;signature=8053a655a9a90941b69bd3277ae6ff72&amp;tk=7571587458748974088</t>
  </si>
  <si>
    <t>https://p77-sign-va.tiktokcdn.com/tos-maliva-avt-0068/4949bb024f91e1b4bc8f1b459a9fc215~tplv-tiktokx-cropcenter:1080:1080.jpeg?dr=14579&amp;refresh_token=fd0492d3&amp;x-expires=1764727200&amp;x-signature=uY90EBP%2BwXVfvd%2BEh%2FCZP271Sw0%3D&amp;t=4d5b0474&amp;ps=13740610&amp;shp=a5d48078&amp;shcp=81f88b70&amp;idc=my</t>
  </si>
  <si>
    <t>https://v16-webapp-prime.tiktok.com/video/tos/useast2a/tos-useast2a-pve-0068/oICgTCfEhg0HPHkSUICcj5ADQ2QeF6IWDm3e0T/?a=1988&amp;bti=ODszNWYuMDE6&amp;ch=0&amp;cr=3&amp;dr=0&amp;lr=all&amp;cd=0%7C0%7C0%7C&amp;cv=1&amp;br=1362&amp;bt=681&amp;cs=0&amp;ds=3&amp;ft=-Csk_mrMPD12N3Yopd-Ux24FaY6e3wv25WcAp&amp;mime_type=video_mp4&amp;qs=0&amp;rc=NTlpZ2g2ZTg6N2k0Mzw8OEBpMzxvOW05cjR4eTMzNzczM0AyXl4wNjIwNS8xY19fMS9fYSNtbW8yMmRzYmhgLS1kMTZzcw%3D%3D&amp;btag=e00090000&amp;expire=1763173534&amp;l=2025111310235634FE9FF2AA2A079ADB1D&amp;ply_type=2&amp;policy=2&amp;signature=cc24ee94c14148bea5a96a65446e50a9&amp;tk=tt_chain_token</t>
  </si>
  <si>
    <t>https://v16-webapp-prime.tiktok.com/video/tos/useast2a/tos-useast2a-pve-0068/oMJDFFryEGMQERFQoPSAI49ff6uVBaCkTIBLQS/?a=1988&amp;bti=ODszNWYuMDE6&amp;ch=0&amp;cr=3&amp;dr=0&amp;lr=all&amp;cd=0%7C0%7C0%7C&amp;cv=1&amp;br=916&amp;bt=458&amp;cs=0&amp;ds=3&amp;ft=-Csk_mrMPD12NPZh5d-UxbX2SY6e3wv25dcAp&amp;mime_type=video_mp4&amp;qs=0&amp;rc=OGc3ZjNmOGY5PDdkZGhnNUBpamw0bnE5cjl3NTMzNzgzM0AzNF42L2E1XmMxNC8xNF80YSMvMS5jMmRrcTZhLS1kLzZzcw%3D%3D&amp;btag=e00090000&amp;expire=1764728725&amp;l=20251201102342C0946798717F92EC881C&amp;ply_type=2&amp;policy=2&amp;signature=335c4b4bf605cd290de6785adb511217&amp;tk=tt_chain_token</t>
  </si>
  <si>
    <t>https://www.tiktok.com/@liberdade.mentall/video/7487770948054060343</t>
  </si>
  <si>
    <t>https://v16-webapp-prime.tiktok.com/video/tos/useast2a/tos-useast2a-v-27dcd7/oAQnYgCJTwfJEPGRuLscezJgUHBozIDgS38gCf/?a=1988&amp;bti=ODszNWYuMDE6&amp;ch=0&amp;cr=0&amp;dr=0&amp;er=0&amp;lr=default&amp;cd=0%7C0%7C0%7C0&amp;br=250&amp;bt=125&amp;ft=GNDpcInz7ThVY-UPXq8Zmo&amp;mime_type=audio_mpeg&amp;qs=6&amp;rc=PDM3OWc2aDM3OTU1NDVmaEBpM3N5dGo5cnh4NTMzNzU8M0AxLTUuMy8xXmIxMi0zMGMyYSNpay5hMmRjLjZhLS1kMTZzcw%3D%3D&amp;btag=e00090000&amp;expire=1763004501&amp;l=202511131026378F10DAFBB0AF239B249B&amp;ply_type=3&amp;policy=3&amp;signature=b33273d9abfb10af772107fb7672323f&amp;tk=7571587458748974088</t>
  </si>
  <si>
    <t>https://www.tiktok.com/@liberdade.mentall/video/7535613909680688390</t>
  </si>
  <si>
    <t>https://v16-webapp-prime.tiktok.com/video/tos/useast2a/tos-useast2a-pve-0068/oMJDFFryEGMQERFQoPSAI49ff6uVBaCkTIBLQS/?a=1988&amp;bti=ODszNWYuMDE6&amp;ch=0&amp;cr=3&amp;dr=0&amp;lr=all&amp;cd=0%7C0%7C0%7C&amp;cv=1&amp;br=916&amp;bt=458&amp;cs=0&amp;ds=3&amp;ft=-Csk_mrMPD12NY_opd-Uxz42hY6e3wv25ycAp&amp;mime_type=video_mp4&amp;qs=0&amp;rc=OGc3ZjNmOGY5PDdkZGhnNUBpamw0bnE5cjl3NTMzNzgzM0AzNF42L2E1XmMxNC8xNF80YSMvMS5jMmRrcTZhLS1kLzZzcw%3D%3D&amp;btag=e00090000&amp;expire=1763173701&amp;l=202511131026378F10DAFBB0AF239B249B&amp;ply_type=2&amp;policy=2&amp;signature=fd5b3a0e911d583fc50283a9ef7c1b32&amp;tk=tt_chain_token</t>
  </si>
  <si>
    <t>tdah,sintomasdotdah,oqueetdah</t>
  </si>
  <si>
    <t>7524464636557561093</t>
  </si>
  <si>
    <t xml:space="preserve">Isso é muito comum no TDAH, principalmente no TDAH do tipo Hiperativo/Impulsivo (e no TDAH Combinado), não é que a pessoa está sendo grossa de propósito para machucar ou ser ríspida, é apenas uma reação instantânea da pessoa que acaba não medindo a forma como fala, não tem o controle do impulso, e isso acaba gerando episódios como no vídeo. #psicologia #tdah #tdahadulto </t>
  </si>
  <si>
    <t>https://p77-sg.tiktokcdn.com/aweme/720x720/tos-alisg-v-2774/o8CZDEgpEsoAeWtxEBnAtQFAgpHQVBf148CJcS.jpeg</t>
  </si>
  <si>
    <t>7168484946154179846</t>
  </si>
  <si>
    <t>https://p77-sign-va.tiktokcdn.com/tos-maliva-avt-0068/72466cc9d5b9a27930c91e8fb7677589~tplv-tiktokx-cropcenter:100:100.jpeg?dr=14579&amp;refresh_token=5f5d8ba1&amp;x-expires=1763172000&amp;x-signature=z0g0JQ3%2Fn85I6F4U84rdOVbJcE8%3D&amp;t=4d5b0474&amp;ps=13740610&amp;shp=a5d48078&amp;shcp=81f88b70&amp;idc=my</t>
  </si>
  <si>
    <t>https://v16-webapp-prime.tiktok.com/video/tos/useast2a/tos-useast2a-pve-0068/o8IMQ2ghfVDIICmfRcRCVpMAQrS7YSSQfg8Xji/?a=1988&amp;bti=ODszNWYuMDE6&amp;ch=0&amp;cr=3&amp;dr=0&amp;lr=all&amp;cd=0%7C0%7C0%7C&amp;cv=1&amp;br=1112&amp;bt=556&amp;cs=0&amp;ds=6&amp;ft=-Csk_mrMPD12NWDh5d-Uxvt2hY6e3wv251cAp&amp;mime_type=video_mp4&amp;qs=5&amp;rc=ZWk1Mzg3aGg3ZWloaTgzZUBpajxleXY5cjs3NDMzNzczM0A1LzMvYzIvX2MxLl8xXzNiYSM2NnE0MmRjMWphLS1kMTZzcw%3D%3D&amp;btag=e00090000&amp;expire=1764728636&amp;l=20251201102141EAAE30DD17435761F356&amp;ply_type=2&amp;policy=2&amp;signature=4e6be3b0e82c8d3c1c3ce8e0363dbeac&amp;tk=tt_chain_token</t>
  </si>
  <si>
    <t>Entenda o que é TDAH de uma vez por todas! Manda pra oamigo que precisa saber dessa informação! @maumeirelles  #tdah #tda #dda #tdahadultos #tdahadulto</t>
  </si>
  <si>
    <t>7168484980052593414</t>
  </si>
  <si>
    <t>https://v16-webapp-prime.tiktok.com/video/tos/useast2a/tos-useast2a-v-27dcd7/cc4227a515e44fa39b39e2dacf6ec5f9/?a=1988&amp;bti=ODszNWYuMDE6&amp;ch=0&amp;cr=0&amp;dr=0&amp;er=0&amp;lr=default&amp;cd=0%7C0%7C0%7C0&amp;br=216&amp;bt=108&amp;ds=5&amp;ft=GNDpcInz7ThRK-UPXq8Zmo&amp;mime_type=video_mp4&amp;qs=13&amp;rc=M2c8Ozo6ZjpzZzMzNzU8M0BpM2c8Ozo6ZjpzZzMzNzU8M0AuYW42cjRnM3FgLS1kMTZzYSMuYW42cjRnM3FgLS1kMTZzcw%3D%3D&amp;btag=e00050000&amp;expire=1763004231&amp;l=202511131022245A53A91EDE77CC8B0DB4&amp;ply_type=3&amp;policy=3&amp;signature=aa52593dfdba3ea273ce3dde69bb5295&amp;tk=7571587458748974088</t>
  </si>
  <si>
    <t>https://p77-sign-va.tiktokcdn.com/tos-maliva-avt-0068/72466cc9d5b9a27930c91e8fb7677589~tplv-tiktokx-cropcenter:1080:1080.jpeg?dr=14579&amp;refresh_token=9312f40f&amp;x-expires=1763172000&amp;x-signature=AsfPTKCndABnY%2BvhzMdD3ypser0%3D&amp;t=4d5b0474&amp;ps=13740610&amp;shp=a5d48078&amp;shcp=81f88b70&amp;idc=my</t>
  </si>
  <si>
    <t>https://www.tiktok.com/@psi.walace/video/7524464636557561093</t>
  </si>
  <si>
    <t>https://v16-webapp-prime.tiktok.com/video/tos/maliva/tos-maliva-ve-0068c801-us/o4KenbAzIDzSozkyhgGgeC17Q7j5AeBgxCFLB3/?a=1988&amp;bti=ODszNWYuMDE6&amp;ch=0&amp;cr=3&amp;dr=0&amp;lr=all&amp;cd=0%7C0%7C0%7C&amp;cv=1&amp;br=1120&amp;bt=560&amp;cs=0&amp;ds=3&amp;ft=-Csk_mrMPD12NXhopd-UxB6vSY6e3wv25rcAp&amp;mime_type=video_mp4&amp;qs=0&amp;rc=NTplaTg0OWk7OTk6Zmc3OUBpM3M1aDM6ZmZzZzMzNzczM0AtLmA0LTQ1Xi8xMGAxMGAzYSM1Lmg1cjRvMnFgLS1kMTZzcw%3D%3D&amp;btag=e00090000&amp;expire=1763173431&amp;l=202511131022245A53A91EDE77CC8B0DB4&amp;ply_type=2&amp;policy=2&amp;signature=d2ac461c9bbc0f656da87d89a610a060&amp;tk=tt_chain_token</t>
  </si>
  <si>
    <t>7485173096727530758</t>
  </si>
  <si>
    <t xml:space="preserve">Você acha que tá vivendo… mas na real, tá só sobrevivendo. Tem coisa errada aí e você nem se ligou que pode ser o TDAH te sabotando em silêncio. Cansaço sem motivo, projetos largados, vazio constante, raiva acumulada… Tá tudo aí gritando que tem algo fora do lugar. Essa postagem vai abrir teus olhos. E talvez te mostrar o que você nunca teve coragem de encarar. #tdah #sintomasdotdah #oqueetdah </t>
  </si>
  <si>
    <t>7485173142029060869</t>
  </si>
  <si>
    <t>https://v16-webapp-prime.tiktok.com/video/tos/useast2a/tos-useast2a-v-27dcd7/oAVUB4WJgECK3AJEeyr1gfAaQQEo1BDDnEzJAF/?a=1988&amp;bti=ODszNWYuMDE6&amp;ch=0&amp;cr=0&amp;dr=0&amp;er=0&amp;lr=default&amp;cd=0%7C0%7C0%7C0&amp;br=250&amp;bt=125&amp;ds=5&amp;ft=GNDpcInz7ThFgKvPXq8Zmo&amp;mime_type=audio_mpeg&amp;qs=13&amp;rc=M3E6O245cm9keTMzNzU8M0BpM3E6O245cm9keTMzNzU8M0A1cWdhMmRrbmRgLS1kMTZzYSM1cWdhMmRrbmRgLS1kMTZzcw%3D%3D&amp;btag=e00050000&amp;expire=1764559487&amp;l=2025120110233096978CEC0666EFF2D3F0&amp;ply_type=3&amp;policy=3&amp;signature=1993f3340d43c0f852eea0d86e5b5fda&amp;tk=7571587458748974088</t>
  </si>
  <si>
    <t>https://www.tiktok.com/@brunolnunes/video/7168484946154179846</t>
  </si>
  <si>
    <t>https://v16-webapp-prime.tiktok.com/video/tos/useast2a/tos-useast2a-ve-0068c002/ok4e8AM2mybCrXjVQfSDRgSIgQ0YCfxIvLhIQp/?a=1988&amp;bti=ODszNWYuMDE6&amp;ch=0&amp;cr=3&amp;dr=0&amp;lr=all&amp;cd=0%7C0%7C0%7C&amp;cv=1&amp;br=2884&amp;bt=1442&amp;cs=0&amp;ds=3&amp;ft=I~da4oKyD12NvuA0i.IxREJNglBF-UjNSmopiX&amp;mime_type=video_mp4&amp;qs=0&amp;rc=ZDk3NjY5NDw3ZjxkZTdkM0BpajxleXY5cjs3NDMzNzczM0AyNmM1LTJgXl4xLjM2NmMwYSM2NnE0MmRjMWphLS1kMTZzcw%3D%3D&amp;btag=e00090000&amp;expire=1763173608&amp;l=202511131024337F554789EF0D09A1F8EB&amp;ply_type=2&amp;policy=2&amp;signature=ad59ffef6c5cab217b77f82bd670e46f&amp;tk=tt_chain_token</t>
  </si>
  <si>
    <t>https://v16-webapp-prime.tiktok.com/video/tos/useast2a/tos-useast2a-ve-0068c003/ositWGvzeA29gkEQiwFC7IrAkwgvE5iJC5YoIB/?a=1988&amp;bti=ODszNWYuMDE6&amp;ch=0&amp;cr=3&amp;dr=0&amp;lr=all&amp;cd=0%7C0%7C0%7C&amp;cv=1&amp;br=1318&amp;bt=659&amp;cs=0&amp;ds=3&amp;ft=-Csk_mrMPD12NBZh5d-UxSc2hY6e3wv252cAp&amp;mime_type=video_mp4&amp;qs=0&amp;rc=Z2U8ZWlkN2U5ZGdoOGdkaEBpMzdla2o5cjdkeTMzNzczM0AxYi4vNTUxNV4xMDI0MC0vYSNgb2BwMmRrbmRgLS1kMTZzcw%3D%3D&amp;btag=e00090000&amp;expire=1764728687&amp;l=2025120110233096978CEC0666EFF2D3F0&amp;ply_type=2&amp;policy=2&amp;signature=50656ee205051c73f30cb41273862b27&amp;tk=tt_chain_token</t>
  </si>
  <si>
    <t>https://v16-webapp-prime.tiktok.com/video/tos/useast2a/tos-useast2a-v-27dcd7/oAVUB4WJgECK3AJEeyr1gfAaQQEo1BDDnEzJAF/?a=1988&amp;bti=ODszNWYuMDE6&amp;ch=0&amp;cr=0&amp;dr=0&amp;er=0&amp;lr=default&amp;cd=0%7C0%7C0%7C0&amp;br=250&amp;bt=125&amp;ds=5&amp;ft=GNDpcInz7ThOD-UPXq8Zmo&amp;mime_type=audio_mpeg&amp;qs=13&amp;rc=M3E6O245cm9keTMzNzU8M0BpM3E6O245cm9keTMzNzU8M0A1cWdhMmRrbmRgLS1kMTZzYSM1cWdhMmRrbmRgLS1kMTZzcw%3D%3D&amp;btag=e00050000&amp;expire=1763004413&amp;l=20251113102536F89EBD83B531C49CD72A&amp;ply_type=3&amp;policy=3&amp;signature=cab5c42076f9446e10c7d1aa3f4cc89c&amp;tk=7571587458748974088</t>
  </si>
  <si>
    <t>https://www.tiktok.com/@liberdade.mentall/video/7485173096727530758</t>
  </si>
  <si>
    <t>https://v16-webapp-prime.tiktok.com/video/tos/useast2a/tos-useast2a-ve-0068c003/ositWGvzeA29gkEQiwFC7IrAkwgvE5iJC5YoIB/?a=1988&amp;bti=ODszNWYuMDE6&amp;ch=0&amp;cr=3&amp;dr=0&amp;lr=all&amp;cd=0%7C0%7C0%7C&amp;cv=1&amp;br=1318&amp;bt=659&amp;cs=0&amp;ds=3&amp;ft=-Csk_mrMPD12NE.opd-UxG4vXY6e3wv25McAp&amp;mime_type=video_mp4&amp;qs=0&amp;rc=Z2U8ZWlkN2U5ZGdoOGdkaEBpMzdla2o5cjdkeTMzNzczM0AxYi4vNTUxNV4xMDI0MC0vYSNgb2BwMmRrbmRgLS1kMTZzcw%3D%3D&amp;btag=e00090000&amp;expire=1763173613&amp;l=20251113102536F89EBD83B531C49CD72A&amp;ply_type=2&amp;policy=2&amp;signature=143414c3a6f4304b5c0e7a40cee671a3&amp;tk=tt_chain_token</t>
  </si>
  <si>
    <t>7443539900613283127</t>
  </si>
  <si>
    <t>meu.mundotdah</t>
  </si>
  <si>
    <t>https://p77-sign-va.tiktokcdn.com/tos-maliva-avt-0068/38f87d0ccea25144d85cc3d0f2f08234~tplv-tiktokx-cropcenter:100:100.jpeg?dr=14579&amp;refresh_token=19f7542f&amp;x-expires=1764727200&amp;x-signature=KsG3dIJ1GzQz5m8rTS4nbhBunUU%3D&amp;t=4d5b0474&amp;ps=13740610&amp;shp=a5d48078&amp;shcp=81f88b70&amp;idc=my</t>
  </si>
  <si>
    <t>Muita gente associa o TDAH àquela energia sem fim, correndo pra lá e pra cá. Mas nem sempre a hiperatividade é visível. No TDAH, ela pode aparecer como hiperatividade mental, com pensamentos acelerados, dificuldade de desligar a mente e sensação de estar sempre ‘ligado no 220’. Se você se identifica com isso, tente atividades que ajudam a organizar a mente, como escrever seus pensamentos ou praticar meditação guiada. Lembre-se: cada caso é único, e entender como o TDAH se manifesta em você é o primeiro passo para lidar com ele! #tdah #tdahadulto #comportamentohumano</t>
  </si>
  <si>
    <t>7443539911912721207</t>
  </si>
  <si>
    <t>https://v16-webapp-prime.tiktok.com/video/tos/useast2a/tos-useast2a-v-27dcd7/oseJA9ECYO6BIgIniBGL2ofGCYAemITZhGSEAC/?a=1988&amp;bti=ODszNWYuMDE6&amp;ch=0&amp;cr=0&amp;dr=0&amp;er=0&amp;lr=default&amp;cd=0%7C0%7C0%7C0&amp;br=250&amp;bt=125&amp;ds=5&amp;ft=GNDpcInz7ThIPKvPXq8Zmo&amp;mime_type=audio_mpeg&amp;qs=13&amp;rc=amk0dWs5cjxmdzMzNzU8M0Bpamk0dWs5cjxmdzMzNzU8M0BjMGhqMmQ0NTNgLS1kMTZzYSNjMGhqMmQ0NTNgLS1kMTZzcw%3D%3D&amp;btag=e00078000&amp;expire=1764559229&amp;l=20251201102014E2CB5F4C19000C61E683&amp;ply_type=3&amp;policy=3&amp;signature=5a0850f2bdbdb9aa064f4404ede56e8f&amp;tk=7571587458748974088</t>
  </si>
  <si>
    <t>7166636392859159834</t>
  </si>
  <si>
    <t>O TDAH se apresenta nas mulheres dessa forma. Manda prakela pessoa que precisa ver esse video. @maumeirelles   #tdah #tda #dda #tdahadultos #tdahadulto</t>
  </si>
  <si>
    <t>7166636429404113690</t>
  </si>
  <si>
    <t>https://v16-webapp-prime.tiktok.com/video/tos/useast2a/tos-useast2a-v-27dcd7-aiso/c8799908b3964df4829a60ae1812af2a/?a=1988&amp;bti=ODszNWYuMDE6&amp;ch=0&amp;cr=0&amp;dr=0&amp;er=0&amp;lr=default&amp;cd=0%7C0%7C0%7C0&amp;br=212&amp;bt=106&amp;ds=5&amp;ft=GNDpcInz7ThMV-UPXq8Zmo&amp;mime_type=video_mp4&amp;qs=13&amp;rc=M29yZDc6ZnBqZzMzZjU8M0BpM29yZDc6ZnBqZzMzZjU8M0BrZ2o0cjRfMG5gLS1kMWNzYSNrZ2o0cjRfMG5gLS1kMWNzcw%3D%3D&amp;btag=e00050000&amp;expire=1763004285&amp;l=2025111310232002E5437D242CEA8409F2&amp;ply_type=3&amp;policy=3&amp;signature=6b3dbe7645f9442a141d2ed0ce99b94a&amp;tk=7571587458748974088</t>
  </si>
  <si>
    <t>https://v16-webapp-prime.tiktok.com/video/tos/useast2a/tos-useast2a-ve-0068c004/o8hFEPFNQnzIwHERe2djxQfFvdGzNWQDALJPKB/?a=1988&amp;bti=ODszNWYuMDE6&amp;ch=0&amp;cr=3&amp;dr=0&amp;lr=all&amp;cd=0%7C0%7C0%7C&amp;cv=1&amp;br=996&amp;bt=498&amp;cs=0&amp;ds=3&amp;ft=-Csk_mrMPD12N9Yopd-Ux315hY6e3wv25dcAp&amp;mime_type=video_mp4&amp;qs=0&amp;rc=NDc5aGZmZGk0ZWdmOGVpNkBpam0zbTw6ZnlqZzMzZjczM0AyMTFiLWE1NS0xYGItMTAwYSNra2JscjQwL25gLS1kMWNzcw%3D%3D&amp;btag=e00090000&amp;expire=1763173485&amp;l=2025111310232002E5437D242CEA8409F2&amp;ply_type=2&amp;policy=2&amp;signature=d95e7a5ff8c5b843b8b691b099ce516d&amp;tk=tt_chain_token</t>
  </si>
  <si>
    <t>https://p16-sign-va.tiktokcdn.com/tos-maliva-avt-0068/38f87d0ccea25144d85cc3d0f2f08234~tplv-tiktokx-cropcenter:1080:1080.jpeg?dr=14579&amp;refresh_token=00421b9a&amp;x-expires=1764727200&amp;x-signature=qwBbJcA3SIeTnxjVSyO68OoLBuE%3D&amp;t=4d5b0474&amp;ps=13740610&amp;shp=a5d48078&amp;shcp=81f88b70&amp;idc=my</t>
  </si>
  <si>
    <t>https://www.tiktok.com/@brunolnunes/video/7166636392859159834</t>
  </si>
  <si>
    <t>https://v16-webapp-prime.tiktok.com/video/tos/maliva/tos-maliva-v-85c255-us/o8fAIYIupwPGyBRAq4AbEO6UoQiHgzCmppBkQi/?a=1988&amp;bti=ODszNWYuMDE6&amp;ch=0&amp;cr=3&amp;dr=0&amp;lr=all&amp;cd=0%7C0%7C0%7C&amp;cv=1&amp;br=1396&amp;bt=698&amp;cs=0&amp;ds=3&amp;ft=-Csk_mrMPD12N0dh5d-UxPO2hY6e3wv252cAp&amp;mime_type=video_mp4&amp;qs=0&amp;rc=OTk6NGU7PGRlMzVmZjNoZ0BpamRkN2o5cjpmdzQzNzM2M0AzLTJjL2EuXjExYDYvYzUyYSNoZ2NrMmRzNTNgLS1kLTZzcw%3D%3D&amp;btag=e000b8000&amp;expire=1764728429&amp;l=20251201102014E2CB5F4C19000C61E683&amp;ply_type=2&amp;policy=2&amp;signature=1ab90dec41a57470d0e3b9f6a532c972&amp;tk=tt_chain_token</t>
  </si>
  <si>
    <t>https://p16-sign-va.tiktokcdn.com/tos-maliva-avt-0068/6781b5addc6a078b0d737acccf484359~tplv-tiktokx-cropcenter:100:100.jpeg?dr=14579&amp;refresh_token=449808a5&amp;x-expires=1763172000&amp;x-signature=koBdcTw97XJDQCtuc59SxptNXVo%3D&amp;t=4d5b0474&amp;ps=13740610&amp;shp=a5d48078&amp;shcp=81f88b70&amp;idc=my</t>
  </si>
  <si>
    <t>https://www.tiktok.com/@meu.mundotdah/video/7443539900613283127</t>
  </si>
  <si>
    <t>https://v16-webapp-prime.tiktok.com/video/tos/useast2a/tos-useast2a-pve-0068/oAAwCIXRSIVAGjKRMIeeCLePZGclEqgHO7JXQg/?a=1988&amp;bti=ODszNWYuMDE6&amp;ch=0&amp;cr=3&amp;dr=0&amp;lr=all&amp;cd=0%7C0%7C0%7C&amp;cv=1&amp;br=2268&amp;bt=1134&amp;cs=0&amp;ds=3&amp;ft=-Csk_mrMPD12N4Yopd-Ux9T2bY6e3wv25IcAp&amp;mime_type=video_mp4&amp;qs=0&amp;rc=Z2g0aGZkZjg4aTU1NGRkaUBpM21xa2s5cjVvNTMzNzczM0BeX2I2XzYzNjQxMTVfL14uYSNlMS1sMmRrMGNhLS1kMTZzcw%3D%3D&amp;btag=e000b0000&amp;expire=1763173389&amp;l=20251113102257F8D01E3BFCE9B2911856&amp;ply_type=2&amp;policy=2&amp;signature=29982c455591c95980eb728af7552401&amp;tk=tt_chain_token</t>
  </si>
  <si>
    <t>tdah,tdahadulto,comportamentohumano</t>
  </si>
  <si>
    <t>7277585063594773766</t>
  </si>
  <si>
    <t>marilialanoa</t>
  </si>
  <si>
    <t>tdah autismo ansiedade</t>
  </si>
  <si>
    <t>https://p77-sign-va.tiktokcdn.com/tos-maliva-avt-0068/7326721801726689286~tplv-tiktokx-cropcenter:100:100.jpeg?dr=14579&amp;refresh_token=18cf4625&amp;x-expires=1764727200&amp;x-signature=E2%2BsoVa20ph%2FBbSVTqD55EX0I3s%3D&amp;t=4d5b0474&amp;ps=13740610&amp;shp=a5d48078&amp;shcp=81f88b70&amp;idc=my</t>
  </si>
  <si>
    <t>7489441695633820934</t>
  </si>
  <si>
    <t>Comportamentos que parecem “jeitinho de ser”, mas são claros sinais de TDAH — e sim, dá pra perceber só de bater o olho. Pessoas com TDAH têm uma forma única de se comunicar: dificuldade de manter contato visual, olhar fixo para um ponto enquanto tentam organizar os pensamentos, uma conversa que dá voltas até chegar no ponto… e uma habilidade absurda de engajar qualquer papo, mesmo com desconhecidos. Mas essa mesma impulsividade que torna a conversa interessante pode fazer a gente atropelar a fala dos outros, cortar no meio, ou esquecer completamente o que a outra pessoa estava dizendo. E quando isso acontece, o olhar perdido denuncia: a gente estava ali… mas não estava. Sim, TDAH, isso é mais comum do que parece. Se identificou? Manda esse post pra alguém que também vive assim. #TDAH #TDAHAdulto #Comportamento #Terapia #Psicologia #Curiosidade #Psicoterapia #Neurociência #Foco #DistraidosVenceremos</t>
  </si>
  <si>
    <t>7489441694141254455</t>
  </si>
  <si>
    <t>https://v16-webapp-prime.tiktok.com/video/tos/useast2a/tos-useast2a-v-27dcd7/okD3SEpEGb486C19gIe5ERAAOLVfAPCo26fTHv/?a=1988&amp;bti=ODszNWYuMDE6&amp;ch=0&amp;cr=0&amp;dr=0&amp;er=0&amp;lr=default&amp;cd=0%7C0%7C0%7C0&amp;br=250&amp;bt=125&amp;ds=5&amp;ft=GNDpcInz7ThiV-UPXq8Zmo&amp;mime_type=audio_mpeg&amp;qs=13&amp;rc=anhwcXg5cjh3eTMzNzU8M0BpanhwcXg5cjh3eTMzNzU8M0BzYnFmMmQ0Y2tgLS1kMTZzYSNzYnFmMmQ0Y2tgLS1kMTZzcw%3D%3D&amp;btag=e00050000&amp;expire=1763004318&amp;l=2025111310235634FE9FF2AA2A079ADB1D&amp;ply_type=3&amp;policy=3&amp;signature=e1bb832c799610e8b41e1485e130597e&amp;tk=7571587458748974088</t>
  </si>
  <si>
    <t xml:space="preserve">pensamentos acelerados, assim é a mente do tdah #menteacelerada #tdah #tdahadulto </t>
  </si>
  <si>
    <t>mente de uma pessoa com TDAH</t>
  </si>
  <si>
    <t>7277585094196464390</t>
  </si>
  <si>
    <t>https://v16-webapp-prime.tiktok.com/video/tos/useast2a/tos-useast2a-v-27dcd7/osHD8L1RIrCoSmfCKfcnbCET0XEeAAygAq4JI2/?a=1988&amp;bti=ODszNWYuMDE6&amp;ch=0&amp;cr=0&amp;dr=0&amp;er=0&amp;lr=default&amp;cd=0%7C0%7C0%7C0&amp;br=250&amp;bt=125&amp;ds=5&amp;ft=GNDpcInz7ThHzKvPXq8Zmo&amp;mime_type=audio_mpeg&amp;qs=13&amp;rc=MzhzeDQ6ZjhsbTMzNzU8M0BpMzhzeDQ6ZjhsbTMzNzU8M0AuaW9ecjRvbnNgLS1kMTZzYSMuaW9ecjRvbnNgLS1kMTZzcw%3D%3D&amp;btag=e00050000&amp;expire=1764559392&amp;l=2025120110210247DE29902DF1415935A0&amp;ply_type=3&amp;policy=3&amp;signature=69326b6cce26fdfb383cd728a02f3e72&amp;tk=7571587458748974088</t>
  </si>
  <si>
    <t>https://v16-webapp-prime.tiktok.com/video/tos/useast2a/tos-useast2a-ve-0068c001/ogACg9bkdEAfQIIrZN2XvvQZVoizPABzzIXIoi/?a=1988&amp;bti=ODszNWYuMDE6&amp;ch=0&amp;cr=3&amp;dr=0&amp;lr=all&amp;cd=0%7C0%7C0%7C&amp;cv=1&amp;br=1712&amp;bt=856&amp;cs=0&amp;ds=3&amp;ft=-Csk_mrMPD12N3Yopd-Ux24FaY6e3wv25WcAp&amp;mime_type=video_mp4&amp;qs=0&amp;rc=ODs5NzdlOjgzNzc2NWk3M0Bpamp3dG05cnV3eTMzNzczM0AzYy8xYC4vXzExLWNgXi00YSNeZm40MmRrYmtgLS1kMTZzcw%3D%3D&amp;btag=e00090000&amp;expire=1763173518&amp;l=2025111310235634FE9FF2AA2A079ADB1D&amp;ply_type=2&amp;policy=2&amp;signature=32df6a0a8404c6675ad117a38179aaa1&amp;tk=tt_chain_token</t>
  </si>
  <si>
    <t>https://p16-sign-va.tiktokcdn.com/tos-maliva-avt-0068/7326721801726689286~tplv-tiktokx-cropcenter:1080:1080.jpeg?dr=14579&amp;refresh_token=8b79aa3c&amp;x-expires=1764727200&amp;x-signature=VrBJHGoDFJzu9%2Bryii%2BwwZ4utTA%3D&amp;t=4d5b0474&amp;ps=13740610&amp;shp=a5d48078&amp;shcp=81f88b70&amp;idc=my</t>
  </si>
  <si>
    <t>https://www.tiktok.com/@psi.jonathanorlandi/video/7489441695633820934</t>
  </si>
  <si>
    <t>tdah,tdahadulto,comportamento,terapia,psicologia,curiosidade,psicoterapia,neurociência,foco,distraidosvenceremos</t>
  </si>
  <si>
    <t>7470540975908064518</t>
  </si>
  <si>
    <t>mayla.haddad</t>
  </si>
  <si>
    <t>Mayla | ANSIEDADE</t>
  </si>
  <si>
    <t>https://p77-sign-va.tiktokcdn.com/tos-maliva-avt-0068/f06271910988e08e32f718e03bfb9f2c~tplv-tiktokx-cropcenter:100:100.jpeg?dr=14579&amp;refresh_token=93e4dbf8&amp;x-expires=1763172000&amp;x-signature=GlyYQJgLjIVSKIHp0iXb7Xu6iCc%3D&amp;t=4d5b0474&amp;ps=13740610&amp;shp=a5d48078&amp;shcp=81f88b70&amp;idc=my</t>
  </si>
  <si>
    <t>https://v16-webapp-prime.tiktok.com/video/tos/useast2a/tos-useast2a-ve-0068c004/oYXZfcAygePAkEETRSfeqQzdfeY8LUYWh8BaWD/?a=1988&amp;bti=ODszNWYuMDE6&amp;ch=0&amp;cr=3&amp;dr=0&amp;lr=all&amp;cd=0%7C0%7C0%7C&amp;cv=1&amp;br=942&amp;bt=471&amp;cs=0&amp;ds=6&amp;ft=-Csk_mrMPD12N7Dh5d-UxII2hY6e3wv252cAp&amp;mime_type=video_mp4&amp;qs=5&amp;rc=aGVkNzw0aWg1NTtlOzpmaUBpM2Rsd2g6ZmZsbTMzNzczM0A0NTBgNjU2X14xMy01YjAtYSNnZnMwcjQwbXNgLS1kMTZzcw%3D%3D&amp;btag=e00090000&amp;expire=1764728592&amp;l=2025120110210247DE29902DF1415935A0&amp;ply_type=2&amp;policy=2&amp;signature=f9124d1d826fc49ef88c7c3ab3409512&amp;tk=tt_chain_token</t>
  </si>
  <si>
    <t>Você se identificou? Sabia que é possível ter TDAH e Ansiedade? #ansiedade #ansiosa #TDAH #viraliza #videoviral #fyyyyyyyyyyyyyyyy</t>
  </si>
  <si>
    <t>8 coisas que toda
pessoa com TDAH odeia: 1- Barulho de gente
mastigando 2- ser interrompido no
hiperfoco 3- gente que conversa
cutucando 4- aceitar ordens 5- mudança de rotina
inesperada 6- reuniões longas
e sem pausas 7- ficar parado por muito
tempo 8- esquecer coisas
importantes</t>
  </si>
  <si>
    <t>Little Things</t>
  </si>
  <si>
    <t>6981828410792216577</t>
  </si>
  <si>
    <t>https://sf16-ies-music-sg.tiktokcdn.com/obj/tos-alisg-ve-2774/o0vPWChcBMiOQY6xBmiOopsyUAfLz1AIidwZWz</t>
  </si>
  <si>
    <t>https://p16-sg.tiktokcdn.com/aweme/720x720/tos-alisg-v-2774/oAEAYPXaICLABAzthiEFCLIDGWGnfMAreeN1Ng.jpeg</t>
  </si>
  <si>
    <t>https://www.tiktok.com/@marilialanoa/video/7277585063594773766</t>
  </si>
  <si>
    <t>Adrián Berenguer</t>
  </si>
  <si>
    <t>https://v16-webapp-prime.tiktok.com/video/tos/useast2a/tos-useast2a-ve-0068c003/owAaeAGW4eaCSLjJPJdVIASIggfyCqYRw6yWIt/?a=1988&amp;bti=ODszNWYuMDE6&amp;ch=0&amp;cr=3&amp;dr=0&amp;lr=all&amp;cd=0%7C0%7C0%7C&amp;cv=1&amp;br=3060&amp;bt=1530&amp;cs=0&amp;ds=3&amp;ft=-Csk_mrMPD12NY_opd-Uxz42hY6e3wv25ycAp&amp;mime_type=video_mp4&amp;qs=0&amp;rc=ZmU1M2ZoZjc0OWU5NGk3aEBpM3E8OXY5cjVleDMzNzczM0AwMzJiYTFiXi8xNjYxXy5hYSNjamhlMmRrL2pgLS1kMTZzcw%3D%3D&amp;btag=e00090000&amp;expire=1763173659&amp;l=202511131026378F10DAFBB0AF239B249B&amp;ply_type=2&amp;policy=2&amp;signature=2da85845cf090ff789dcf1a939270898&amp;tk=tt_chain_token</t>
  </si>
  <si>
    <t>menteacelerada,tdah,tdahadulto</t>
  </si>
  <si>
    <t>7516671993526095109</t>
  </si>
  <si>
    <t xml:space="preserve">Pessoas com TDAH tendem a acordar mais exaustas que pessoas neurotipicas sim, isso infelizmente faz parte. E um detalhe que o vídeo traz, e esqueci de mencionar, é o pensamento acelerado na qual o TDAH já desperta. #psicologia #tdah #tdahadulto </t>
  </si>
  <si>
    <t>Relaxed (Sped Up)</t>
  </si>
  <si>
    <t>7358898427880982545</t>
  </si>
  <si>
    <t>https://sf16-ies-music-sg.tiktokcdn.com/obj/tos-alisg-ve-2774/oMUBYBZgAjzmzh5LASirQiSPI9QEDAgMWPiVN</t>
  </si>
  <si>
    <t>https://www.tiktok.com/@mayla.haddad/video/7470540975908064518</t>
  </si>
  <si>
    <t>https://p77-sg.tiktokcdn.com/aweme/720x720/tos-alisg-v-2774/oUG8AAGLIKPebIIr4eMBrqUMeeVeAAi7ABVAL2.jpeg</t>
  </si>
  <si>
    <t>ansiedade,ansiosa,tdah,viraliza,videoviral,fyyyyyyyyyyyyyyyy</t>
  </si>
  <si>
    <t>https://p16-sign-va.tiktokcdn.com/tos-maliva-avt-0068/7321752650215129093~tplv-tiktokx-cropcenter:100:100.jpeg?dr=14579&amp;refresh_token=d2b6a4b1&amp;x-expires=1763172000&amp;x-signature=X2Urftzz3cnpTvfULvGApUT1kBU%3D&amp;t=4d5b0474&amp;ps=13740610&amp;shp=a5d48078&amp;shcp=81f88b70&amp;idc=my</t>
  </si>
  <si>
    <t>MC Mablo Dos Paredões</t>
  </si>
  <si>
    <t>https://v16-webapp-prime.tiktok.com/video/tos/useast2a/tos-useast2a-ve-0068c001/owrGfADUfltBYFRaoIncTQJEQIxQBDTEFN5JE0/?a=1988&amp;bti=ODszNWYuMDE6&amp;ch=0&amp;cr=3&amp;dr=0&amp;lr=all&amp;cd=0%7C0%7C0%7C&amp;cv=1&amp;br=1382&amp;bt=691&amp;cs=0&amp;ds=3&amp;ft=-Csk_mrMPD12NyDh5d-UxO72hY6e3wv257cAp&amp;mime_type=video_mp4&amp;qs=0&amp;rc=aTs3ZzM7ZTozOjU4NzlkOkBpam1vM3Y5cnE8NDMzNzczM0AuMmAuMzM1NWAxMjBfMmFgYSNzaGFmMmQ0NjVhLS1kMTZzcw%3D%3D&amp;btag=e00090000&amp;expire=1764728525&amp;l=20251201102104F69A53E45B65A94E5B1C&amp;ply_type=2&amp;policy=2&amp;signature=2fd373373d0a4ab5b9410e91245dc17a&amp;tk=tt_chain_token</t>
  </si>
  <si>
    <t>https://p16-sign-sg.tiktokcdn.com/tos-alisg-v-2774/okAIgEmAZKYImChfjAmEAcWiEzGDtBF3QH4Bey~720x720.jpeg?lk3s=08d74b56&amp;x-expires=1763022156&amp;x-signature=BT9U7qUa2AlujaIreS7XkPNOs5o%3D</t>
  </si>
  <si>
    <t>https://v16-webapp-prime.tiktok.com/video/tos/useast2a/tos-useast2a-pve-0068/oMJDjJEME0PQE3FQmz5AePTft2zRB6EFVIBBEi/?a=1988&amp;bti=ODszNWYuMDE6&amp;ch=0&amp;cr=3&amp;dr=0&amp;lr=all&amp;cd=0%7C0%7C0%7C&amp;cv=1&amp;br=2390&amp;bt=1195&amp;cs=0&amp;ds=3&amp;ft=-Csk_mrMPD12NDhopd-Ux2.2GY6e3wv25rcAp&amp;mime_type=video_mp4&amp;qs=0&amp;rc=ZjU8Ozo5OWZmN2lpZTg4aEBpanN0O3M5cmhtcjMzNzczM0AwLjZeXi1gNjMxMTAuNmNhYSNlMmdvMmRrb15gLS1kMTZzcw%3D%3D&amp;btag=e00090000&amp;expire=1763173419&amp;l=20251113102236D675DBC36011DA84E058&amp;ply_type=2&amp;policy=2&amp;signature=d651882313da8b91e883208622e92877&amp;tk=tt_chain_token</t>
  </si>
  <si>
    <t>https://www.tiktok.com/@psi.walace/video/7516671993526095109</t>
  </si>
  <si>
    <t>7355650659036777733</t>
  </si>
  <si>
    <t>7488113342129655045</t>
  </si>
  <si>
    <t xml:space="preserve">A "intuição" do TDAH 🤯 Algumas teorias propõem que existam dois estilos cognitivos principais: O intuitivo e o analítico. Acredita-se que as pessoas com TDAH podem ser especialmente intuitivas, olhando para situações em geral e chegando rapidamente a conclusões peculiares.  O TDAH dificulta a inibição de impulsos, o uso da memória de trabalho e a seleção ativa de certos caminhos,  dificultando com que a cognição analítica aconteça, passo a passo. Por outro lado, sua impulsividade e escolhas automáticas apoiam um pensamento intuitivo, absorvendo uma vasta gama de dados e chegando a insights engenhosos, criativos ou de uma visão bem particular. Você também pode ler mais sobre: https://thewaveclinic.com/blog/adhd-superpowers-hyperfocus-creativity-intuition/ #tdahta #tdahadulto #tdah #adhdintuition #tdahtiktok </t>
  </si>
  <si>
    <t>7355650689166904069</t>
  </si>
  <si>
    <t>https://v16-webapp-prime.tiktok.com/video/tos/useast2a/tos-useast2a-v-27dcd7/o4XIq2QflEA8WAimCgAsICIpfVUAqBBJ7D4JFF/?a=1988&amp;bti=ODszNWYuMDE6&amp;ch=0&amp;cr=0&amp;dr=0&amp;er=0&amp;lr=default&amp;cd=0%7C0%7C0%7C0&amp;br=250&amp;bt=125&amp;ds=5&amp;ft=GNDpcInz7Th29-UPXq8Zmo&amp;mime_type=audio_mpeg&amp;qs=13&amp;rc=M3dlbnY5cm87cjMzNzU8M0BpM3dlbnY5cm87cjMzNzU8M0Bsal4yMmRzXl5gLS1kMTZzYSNsal4yMmRzXl5gLS1kMTZzcw%3D%3D&amp;btag=e00050000&amp;expire=1763004347&amp;l=20251113102443BFAC5C39F8934C8F8E6A&amp;ply_type=3&amp;policy=3&amp;signature=c65e8a8b14118ec72c1628d9d68500f5&amp;tk=7571587458748974088</t>
  </si>
  <si>
    <t xml:space="preserve">Não é fofo. Não é engraçado. Não é só “ai, esqueci de novo haha”. É desespero. É sentir que você tá afundando num buraco sem fundo enquanto todo mundo ri da sua dor. É começar mil coisas e não terminar nenhuma. É ter 20 abas abertas no navegador… e mais 50 na cabeça. É tentar focar e a mente fugir. É precisar de silêncio… mas nunca ter paz. É viver atrasado, frustrado, endividado, culpado. É prometer que vai mudar — e quebrar essa promessa no dia seguinte. É destruir relacionamento, carreira, sonhos… e depois se culpar por tudo. É explodir com quem você ama e se arrepender depois. É dormir mal, comer mal, se cuidar mal. É olhar no espelho e não reconhecer mais quem você virou. Mas ninguém vê isso. Porque o mundo só enxerga a parte “divertida”: “O criativo”, “o espontâneo”, “o fora da caixa”. Mas não vê você chorando no banho. Não vê você travado em frente a uma tarefa simples. Não vê você se odiando por dentro. TDAH não tratado destrói vidas. E se você não fizer nada, vai destruir a sua também. O Manual da Liberdade não é pra quem tá brincando de autodiagnóstico. É pra quem tá na merda. Pra quem cansou de se sabotar, de fingir que tá tudo bem, de viver com essa dor calada. Clica no link da bio. #tdah #oqueetdah #sintomasdotdah </t>
  </si>
  <si>
    <t>7488113399403891461</t>
  </si>
  <si>
    <t>https://v16-webapp-prime.tiktok.com/video/tos/useast2a/tos-useast2a-v-27dcd7/oQAC07PpAPThEf2oFjEHwIIDWgZS1AvCuefOv0/?a=1988&amp;bti=ODszNWYuMDE6&amp;ch=0&amp;cr=0&amp;dr=0&amp;er=0&amp;lr=default&amp;cd=0%7C0%7C0%7C0&amp;br=250&amp;bt=125&amp;ds=5&amp;ft=GNDpcInz7ThJzKvPXq8Zmo&amp;mime_type=audio_mpeg&amp;qs=13&amp;rc=amo8b3Q5cnlreTMzNzU8M0Bpamo8b3Q5cnlreTMzNzU8M0BvYzRhMmRzcmlgLS1kMTZzYSNvYzRhMmRzcmlgLS1kMTZzcw%3D%3D&amp;btag=e00050000&amp;expire=1764559421&amp;l=20251201102141EAAE30DD17435761F356&amp;ply_type=3&amp;policy=3&amp;signature=ae79559408d25bbca75be75c315d85ab&amp;tk=7571587458748974088</t>
  </si>
  <si>
    <t>https://v16-webapp-prime.tiktok.com/video/tos/maliva/tos-maliva-ve-0068c801-us/osWURmTUFUjEEhDlBAIeInSfl7IQrFQDg9JBuI/?a=1988&amp;bti=ODszNWYuMDE6&amp;ch=0&amp;cr=3&amp;dr=0&amp;lr=all&amp;cd=0%7C0%7C0%7C&amp;cv=1&amp;br=2528&amp;bt=1264&amp;cs=0&amp;ds=3&amp;ft=I~da4oKyD12NvOA0i.IxRehNblBF-UjNSMopiX&amp;mime_type=video_mp4&amp;qs=0&amp;rc=NGZkZmQ3NzU3aTtnNTw4ZEBpajdxN205cjw7cjMzNzczM0AvYF9fYTUuXy0xMTZjMl8uYSNfcWNpMmRjNl5gLS1kMTZzcw%3D%3D&amp;btag=e00090000&amp;expire=1763173547&amp;l=20251113102443BFAC5C39F8934C8F8E6A&amp;ply_type=2&amp;policy=2&amp;signature=6cf4daf92901d9e8a53b4a3b8e5cf51e&amp;tk=tt_chain_token</t>
  </si>
  <si>
    <t>https://v16-webapp-prime.tiktok.com/video/tos/useast2a/tos-useast2a-ve-0068c003/oYCqIPjCeI4IIeLjaoIgZXASWPge4lXWzX1Q0G/?a=1988&amp;bti=ODszNWYuMDE6&amp;ch=0&amp;cr=3&amp;dr=0&amp;lr=all&amp;cd=0%7C0%7C0%7C&amp;cv=1&amp;br=600&amp;bt=300&amp;cs=0&amp;ds=6&amp;ft=-Csk_mrMPD12NWDh5d-Uxvt2hY6e3wv251cAp&amp;mime_type=video_mp4&amp;qs=5&amp;rc=Z2U1Zjc5NTtkaWUzO2czZEBpM25mb285cjdreTMzNzczM0AyNGMwLTUuNjUxLi0xNV9eYSNiNTZzMmRrcmlgLS1kMTZzcw%3D%3D&amp;btag=e00090000&amp;expire=1764728621&amp;l=20251201102141EAAE30DD17435761F356&amp;ply_type=2&amp;policy=2&amp;signature=88c95424c6eb83c14b165eb7b7689e9d&amp;tk=tt_chain_token</t>
  </si>
  <si>
    <t>https://www.tiktok.com/@lorenatdahta/video/7355650659036777733</t>
  </si>
  <si>
    <t>https://www.tiktok.com/@liberdade.mentall/video/7488113342129655045</t>
  </si>
  <si>
    <t>tdahta,tdahadulto,tdah,adhdintuition,tdahtiktok</t>
  </si>
  <si>
    <t>7366274678849096965</t>
  </si>
  <si>
    <t>Link na Bio do sonífero natural! #tdah #tda #tdahadulto #tdahtiktok</t>
  </si>
  <si>
    <t>DIFICULDADES 
DO TDAH…</t>
  </si>
  <si>
    <t>7366279849666136837</t>
  </si>
  <si>
    <t>https://v16-webapp-prime.tiktok.com/video/tos/useast2a/tos-useast2a-v-27dcd7/ogAgRIBHiAAAHS6nAEmxBA1Kn9xEEkAfozSSKi/?a=1988&amp;bti=ODszNWYuMDE6&amp;ch=0&amp;cr=0&amp;dr=0&amp;er=0&amp;lr=default&amp;cd=0%7C0%7C0%7C0&amp;br=250&amp;bt=125&amp;ds=5&amp;ft=GNDpcInz7ThA9-UPXq8Zmo&amp;mime_type=audio_mpeg&amp;qs=13&amp;rc=ajM6bnc5cjM3cjMzNzU8M0BpajM6bnc5cjM3cjMzNzU8M0BsXmpnMmRjZXFgLS1kMTZzYSNsXmpnMmRjZXFgLS1kMTZzcw%3D%3D&amp;btag=e00050000&amp;expire=1763004350&amp;l=20251113102449DDADD1FB7AF14A841409&amp;ply_type=3&amp;policy=3&amp;signature=f6cff31dd0ca528d172b0241934b48ef&amp;tk=7571587458748974088</t>
  </si>
  <si>
    <t>7540420241554214150</t>
  </si>
  <si>
    <t xml:space="preserve">É bem normal pessoas com TDAH serem um pouco prolixa em alguns momentos como ao enviar um áudio ou até mesmo numa conversa. Isso porque além da desatenção contribuir com isso, o pensamento arborizado também se faz muito presente, fazendo com que a pessoa dê várias voltas até chegar no ponto final na qual ela queria! Basta só um pouco de paciência, mas vai chegar lá! 😅 #psicologia #tdah #tdahadulto </t>
  </si>
  <si>
    <t>7540420463395228472</t>
  </si>
  <si>
    <t>https://v16-webapp-prime.tiktok.com/video/tos/useast2a/tos-useast2a-v-27dcd7/okJnp8qJpIjtU65BEoPQIRD9F9fACBPAFIZJAe/?a=1988&amp;bti=ODszNWYuMDE6&amp;ch=0&amp;cr=0&amp;dr=0&amp;er=0&amp;lr=default&amp;cd=0%7C0%7C0%7C0&amp;br=250&amp;bt=125&amp;ds=5&amp;ft=GNDpcInz7ThazKvPXq8Zmo&amp;mime_type=audio_mpeg&amp;qs=13&amp;rc=M251eXg5cnlpNTMzNzU8M0BpM251eXg5cnlpNTMzNzU8M0BzNDNsMmRjNWZhLS1kMTZzYSNzNDNsMmRjNWZhLS1kMTZzcw%3D%3D&amp;btag=e00050000&amp;expire=1764559410&amp;l=2025120110213521203C48224A5C66F6F4&amp;ply_type=3&amp;policy=3&amp;signature=dcd85a294c6136b064b5a034ebe25aa6&amp;tk=7571587458748974088</t>
  </si>
  <si>
    <t>https://www.tiktok.com/@pisicopop/video/7366274678849096965</t>
  </si>
  <si>
    <t>tdah,tda,tdahadulto,tdahtiktok</t>
  </si>
  <si>
    <t>7350334687363009797</t>
  </si>
  <si>
    <t>https://v16-webapp-prime.tiktok.com/video/tos/useast2a/tos-useast2a-pve-0068/oU9BQUD4FgwGp6JvuRewABlETvqQIJgfQoP8VE/?a=1988&amp;bti=ODszNWYuMDE6&amp;ch=0&amp;cr=3&amp;dr=0&amp;lr=all&amp;cd=0%7C0%7C0%7C&amp;cv=1&amp;br=2346&amp;bt=1173&amp;cs=0&amp;ds=3&amp;ft=-Csk_mrMPD12N8Dh5d-UxSc2hY6e3wv252cAp&amp;mime_type=video_mp4&amp;qs=0&amp;rc=OTdoM2Y2aTQ3OTc0NGU4ZEBpM3JveXE5cjRpNTMzNzczM0BgMDQyXzJhNWIxLl8vYTBgYSNgMmZoMmRrNWZhLS1kMTZzcw%3D%3D&amp;btag=e00090000&amp;expire=1764728610&amp;l=2025120110213521203C48224A5C66F6F4&amp;ply_type=2&amp;policy=2&amp;signature=0c04a53e090b9ad1a5bda3a5e899e3e8&amp;tk=tt_chain_token</t>
  </si>
  <si>
    <t>💥🤯🤯 #psicologia #tdah #tda #tdahadulto</t>
  </si>
  <si>
    <t>ESSA E A CABEÇA DE 
UM TDAH</t>
  </si>
  <si>
    <t>https://www.tiktok.com/@pisicopop/video/7350334687363009797</t>
  </si>
  <si>
    <t>psicologia,tdah,tda,tdahadulto</t>
  </si>
  <si>
    <t>7449878362803162373</t>
  </si>
  <si>
    <t>menteintrigada.o</t>
  </si>
  <si>
    <t>Mente Intrigada !</t>
  </si>
  <si>
    <t>https://p77-sign-va.tiktokcdn.com/tos-maliva-avt-0068/65652208aa86d43bb56c554bee9f3cfb~tplv-tiktokx-cropcenter:100:100.jpeg?dr=14579&amp;refresh_token=5683d556&amp;x-expires=1763172000&amp;x-signature=ya0FiSeVVkPUcdPyGmS2T61fTCY%3D&amp;t=4d5b0474&amp;ps=13740610&amp;shp=a5d48078&amp;shcp=81f88b70&amp;idc=my</t>
  </si>
  <si>
    <t>https://www.tiktok.com/@psi.walace/video/7540420241554214150</t>
  </si>
  <si>
    <t>SINAIS QUE A PESSOA POSSUI TDAH  #tdah #autismo #sintomas #viral_video #fouryou</t>
  </si>
  <si>
    <t>Mysterious and sad BGM(1120058)</t>
  </si>
  <si>
    <t>7021220308539410434</t>
  </si>
  <si>
    <t>https://sf16-ies-music-sg.tiktokcdn.com/obj/tos-alisg-ve-2774/o8FjDcNeA7EzFQBsGKorZ4e0agDwgHbfClgin7</t>
  </si>
  <si>
    <t>7487402562518371639</t>
  </si>
  <si>
    <t>https://p16-sg.tiktokcdn.com/aweme/720x720/tos-alisg-v-2774/43faa110cb7545508bcb8448e005da2d.jpeg</t>
  </si>
  <si>
    <t xml:space="preserve">Isso é TDAH... Você ama, mas machuca. E nem percebe o tamanho do estrago que tá fazendo. Você diz que sente muito, que vai mudar, que vai tentar… Mas no fundo, nem sabe por onde começar. Porque o problema não é só você. É o TDAH. Agindo em silêncio, ferrando sua cabeça e destruindo quem tá do seu lado. Se você leu isso e sentiu que sou eu te descrevendo, é porque já passou da hora de mudar. O TDAH não tratado não destrói só a sua vida. Ele destrói quem te ama também. #tdah #oqueetdah #sintomasdotdah </t>
  </si>
  <si>
    <t>7487402628293479174</t>
  </si>
  <si>
    <t>https://v16-webapp-prime.tiktok.com/video/tos/useast2a/tos-useast2a-v-27dcd7/oMAEoi4AEZ8EzBmvoAGeDiQSuBJBKAiCkdoguj/?a=1988&amp;bti=ODszNWYuMDE6&amp;ch=0&amp;cr=0&amp;dr=0&amp;er=0&amp;lr=default&amp;cd=0%7C0%7C0%7C0&amp;br=250&amp;bt=125&amp;ds=5&amp;ft=GNDpcInz7ThazKvPXq8Zmo&amp;mime_type=audio_mpeg&amp;qs=13&amp;rc=MzRsdXI5cjU8eTMzNzU8M0BpMzRsdXI5cjU8eTMzNzU8M0AwM2tiMmRrZmhgLS1kMTZzYSMwM2tiMmRrZmhgLS1kMTZzcw%3D%3D&amp;btag=e00050000&amp;expire=1764559394&amp;l=2025120110213521203C48224A5C66F6F4&amp;ply_type=3&amp;policy=3&amp;signature=f8b459013b5eb7ee303c2c6ecdda9f07&amp;tk=7571587458748974088</t>
  </si>
  <si>
    <t>S and N</t>
  </si>
  <si>
    <t>https://v16-webapp-prime.tiktok.com/video/tos/useast2a/tos-useast2a-pve-0068/oIjQJIBmQAh5BytdRFfz0nDBoJYfOEEPPZ4cgI/?a=1988&amp;bti=ODszNWYuMDE6&amp;ch=0&amp;cr=3&amp;dr=0&amp;lr=all&amp;cd=0%7C0%7C0%7C&amp;cv=1&amp;br=1188&amp;bt=594&amp;cs=0&amp;ds=3&amp;ft=-Csk_mrMPD12N8hopd-Ux~v2bY6e3wv251cAp&amp;mime_type=video_mp4&amp;qs=0&amp;rc=Z2Y5O2Q1OTZkZDY2NDVnZ0BpamhqcHA5cnFudzMzNzczM0BfNjUvYzYtXmExXi9hMmAzYSNnY2NwMmQ0ZGVgLS1kMTZzcw%3D%3D&amp;btag=e00090000&amp;expire=1763173420&amp;l=202511131022406C90E0DA9AAAC98C2302&amp;ply_type=2&amp;policy=2&amp;signature=ae976081e5bb0d1d4722dff15dce0151&amp;tk=tt_chain_token</t>
  </si>
  <si>
    <t>https://v16-webapp-prime.tiktok.com/video/tos/useast2a/tos-useast2a-ve-0068c003/ok6MlgPcPnCzeSqRC0FEgDDeI0AjF5oIQPfQST/?a=1988&amp;bti=ODszNWYuMDE6&amp;ch=0&amp;cr=3&amp;dr=0&amp;lr=all&amp;cd=0%7C0%7C0%7C&amp;cv=1&amp;br=1300&amp;bt=650&amp;cs=0&amp;ds=3&amp;ft=-Csk_mrMPD12N8Dh5d-UxSc2hY6e3wv252cAp&amp;mime_type=video_mp4&amp;qs=0&amp;rc=aGhoaGVnMzc6ODc4Mzg0Z0BpMzxueXQ5cnk8eTMzNzczM0AwYTEuM2BiNmAxYTEtLV4zYSM0ZF4wMmRrZGhgLS1kMTZzcw%3D%3D&amp;btag=e00090000&amp;expire=1764728594&amp;l=2025120110213521203C48224A5C66F6F4&amp;ply_type=2&amp;policy=2&amp;signature=18a2e14541cdf98fcccc0a39f19a6762&amp;tk=tt_chain_token</t>
  </si>
  <si>
    <t>https://www.tiktok.com/@menteintrigada.o/video/7449878362803162373</t>
  </si>
  <si>
    <t>tdah,autismo,sintomas,viral_video,fouryou</t>
  </si>
  <si>
    <t>7501116259862334775</t>
  </si>
  <si>
    <t>#tod #transtornoopositordesafiador #tdah #criancaatipica ##maeatipica #maternidadeatipicareal #ebooktod #ebooktdah #acolhimento #empatia #neurodivergencias #neurodivergente #transtornosneurodivergentes #neurodivergenciaeopapo @Neurodivergência é o papo!</t>
  </si>
  <si>
    <t>TOD E TDAH</t>
  </si>
  <si>
    <t>7501116316486552375</t>
  </si>
  <si>
    <t>https://v16-webapp-prime.tiktok.com/video/tos/useast2a/tos-useast2a-v-27dcd7/ocfZpSgMeEERlMArAGTQAZCoUICSLoAK3qAEIf/?a=1988&amp;bti=ODszNWYuMDE6&amp;ch=0&amp;cr=0&amp;dr=0&amp;er=0&amp;lr=default&amp;cd=0%7C0%7C0%7C0&amp;br=250&amp;bt=125&amp;ds=5&amp;ft=GNDpcInz7Th_9-UPXq8Zmo&amp;mime_type=audio_mpeg&amp;qs=13&amp;rc=M2x2cnk5cjhvMzMzNzU8M0BpM2x2cnk5cjhvMzMzNzU8M0BoaDBxMmQ0MGBhLS1kMTZzYSNoaDBxMmQ0MGBhLS1kMTZzcw%3D%3D&amp;btag=e00050000&amp;expire=1763004413&amp;l=202511131024200DA040BB1F5C349EC2B1&amp;ply_type=3&amp;policy=3&amp;signature=8836ef5de95ceab90c619b501ecaa6c6&amp;tk=7571587458748974088</t>
  </si>
  <si>
    <t>https://www.tiktok.com/@liberdade.mentall/video/7487402562518371639</t>
  </si>
  <si>
    <t>https://v16-webapp-prime.tiktok.com/video/tos/useast2a/tos-useast2a-ve-0068c001/okE2lEbivSQR1ZQMwSQEI7BHBUayUAsWJOiBa/?a=1988&amp;bti=ODszNWYuMDE6&amp;ch=0&amp;cr=3&amp;dr=0&amp;lr=all&amp;cd=0%7C0%7C0%7C&amp;cv=1&amp;br=1548&amp;bt=774&amp;cs=0&amp;ds=3&amp;ft=I~da4oKyD12NvyA0i.IxRhq_glBF-UjNSmopiX&amp;mime_type=video_mp4&amp;qs=0&amp;rc=Ojo6PGQ8ZzdkNjlkNjtlZEBpM3U7ZXA5cnBvMzMzNzczM0AvMjEyLl8uXjYxLjE0YzUwYSMvYy9tMmRrLWBhLS1kMTZzcw%3D%3D&amp;btag=e00090000&amp;expire=1763173613&amp;l=202511131024200DA040BB1F5C349EC2B1&amp;ply_type=2&amp;policy=2&amp;signature=db871acdf61a1c8f713f17fd032b44a8&amp;tk=tt_chain_token</t>
  </si>
  <si>
    <t>7571621196295441685</t>
  </si>
  <si>
    <t>ateiadamente</t>
  </si>
  <si>
    <t>A Teia Da Mente</t>
  </si>
  <si>
    <t>https://p16-sign-va.tiktokcdn.com/tos-maliva-avt-0068/cb55f28c3a82c49c1acd47a368599a7a~tplv-tiktokx-cropcenter:100:100.jpeg?dr=14579&amp;refresh_token=92ea76dc&amp;x-expires=1764727200&amp;x-signature=YNJT5OfSKiHC%2Bjyep7N9lFK97L4%3D&amp;t=4d5b0474&amp;ps=13740610&amp;shp=a5d48078&amp;shcp=81f88b70&amp;idc=my</t>
  </si>
  <si>
    <t>TDAH — a mente que nunca para #psicologia #tdah #saudemental</t>
  </si>
  <si>
    <t>som original - A Teia Da Mente</t>
  </si>
  <si>
    <t>7571621283382299412</t>
  </si>
  <si>
    <t>https://www.tiktok.com/@neurodivergenciaeopapo/video/7501116259862334775</t>
  </si>
  <si>
    <t>https://v16-webapp-prime.tiktok.com/video/tos/alisg/tos-alisg-v-27dcd7/ocITMQDqTzeJERGSELQUeyBYurfoRICAgI5XCK/?a=1988&amp;bti=ODszNWYuMDE6&amp;ch=0&amp;cr=0&amp;dr=0&amp;er=0&amp;lr=default&amp;cd=0%7C0%7C0%7C0&amp;br=250&amp;bt=125&amp;ft=GNDpcInz7ThizKvPXq8Zmo&amp;mime_type=audio_mpeg&amp;qs=6&amp;rc=PGdnOGQ4ZTQ1NDdoNTo6ZEBpM2xyNnk5cnR2NzMzODU8NEA0YjQ2YWJfX2IxNTE2MjRiYSNrZTBlMmQ0bjZhLS1kMS1zcw%3D%3D&amp;btag=e00090000&amp;expire=1764559482&amp;l=20251201102147CB7160225F86D969BC26&amp;ply_type=3&amp;policy=3&amp;signature=3fd53164d8a749a2d39c40b3998412b6&amp;tk=7571587458748974088</t>
  </si>
  <si>
    <t>tod,transtornoopositordesafiador,tdah,criancaatipica,maeatipica,maternidadeatipicareal,ebooktod,ebooktdah,acolhimento,empatia,neurodivergencias,neurodivergente,transtornosneurodivergentes,neurodivergenciaeopapo</t>
  </si>
  <si>
    <t>https://p77-sign-va.tiktokcdn.com/tos-maliva-avt-0068/38f87d0ccea25144d85cc3d0f2f08234~tplv-tiktokx-cropcenter:100:100.jpeg?dr=14579&amp;refresh_token=58a1885b&amp;x-expires=1763172000&amp;x-signature=tYlqf4RgD2XZY%2Bcsl%2BpyaEEWTzQ%3D&amp;t=4d5b0474&amp;ps=13740610&amp;shp=a5d48078&amp;shcp=81f88b70&amp;idc=my</t>
  </si>
  <si>
    <t>https://p16-sign-va.tiktokcdn.com/tos-maliva-avt-0068/cb55f28c3a82c49c1acd47a368599a7a~tplv-tiktokx-cropcenter:1080:1080.jpeg?dr=14579&amp;refresh_token=7ab3d00d&amp;x-expires=1764727200&amp;x-signature=UmIVIzchpojMR16kiNLt4wtFjTs%3D&amp;t=4d5b0474&amp;ps=13740610&amp;shp=a5d48078&amp;shcp=81f88b70&amp;idc=my</t>
  </si>
  <si>
    <t>https://v16-webapp-prime.tiktok.com/video/tos/useast2a/tos-useast2a-v-27dcd7/oseJA9ECYO6BIgIniBGL2ofGCYAemITZhGSEAC/?a=1988&amp;bti=ODszNWYuMDE6&amp;ch=0&amp;cr=0&amp;dr=0&amp;er=0&amp;lr=default&amp;cd=0%7C0%7C0%7C0&amp;br=250&amp;bt=125&amp;ds=5&amp;ft=GNDpcInz7ThzK-UPXq8Zmo&amp;mime_type=audio_mpeg&amp;qs=13&amp;rc=amk0dWs5cjxmdzMzNzU8M0Bpamk0dWs5cjxmdzMzNzU8M0BjMGhqMmQ0NTNgLS1kMTZzYSNjMGhqMmQ0NTNgLS1kMTZzcw%3D%3D&amp;btag=e00078000&amp;expire=1763004170&amp;l=20251113102236D675DBC36011DA84E058&amp;ply_type=3&amp;policy=3&amp;signature=5f682d4fa600765d8967956579296f75&amp;tk=7571587458748974088</t>
  </si>
  <si>
    <t>https://v16-webapp-prime.tiktok.com/video/tos/alisg/tos-alisg-pve-0037/oMBbMyXiSQliZ8TPjGvzoIAAREaX5Ri2sAoJY/?a=1988&amp;bti=ODszNWYuMDE6&amp;ch=0&amp;cr=3&amp;dr=0&amp;lr=all&amp;cd=0%7C0%7C0%7C&amp;cv=1&amp;br=1780&amp;bt=890&amp;cs=0&amp;ds=3&amp;ft=-Csk_mrMPD12N3Dh5d-UxIS5hY6e3wv25ocAp&amp;mime_type=video_mp4&amp;qs=0&amp;rc=Zzg7OWg2Zmc4aDloNDM8aEBpamtnZXA5cjt2NzMzODgzNEBhL19jNjAzXl8xXjMyY2EwYSMxZjBlMmRrbTZhLS1kL2Bzcw%3D%3D&amp;btag=e00090000&amp;expire=1764728682&amp;l=20251201102147CB7160225F86D969BC26&amp;ply_type=2&amp;policy=2&amp;signature=978f494c4cd6f3d15a3fe25e76081bfb&amp;tk=tt_chain_token</t>
  </si>
  <si>
    <t>https://p77-sign-va.tiktokcdn.com/tos-maliva-avt-0068/38f87d0ccea25144d85cc3d0f2f08234~tplv-tiktokx-cropcenter:1080:1080.jpeg?dr=14579&amp;refresh_token=61d156bc&amp;x-expires=1763172000&amp;x-signature=30JjcydO8e3E3RUuJXZ8hpmuJq0%3D&amp;t=4d5b0474&amp;ps=13740610&amp;shp=a5d48078&amp;shcp=81f88b70&amp;idc=my</t>
  </si>
  <si>
    <t>https://www.tiktok.com/@ateiadamente/video/7571621196295441685</t>
  </si>
  <si>
    <t>https://webapp-va.tiktok.com/78f8bb62b5c7d77c010b8b0e21fac8a7/6917e3fa/kmoat/mps/logo/v3/r/p/v09300g40001ct6c87vog65gn4fajakg/b4025da6c8b64069839608dee0395fb6/8529ff5ef48c019bdd5f0312d0f41e3f/mp4/main.mp4?a=1988&amp;bti=ODszNWYuMDE6&amp;ch=0&amp;cr=3&amp;dr=0&amp;lr=all&amp;cd=0%7C0%7C0%7C&amp;cv=1&amp;br=0&amp;bt=0&amp;cs=0&amp;ds=3&amp;ft=bLZkJmrMPD12NDhopd-Ux2.2GY6e3wv25rcAp&amp;mime_type=video_mp4&amp;qs=0&amp;rc=cnF8b2hsc2d3SkBwaHIxaDFybndmOWk8M2g7OTY8Mzk7OWc1N0BpamRkN2o5cjpmdzQzNzM2M0BjRl5Nc3FePmJKYSNvYF90aHFmOiNfMjBiYS02NTMxX2BeMi1fYSNoZ2NrMmRzNTNgLS1kLTZzcw%3D%3D&amp;btag=e000b8000&amp;definition=720p&amp;du=15&amp;item_id=7443539900613283127&amp;l=20251113102236D675DBC36011DA84E058&amp;logo_type=tiktok_creator&amp;ply_type=2&amp;policy=eyJ2bSI6MiwiY2siOiJ0dF9jaGFpbl90b2tlbiJ9&amp;sign_params=item_id%2Cuser_text&amp;user_text=meu.mundotdah</t>
  </si>
  <si>
    <t>psicologia,tdah,saudemental</t>
  </si>
  <si>
    <t>7572743276441111828</t>
  </si>
  <si>
    <t>O que é TDAH? Quem TDAH não sente saudades? #tdah #oqueetdah #sintomasdotdah</t>
  </si>
  <si>
    <t>7572743353855462152</t>
  </si>
  <si>
    <t>https://v16-webapp-prime.tiktok.com/video/tos/alisg/tos-alisg-v-27dcd7/o05oVLACEWTZECgLGSilTfAKPQB38DcMifJ9fN/?a=1988&amp;bti=ODszNWYuMDE6&amp;ch=0&amp;cr=0&amp;dr=0&amp;er=0&amp;lr=default&amp;cd=0%7C0%7C0%7C0&amp;br=250&amp;bt=125&amp;ft=GNDpcInz7ThhFKvPXq8Zmo&amp;mime_type=audio_mpeg&amp;qs=6&amp;rc=Nmk0aWg1Z2U8NzU4ODYzZEBpanU2O245cnZ2NzMzODU8NEBgY2A2NWEyXmMxXjEzNC40YSNlMWk1MmRrZ19hLS1kMS1zcw%3D%3D&amp;btag=e00090000&amp;expire=1764559397&amp;l=20251201102153319CD8E1EA373154CB8C&amp;ply_type=3&amp;policy=3&amp;signature=e5796cc6c185e029e7b07ee66f4b71f4&amp;tk=7571587458748974088</t>
  </si>
  <si>
    <t>https://v16-webapp-prime.tiktok.com/video/tos/alisg/tos-alisg-pve-0037/oYIVmUpA8IXCq3yvDBQilFFoKKgBIgfqEkCCQf/?a=1988&amp;bti=ODszNWYuMDE6&amp;ch=0&amp;cr=3&amp;dr=0&amp;lr=all&amp;cd=0%7C0%7C0%7C&amp;cv=1&amp;br=986&amp;bt=493&amp;cs=0&amp;ds=3&amp;ft=-Csk_mrMPD12NNBh5d-UxIS5hY6e3wv25ocAp&amp;mime_type=video_mp4&amp;qs=0&amp;rc=NGk1Ozc7PGlmOzloZGVpNkBpamxrbG85cmd2NzMzODgzNEAyLzAzNTYxXzIxM2FeXjQyYSNwLy0tMmRzZ19hLS1kLzFzcw%3D%3D&amp;btag=e00090000&amp;expire=1764728597&amp;l=20251201102153319CD8E1EA373154CB8C&amp;ply_type=2&amp;policy=2&amp;signature=1f46584b2429c74dd1b9d0467ab3bf39&amp;tk=tt_chain_token</t>
  </si>
  <si>
    <t>7442348243129830711</t>
  </si>
  <si>
    <t>tdahempalavra</t>
  </si>
  <si>
    <t>https://p77-sign-va.tiktokcdn.com/tos-maliva-avt-0068/5276198b93082394c0b92347278b7f75~tplv-tiktokx-cropcenter:100:100.jpeg?dr=14579&amp;refresh_token=46bf5705&amp;x-expires=1763172000&amp;x-signature=7484GDeVpZ%2BdyRE8iPsgTRw2%2FDE%3D&amp;t=4d5b0474&amp;ps=13740610&amp;shp=a5d48078&amp;shcp=81f88b70&amp;idc=my</t>
  </si>
  <si>
    <t>DESREGULAMENTAÇÃO EMOCIONAL  #TDAH #tdahadulto #tdahinfantil #tdahmemes #tdahhumor #tdahdescomplicado #tdahadolescentes #Ansiedade #SaúdeMental #Autocuidado #Autoconhecimento #terapia</t>
  </si>
  <si>
    <t>@Tdahempalavras </t>
  </si>
  <si>
    <t>7442348284317813559</t>
  </si>
  <si>
    <t>https://v16-webapp-prime.tiktok.com/video/tos/useast2a/tos-useast2a-v-27dcd7/ookBiAAAiBEAEFioznlBpiEfHQ3EAsKpIEg69v/?a=1988&amp;bti=ODszNWYuMDE6&amp;ch=0&amp;cr=0&amp;dr=0&amp;er=0&amp;lr=default&amp;cd=0%7C0%7C0%7C0&amp;br=250&amp;bt=125&amp;ds=5&amp;ft=GNDpcInz7ThUK-UPXq8Zmo&amp;mime_type=audio_mpeg&amp;qs=13&amp;rc=Mzg5eXE5cnA7dzMzNzU8M0BpMzg5eXE5cnA7dzMzNzU8M0Blc2EwMmRjZDFgLS1kMTZzYSNlc2EwMmRjZDFgLS1kMTZzcw%3D%3D&amp;btag=e00078000&amp;expire=1763004169&amp;l=202511131022270BBA173F4561DD71A814&amp;ply_type=3&amp;policy=3&amp;signature=111d30ef5559c380c40a2af5254e9d03&amp;tk=7571587458748974088</t>
  </si>
  <si>
    <t>https://www.tiktok.com/@liberdade.mentall/video/7572743276441111828</t>
  </si>
  <si>
    <t>7488864265013579014</t>
  </si>
  <si>
    <t xml:space="preserve">Você cresce achando que é burro. Que é preguiçoso. Que é desorganizado. Porque ninguém nunca te explicou o que tava acontecendo com a sua cabeça. Só te cobraram. Só te corrigiram. Só te compararam. Você viveu a infância tentando se encaixar. Mas sempre era “o diferente”. O bagunceiro. O distraído. O que esquecia tudo. E ouviu isso tanto… que acreditou. E carregou essa culpa até a vida adulta. Você virou o adolescente perdido. O que não se concentrava na escola. O que vivia no mundo da lua. O que prometia que ia mudar… e nunca mudava. Porque ninguém via que o problema era neurológico. Não era falta de esforço. Era TDAH. E aí veio a fase adulta. E tudo piorou. Relacionamentos destruídos, dívidas, impulsividade, explosões de raiva, vidas inacabadas, sonhos interrompidos. E o mundo dizendo: “cresce, cara”. Mas como crescer se você passou a vida inteira lutando contra um inimigo invisível? Você se transformou em alguém frustrado, travado, culpado. Que sorri por fora, mas se odeia por dentro. Que ainda tenta… mas não sabe mais nem por onde recomeçar. Porque ninguém nunca te deu o diagnóstico. Ninguém nunca te mostrou o que você realmente tinha. E hoje você acha que é o problema. Mas você não é o problema. Você é só mais uma pessoa que cresceu com TDAH… E foi deixada pra trás. #tdah #oqueetdah #sintomasdotdah </t>
  </si>
  <si>
    <t>7488864331364928261</t>
  </si>
  <si>
    <t>https://v16-webapp-prime.tiktok.com/video/tos/useast2a/tos-useast2a-v-27dcd7/oIn5nEgCHIAO9AfPEsAAEyEteToDRCCSeGPT2L/?a=1988&amp;bti=ODszNWYuMDE6&amp;ch=0&amp;cr=0&amp;dr=0&amp;er=0&amp;lr=default&amp;cd=0%7C0%7C0%7C0&amp;br=250&amp;bt=125&amp;ds=5&amp;ft=GNDpcInz7ThcFKvPXq8Zmo&amp;mime_type=audio_mpeg&amp;qs=13&amp;rc=M3hocW05cnZ2eTMzNzU8M0BpM3hocW05cnZ2eTMzNzU8M0BqMXBzMmRzaGpgLS1kMTZzYSNqMXBzMmRzaGpgLS1kMTZzcw%3D%3D&amp;btag=e00050000&amp;expire=1764559429&amp;l=2025120110220384643B3986DED954E961&amp;ply_type=3&amp;policy=3&amp;signature=d5f5acb3f40d78d61f24c079de491218&amp;tk=7571587458748974088</t>
  </si>
  <si>
    <t>https://p16-sign-va.tiktokcdn.com/tos-maliva-avt-0068/5276198b93082394c0b92347278b7f75~tplv-tiktokx-cropcenter:1080:1080.jpeg?dr=14579&amp;refresh_token=294ff918&amp;x-expires=1763172000&amp;x-signature=zv3kgr92KZ3iyt2t6xMvPsoy39s%3D&amp;t=4d5b0474&amp;ps=13740610&amp;shp=a5d48078&amp;shcp=81f88b70&amp;idc=my</t>
  </si>
  <si>
    <t>https://v16-webapp-prime.tiktok.com/video/tos/useast2a/tos-useast2a-pve-0068/oYPgekqSA1fIQgSOjDLCCVasNEEPIQFIuFCkfD/?a=1988&amp;bti=ODszNWYuMDE6&amp;ch=0&amp;cr=3&amp;dr=0&amp;lr=all&amp;cd=0%7C0%7C0%7C&amp;cv=1&amp;br=2032&amp;bt=1016&amp;cs=0&amp;ds=3&amp;ft=I~da4oKyD12NviW0i.IxRHqNglBF-UjNSqopiX&amp;mime_type=video_mp4&amp;qs=0&amp;rc=NmdmaWYzOjU6Ojs6PGVmZUBpajc8aWo5cm47dzMzNzczM0AtY140MDAvNmMxXjMxX2MzYSMyX2dhMmRrYzFgLS1kMTZzcw%3D%3D&amp;btag=e000b8000&amp;expire=1763173369&amp;l=202511131022270BBA173F4561DD71A814&amp;ply_type=2&amp;policy=2&amp;signature=733d495f410332b98eda6384fa444aa1&amp;tk=tt_chain_token</t>
  </si>
  <si>
    <t>https://v16-webapp-prime.tiktok.com/video/tos/useast2a/tos-useast2a-ve-0068c001/oIA6IqByeL3PKJt7tatrkzGiQnwiICzTgEoAq2/?a=1988&amp;bti=ODszNWYuMDE6&amp;ch=0&amp;cr=3&amp;dr=0&amp;lr=all&amp;cd=0%7C0%7C0%7C&amp;cv=1&amp;br=1502&amp;bt=751&amp;cs=0&amp;ds=3&amp;ft=I~da4oKyD12NvaMWS.IxRYjNWlBF-UjNSkopiX&amp;mime_type=video_mp4&amp;qs=0&amp;rc=Mzc7ZTk4aWk8Ojc5NDZnOUBpanBnZGo5cjl2eTMzNzczM0BfNS80MTE0X18xYGJiYy5gYSNnNHNhMmQ0aGpgLS1kMTZzcw%3D%3D&amp;btag=e00090000&amp;expire=1764728629&amp;l=2025120110220384643B3986DED954E961&amp;ply_type=2&amp;policy=2&amp;signature=2223351cddef7bc3aeafc53ce0e52558&amp;tk=tt_chain_token</t>
  </si>
  <si>
    <t>https://www.tiktok.com/@tdahempalavra/video/7442348243129830711</t>
  </si>
  <si>
    <t>https://www.tiktok.com/@liberdade.mentall/video/7488864265013579014</t>
  </si>
  <si>
    <t>tdah,tdahadulto,tdahinfantil,tdahmemes,tdahhumor,tdahdescomplicado,tdahadolescentes,ansiedade,saúdemental,autocuidado,autoconhecimento,terapia</t>
  </si>
  <si>
    <t>https://v16-webapp-prime.tiktok.com/video/tos/useast2a/tos-useast2a-v-27dcd7/512c49cba05d4899871edfe391c80383/?a=1988&amp;bti=ODszNWYuMDE6&amp;ch=0&amp;cr=0&amp;dr=0&amp;er=0&amp;lr=default&amp;cd=0%7C0%7C0%7C0&amp;br=250&amp;bt=125&amp;ds=5&amp;ft=GNDpcInz7ThbK-UPXq8Zmo&amp;mime_type=audio_mpeg&amp;qs=13&amp;rc=amxsNWc6ZjN2azMzNzU8M0BpamxsNWc6ZjN2azMzNzU8M0BzZWxpcjQwYF9gLS1kMTZzYSNzZWxpcjQwYF9gLS1kMTZzcw%3D%3D&amp;btag=e00050000&amp;expire=1763004279&amp;l=202511131022442EE54DE47B86CCA867A8&amp;ply_type=3&amp;policy=3&amp;signature=fa0e832c9d7de4a96b8c43e223d288e3&amp;tk=7571587458748974088</t>
  </si>
  <si>
    <t>7329612907409444102</t>
  </si>
  <si>
    <t>portaldrauziovarella</t>
  </si>
  <si>
    <t>Portal Drauzio</t>
  </si>
  <si>
    <t>https://p16-sign-sg.tiktokcdn.com/tos-alisg-avt-0068/b17389db51347cfeb6c6736dc73648c1~tplv-tiktokx-cropcenter:100:100.jpeg?dr=14579&amp;refresh_token=7127c8ca&amp;x-expires=1764727200&amp;x-signature=B4u0XCt%2BBDLxyjhajLzMZJJeTUw%3D&amp;t=4d5b0474&amp;ps=13740610&amp;shp=a5d48078&amp;shcp=81f88b70&amp;idc=my</t>
  </si>
  <si>
    <t>Os estigmas também afetam que tem TDAH. Procure ajuda e siga o tratamento. #tdah #autoestima #drauziovarella</t>
  </si>
  <si>
    <t>Como o TDAH
afeta a autoestima?</t>
  </si>
  <si>
    <t>7329612922706414342</t>
  </si>
  <si>
    <t>https://v16-webapp-prime.tiktok.com/video/tos/useast2a/tos-useast2a-v-27dcd7/oUD44CfQAS6AlFAU1BjBCjJfEuEBBEQQJQCAPO/?a=1988&amp;bti=ODszNWYuMDE6&amp;ch=0&amp;cr=0&amp;dr=0&amp;er=0&amp;lr=default&amp;cd=0%7C0%7C0%7C0&amp;br=250&amp;bt=125&amp;ds=5&amp;ft=GNDpcInz7ThvzKvPXq8Zmo&amp;mime_type=audio_mpeg&amp;qs=13&amp;rc=anc3NWs5cjszcDMzNzU8M0Bpanc3NWs5cjszcDMzNzU8M0BjZC5yMmRzNXBgLS1kMTZzYSNjZC5yMmRzNXBgLS1kMTZzcw%3D%3D&amp;btag=e00050000&amp;expire=1764559351&amp;l=2025120110205711DA509A8B9B2F6AA181&amp;ply_type=3&amp;policy=3&amp;signature=90ad5bc1ab4b9d8c475898d72143c14a&amp;tk=7571587458748974088</t>
  </si>
  <si>
    <t>https://v16-webapp-prime.tiktok.com/video/tos/useast2a/tos-useast2a-ve-0068c001/ooBKjfXEhU9IQMVBeYNJRG7ARwYnkzJMBQUwB8/?a=1988&amp;bti=ODszNWYuMDE6&amp;ch=0&amp;cr=3&amp;dr=0&amp;lr=all&amp;cd=0%7C0%7C0%7C&amp;cv=1&amp;br=960&amp;bt=480&amp;cs=0&amp;ds=3&amp;ft=-Csk_mrMPD12Nzhopd-UxfeFaY6e3wv25HcAp&amp;mime_type=video_mp4&amp;qs=0&amp;rc=MzQ1aGZnZjlpPDs6OmlnNEBpajZqcGQ6Znd2azMzNzczM0AvLjEtNjViX2ExMmNeLy5hYSM1MC5fcjRnNl9gLS1kMTZzcw%3D%3D&amp;btag=e00090000&amp;expire=1763173479&amp;l=202511131022442EE54DE47B86CCA867A8&amp;ply_type=2&amp;policy=2&amp;signature=f958d6632c3d92fc857e16b86ba1a037&amp;tk=tt_chain_token</t>
  </si>
  <si>
    <t>https://p16-sign-sg.tiktokcdn.com/tos-alisg-avt-0068/b17389db51347cfeb6c6736dc73648c1~tplv-tiktokx-cropcenter:1080:1080.jpeg?dr=14579&amp;refresh_token=c9570f40&amp;x-expires=1764727200&amp;x-signature=GBRPn7kLlsoKPHetuHbHxAxOF8k%3D&amp;t=4d5b0474&amp;ps=13740610&amp;shp=a5d48078&amp;shcp=81f88b70&amp;idc=my</t>
  </si>
  <si>
    <t>7132992711803636998</t>
  </si>
  <si>
    <t>https://v16-webapp-prime.tiktok.com/video/tos/maliva/tos-maliva-ve-0068c801-us/oUR4CiQERMREQEOIUBFlABqDQAJaIByDfAuEep/?a=1988&amp;bti=ODszNWYuMDE6&amp;ch=0&amp;cr=3&amp;dr=0&amp;lr=all&amp;cd=0%7C0%7C0%7C&amp;cv=1&amp;br=1432&amp;bt=716&amp;cs=0&amp;ds=3&amp;ft=-Csk_mrMPD12N5Dh5d-UxP12hY6e3wv25ocAp&amp;mime_type=video_mp4&amp;qs=0&amp;rc=ZGRnaWc0OTVnNjw1NmVmM0BpM2s8a245cjMzcDMzNzczM0BiMWA1MDAzNi8xLmEvXi8zYSMtcGRsMmRrNXBgLS1kMTZzcw%3D%3D&amp;btag=e00090000&amp;expire=1764728551&amp;l=2025120110205711DA509A8B9B2F6AA181&amp;ply_type=2&amp;policy=2&amp;signature=1a3f3a3713880c820d4b2d57151f2ead&amp;tk=tt_chain_token</t>
  </si>
  <si>
    <t>https://p77-sign-va.tiktokcdn.com/tos-maliva-avt-0068/f6c9ce0e62719a5be566968f7c4b37c5~tplv-tiktokx-cropcenter:100:100.jpeg?dr=14579&amp;refresh_token=48b36c7a&amp;x-expires=1763172000&amp;x-signature=hmDgxOXW1qEb1KI5lhx%2FXS%2FcUw0%3D&amp;t=4d5b0474&amp;ps=13740610&amp;shp=a5d48078&amp;shcp=81f88b70&amp;idc=my</t>
  </si>
  <si>
    <t>Temos muitas qualidades tbm né? Ufa #tdah #tdahreal #tdahadulto #tdahhumor #tdahtiktok #tdahmemes</t>
  </si>
  <si>
    <t>7132992700978055941</t>
  </si>
  <si>
    <t>https://v16-webapp-prime.tiktok.com/video/tos/useast2a/tos-useast2a-v-27dcd7/b65f2a07810f494c81443b222e52d52f/?a=1988&amp;bti=ODszNWYuMDE6&amp;ch=0&amp;cr=0&amp;dr=0&amp;er=0&amp;lr=default&amp;cd=0%7C0%7C0%7C0&amp;br=248&amp;bt=124&amp;ds=5&amp;ft=GNDpcInz7ThPV-UPXq8Zmo&amp;mime_type=video_mp4&amp;qs=13&amp;rc=am5qcjY6ZjlxZTMzNzU8M0Bpam5qcjY6ZjlxZTMzNzU8M0BzYDJkcjQwanJgLS1kMTZzYSNzYDJkcjQwanJgLS1kMTZzcw%3D%3D&amp;btag=e00070000&amp;expire=1763004190&amp;l=202511131023026989DBCE704A6574DC2E&amp;ply_type=3&amp;policy=3&amp;signature=d84a6de31ed8a64eeb876330e5ad8209&amp;tk=7571587458748974088</t>
  </si>
  <si>
    <t>https://www.tiktok.com/@portaldrauziovarella/video/7329612907409444102</t>
  </si>
  <si>
    <t>https://p77-sign-va.tiktokcdn.com/tos-maliva-avt-0068/f6c9ce0e62719a5be566968f7c4b37c5~tplv-tiktokx-cropcenter:1080:1080.jpeg?dr=14579&amp;refresh_token=cbfe2310&amp;x-expires=1763172000&amp;x-signature=LA%2FqpRluxlLST4y%2F2CjEj68IAgk%3D&amp;t=4d5b0474&amp;ps=13740610&amp;shp=a5d48078&amp;shcp=81f88b70&amp;idc=my</t>
  </si>
  <si>
    <t>tdah,autoestima,drauziovarella</t>
  </si>
  <si>
    <t>7536342264658791686</t>
  </si>
  <si>
    <t>A sua mente é assim também? A cabeça de uma pessoa com TDAH pode ser caótica. Muitos pensamentos acelerados e intrusivos ao mesmo tempo. Até por isso é difícil manter o foco em uma única coisa. E outras comorbidades como a ansiedade também não ajudam em nada nesse quesito… #psicologia #tdah #tdahadulto</t>
  </si>
  <si>
    <t>https://v16-webapp-prime.tiktok.com/video/tos/maliva/tos-maliva-ve-0068c801-us/b4cc5f1ea75f47d09db7fc98f8ebe7e9/?a=1988&amp;bti=ODszNWYuMDE6&amp;ch=0&amp;cr=3&amp;dr=0&amp;lr=all&amp;cd=0%7C0%7C0%7C&amp;cv=1&amp;br=2660&amp;bt=1330&amp;cs=0&amp;ds=3&amp;ft=-Csk_mrMPD12NdYopd-UxMTFGY6e3wv25LcAp&amp;mime_type=video_mp4&amp;qs=0&amp;rc=Z2k7NmdmOTM1OjY8aGZlNEBpM21obDk6ZjVxZTMzNzczM0BgYzExYDNgXzIxLy02Y2NiYSNjbC9ocjQwanJgLS1kMTZzcw%3D%3D&amp;btag=e000b0000&amp;expire=1763173390&amp;l=202511131023026989DBCE704A6574DC2E&amp;ply_type=2&amp;policy=2&amp;signature=32e16e3646db41640090c1bf7b4effa4&amp;tk=tt_chain_token</t>
  </si>
  <si>
    <t>7536342337918946053</t>
  </si>
  <si>
    <t>https://v16-webapp-prime.tiktok.com/video/tos/useast2a/tos-useast2a-v-27dcd7/oMJDwAaAECCAE3FQoE1Cvdnf9dfJBxUlWEBGQv/?a=1988&amp;bti=ODszNWYuMDE6&amp;ch=0&amp;cr=0&amp;dr=0&amp;er=0&amp;lr=default&amp;cd=0%7C0%7C0%7C0&amp;br=250&amp;bt=125&amp;ds=5&amp;ft=GNDpcInz7Th4zKvPXq8Zmo&amp;mime_type=audio_mpeg&amp;qs=13&amp;rc=M294bnk5cnY6NTMzNzU8M0BpM294bnk5cnY6NTMzNzU8M0BsczJyMmRjYl9hLS1kMTZzYSNsczJyMmRjYl9hLS1kMTZzcw%3D%3D&amp;btag=e00050000&amp;expire=1764559351&amp;l=20251201102104F69A53E45B65A94E5B1C&amp;ply_type=3&amp;policy=3&amp;signature=91e8fde8a21a5a6ff2749efd313fde2a&amp;tk=7571587458748974088</t>
  </si>
  <si>
    <t>https://www.tiktok.com/@taharibnn/video/7132992711803636998</t>
  </si>
  <si>
    <t>https://p77-sign-va.tiktokcdn.com/tos-maliva-avt-0068/1b1ab6d65ae96fbe11db1ee88f115e37~tplv-tiktokx-cropcenter:1080:1080.jpeg?dr=14579&amp;refresh_token=ca2a94f7&amp;x-expires=1764727200&amp;x-signature=jwFMT3YXWkpr9die%2B7bIz0fGYmQ%3D&amp;t=4d5b0474&amp;ps=13740610&amp;shp=a5d48078&amp;shcp=81f88b70&amp;idc=my</t>
  </si>
  <si>
    <t>tdah,tdahreal,tdahadulto,tdahhumor,tdahtiktok,tdahmemes</t>
  </si>
  <si>
    <t>7536699752629488952</t>
  </si>
  <si>
    <t>#saudemental #tdah #psicologia #psicologoonline #psicoterapia #viralizou #fyp #foryou #foryoupage</t>
  </si>
  <si>
    <t>um TDAH adulto 4 Coisas que “IRRITA” 1- EVITE DIZER: “É só se organizar!” 2- EVITE: Fazer perguntas para um
TDAH quando ele está focado 3- EVITE: Falar devagar demais, 
ou detalhar demais a conversa  4- EVITE: Pedir algo para um TDAH
quando ele está focado </t>
  </si>
  <si>
    <t>7536699811316812600</t>
  </si>
  <si>
    <t>https://v16-webapp-prime.tiktok.com/video/tos/useast2a/tos-useast2a-v-27dcd7/oE4ijKA3EREkC8AkSvyqXEeX0JAvkBLbSAioBg/?a=1988&amp;bti=ODszNWYuMDE6&amp;ch=0&amp;cr=0&amp;dr=0&amp;er=0&amp;lr=default&amp;cd=0%7C0%7C0%7C0&amp;br=250&amp;bt=125&amp;ds=5&amp;ft=GNDpcInz7Tht9-UPXq8Zmo&amp;mime_type=audio_mpeg&amp;qs=13&amp;rc=anJ5PGw5cjd1NTMzNzU8M0BpanJ5PGw5cjd1NTMzNzU8M0BlYy9pMmRrbV9hLS1kMTZzYSNlYy9pMmRrbV9hLS1kMTZzcw%3D%3D&amp;btag=e00050000&amp;expire=1763004343&amp;l=20251113102438711CFC3830D7669110B2&amp;ply_type=3&amp;policy=3&amp;signature=e8a191fb37f3d587d74078c77c833d76&amp;tk=7571587458748974088</t>
  </si>
  <si>
    <t>https://v16-webapp-prime.tiktok.com/video/tos/useast2a/tos-useast2a-pve-0068/oMIRQf9WDBaoFh8ENWEdnWI5lBJEE4hQeBRccA/?a=1988&amp;bti=ODszNWYuMDE6&amp;ch=0&amp;cr=3&amp;dr=0&amp;lr=all&amp;cd=0%7C0%7C0%7C&amp;cv=1&amp;br=1590&amp;bt=795&amp;cs=0&amp;ds=3&amp;ft=-Csk_mrMPD12NyDh5d-UxO72hY6e3wv257cAp&amp;mime_type=video_mp4&amp;qs=0&amp;rc=MzM8ODxoNzc0ZmZnO2c2aUBpM3dsOHg5cjY6NTMzNzczM0AyXzYzMDFgNTAxYTM2LWNiYSNwMGsvMmRjYl9hLS1kMTZzcw%3D%3D&amp;btag=e00090000&amp;expire=1764728551&amp;l=20251201102104F69A53E45B65A94E5B1C&amp;ply_type=2&amp;policy=2&amp;signature=e5d37ac9c8e4a8c89bb8e5ac0421a4f5&amp;tk=tt_chain_token</t>
  </si>
  <si>
    <t>https://v16-webapp-prime.tiktok.com/video/tos/useast2a/tos-useast2a-pve-0068/owuRNXBy8Xa5AEknninfGjAWwQAe8FiMieemiU/?a=1988&amp;bti=ODszNWYuMDE6&amp;ch=0&amp;cr=3&amp;dr=0&amp;lr=all&amp;cd=0%7C0%7C0%7C&amp;cv=1&amp;br=2686&amp;bt=1343&amp;cs=0&amp;ds=3&amp;ft=I~da4oKyD12NvnA0i.IxRTF_blBF-UjNSaopiX&amp;mime_type=video_mp4&amp;qs=0&amp;rc=OjQ7ZzplZDY7OmY0M2g3NEBpam5tcnY5cjZ1NTMzNzczM0AtMWEwMTEyNWMxNGMxLjUyYSNfamFzMmRzal9hLS1kMTZzcw%3D%3D&amp;btag=e00090000&amp;expire=1763173543&amp;l=20251113102438711CFC3830D7669110B2&amp;ply_type=2&amp;policy=2&amp;signature=0ec3ed9a401c9f453cf5d9e62d677ed2&amp;tk=tt_chain_token</t>
  </si>
  <si>
    <t>https://www.tiktok.com/@psi.walace/video/7536342264658791686</t>
  </si>
  <si>
    <t>https://www.tiktok.com/@igorpsicologo/video/7536699752629488952</t>
  </si>
  <si>
    <t>7573114566322687252</t>
  </si>
  <si>
    <t>saudemental,tdah,psicologia,psicologoonline,psicoterapia,viralizou,fyp,foryou,foryoupage</t>
  </si>
  <si>
    <t>Pets Fofinhos</t>
  </si>
  <si>
    <t>https://p77-sign-va.tiktokcdn.com/tos-maliva-avt-0068/4949bb024f91e1b4bc8f1b459a9fc215~tplv-tiktokx-cropcenter:100:100.jpeg?dr=14579&amp;refresh_token=4e3e790e&amp;x-expires=1764727200&amp;x-signature=JyO%2B3x4gcaWyV7CFsaASI6XISpk%3D&amp;t=4d5b0474&amp;ps=13740610&amp;shp=a5d48078&amp;shcp=81f88b70&amp;idc=my</t>
  </si>
  <si>
    <t>7176349531464797445</t>
  </si>
  <si>
    <t>anchietaadvogados</t>
  </si>
  <si>
    <t>AnchietaAdvogados</t>
  </si>
  <si>
    <t>https://p77-sign-va.tiktokcdn.com/tos-maliva-avt-0068/5cb18cbd42ec491fa266d34d092284a6~tplv-tiktokx-cropcenter:100:100.jpeg?dr=14579&amp;refresh_token=aef33cc9&amp;x-expires=1763172000&amp;x-signature=Ma9OlCg428jT3cbFfoxmGXocnFY%3D&amp;t=4d5b0474&amp;ps=13740610&amp;shp=a5d48078&amp;shcp=81f88b70&amp;idc=my</t>
  </si>
  <si>
    <t>Atenção portador de TDAH! #tdah #saudementalimporta #tdahadulto #tdahtiktok #tdahmemes #tdahcheck #tdahinfantil #tdahdescomplicado #neurodivergente</t>
  </si>
  <si>
    <t>7176349540277160709</t>
  </si>
  <si>
    <t>https://v16-webapp-prime.tiktok.com/video/tos/useast2a/tos-useast2a-v-27dcd7/d4b5a8a75ff646f287ba78300f1f34c9/?a=1988&amp;bti=ODszNWYuMDE6&amp;ch=0&amp;cr=0&amp;dr=0&amp;er=0&amp;lr=default&amp;cd=0%7C0%7C0%7C0&amp;br=250&amp;bt=125&amp;ds=5&amp;ft=GNDpcInz7ThaV-UPXq8Zmo&amp;mime_type=audio_mpeg&amp;qs=13&amp;rc=amttODY6ZnNyaDMzNzU8M0BpamttODY6ZnNyaDMzNzU8M0AxNmczcjRvNF9gLS1kMTZzYSMxNmczcjRvNF9gLS1kMTZzcw%3D%3D&amp;btag=e00048000&amp;expire=1763004265&amp;l=20251113102343D1A0044B947998B9C2A2&amp;ply_type=3&amp;policy=3&amp;signature=4c4a93214e32580898de97272e400876&amp;tk=7571587458748974088</t>
  </si>
  <si>
    <t>O que é TDAH? Relacionamento de um homem com TDAH.... #tdah #oqueetdah #sintomasdotdah</t>
  </si>
  <si>
    <t>7573114635058989832</t>
  </si>
  <si>
    <t>https://v16-webapp-prime.tiktok.com/video/tos/alisg/tos-alisg-v-27dcd7/owJBuFBQQBdfgfGW6pQBCBQZiyIUMBA1DRG4Eg/?a=1988&amp;bti=ODszNWYuMDE6&amp;ch=0&amp;cr=0&amp;dr=0&amp;er=0&amp;lr=default&amp;cd=0%7C0%7C0%7C0&amp;br=250&amp;bt=125&amp;ft=GNDpcInz7Th6zKvPXq8Zmo&amp;mime_type=audio_mpeg&amp;qs=6&amp;rc=aDc6ZWg2N2Y5Zzo6Ojw1aEBpanJuM3k5cjprNzMzODU8NEBiY19gLjU2NjExYF4tNDU1YSMtLmJfMmRja2BhLS1kMS1zcw%3D%3D&amp;btag=e00090000&amp;expire=1764559422&amp;l=202512011021446E702D323C03BE6BD085&amp;ply_type=3&amp;policy=3&amp;signature=02637a02615c3d4822ff7f24b5b176ca&amp;tk=7571587458748974088</t>
  </si>
  <si>
    <t>https://v16-webapp-prime.tiktok.com/video/tos/alisg/tos-alisg-pve-0037/o0uG6QGop4BXlsfZB4FEgtDjCGAV3lTEInfyUR/?a=1988&amp;bti=ODszNWYuMDE6&amp;ch=0&amp;cr=3&amp;dr=0&amp;lr=all&amp;cd=0%7C0%7C0%7C&amp;cv=1&amp;br=880&amp;bt=440&amp;cs=0&amp;ds=3&amp;ft=-Csk_mrMPD12NVDh5d-UxIS5hY6e3wv25ocAp&amp;mime_type=video_mp4&amp;qs=0&amp;rc=aDNpZDU1ODs6Nzg4aWdpZUBpM2Z5d3Y5cnJrNzMzODgzNEAzXzNjY18yX18xMC8wMGIxYSNoMm82MmRzamBhLS1kLzFzcw%3D%3D&amp;btag=e00090000&amp;expire=1764728622&amp;l=202512011021446E702D323C03BE6BD085&amp;ply_type=2&amp;policy=2&amp;signature=2fd4b24b8ac3f714bb4c1910c0f99ea7&amp;tk=tt_chain_token</t>
  </si>
  <si>
    <t>https://p16-sign-va.tiktokcdn.com/tos-maliva-avt-0068/5cb18cbd42ec491fa266d34d092284a6~tplv-tiktokx-cropcenter:1080:1080.jpeg?dr=14579&amp;refresh_token=c14fe676&amp;x-expires=1763172000&amp;x-signature=cUcyFiyf9VM1EA4RAORN3d21S2o%3D&amp;t=4d5b0474&amp;ps=13740610&amp;shp=a5d48078&amp;shcp=81f88b70&amp;idc=my</t>
  </si>
  <si>
    <t>https://v16-webapp-prime.tiktok.com/video/tos/alisg/tos-alisg-pve-0037c001/oIpesnPIEEe4BNAbEQDtGJjTIzRtlA8wDESBQg/?a=1988&amp;bti=ODszNWYuMDE6&amp;ch=0&amp;cr=3&amp;dr=0&amp;lr=all&amp;cd=0%7C0%7C0%7C&amp;cv=1&amp;br=1702&amp;bt=851&amp;cs=0&amp;ds=3&amp;ft=-Csk_mrMPD12N8Yopd-UxfeFaY6e3wv25HcAp&amp;mime_type=video_mp4&amp;qs=0&amp;rc=ZzxnNzxkODQ3OTg6OGczOUBpMzxkNDQ6ZmpyaDMzNzczM0BfYWBgYzNiNWExM2AxMzZjYSMvb2ZzcjQwNF9gLS1kMTZzcw%3D%3D&amp;btag=e00088000&amp;expire=1763173465&amp;l=20251113102343D1A0044B947998B9C2A2&amp;ply_type=2&amp;policy=2&amp;signature=31e33ff9bc97c46163b4217900f1d06f&amp;tk=tt_chain_token</t>
  </si>
  <si>
    <t>https://www.tiktok.com/@liberdade.mentall/video/7573114566322687252</t>
  </si>
  <si>
    <t>7554502786784726283</t>
  </si>
  <si>
    <t>visaopsicologiaof</t>
  </si>
  <si>
    <t>Visão Sabedoria</t>
  </si>
  <si>
    <t>https://p77-sign-va.tiktokcdn.com/tos-maliva-avt-0068/54df30458f3a66aed8bbb7fbd484cf07~tplv-tiktokx-cropcenter:100:100.jpeg?dr=14579&amp;refresh_token=2ee07d07&amp;x-expires=1764727200&amp;x-signature=3MnZPrDBmQhcX7Q8Shdpdk0LzM0%3D&amp;t=4d5b0474&amp;ps=13740610&amp;shp=a5d48078&amp;shcp=81f88b70&amp;idc=my</t>
  </si>
  <si>
    <t>https://www.tiktok.com/@anchietaadvogados/video/7176349531464797445</t>
  </si>
  <si>
    <t>Tdah não tratado tem esses sintomas #psicologia #relacionamento #tdah</t>
  </si>
  <si>
    <t>7554502847388273420</t>
  </si>
  <si>
    <t>https://v16-webapp-prime.tiktok.com/video/tos/useast2a/tos-useast2a-v-27dcd7/o4iWGeWbQInkYFf9RgjALErtQzmfJG0euFKCni/?a=1988&amp;bti=ODszNWYuMDE6&amp;ch=0&amp;cr=0&amp;dr=0&amp;er=0&amp;lr=default&amp;cd=0%7C0%7C0%7C0&amp;br=250&amp;bt=125&amp;ft=GNDpcInz7ThszKvPXq8Zmo&amp;mime_type=audio_mpeg&amp;qs=6&amp;rc=PGRkNWVnaDw6ODs0M2Y1OUBpamk6OW85cm1pNjMzNzU8M0BeYjQzNTAuNi4xL2EtMi5jYSNjbmtmMmRjbF9hLS1kMTZzcw%3D%3D&amp;btag=e00090000&amp;expire=1764559324&amp;l=20251201102055111140D50F38376E882B&amp;ply_type=3&amp;policy=3&amp;signature=c8f874297ab6c49d2324e7bf88b6c457&amp;tk=7571587458748974088</t>
  </si>
  <si>
    <t>tdah,saudementalimporta,tdahadulto,tdahtiktok,tdahmemes,tdahcheck,tdahinfantil,tdahdescomplicado,neurodivergente</t>
  </si>
  <si>
    <t>https://p77-sign-va.tiktokcdn.com/tos-maliva-avt-0068/7326721801726689286~tplv-tiktokx-cropcenter:100:100.jpeg?dr=14579&amp;refresh_token=9dfacccf&amp;x-expires=1763172000&amp;x-signature=OGhc9xK0WjLf2d0lYo8FInojhOY%3D&amp;t=4d5b0474&amp;ps=13740610&amp;shp=a5d48078&amp;shcp=81f88b70&amp;idc=my</t>
  </si>
  <si>
    <t>https://p16-sign-va.tiktokcdn.com/tos-maliva-avt-0068/54df30458f3a66aed8bbb7fbd484cf07~tplv-tiktokx-cropcenter:1080:1080.jpeg?dr=14579&amp;refresh_token=0620cb10&amp;x-expires=1764727200&amp;x-signature=os4eiuVeUU5CDyuxlcJSatm0KYU%3D&amp;t=4d5b0474&amp;ps=13740610&amp;shp=a5d48078&amp;shcp=81f88b70&amp;idc=my</t>
  </si>
  <si>
    <t>https://v16-webapp-prime.tiktok.com/video/tos/useast2a/tos-useast2a-v-27dcd7/osHD8L1RIrCoSmfCKfcnbCET0XEeAAygAq4JI2/?a=1988&amp;bti=ODszNWYuMDE6&amp;ch=0&amp;cr=0&amp;dr=0&amp;er=0&amp;lr=default&amp;cd=0%7C0%7C0%7C0&amp;br=250&amp;bt=125&amp;ds=5&amp;ft=GNDpcInz7ThX9-UPXq8Zmo&amp;mime_type=audio_mpeg&amp;qs=13&amp;rc=MzhzeDQ6ZjhsbTMzNzU8M0BpMzhzeDQ6ZjhsbTMzNzU8M0AuaW9ecjRvbnNgLS1kMTZzYSMuaW9ecjRvbnNgLS1kMTZzcw%3D%3D&amp;btag=e00050000&amp;expire=1763004395&amp;l=20251113102424EE0F9FCD2CC2B68BE0E2&amp;ply_type=3&amp;policy=3&amp;signature=70f13ef4e2bef7bda32ffc925b731107&amp;tk=7571587458748974088</t>
  </si>
  <si>
    <t>https://v16-webapp-prime.tiktok.com/video/tos/useast2a/tos-useast2a-ve-0068c003/osfRcWgmzLf0AEkk8jRRGFAIhIQAeF8GItfFlF/?a=1988&amp;bti=ODszNWYuMDE6&amp;ch=0&amp;cr=3&amp;dr=0&amp;lr=all&amp;cd=0%7C0%7C0%7C&amp;cv=1&amp;br=1018&amp;bt=509&amp;cs=0&amp;ds=3&amp;ft=-Csk_mrMPD12NbDh5d-UxPR2SY6e3wv25IcAp&amp;mime_type=video_mp4&amp;qs=0&amp;rc=OjtkM2llaWczO2g0NzgzaUBpM3h2Z245cmRpNjMzNzczM0BjLTRgNmEzNjExNjZhNDJeYSNhc21iMmQ0bF9hLS1kMTZzcw%3D%3D&amp;btag=e00090000&amp;expire=1764728524&amp;l=20251201102055111140D50F38376E882B&amp;ply_type=2&amp;policy=2&amp;signature=61ffdf21992e7ed03a577ad337e6f91a&amp;tk=tt_chain_token</t>
  </si>
  <si>
    <t>https://www.tiktok.com/@visaopsicologiaof/video/7554502786784726283</t>
  </si>
  <si>
    <t>psicologia,relacionamento,tdah</t>
  </si>
  <si>
    <t>7555635308767792440</t>
  </si>
  <si>
    <t>https://p77-sign-va.tiktokcdn.com/tos-maliva-avt-0068/7326721801726689286~tplv-tiktokx-cropcenter:1080:1080.jpeg?dr=14579&amp;refresh_token=fb846d46&amp;x-expires=1763172000&amp;x-signature=6SAeG%2B26G1RtmFMgPMvUlZMSL6c%3D&amp;t=4d5b0474&amp;ps=13740610&amp;shp=a5d48078&amp;shcp=81f88b70&amp;idc=my</t>
  </si>
  <si>
    <t xml:space="preserve">Isso não é um superpoder, viu?! É apenas um análise associativa que o TDAH acaba fazendo inconscientemente, e muitas vezes desvenda o plotwist de filmes/series, e que também transborda para outras áreas. Quase um sexto sentido, mas é apenas TDAH. 😅 #psicologia #tdah #tdahadulto </t>
  </si>
  <si>
    <t>7555635385775180600</t>
  </si>
  <si>
    <t>https://v16-webapp-prime.tiktok.com/video/tos/useast2a/tos-useast2a-v-27dcd7/ogcbTgTRRESAoAC7ACtFMDSEEBDAe5E8egfRlY/?a=1988&amp;bti=ODszNWYuMDE6&amp;ch=0&amp;cr=0&amp;dr=0&amp;er=0&amp;lr=default&amp;cd=0%7C0%7C0%7C0&amp;br=250&amp;bt=125&amp;ds=5&amp;ft=GNDpcInz7ThbzKvPXq8Zmo&amp;mime_type=audio_mpeg&amp;qs=13&amp;rc=anY6OXc5cnFqNjMzNzU8M0BpanY6OXc5cnFqNjMzNzU8M0A2bC1zMmRrMWFhLS1kMTZzYSM2bC1zMmRrMWFhLS1kMTZzcw%3D%3D&amp;btag=e00050000&amp;expire=1764559445&amp;l=20251201102139650E38823033055E6EEC&amp;ply_type=3&amp;policy=3&amp;signature=1260d1fbc9c19e31a1d9c6d6e22ce4f2&amp;tk=7571587458748974088</t>
  </si>
  <si>
    <t>https://v16-webapp-prime.tiktok.com/video/tos/useast2a/tos-useast2a-pve-0068/ogPhQbeeDSqgWBzZhUkRfpfBEeEyATYPMWWfcY/?a=1988&amp;bti=ODszNWYuMDE6&amp;ch=0&amp;cr=3&amp;dr=0&amp;lr=all&amp;cd=0%7C0%7C0%7C&amp;cv=1&amp;br=2158&amp;bt=1079&amp;cs=0&amp;ds=3&amp;ft=-Csk_mrMPD12N-copd-Ux7~2bY6e3wv25bcAp&amp;mime_type=video_mp4&amp;qs=0&amp;rc=M2RkNWY3ZDVpZWhlaTs8N0BpM2Rsd2g6ZmZsbTMzNzczM0AzYDE0MDBgNS0xMzMvLS1jYSNnZnMwcjQwbXNgLS1kMTZzcw%3D%3D&amp;btag=e00090000&amp;expire=1763173594&amp;l=20251113102424EE0F9FCD2CC2B68BE0E2&amp;ply_type=2&amp;policy=2&amp;signature=337ef1695818e7df12a69b85235b65eb&amp;tk=tt_chain_token</t>
  </si>
  <si>
    <t>https://v16-webapp-prime.tiktok.com/video/tos/useast2a/tos-useast2a-ve-0068c001/osRXGByOAe7E3QooWwJFEHX2IBWf7N7bsQDAEo/?a=1988&amp;bti=ODszNWYuMDE6&amp;ch=0&amp;cr=3&amp;dr=0&amp;lr=all&amp;cd=0%7C0%7C0%7C&amp;cv=1&amp;br=1564&amp;bt=782&amp;cs=0&amp;ds=3&amp;ft=-Csk_mrMPD12NzDh5d-UxKyFaY6e3wv257cAp&amp;mime_type=video_mp4&amp;qs=0&amp;rc=Zjw8NTtlNGVkZWY3ODo5OEBpM3FzOHg5cnZqNjMzNzczM0AxY2ExMjBfXjQxNjE1Xy42YSNfY2VoMmRrMGFhLS1kMTZzcw%3D%3D&amp;btag=e00090000&amp;expire=1764728645&amp;l=20251201102139650E38823033055E6EEC&amp;ply_type=2&amp;policy=2&amp;signature=74b38518b8357bb9600dbc926178d797&amp;tk=tt_chain_token</t>
  </si>
  <si>
    <t>https://www.tiktok.com/@psi.walace/video/7555635308767792440</t>
  </si>
  <si>
    <t>7525578360261758213</t>
  </si>
  <si>
    <t xml:space="preserve">O déficit de atenção é um dos sintomas principais do TDAH, muito presente no TDA principalmente. E como mostrado no vídeo, que é um ótimo exemplo, a memória de trabalho é muito prejudicada, causando esses pequenos esquecimentos até a curto prazo. E isso não é “frescura” ou “desleixo”. É neurológico! #psicologia #tdah #tdahadulto </t>
  </si>
  <si>
    <t>https://v16-webapp-prime.tiktok.com/video/tos/useast2a/tos-useast2a-ve-0068c002/osrTigAioIkzJIQoaWCOlxEBciXBBfVAkPz02w/?a=1988&amp;bti=ODszNWYuMDE6&amp;ch=0&amp;cr=3&amp;dr=0&amp;lr=all&amp;cd=0%7C0%7C0%7C&amp;cv=1&amp;br=2180&amp;bt=1090&amp;cs=0&amp;ds=3&amp;ft=-Csk_mrMPD12NNBh5d-UxIS5hY6e3wv25ocAp&amp;mime_type=video_mp4&amp;qs=0&amp;rc=OTc7NWg6ZjpnZDs6ZjY4ZEBpMzhoZ205cjM2NDMzNzczM0A1NTEvLjYuXmMxXmNfMjE0YSNlZWlhMmRzZWxhLS1kMTZzcw%3D%3D&amp;btag=e00090000&amp;expire=1764728660&amp;l=20251201102153319CD8E1EA373154CB8C&amp;ply_type=2&amp;policy=2&amp;signature=ef8e06e48e4db6446f16488c1d6592fa&amp;tk=tt_chain_token</t>
  </si>
  <si>
    <t>https://v16-webapp-prime.tiktok.com/video/tos/useast2a/tos-useast2a-v-27dcd7/o8qISLGKToCSXIAJYfII7sCEVAdgYqAUvOeeEC/?a=1988&amp;bti=ODszNWYuMDE6&amp;ch=0&amp;cr=0&amp;dr=0&amp;er=0&amp;lr=default&amp;cd=0%7C0%7C0%7C0&amp;br=250&amp;bt=125&amp;ds=5&amp;ft=GNDpcInz7ThQ9-UPXq8Zmo&amp;mime_type=audio_mpeg&amp;qs=13&amp;rc=amtuNnQ5cjRvdzMzNzU8M0BpamtuNnQ5cjRvdzMzNzU8M0A0YmplMmQ0X2NgLS1kMTZzYSM0YmplMmQ0X2NgLS1kMTZzcw%3D%3D&amp;btag=e00050000&amp;expire=1763004321&amp;l=202511131024053FAEE14371AE44A729CC&amp;ply_type=3&amp;policy=3&amp;signature=db8f0bc65a44c723fa83ae53d203686a&amp;tk=7571587458748974088</t>
  </si>
  <si>
    <t>https://www.tiktok.com/@psi.walace/video/7525578360261758213</t>
  </si>
  <si>
    <t>7494669022491921719</t>
  </si>
  <si>
    <t>caiofontesz</t>
  </si>
  <si>
    <t>Caio Fontes</t>
  </si>
  <si>
    <t>https://p16-sign-va.tiktokcdn.com/tos-maliva-avt-0068/d32280d9675e02b4b9376c618da9c83e~tplv-tiktokx-cropcenter:100:100.jpeg?dr=14579&amp;refresh_token=fdcac663&amp;x-expires=1764727200&amp;x-signature=Cbg9QT6yOt0KDKTsOxo9%2Ff3sHzU%3D&amp;t=4d5b0474&amp;ps=13740610&amp;shp=a5d48078&amp;shcp=81f88b70&amp;idc=my</t>
  </si>
  <si>
    <t xml:space="preserve">O TDAH vai muito além da dificuldade de foco. Quando não tratado, ele aumenta o risco de acidentes, uso de substâncias e até a mortalidade. Não é frescura, é um transtorno sério. Quanto antes for identificado, melhor a qualidade de vida. #tdah #terapia #saudemental </t>
  </si>
  <si>
    <t>TDAH não tratado aumenta mortalidade </t>
  </si>
  <si>
    <t>Paris</t>
  </si>
  <si>
    <t>6861355060333398789</t>
  </si>
  <si>
    <t>https://sf16-ies-music-sg.tiktokcdn.com/obj/tos-alisg-ve-2774/oErrDXbngQMpzJGa68eSz7VfvC2FCDmYedLzoA</t>
  </si>
  <si>
    <t>https://v16-webapp-prime.tiktok.com/video/tos/useast2a/tos-useast2a-pve-0068/ooFYI0JRXE81JiDlBSQFRXaLQfV6nyEBFgVtfA/?a=1988&amp;bti=ODszNWYuMDE6&amp;ch=0&amp;cr=3&amp;dr=0&amp;lr=all&amp;cd=0%7C0%7C0%7C&amp;cv=1&amp;br=1956&amp;bt=978&amp;cs=0&amp;ds=3&amp;ft=-Csk_mrMPD12Nlcopd-UxB6vSY6e3wv25rcAp&amp;mime_type=video_mp4&amp;qs=0&amp;rc=ZjlkZzc3ODxkaTk4OjhlN0BpMztvO3A5cnZvdzMzNzczM0BiLTBiMzQwNjYxNF4zLzIvYSNxMmtmMmRrXmNgLS1kMTZzcw%3D%3D&amp;btag=e00090000&amp;expire=1763173521&amp;l=202511131024053FAEE14371AE44A729CC&amp;ply_type=2&amp;policy=2&amp;signature=7df0682e1718063b7022eb946014a6f9&amp;tk=tt_chain_token</t>
  </si>
  <si>
    <t>https://p77-sg.tiktokcdn.com/aweme/720x720/tos-alisg-v-2774/0c6f9b5b9dbe4ce79434e9b5f3aa6e97.jpeg</t>
  </si>
  <si>
    <t>Else</t>
  </si>
  <si>
    <t>https://v16-webapp-prime.tiktok.com/video/tos/useast2a/tos-useast2a-ve-0068c002/o0fFGLQIEaDAAJIFm0BsYoFllDcBREggQP4of5/?a=1988&amp;bti=ODszNWYuMDE6&amp;ch=0&amp;cr=3&amp;dr=0&amp;lr=all&amp;cd=0%7C0%7C0%7C&amp;cv=1&amp;br=806&amp;bt=403&amp;cs=0&amp;ds=3&amp;ft=-Csk_mrMPD12NkZh5d-Ux3t2SY6e3wv25HcAp&amp;mime_type=video_mp4&amp;qs=0&amp;rc=PGdlNjpmNjZlZmY7OjlpNUBpam5xOGw5cnA5MzMzNzczM0A1NWM1Yl41NTIxLzEtMS0tYSMubWRrMmRrZi5hLS1kMTZzcw%3D%3D&amp;btag=e00088000&amp;expire=1764728623&amp;l=20251201102308F103B97239407AECD052&amp;ply_type=2&amp;policy=2&amp;signature=b948a185e44a97ff17814a1c59adecc6&amp;tk=tt_chain_token</t>
  </si>
  <si>
    <t>7567357838679362837</t>
  </si>
  <si>
    <t>https://www.tiktok.com/@caiofontesz/video/7494669022491921719</t>
  </si>
  <si>
    <t>https://p77-sign-sg.tiktokcdn.com/tos-alisg-avt-0068/a922d44f129753f3f4657ae1aab09386~tplv-tiktokx-cropcenter:100:100.jpeg?dr=14579&amp;refresh_token=fdf273b4&amp;x-expires=1763172000&amp;x-signature=k9kZXtI6haYmCf6CcaKoXuObTsE%3D&amp;t=4d5b0474&amp;ps=13740610&amp;shp=a5d48078&amp;shcp=81f88b70&amp;idc=my</t>
  </si>
  <si>
    <t>tdah,terapia,saudemental</t>
  </si>
  <si>
    <t>7523725264317189381</t>
  </si>
  <si>
    <t xml:space="preserve">Você se identificou com alguma? Essas 3 características são extremamente comuns no TDAH, afetando muito o dia a dia da pessoas, inclusive na sua autoestima. #psicologia #tdah #tdahadulto </t>
  </si>
  <si>
    <t>https://v16-webapp-prime.tiktok.com/video/tos/useast2a/tos-useast2a-ve-0068c003/o0Kpdww2VSPEhGsim1H9nqUpBQEaQiUh8BVAI/?a=1988&amp;bti=ODszNWYuMDE6&amp;ch=0&amp;cr=3&amp;dr=0&amp;lr=all&amp;cd=0%7C0%7C0%7C&amp;cv=1&amp;br=1500&amp;bt=750&amp;cs=0&amp;ds=3&amp;ft=-Csk_mrMPD12NTKh5d-UxII2hY6e3wv252cAp&amp;mime_type=video_mp4&amp;qs=0&amp;rc=MzU8ZmVoNmg6MzNnZTk7OkBpamRtd2o5cjR0NDMzNzczM0BfMjFfXzAyNS8xYzY1MzNhYSNyYV5nMmQ0MGhhLS1kMTZzcw%3D%3D&amp;btag=e00090000&amp;expire=1764728888&amp;l=20251201102611DEF09C65EA3D7160BDA1&amp;ply_type=2&amp;policy=2&amp;signature=665060cdee0eae1daff09025ffcc557b&amp;tk=tt_chain_token</t>
  </si>
  <si>
    <t xml:space="preserve">Descubra aqui na legenda a personalidade do seu TDAH. 1) Superfocado (Overfocused ADD)  Você enxerga sempre duas ou mais boas soluções e fica ruminando qual é “a certa”.  Quando o cenário muda, a ansiedade sobe e você trava ajustando detalhes.  Acaba postergando decisões por medo de escolher “errado” e perder controle. 2) Desatento (Inattentive ADD)  Sua cabeça viaja para o futuro: “quando eu chegar lá…”.  No presente, o estímulo cai e o foco some; detalhes escapam.  A ansiedade aparece como preocupação constante e você começa tarde. 3) Clássico (Classic ADD)  Você tenta ser responsável, mas alterna impulsos e distrações.  Começa animado, abre muitas frentes e se perde na metade.  A ansiedade é sentir que está sempre “devendo” algo que não terminou. 4) Lobo Temporal (Temporal Lobe ADD)  Criatividade alta com emoções em ondas: reage primeiro, pensa depois.  Discussões esquentam rápido; depois vem arrependimento e culpa.  A ansiedade cresce em ambientes imprevisíveis e com muitos estímulos. 5) Círculo de Fogo (Ring of Fire ADD)  A mente fica “acesa”: tudo vira gatilho, som, notificação, comentário.  Frustração mistura irritação e tristeza, e o corpo não desacelera.  A ansiedade é difusa: sensação de urgência o dia inteiro. 6) Ansioso (Anxious ADD)  Busca encaixe e identidade, mas teme o julgamento.  Em tarefas avaliativas, congela, revisa demais e evita se expor.  A mente repassa conversas e “e se…”, alimentando a própria ansiedade. 7) Superfocado — “Controladora” (variante do Overfocused)  Rende mais com previsibilidade e ordem; rituais te organizam.  Se algo sai do script, você para para “arrumar” e perde a janela de execução.  A ansiedade vira perfeccionismo: só começa quando estiver “ideal”. 8) Límbico em monotonia tóxica (Limbic ADD — adaptação)  Com o tempo, você dessensibiliza o incômodo e se acostuma ao “morno”.  A desatenção vem de um estado distímico: pouca energia, pouco prazer.  A ansiedade é silenciosa: medo de mexer no que está estável, mesmo ruim. NOTA: Esse vídeo foi crido originalmente pelo @hector.psi  Foram feito adaptações dos resultados me baseados na leitura de perfil estudado pelo @doc_amen #ciencias #tdah #curiosidades #comportamento #psicologia </t>
  </si>
  <si>
    <t>7567357957311122177</t>
  </si>
  <si>
    <t>https://v16-webapp-prime.tiktok.com/video/tos/alisg/tos-alisg-v-27dcd7/oADQaALEmIGS1dAJfWAAeMIekJIqmniGAAfpTF/?a=1988&amp;bti=ODszNWYuMDE6&amp;ch=0&amp;cr=0&amp;dr=0&amp;er=0&amp;lr=default&amp;cd=0%7C0%7C0%7C0&amp;br=250&amp;bt=125&amp;ds=5&amp;ft=GNDpcInz7Th_9-UPXq8Zmo&amp;mime_type=audio_mpeg&amp;qs=13&amp;rc=am03a3E5cnhkNzMzODU8NEBpam03a3E5cnhkNzMzODU8NEAybmZjMmRrYy9hLS1kMS1zYSMybmZjMmRrYy9hLS1kMS1zcw%3D%3D&amp;btag=e00050000&amp;expire=1763004346&amp;l=202511131024200DA040BB1F5C349EC2B1&amp;ply_type=3&amp;policy=3&amp;signature=f6393573d1b3e6e8f182a7bd8281a486&amp;tk=7571587458748974088</t>
  </si>
  <si>
    <t>https://www.tiktok.com/@psi.walace/video/7523725264317189381</t>
  </si>
  <si>
    <t>https://v16-webapp-prime.tiktok.com/video/tos/alisg/tos-alisg-pve-0037c001/oogiYcViavKEQBqzN2nTSAEVExQQIAS4B3iV7/?a=1988&amp;bti=ODszNWYuMDE6&amp;ch=0&amp;cr=3&amp;dr=0&amp;lr=all&amp;cd=0%7C0%7C0%7C&amp;cv=1&amp;br=2530&amp;bt=1265&amp;cs=0&amp;ds=3&amp;ft=I~da4oKyD12NvyA0i.IxRhq_glBF-UjNSmopiX&amp;mime_type=video_mp4&amp;qs=0&amp;rc=NTdoOTk0aDdlZzxmOTg2O0Bpam9lZGs5cnBkNzMzODczNEAxMy5gM2M1NWIxLmM1MGFhYSNeM2hkMmRrYy9hLS1kMTFzcw%3D%3D&amp;btag=e00090000&amp;expire=1763173546&amp;l=202511131024200DA040BB1F5C349EC2B1&amp;ply_type=2&amp;policy=2&amp;signature=ba8abc69c483e15d0970c14dc6e4c7b8&amp;tk=tt_chain_token</t>
  </si>
  <si>
    <t>7574621769491811605</t>
  </si>
  <si>
    <t>dulcivaldejesussantos</t>
  </si>
  <si>
    <t>cival kit tdah e autismo 🧩🧩</t>
  </si>
  <si>
    <t>https://p16-sign-va.tiktokcdn.com/tos-maliva-avt-0068/b65580219dd212688aa9c5305651ee47~tplv-tiktokx-cropcenter:100:100.jpeg?dr=14579&amp;refresh_token=d8e18523&amp;x-expires=1764727200&amp;x-signature=FUkhT7zDieVxyPnSflsZmp9pK6A%3D&amp;t=4d5b0474&amp;ps=13740610&amp;shp=a5d48078&amp;shcp=81f88b70&amp;idc=my</t>
  </si>
  <si>
    <t>#tdah #tdahadulto #tdahinfantil</t>
  </si>
  <si>
    <t xml:space="preserve">comente
compartilhar </t>
  </si>
  <si>
    <t>7574621803278371591</t>
  </si>
  <si>
    <t>https://v16-webapp-prime.tiktok.com/video/tos/alisg/tos-alisg-v-27dcd7/ocQJvHEArALPjeQmU6ZodTgIDfCFFBALuBApnI/?a=1988&amp;bti=ODszNWYuMDE6&amp;ch=0&amp;cr=0&amp;dr=0&amp;er=0&amp;lr=default&amp;cd=0%7C0%7C0%7C0&amp;br=250&amp;bt=125&amp;ds=5&amp;ft=GNDpcInz7ThHzKvPXq8Zmo&amp;mime_type=audio_mpeg&amp;qs=13&amp;rc=MzhxeXE5cnQ6NzMzODU8NEBpMzhxeXE5cnQ6NzMzODU8NEBoYl5mMmQ0YGNhLS1kMS1zYSNoYl5mMmQ0YGNhLS1kMS1zcw%3D%3D&amp;btag=e00050000&amp;expire=1764559334&amp;l=2025120110210247DE29902DF1415935A0&amp;ply_type=3&amp;policy=3&amp;signature=a035d836e197b20c7b40c7fcf9ddf9ae&amp;tk=7571587458748974088</t>
  </si>
  <si>
    <t>https://www.tiktok.com/@psi.jonathanorlandi/video/7567357838679362837</t>
  </si>
  <si>
    <t>ciencias,tdah,curiosidades,comportamento,psicologia</t>
  </si>
  <si>
    <t>https://p77-sign-va.tiktokcdn.com/tos-maliva-avt-0068/b65580219dd212688aa9c5305651ee47~tplv-tiktokx-cropcenter:1080:1080.jpeg?dr=14579&amp;refresh_token=65299c8d&amp;x-expires=1764727200&amp;x-signature=fCBTj%2BixHQYZ1econVLm6Q2yBYg%3D&amp;t=4d5b0474&amp;ps=13740610&amp;shp=a5d48078&amp;shcp=81f88b70&amp;idc=my</t>
  </si>
  <si>
    <t>https://v16-webapp-prime.tiktok.com/video/tos/useast2a/tos-useast2a-ve-0068c001/owrGfADUfltBYFRaoIncTQJEQIxQBDTEFN5JE0/?a=1988&amp;bti=ODszNWYuMDE6&amp;ch=0&amp;cr=3&amp;dr=0&amp;lr=all&amp;cd=0%7C0%7C0%7C&amp;cv=1&amp;br=1382&amp;bt=691&amp;cs=0&amp;ds=3&amp;ft=-Csk_mrMPD12NXhopd-UxB6vSY6e3wv25rcAp&amp;mime_type=video_mp4&amp;qs=0&amp;rc=aTs3ZzM7ZTozOjU4NzlkOkBpam1vM3Y5cnE8NDMzNzczM0AuMmAuMzM1NWAxMjBfMmFgYSNzaGFmMmQ0NjVhLS1kMTZzcw%3D%3D&amp;btag=e00090000&amp;expire=1763173405&amp;l=202511131022245A53A91EDE77CC8B0DB4&amp;ply_type=2&amp;policy=2&amp;signature=5ff8a0aaebdb517f1408dc0fda27da21&amp;tk=tt_chain_token</t>
  </si>
  <si>
    <t>https://v16-webapp-prime.tiktok.com/video/tos/alisg/tos-alisg-pve-0037c001/ocCjTPIAQQeTCe4nIRvvd6AQGeAVLDg7dCTSOI/?a=1988&amp;bti=ODszNWYuMDE6&amp;ch=0&amp;cr=3&amp;dr=0&amp;lr=all&amp;cd=0%7C0%7C0%7C&amp;cv=1&amp;br=1852&amp;bt=926&amp;cs=0&amp;ds=3&amp;ft=-Csk_mrMPD12N7Dh5d-UxII2hY6e3wv252cAp&amp;mime_type=video_mp4&amp;qs=0&amp;rc=OjY2PDs7Njk1Omc7Nzg4aUBpanczbG45cnc6NzMzODczNEA0YmEuXl5iNTMxMWMzXy0zYSNkcTJzMmRzX2NhLS1kMWBzcw%3D%3D&amp;btag=e00090000&amp;expire=1764728535&amp;l=2025120110210247DE29902DF1415935A0&amp;ply_type=2&amp;policy=2&amp;signature=88e170ba6f0f6f47010793f35a786637&amp;tk=tt_chain_token</t>
  </si>
  <si>
    <t>https://www.tiktok.com/@dulcivaldejesussantos/video/7574621769491811605</t>
  </si>
  <si>
    <t>tdah,tdahadulto,tdahinfantil</t>
  </si>
  <si>
    <t>7566025460065357077</t>
  </si>
  <si>
    <t>7253562458537774341</t>
  </si>
  <si>
    <t>alan_neris</t>
  </si>
  <si>
    <t>O madruga</t>
  </si>
  <si>
    <t>https://p77-sign-va.tiktokcdn.com/tos-maliva-avt-0068/50ef81d77f5f6db1e258e8c98b2de598~tplv-tiktokx-cropcenter:100:100.jpeg?dr=14579&amp;refresh_token=8c28bf35&amp;x-expires=1763172000&amp;x-signature=ue8h5YZNYA1UQGyUejk2TrlGI%2BI%3D&amp;t=4d5b0474&amp;ps=13740610&amp;shp=a5d48078&amp;shcp=81f88b70&amp;idc=my</t>
  </si>
  <si>
    <t xml:space="preserve">Você já teve que pedir para a pessoa repetir o que falou… ou escutar em ambiente barulhento e mesmo assim parece que “não entrou”?Quando temos TDAH, isso pode não ser só falta de atenção — pode haver dificuldades no processamento auditivo. ⠀ ➡️ Pessoas com TDAH podem apresentar uma capacidade reduzida de selecionar e processar sons-alvo em meio a ruído, ou integrar dois ouvidos simultaneamente, o que torna ambientes com muitos estímulos (mobília, som ambiente, várias vozes) especialmente desafiadores. ⠀ 💡 Na terapia cognitivo-comportamental (TCC), reconhecemos que esses “ruídos internos/externos” aumentam o esforço atencional, aceleram a fadiga e favorecem distração e incompreensão — não é preguiça ou falta de vontade, é cérebro exigido. ⠀ 🎯 Estratégias práticas: • Avise quando precisa de repetição (“Poderia repetir, por favor?”) sem culpa. • Minimize ruído de fundo (fones com cancelamento, separar local tranquilo). • Peça para reformular ou escrever o que disse. • Inclua pausas sensoriais se estiver em situação de sobrecarga. - Referência científica: Fu, T., et al. (2022). Sound localisation and auditory selective attention in school-aged children with ADHD. Frontiers in Neuroscience, 16:1051585. https://doi.org/10.3389/fnins.2022.1051585 #psicologia #tdah #tdahadulto </t>
  </si>
  <si>
    <t>7566025974337342209</t>
  </si>
  <si>
    <t>https://v16-webapp-prime.tiktok.com/video/tos/alisg/tos-alisg-v-27dcd7/oo17IAAajHGWMMCfF5FEAyDJQfJmNnAIIrfKAe/?a=1988&amp;bti=ODszNWYuMDE6&amp;ch=0&amp;cr=0&amp;dr=0&amp;er=0&amp;lr=default&amp;cd=0%7C0%7C0%7C0&amp;br=250&amp;bt=125&amp;ds=5&amp;ft=GNDpcInz7ThAzKvPXq8Zmo&amp;mime_type=audio_mpeg&amp;qs=13&amp;rc=ajk3eHY5cjV4NjMzODU8NEBpajk3eHY5cjV4NjMzODU8NEAzXmhuMmRjbXNhLS1kMS1zYSMzXmhuMmRjbXNhLS1kMS1zcw%3D%3D&amp;btag=e00050000&amp;expire=1764559425&amp;l=202512011021380CC83080A64AA152B5B8&amp;ply_type=3&amp;policy=3&amp;signature=8c82ea431c20bd07366345c04bdca3eb&amp;tk=7571587458748974088</t>
  </si>
  <si>
    <t>Todo mundo conhece alguem assim 😂…  #meme #comedia</t>
  </si>
  <si>
    <t>7253562480693971718</t>
  </si>
  <si>
    <t>https://v16-webapp-prime.tiktok.com/video/tos/useast2a/tos-useast2a-v-27dcd7/o4tWAhKCOytPEoh31nEfMKjzArAkVEEppEkBAg/?a=1988&amp;bti=ODszNWYuMDE6&amp;ch=0&amp;cr=0&amp;dr=0&amp;er=0&amp;lr=default&amp;cd=0%7C0%7C0%7C0&amp;br=250&amp;bt=125&amp;ds=5&amp;ft=GNDpcInz7ThYK-UPXq8Zmo&amp;mime_type=audio_mpeg&amp;qs=13&amp;rc=MzR2ZTc6ZmV3bDMzNzU8M0BpMzR2ZTc6ZmV3bDMzNzU8M0BmNmAzcjRfNmhgLS1kMTZzYSNmNmAzcjRfNmhgLS1kMTZzcw%3D%3D&amp;btag=e00048000&amp;expire=1763004211&amp;l=20251113102250DC012CE1E68AEAAA2B86&amp;ply_type=3&amp;policy=3&amp;signature=bdb4b5ca2682d520aa1654c5900ae553&amp;tk=7571587458748974088</t>
  </si>
  <si>
    <t>https://v16-webapp-prime.tiktok.com/video/tos/alisg/tos-alisg-pve-0037c001/ooxddMfApZX6M0R8iApfxgHU2fNCfAHfQixLBl/?a=1988&amp;bti=ODszNWYuMDE6&amp;ch=0&amp;cr=3&amp;dr=0&amp;lr=all&amp;cd=0%7C0%7C0%7C&amp;cv=1&amp;br=1432&amp;bt=716&amp;cs=0&amp;ds=3&amp;ft=-Csk_mrMPD12NaDh5d-Uxq42hY6e3wv25IcAp&amp;mime_type=video_mp4&amp;qs=0&amp;rc=ZzY7aWhoaWQ0OWRpNDs1OEBpanBydXc5cnR4NjMzODczNEAxL2AyNC5eNWAxYTA1XjQwYSMzZGUyMmQ0a3NhLS1kMWBzcw%3D%3D&amp;btag=e00090000&amp;expire=1764728625&amp;l=202512011021380CC83080A64AA152B5B8&amp;ply_type=2&amp;policy=2&amp;signature=9230543de604294c43163c45b380d003&amp;tk=tt_chain_token</t>
  </si>
  <si>
    <t>https://p77-sign-va.tiktokcdn.com/tos-maliva-avt-0068/50ef81d77f5f6db1e258e8c98b2de598~tplv-tiktokx-cropcenter:1080:1080.jpeg?dr=14579&amp;refresh_token=8590c7df&amp;x-expires=1763172000&amp;x-signature=GVLZ4AHp16euWVxKeKlPPfCO5oU%3D&amp;t=4d5b0474&amp;ps=13740610&amp;shp=a5d48078&amp;shcp=81f88b70&amp;idc=my</t>
  </si>
  <si>
    <t>https://www.tiktok.com/@psi.walace/video/7566025460065357077</t>
  </si>
  <si>
    <t>https://v16-webapp-prime.tiktok.com/video/tos/alisg/tos-alisg-pve-0037c001/ocGCOtOmFoYIzLFEQ7IhA6AkbgVfIdrYyuoiNr/?a=1988&amp;bti=ODszNWYuMDE6&amp;ch=0&amp;cr=3&amp;dr=0&amp;lr=all&amp;cd=0%7C0%7C0%7C&amp;cv=1&amp;br=1868&amp;bt=934&amp;cs=0&amp;ds=3&amp;ft=-Csk_mrMPD12N_hopd-Ux315hY6e3wv25dcAp&amp;mime_type=video_mp4&amp;qs=0&amp;rc=PDlpOWZmNTQ7ZDk8ZDNnOEBpM2hmOTs6Znd3bDMzNzczM0BgYTBfYzNfNTAxNGBfLzYzYSM0XzRlcjRfNWhgLS1kMTZzcw%3D%3D&amp;btag=e00088000&amp;expire=1763173411&amp;l=20251113102250DC012CE1E68AEAAA2B86&amp;ply_type=2&amp;policy=2&amp;signature=e66aad86d03b41f64a6884f88b9545d7&amp;tk=tt_chain_token</t>
  </si>
  <si>
    <t>7570849498499403028</t>
  </si>
  <si>
    <t xml:space="preserve">Já reparou que quem tem TDAH às vezes fala atropelando palavras, troca sílabas ou parece “engolir” partes da frase? Não é descuido, é que o cérebro está pensando mais rápido do que a fala consegue acompanhar. O TDAH envolve um pensamento acelerado e arborizado, várias ideias se conectam ao mesmo tempo, e o fluxo verbal tenta dar conta desse ritmo. A comunicação motora (fala) não consegue acompanhar a velocidade cognitiva, o que pode gerar falhas de dicção, interrupções e troca de palavras. Além disso, a impulsividade típica do TDAH faz com que a pessoa fale antes de organizar completamente o pensamento. Isso pode causar frustração ou até insegurança ao se expressar, mas é possível treinar: • Praticar pausas conscientes durante a fala • Fazer exercícios de respiração e articulação • Usar técnicas de mindfulness para reduzir a aceleração mental • Trabalhar a comunicação assertiva na terapia Falar rápido não é erro, é reflexo de um cérebro em alta velocidade. O desafio é sincronizar mente e boca no mesmo compasso. #psicologia #tdah #tdahadulto </t>
  </si>
  <si>
    <t>7570849540519381781</t>
  </si>
  <si>
    <t>https://v16-webapp-prime.tiktok.com/video/tos/alisg/tos-alisg-v-27dcd7/oYdFIArIA8qTEIXxSAIA5wLeo3DigheHCfACGA/?a=1988&amp;bti=ODszNWYuMDE6&amp;ch=0&amp;cr=0&amp;dr=0&amp;er=0&amp;lr=default&amp;cd=0%7C0%7C0%7C0&amp;br=250&amp;bt=125&amp;ds=5&amp;ft=GNDpcInz7ThDgKvPXq8Zmo&amp;mime_type=audio_mpeg&amp;qs=13&amp;rc=anlxNnQ5cjZqNzMzODU8NEBpanlxNnQ5cjZqNzMzODU8NEBkb2ZkMmRrczVhLS1kMS1zYSNkb2ZkMmRrczVhLS1kMS1zcw%3D%3D&amp;btag=e00050000&amp;expire=1764559473&amp;l=20251201102322C8514DE7730851EF645E&amp;ply_type=3&amp;policy=3&amp;signature=79ee0755567bcadd457438302d485531&amp;tk=7571587458748974088</t>
  </si>
  <si>
    <t>https://www.tiktok.com/@alan_neris/video/7253562458537774341</t>
  </si>
  <si>
    <t>meme,comedia</t>
  </si>
  <si>
    <t>7344007493384752390</t>
  </si>
  <si>
    <t>anabeatrizbrazil</t>
  </si>
  <si>
    <t>user62604623381</t>
  </si>
  <si>
    <t>https://p77-sign-va.tiktokcdn.com/musically-maliva-obj/1594805258216454~tplv-tiktokx-cropcenter:100:100.jpeg?dr=14579&amp;refresh_token=98921230&amp;x-expires=1763172000&amp;x-signature=L7QJ16DzkHYCX5MBX0m4u3ZjZaE%3D&amp;t=4d5b0474&amp;ps=13740610&amp;shp=a5d48078&amp;shcp=81f88b70&amp;idc=my</t>
  </si>
  <si>
    <t>https://v16-webapp-prime.tiktok.com/video/tos/alisg/tos-alisg-pve-0037c001/oYEiqDo6IU0EcnEBwRABfBYRejAiQjQgHc1pEa/?a=1988&amp;bti=ODszNWYuMDE6&amp;ch=0&amp;cr=3&amp;dr=0&amp;lr=all&amp;cd=0%7C0%7C0%7C&amp;cv=1&amp;br=1742&amp;bt=871&amp;cs=0&amp;ds=3&amp;ft=-Csk_mrMPD12N.Zh5d-UxxG2aY6e3wv25UcAp&amp;mime_type=video_mp4&amp;qs=0&amp;rc=NTQ1Z2g8Omg4PGc3Z2Q3OUBpM2pkOW45cmtqNzMzODczNEBhNF8yMDBjNjIxMi01YzMxYSNgZWleMmRzcjVhLS1kMWBzcw%3D%3D&amp;btag=e00090000&amp;expire=1764728673&amp;l=20251201102322C8514DE7730851EF645E&amp;ply_type=2&amp;policy=2&amp;signature=8ff4a0e420c9503ebaf16b1e7dc176cb&amp;tk=tt_chain_token</t>
  </si>
  <si>
    <t>#fpyyyyyyyyyyyyyyyyyyyyyy #estresse #amor❤️ #ansiedade #autismo #transtorno #compulsao #codependenciaemocional #psiquiatra #dependenciaemocional #saudemental #anabeatrizbarbosa #foryoupage❤️❤️ #fpyツ #saudeemocional #medo #inveja #borderline #moda #psicopata</t>
  </si>
  <si>
    <t>Descubra através de 15 
sintomas se você tem 
TDAH
TDAH</t>
  </si>
  <si>
    <t>Blade Runner 2049</t>
  </si>
  <si>
    <t>6839324086548563969</t>
  </si>
  <si>
    <t>https://sf16-ies-music-sg.tiktokcdn.com/obj/tos-alisg-ve-2774/oknMrdNYqFfndzcxAQL63IgGPeeJTaEIDaCVuY</t>
  </si>
  <si>
    <t>https://p77-sg.tiktokcdn.com/aweme/720x720/tos-alisg-v-2774/owfbJHoBAAAiA4wG6xBuo0ElBEAkOMsvJiOWAV.jpeg</t>
  </si>
  <si>
    <t>Synthwave Goose</t>
  </si>
  <si>
    <t>https://v16-webapp-prime.tiktok.com/video/tos/maliva/tos-maliva-ve-0068c801-us/oIs4NXeIjRzADSeerOgAKPGLBNsLICDkCgM8o1/?a=1988&amp;bti=ODszNWYuMDE6&amp;ch=0&amp;cr=3&amp;dr=0&amp;lr=all&amp;cd=0%7C0%7C0%7C&amp;cv=1&amp;br=636&amp;bt=318&amp;cs=0&amp;ds=3&amp;ft=-Csk_mrMPD12NH_opd-UxDTFGY6e3wv25ocAp&amp;mime_type=video_mp4&amp;qs=0&amp;rc=ZWc0aDM0NTlkOmZlNWdlOkBpajZpZnQ5cjNscTMzNzczM0BiNjQuNmA2NTUxNi1hNWMuYSNhcGhyMmRjY2lgLS1kMTZzcw%3D%3D&amp;btag=e00090000&amp;expire=1763173728&amp;l=202511131026218DEF8CE7185C8F9E5844&amp;ply_type=2&amp;policy=2&amp;signature=f7293e849173d6f7c40a096a52e0a086&amp;tk=tt_chain_token</t>
  </si>
  <si>
    <t>https://www.tiktok.com/@psi.walace/video/7570849498499403028</t>
  </si>
  <si>
    <t>7547842404511026438</t>
  </si>
  <si>
    <t xml:space="preserve">A memória de trabalho no TDAH é realmente muito prejudicada, e pode causar esses momentos de esquecimentos constantes. Não que a pessoa esqueceu completamente pra sempre, mas as vezes pode demorar pra associar as memórias. Faz parte, é só ter um pouco de paciência e acolher quem possui o transtorno, porque não é fácil para o TDAH também. #psicologia #tdah #tdahadulto </t>
  </si>
  <si>
    <t>7547842395988495160</t>
  </si>
  <si>
    <t>https://v16-webapp-prime.tiktok.com/video/tos/useast2a/tos-useast2a-v-27dcd7/oYAgdxQemiIpFkFXEeGfvVLqArVfAJMImhUAIQ/?a=1988&amp;bti=ODszNWYuMDE6&amp;ch=0&amp;cr=0&amp;dr=0&amp;er=0&amp;lr=default&amp;cd=0%7C0%7C0%7C0&amp;br=250&amp;bt=125&amp;ds=5&amp;ft=GNDpcInz7ThszKvPXq8Zmo&amp;mime_type=audio_mpeg&amp;qs=13&amp;rc=M2p3c205cmhvNTMzNzU8M0BpM2p3c205cmhvNTMzNzU8M0AxY28xMmQ0MnNhLS1kMTZzYSMxY28xMmQ0MnNhLS1kMTZzcw%3D%3D&amp;btag=e00050000&amp;expire=1764559370&amp;l=20251201102055111140D50F38376E882B&amp;ply_type=3&amp;policy=3&amp;signature=fac2876c189b7be235710b2f67736abe&amp;tk=7571587458748974088</t>
  </si>
  <si>
    <t>https://www.tiktok.com/@anabeatrizbrazil/video/7344007493384752390</t>
  </si>
  <si>
    <t>fpyyyyyyyyyyyyyyyyyyyyyy,estresse,amor❤️,ansiedade,autismo,transtorno,compulsao,codependenciaemocional,psiquiatra,dependenciaemocional,saudemental,anabeatrizbarbosa,foryoupage❤️❤️,fpyツ,saudeemocional,medo,inveja,borderline,moda,psicopata</t>
  </si>
  <si>
    <t>https://v16-webapp-prime.tiktok.com/video/tos/useast2a/tos-useast2a-v-27dcd7/oQAC07PpAPThEf2oFjEHwIIDWgZS1AvCuefOv0/?a=1988&amp;bti=ODszNWYuMDE6&amp;ch=0&amp;cr=0&amp;dr=0&amp;er=0&amp;lr=default&amp;cd=0%7C0%7C0%7C0&amp;br=250&amp;bt=125&amp;ds=5&amp;ft=GNDpcInz7Th_9-UPXq8Zmo&amp;mime_type=audio_mpeg&amp;qs=13&amp;rc=amo8b3Q5cnlreTMzNzU8M0Bpamo8b3Q5cnlreTMzNzU8M0BvYzRhMmRzcmlgLS1kMTZzYSNvYzRhMmRzcmlgLS1kMTZzcw%3D%3D&amp;btag=e00050000&amp;expire=1763004380&amp;l=202511131024200DA040BB1F5C349EC2B1&amp;ply_type=3&amp;policy=3&amp;signature=795a5c3d2bbf4316903934be2ee0a5bf&amp;tk=7571587458748974088</t>
  </si>
  <si>
    <t>https://v16-webapp-prime.tiktok.com/video/tos/useast2a/tos-useast2a-ve-0068c003/o4Q33GEi1ffUVWvGKSlMsAgRkFF8AJeIOIcfQq/?a=1988&amp;bti=ODszNWYuMDE6&amp;ch=0&amp;cr=3&amp;dr=0&amp;lr=all&amp;cd=0%7C0%7C0%7C&amp;cv=1&amp;br=2008&amp;bt=1004&amp;cs=0&amp;ds=3&amp;ft=-Csk_mrMPD12NbDh5d-UxPR2SY6e3wv25IcAp&amp;mime_type=video_mp4&amp;qs=0&amp;rc=OjxoOjpkNzZnZmk0MzQ7ZkBpajV3dWs5cjxvNTMzNzczM0BeLzUuYTY0X2MxLTQyMGAzYSNoY3BfMmQ0MnNhLS1kMTZzcw%3D%3D&amp;btag=e00090000&amp;expire=1764728570&amp;l=20251201102055111140D50F38376E882B&amp;ply_type=2&amp;policy=2&amp;signature=edba3cbccda6b2934bd51206aa4ffecf&amp;tk=tt_chain_token</t>
  </si>
  <si>
    <t>https://www.tiktok.com/@psi.walace/video/7547842404511026438</t>
  </si>
  <si>
    <t>https://v16-webapp-prime.tiktok.com/video/tos/useast2a/tos-useast2a-ve-0068c002/o8JEQErQR8LInAHfrvc63x7FVU2DEBFSJfWBAE/?a=1988&amp;bti=ODszNWYuMDE6&amp;ch=0&amp;cr=3&amp;dr=0&amp;lr=all&amp;cd=0%7C0%7C0%7C&amp;cv=1&amp;br=1332&amp;bt=666&amp;cs=0&amp;ds=3&amp;ft=I~da4oKyD12NvyA0i.IxRhq_glBF-UjNSmopiX&amp;mime_type=video_mp4&amp;qs=0&amp;rc=aWg3O2ZnaDM0Ojs5Ozo0ZUBpM25mb285cjdreTMzNzczM0A1YDMwYl8xNmAxX2E0LS1eYSNiNTZzMmRrcmlgLS1kMTZzcw%3D%3D&amp;btag=e00090000&amp;expire=1763173580&amp;l=202511131024200DA040BB1F5C349EC2B1&amp;ply_type=2&amp;policy=2&amp;signature=a3a57b1d864a002c8d9044bb7e03acec&amp;tk=tt_chain_token</t>
  </si>
  <si>
    <t>7542304558312164613</t>
  </si>
  <si>
    <t xml:space="preserve">Alguns fatores dentro do TDAH podem contribuir muito para um estresse e irritabilidade mais elevada. Ainda mais possuindo uma desregulação emocional que pode ser constante. Mas tem jeito, viu?! A psicoterapia ajuda demais! #psicologia #tdah #tdahadulto </t>
  </si>
  <si>
    <t>7542304585448098616</t>
  </si>
  <si>
    <t>https://v16-webapp-prime.tiktok.com/video/tos/useast2a/tos-useast2a-v-27dcd7/ocAIQE9AJYVIoCTfXAuqF6C0gppDUBFXJoeB6J/?a=1988&amp;bti=ODszNWYuMDE6&amp;ch=0&amp;cr=0&amp;dr=0&amp;er=0&amp;lr=default&amp;cd=0%7C0%7C0%7C0&amp;br=250&amp;bt=125&amp;ds=5&amp;ft=GNDpcInz7ThjFKvPXq8Zmo&amp;mime_type=audio_mpeg&amp;qs=13&amp;rc=am5kN3g5cjh0NTMzNzU8M0Bpam5kN3g5cjh0NTMzNzU8M0BvNi5uMmRzYGlhLS1kMTZzYSNvNi5uMmRzYGlhLS1kMTZzcw%3D%3D&amp;btag=e00050000&amp;expire=1764559457&amp;l=2025120110215532A809179141715F3748&amp;ply_type=3&amp;policy=3&amp;signature=70c1368f8c1970d7c22516220d6945f1&amp;tk=7571587458748974088</t>
  </si>
  <si>
    <t>7557920607778721035</t>
  </si>
  <si>
    <t>VOCÊ tem TDAH e o seu PARCEIRO(A) NÃO!</t>
  </si>
  <si>
    <t>https://v16-webapp-prime.tiktok.com/video/tos/useast2a/tos-useast2a-ve-0068c003/o4p7dZEWiUOKBzd8v8qmiQuLSrkuAECIQaBT3/?a=1988&amp;bti=ODszNWYuMDE6&amp;ch=0&amp;cr=3&amp;dr=0&amp;lr=all&amp;cd=0%7C0%7C0%7C&amp;cv=1&amp;br=2308&amp;bt=1154&amp;cs=0&amp;ds=3&amp;ft=-Csk_mrMPD12NSBh5d-Uxs12aY6e3wv252cAp&amp;mime_type=video_mp4&amp;qs=0&amp;rc=aDllO2ZkMzs2ZGk3ZGVmZ0BpandpOXE5cjV0NTMzNzczM0BhX2FgYDBgNmAxMC1iMF8zYSNtbGNrMmRrYGlhLS1kMTZzcw%3D%3D&amp;btag=e00090000&amp;expire=1764728657&amp;l=2025120110215532A809179141715F3748&amp;ply_type=2&amp;policy=2&amp;signature=7e745039032b2447834a71334467d192&amp;tk=tt_chain_token</t>
  </si>
  <si>
    <t>7557920610619820856</t>
  </si>
  <si>
    <t>https://v16-webapp-prime.tiktok.com/video/tos/useast2a/tos-useast2a-v-27dcd7/o0EUjFofyBAKBiDvEfh4AJAQE7I0O4pLjDDCJM/?a=1988&amp;bti=ODszNWYuMDE6&amp;ch=0&amp;cr=0&amp;dr=0&amp;er=0&amp;lr=default&amp;cd=0%7C0%7C0%7C0&amp;br=250&amp;bt=125&amp;ds=5&amp;ft=GNDpcInz7ThyY-UPXq8Zmo&amp;mime_type=audio_mpeg&amp;qs=13&amp;rc=M2Rkd245cmxsNjMzNzU8M0BpM2Rkd245cmxsNjMzNzU8M0A0MzFzMmRzLmVhLS1kMTZzYSM0MzFzMmRzLmVhLS1kMTZzcw%3D%3D&amp;btag=e00050000&amp;expire=1763004514&amp;l=2025111310264583C2663DA446357263D7&amp;ply_type=3&amp;policy=3&amp;signature=433dbe328314c90b326b3804cb3851fb&amp;tk=7571587458748974088</t>
  </si>
  <si>
    <t>https://www.tiktok.com/@psi.walace/video/7542304558312164613</t>
  </si>
  <si>
    <t>https://v16-webapp-prime.tiktok.com/video/tos/useast2a/tos-useast2a-ve-0068c002/oowDFBzlwEg9ETajIQQcEf4pJR4GoEAEkBfRQ5/?a=1988&amp;bti=ODszNWYuMDE6&amp;ch=0&amp;cr=3&amp;dr=0&amp;lr=all&amp;cd=0%7C0%7C0%7C&amp;cv=1&amp;br=2538&amp;bt=1269&amp;cs=0&amp;ds=3&amp;ft=-Csk_mrMPD12Nw_opd-UxfeFaY6e3wv25HcAp&amp;mime_type=video_mp4&amp;qs=0&amp;rc=ZWdoOmdmZGk2ZTg0ZjtoM0BpMzc6O2o5cmRqNjMzNzczM0AuLmFgYjNeNWExMmNiMS9fYSNwcmc2MmRjYWVhLS1kMTZzcw%3D%3D&amp;btag=e00090000&amp;expire=1763173714&amp;l=2025111310264583C2663DA446357263D7&amp;ply_type=2&amp;policy=2&amp;signature=589d3c9fe9ad7e9d53d5e4f57a5e9029&amp;tk=tt_chain_token</t>
  </si>
  <si>
    <t>7568993913797725460</t>
  </si>
  <si>
    <t xml:space="preserve">Você já quis muito fazer algo… mas simplesmente não conseguiu começar? Ficou ali, parado, olhando pro nada, com a cabeça acelerada e o corpo travado? Isso é a chamada paralisia por TDAH, e não, não é preguiça. A paralisia acontece quando o cérebro com TDAH entra em sobrecarga cognitiva e emocional. A dificuldade de priorizar tarefas, o medo de errar, a autocrítica e o excesso de estímulos fazem o córtex pré-frontal (responsável por iniciar ações) “desligar” temporariamente. É como se o cérebro dissesse: “é demais pra mim agora”. Como lidar com isso: • Reduza o tamanho da tarefa, comece por micropassos (abrir o arquivo, sentar na mesa, dar play no cronômetro). • Tire o peso emocional, lembre-se: começar mal é melhor que não começar. • Use timers curtos (5–10min), o cérebro precisa de impulso inicial, não perfeição. • Acolha o bloqueio, ele é um sintoma, não um defeito. Paralisar não é falta de força de vontade, é um cérebro sobrecarregado pedindo pausas e estrutura. #psicologia #tdah #tdahadulto </t>
  </si>
  <si>
    <t>7568993964745853703</t>
  </si>
  <si>
    <t>https://v16-webapp-prime.tiktok.com/video/tos/alisg/tos-alisg-v-27dcd7/ooErdAToIDEfeIAUASAAbuxbgCFfq7FDOcOq0t/?a=1988&amp;bti=ODszNWYuMDE6&amp;ch=0&amp;cr=0&amp;dr=0&amp;er=0&amp;lr=default&amp;cd=0%7C0%7C0%7C0&amp;br=250&amp;bt=125&amp;ds=5&amp;ft=GNDpcInz7ThAzKvPXq8Zmo&amp;mime_type=audio_mpeg&amp;qs=13&amp;rc=am90ZXA5cnQ6NzMzODU8NEBpam90ZXA5cnQ6NzMzODU8NEBfb2FwMmRrYzJhLS1kMS1zYSNfb2FwMmRrYzJhLS1kMS1zcw%3D%3D&amp;btag=e00050000&amp;expire=1764559382&amp;l=202512011021380CC83080A64AA152B5B8&amp;ply_type=3&amp;policy=3&amp;signature=e7fe3752596e8a27e9e599a80ab2b606&amp;tk=7571587458748974088</t>
  </si>
  <si>
    <t>https://www.tiktok.com/@igorpsicologo/video/7557920607778721035</t>
  </si>
  <si>
    <t>7496516856061185286</t>
  </si>
  <si>
    <t>TDAH, por que a gente anda de um jeito tão… diferente?👣 Tem gente que anda na calçada como se estivesse numa linha de equilíbrio. Outros chutam tudo sem ver. E tem os que “veem com as mãos” — tocam, mexem, testam. Parece estranho, mas tem explicação! 🧠 Nosso cérebro vive numa busca constante por estímulos.   Como temos menos dopamina circulando, qualquer novidade sensorial vira um *reforçador natural*.   Andar sobre o meio-fio, pisar em pedras diferentes, tocar superfícies… tudo isso ativa nosso sistema como se fosse uma brincadeira interna. 💡 E não é só curiosidade. Muitas vezes, esse “jeito” de andar é o corpo tentando liberar aquela energia acumulada, aquela inquietação que ninguém vê — mas que a gente sente o tempo todo. 🔁 A impulsividade também entra aqui: nosso corpo age antes mesmo da lógica entender o que está acontecendo. No fim, pode parecer esquisito pra quem vê, mas é só mais uma forma de manter a mente ativa e o corpo regulado. E quer saber? Funciona. 💬 Se você é do time que não sabe andar reto ou vive testando os próprios limites, comenta aqui.   Distraídos venceremos. #tdah #tdahadulto #comportamento #terapia #psicologia #curiosidade #psicoterapia #neurociência #foco #distraidosvenceremos</t>
  </si>
  <si>
    <t>7496516858621037317</t>
  </si>
  <si>
    <t>https://v16-webapp-prime.tiktok.com/video/tos/useast2a/tos-useast2a-v-27dcd7/ooAAPIAkR5oCy0SeVrEkBFCUJBmD8QpJFIfAnx/?a=1988&amp;bti=ODszNWYuMDE6&amp;ch=0&amp;cr=0&amp;dr=0&amp;er=0&amp;lr=default&amp;cd=0%7C0%7C0%7C0&amp;br=250&amp;bt=125&amp;ds=5&amp;ft=GNDpcInz7ThNV-UPXq8Zmo&amp;mime_type=audio_mpeg&amp;qs=13&amp;rc=anJlNXY5cnNpMzMzNzU8M0BpanJlNXY5cnNpMzMzNzU8M0BwNGhzMmQ0aDFhLS1kMTZzYSNwNGhzMmQ0aDFhLS1kMTZzcw%3D%3D&amp;btag=e00078000&amp;expire=1763004208&amp;l=20251113102306B19E1F5BC676BF8CC05E&amp;ply_type=3&amp;policy=3&amp;signature=f2cc78755aef058fc33d54fd7c1642d0&amp;tk=7571587458748974088</t>
  </si>
  <si>
    <t>https://v16-webapp-prime.tiktok.com/video/tos/alisg/tos-alisg-pve-0037c001/ogYSe4M3gWA9RwCFwAQ4N3IhDtOl8jepSufgA4/?a=1988&amp;bti=ODszNWYuMDE6&amp;ch=0&amp;cr=3&amp;dr=0&amp;lr=all&amp;cd=0%7C0%7C0%7C&amp;cv=1&amp;br=1606&amp;bt=803&amp;cs=0&amp;ds=3&amp;ft=-Csk_mrMPD12NaDh5d-Uxq42hY6e3wv25IcAp&amp;mime_type=video_mp4&amp;qs=0&amp;rc=Ozo2Zzs4OTQ0ZGg3Z2g2NEBpM2h4a285cmg6NzMzODczNEBfMzUvM2NfNTExLmAyYjZfYSMzNmJpMmRzYzJhLS1kMWBzcw%3D%3D&amp;btag=e00090000&amp;expire=1764728582&amp;l=202512011021380CC83080A64AA152B5B8&amp;ply_type=2&amp;policy=2&amp;signature=d0c8e9dc2faf3e721cef05e89cfa9d24&amp;tk=tt_chain_token</t>
  </si>
  <si>
    <t>https://v16-webapp-prime.tiktok.com/video/tos/useast2a/tos-useast2a-pve-0068/okfoDTRIETDC3RjEwfFovQTlBcQhIQBvPKgJ0A/?a=1988&amp;bti=ODszNWYuMDE6&amp;ch=0&amp;cr=3&amp;dr=0&amp;lr=all&amp;cd=0%7C0%7C0%7C&amp;cv=1&amp;br=5976&amp;bt=2988&amp;cs=0&amp;ds=3&amp;ft=-Csk_mrMPD12NOYopd-Uxtv5GY6e3wv252cAp&amp;mime_type=video_mp4&amp;qs=0&amp;rc=NDtkNDpkO2hlNjNmaDY7O0BpMzhoN3E5cmVpMzMzNzczM0AyXl9jMDItNmAxLV5gLV4zYSM0ZzRxMmRzaDFhLS1kMTZzcw%3D%3D&amp;btag=e000b8000&amp;expire=1763173408&amp;l=20251113102306B19E1F5BC676BF8CC05E&amp;ply_type=2&amp;policy=2&amp;signature=6252005174d870bd26e9cfd449974fbd&amp;tk=tt_chain_token</t>
  </si>
  <si>
    <t>https://www.tiktok.com/@psi.walace/video/7568993913797725460</t>
  </si>
  <si>
    <t>7574575618705067284</t>
  </si>
  <si>
    <t xml:space="preserve">Como é a mente de uma pessoa com TDAH por dentro? Imagine tentar focar… enquanto várias vozes internas falam ao mesmo tempo. Pensamentos rápidos, saltando de um assunto para outro, abrindo novas “abas mentais” sem fechar as anteriores. É assim que muitas pessoas com TDAH descrevem o próprio cérebro: • acelerado • arborizado • simultâneo • incessante Essa “tempestade de pensamentos” não é frescura, é neurobiologia. Quando o cérebro não consegue inibir estímulos internos, tudo vira notificação. Tudo chama atenção. Tudo compete pela sua consciência. E o resultado? • dificuldade em manter o foco • perda de memória de curto prazo • interrupções constantes na linha de raciocínio • sensação de caos mental mesmo em momentos calmos Não é que a mente não funcione. É que ela funciona rápido demais, em muitas direções ao mesmo tempo. E isso esgota, dispersa e, ao mesmo tempo, cria uma criatividade fora da curva. Se você se reconhece nisso: não está sozinho. Existe explicação. Existe manejo. Existe tratamento. #psicologia #tdah #tdahadulto </t>
  </si>
  <si>
    <t>https://www.tiktok.com/@psi.jonathanorlandi/video/7496516856061185286</t>
  </si>
  <si>
    <t>7574575681050037009</t>
  </si>
  <si>
    <t>https://v16-webapp-prime.tiktok.com/video/tos/alisg/tos-alisg-v-27dcd7/ooejdAgGSCTG5K7LIAAJsEIsoDneePZApTIHAt/?a=1988&amp;bti=ODszNWYuMDE6&amp;ch=0&amp;cr=0&amp;dr=0&amp;er=0&amp;lr=default&amp;cd=0%7C0%7C0%7C0&amp;br=250&amp;bt=125&amp;ds=5&amp;ft=GNDpcInz7ThpzKvPXq8Zmo&amp;mime_type=audio_mpeg&amp;qs=13&amp;rc=ang6bGs5cnc3NzMzODU8NEBpang6bGs5cnc3NzMzODU8NEBjcWdpMmRrbGNhLS1kMS1zYSNjcWdpMmRrbGNhLS1kMS1zcw%3D%3D&amp;btag=e00050000&amp;expire=1764559394&amp;l=2025120110213056C909F1BE127E576E48&amp;ply_type=3&amp;policy=3&amp;signature=cf127b6bf589db7726a0e2d35448dd82&amp;tk=7571587458748974088</t>
  </si>
  <si>
    <t>7514716968394493190</t>
  </si>
  <si>
    <t xml:space="preserve">Se identifica?🫣 🚨Obs: Esse vídeo não serve como diagnóstico de TDAH, se desconfia, procure um profissional de saúde mental para investigar os sintomas. #tdah #tdahadulto #psicologia #tdahdescomplicado #disforiasensivelarejeicao #neurodivergente #transtornododeficitdeatencao #cafecomtdahsincerao #creatorsearchinsights </t>
  </si>
  <si>
    <t>7514716958194027270</t>
  </si>
  <si>
    <t>https://v16-webapp-prime.tiktok.com/video/tos/useast2a/tos-useast2a-v-27dcd7/owTQQSDAAIoAFCCNmJfBJWPjpzveRaUWCEBOKI/?a=1988&amp;bti=ODszNWYuMDE6&amp;ch=0&amp;cr=0&amp;dr=0&amp;er=0&amp;lr=default&amp;cd=0%7C0%7C0%7C0&amp;br=250&amp;bt=125&amp;ds=5&amp;ft=GNDpcInz7ThA9-UPXq8Zmo&amp;mime_type=audio_mpeg&amp;qs=13&amp;rc=anFmbHM5cm10NDMzNzU8M0BpanFmbHM5cm10NDMzNzU8M0BnLy5pMmRzMzFhLS1kMTZzYSNnLy5pMmRzMzFhLS1kMTZzcw%3D%3D&amp;btag=e00050000&amp;expire=1763004364&amp;l=20251113102449DDADD1FB7AF14A841409&amp;ply_type=3&amp;policy=3&amp;signature=d60b64c63e567ca0bbfa7ae49010985d&amp;tk=7571587458748974088</t>
  </si>
  <si>
    <t>https://v16-webapp-prime.tiktok.com/video/tos/alisg/tos-alisg-pve-0037c001/o4gI6mgfRpETwcBYBLDeKxFkIIwHgAnQcqTaIE/?a=1988&amp;bti=ODszNWYuMDE6&amp;ch=0&amp;cr=3&amp;dr=0&amp;lr=all&amp;cd=0%7C0%7C0%7C&amp;cv=1&amp;br=2044&amp;bt=1022&amp;cs=0&amp;ds=3&amp;ft=-Csk_mrMPD12NgDh5d-UxgS5hY6e3wv25-cAp&amp;mime_type=video_mp4&amp;qs=0&amp;rc=PDpoZWY5aGg1ZDUzZ2c7M0BpMzdwOm05cnM3NzMzODczNEBhYV9iNC9gNjYxMzE2XmAxYSM1XjVrMmRrbGNhLS1kMWBzcw%3D%3D&amp;btag=e00090000&amp;expire=1764728594&amp;l=2025120110213056C909F1BE127E576E48&amp;ply_type=2&amp;policy=2&amp;signature=023e80ec587da18a2130f98b5c647d3e&amp;tk=tt_chain_token</t>
  </si>
  <si>
    <t>https://v16-webapp-prime.tiktok.com/video/tos/useast2a/tos-useast2a-ve-0068c003/oYIihUExEijtQnSFAuQmwUXJxrBDXIHaJEBPJ/?a=1988&amp;bti=ODszNWYuMDE6&amp;ch=0&amp;cr=3&amp;dr=0&amp;lr=all&amp;cd=0%7C0%7C0%7C&amp;cv=1&amp;br=2002&amp;bt=1001&amp;cs=0&amp;ds=3&amp;ft=I~da4oKyD12NvgA0i.IxRMb_glBF-UjNSaopiX&amp;mime_type=video_mp4&amp;qs=0&amp;rc=ZmY0NGVnZjxlOWVlNGg0O0BpajszOGs5cmd0NDMzNzczM0AtMDZgMTA1NjUxNjA2LWNfYSNnZnJeMmQ0MDFhLS1kMTZzcw%3D%3D&amp;btag=e00090000&amp;expire=1763173564&amp;l=20251113102449DDADD1FB7AF14A841409&amp;ply_type=2&amp;policy=2&amp;signature=e2f5aa0b1fbfb099162659402528a9d9&amp;tk=tt_chain_token</t>
  </si>
  <si>
    <t>https://www.tiktok.com/@psi.walace/video/7574575618705067284</t>
  </si>
  <si>
    <t>https://www.tiktok.com/@mr.tdahzinho/video/7514716968394493190</t>
  </si>
  <si>
    <t>7576787282724719892</t>
  </si>
  <si>
    <t>tdah,tdahadulto,psicologia,tdahdescomplicado,disforiasensivelarejeicao,neurodivergente,transtornododeficitdeatencao,cafecomtdahsincerao,creatorsearchinsights</t>
  </si>
  <si>
    <t xml:space="preserve">O TDAH não é só “desatenção”… ele também aparece na desorganização. Quem tem TDAH sabe como é: O ambiente vai ficando bagunçado aos poucos, mesa cheia, roupas acumuladas, objetos fora do lugar, até o ponto em que parece impossível começar. E aí, do nada… surge aquele pico de energia: a pessoa arruma tudo rápido, coloca as coisas no lugar, limpa, organiza… Mas esse impulso dura pouco. Logo depois, a desorganização volta, porque não é falta de vontade, é o funcionamento do cérebro. Por que isso acontece? O TDAH afeta diretamente as funções executivas, responsáveis por: • planejar • iniciar tarefas • manter consistência • finalizar etapas Ou seja, não é preguiça, é neurologia. E tem mais: Um ambiente desorganizado aumenta a sobrecarga cognitiva e deixa a mente ainda mais caótica. Por isso dizem que: Ambiente organizado = mente organizada. Mas para quem tem TDAH, manter a organização não é intuitivo, é um processo que exige estratégias, rotina e gentileza consigo mesmo. Se você se reconhece nisso, você não está sozinho. E tem jeito de melhorar, com informação, apoio e pequenas ações consistentes no dia a dia. #psicologia #tdah #tdahadulto </t>
  </si>
  <si>
    <t>7576787346203364114</t>
  </si>
  <si>
    <t>https://p16-sign-va.tiktokcdn.com/tos-maliva-avt-0068/9b6af4958a7cc6ac09fb0db99868e9da~tplv-tiktokx-cropcenter:100:100.jpeg?dr=14579&amp;refresh_token=5ca73a83&amp;x-expires=1763172000&amp;x-signature=4pXxGMvdkMGiIltuvFjX%2BNYceqQ%3D&amp;t=4d5b0474&amp;ps=13740610&amp;shp=a5d48078&amp;shcp=81f88b70&amp;idc=my</t>
  </si>
  <si>
    <t>https://v16-webapp-prime.tiktok.com/video/tos/alisg/tos-alisg-v-27dcd7/osWifEDTWTBDfFTFSDW0fAgoAI5MCXSIAAmEEk/?a=1988&amp;bti=ODszNWYuMDE6&amp;ch=0&amp;cr=0&amp;dr=0&amp;er=0&amp;lr=default&amp;cd=0%7C0%7C0%7C0&amp;br=250&amp;bt=125&amp;ds=5&amp;ft=GNDpcInz7ThrzKvPXq8Zmo&amp;mime_type=audio_mpeg&amp;qs=13&amp;rc=amVldG05cnc1NzMzODU8NEBpamVldG05cnc1NzMzODU8NEAyMXAtMmQ0Y2dhLS1kMS1zYSMyMXAtMmQ0Y2dhLS1kMS1zcw%3D%3D&amp;btag=e00050000&amp;expire=1764559362&amp;l=20251201102050B730D50024D84153D9E5&amp;ply_type=3&amp;policy=3&amp;signature=6d816578c4d3bdf0d8e0427edf481650&amp;tk=7571587458748974088</t>
  </si>
  <si>
    <t>https://v16-webapp-prime.tiktok.com/video/tos/useast2a/tos-useast2a-v-27dcd7/oIQiSpPmkulIHBwOiGJK4a4sxmMUGpCPCAgPK/?a=1988&amp;bti=ODszNWYuMDE6&amp;ch=0&amp;cr=0&amp;dr=0&amp;er=0&amp;lr=default&amp;cd=0%7C0%7C0%7C0&amp;br=250&amp;bt=125&amp;ft=GNDpcInz7ThUK-UPXq8Zmo&amp;mime_type=audio_mpeg&amp;qs=6&amp;rc=Mzw2Z2Q6M2RmM2c2NDs5OEBpanJyZWo5cjk1NDMzNzU8M0AxMC9jLjZjNi8xYF4uNDVfYSM0aWQ0MmQ0YXBhLS1kMTZzcw%3D%3D&amp;btag=e000b8000&amp;expire=1763004172&amp;l=202511131022270BBA173F4561DD71A814&amp;ply_type=3&amp;policy=3&amp;signature=7a083adff3dd1ca11c29de8b7cd42e0c&amp;tk=7571587458748974088</t>
  </si>
  <si>
    <t>https://v16-webapp-prime.tiktok.com/video/tos/alisg/tos-alisg-pve-0037c001/okx0AmyOiuAibgKAzwhIk8FSIP5kBAQ8CfQEGu/?a=1988&amp;bti=ODszNWYuMDE6&amp;ch=0&amp;cr=3&amp;dr=0&amp;lr=all&amp;cd=0%7C0%7C0%7C&amp;cv=1&amp;br=2100&amp;bt=1050&amp;cs=0&amp;ds=3&amp;ft=-Csk_mrMPD12NTDh5d-UxHX2hY6e3wv25McAp&amp;mime_type=video_mp4&amp;qs=0&amp;rc=NWk6ZGY5PGRlaDllZjk5M0BpMzlreHY5cnE1NzMzODczNEAyYDQ0MDMuNTMxXzJiYS41YSNyamAvMmRjY2dhLS1kMWBzcw%3D%3D&amp;btag=e00090000&amp;expire=1764728562&amp;l=20251201102050B730D50024D84153D9E5&amp;ply_type=2&amp;policy=2&amp;signature=c69bda18f4129503bbaea5d72d903656&amp;tk=tt_chain_token</t>
  </si>
  <si>
    <t>https://p77-sign-va.tiktokcdn.com/tos-maliva-avt-0068/9b6af4958a7cc6ac09fb0db99868e9da~tplv-tiktokx-cropcenter:1080:1080.jpeg?dr=14579&amp;refresh_token=b01ffcf5&amp;x-expires=1763172000&amp;x-signature=CE4J5Jm2mbufnzaJUmGP3Tvk280%3D&amp;t=4d5b0474&amp;ps=13740610&amp;shp=a5d48078&amp;shcp=81f88b70&amp;idc=my</t>
  </si>
  <si>
    <t>https://v16-webapp-prime.tiktok.com/video/tos/useast2a/tos-useast2a-pve-0068/oA9g2QQfAlrEEmSQrXbCCfQadEEGIQF41dB8fD/?a=1988&amp;bti=ODszNWYuMDE6&amp;ch=0&amp;cr=3&amp;dr=0&amp;lr=all&amp;cd=0%7C0%7C0%7C&amp;cv=1&amp;br=1218&amp;bt=609&amp;cs=0&amp;ds=3&amp;ft=I~da4oKyD12NviW0i.IxRHqNglBF-UjNSqopiX&amp;mime_type=video_mp4&amp;qs=0&amp;rc=Zmk0M2k7aDllNTRmNDVkNEBpamo0aG05cnk1NDMzNzgzM0AuNF4vXzI0NTUxYl9iNC4zYSNhcm02MmRzXnBhLS1kLzZzcw%3D%3D&amp;btag=e000b8000&amp;expire=1763173372&amp;l=202511131022270BBA173F4561DD71A814&amp;ply_type=2&amp;policy=2&amp;signature=58a0d1561ffb83510cccf64b364ae309&amp;tk=tt_chain_token</t>
  </si>
  <si>
    <t>https://www.tiktok.com/@psi.walace/video/7576787282724719892</t>
  </si>
  <si>
    <t>7527803158802828600</t>
  </si>
  <si>
    <t xml:space="preserve">Sua rotina é assim? É uma rotina bem comum na vida de uma pessoa com TDAH, principalmente do tipo desatento. Inclusive muito normal o ciclo de iniciar uma tarefa e não conseguir finaliza-la, o que pode gerar muita frustração. #psicologia #tdah #tdahadulto </t>
  </si>
  <si>
    <t>https://v16-webapp-prime.tiktok.com/video/tos/useast2a/tos-useast2a-ve-0068c003/o4SfeyTj7IEQIIaCEQCgBDDxFgfQACXFFEY4Wc/?a=1988&amp;bti=ODszNWYuMDE6&amp;ch=0&amp;cr=3&amp;dr=0&amp;lr=all&amp;cd=0%7C0%7C0%7C&amp;cv=1&amp;br=734&amp;bt=367&amp;cs=0&amp;ds=6&amp;ft=-Csk_mrMPD12NNBh5d-UxIS5hY6e3wv25ocAp&amp;mime_type=video_mp4&amp;qs=5&amp;rc=OzxkN2c6ZDc4PDQ1Zzs0ZEBpM3U0NnI5cnI1NDMzNzczM0A0LV41L19fNjExYDFfYWIxYSNtczZlMmQ0LnBhLS1kMTZzcw%3D%3D&amp;btag=e00090000&amp;expire=1764728633&amp;l=20251201102153319CD8E1EA373154CB8C&amp;ply_type=2&amp;policy=2&amp;signature=816cb1a6a51d6a8fcc498cc6547939db&amp;tk=tt_chain_token</t>
  </si>
  <si>
    <t>7280211496968146181</t>
  </si>
  <si>
    <t>Mande para quem precisa ver isso!! #tdah #tdahhumor #autoconhecimento #tdahmemes #tdahadulto #viral</t>
  </si>
  <si>
    <t>A mãe TDAH não diagnosticada:</t>
  </si>
  <si>
    <t>Bops Goin Brazy</t>
  </si>
  <si>
    <t>7251680779347806210</t>
  </si>
  <si>
    <t>https://sf16-ies-music-sg.tiktokcdn.com/obj/tos-alisg-ve-2774/oMtGUks2DEO0C84dZdQQ8gBifaqoBenktokbZ6</t>
  </si>
  <si>
    <t>https://p16-sg.tiktokcdn.com/aweme/720x720/tos-alisg-v-2774/o0EsdoyBQY2jF4MCzAEdggfA1AAASwtChDWAXv.jpeg</t>
  </si>
  <si>
    <t>Tyga</t>
  </si>
  <si>
    <t>https://v16-webapp-prime.tiktok.com/video/tos/maliva/tos-maliva-ve-0068c801-us/oURrVVUzmQJKChBgEBNFe5REIKDgabAi1Qf78Q/?a=1988&amp;bti=ODszNWYuMDE6&amp;ch=0&amp;cr=3&amp;dr=0&amp;lr=all&amp;cd=0%7C0%7C0%7C&amp;br=2542&amp;bt=1271&amp;cs=0&amp;ds=3&amp;ft=I~da4oKyD12NviW0i.IxRHqNglBF-UjNSqopiX&amp;mime_type=video_mp4&amp;qs=0&amp;rc=aWYzZWk5Ozs5NDM6OzozPEBpMztvbGo5cndvcjMzNzgzM0AyMS5iM2IwNWExL14zX2EuYSNpLy0zMmRjNW5gLS1kLzZzcw%3D%3D&amp;btag=e00088000&amp;expire=1763173381&amp;l=202511131022270BBA173F4561DD71A814&amp;ply_type=2&amp;policy=2&amp;signature=87b66cea4f3008537d0bf4f06e4c56a0&amp;tk=tt_chain_token</t>
  </si>
  <si>
    <t>https://www.tiktok.com/@psi.walace/video/7527803158802828600</t>
  </si>
  <si>
    <t>7569401587852905736</t>
  </si>
  <si>
    <t>O que é TDAH? #tdah #oqueetdah #sintomasdotdah</t>
  </si>
  <si>
    <t>7569401665657277202</t>
  </si>
  <si>
    <t>https://v16-webapp-prime.tiktok.com/video/tos/alisg/tos-alisg-v-27dcd7/okIEB6krIerogYFCDLbDfD0TqvEFQdeAB4QSMS/?a=1988&amp;bti=ODszNWYuMDE6&amp;ch=0&amp;cr=0&amp;dr=0&amp;er=0&amp;lr=default&amp;cd=0%7C0%7C0%7C0&amp;br=250&amp;bt=125&amp;ft=GNDpcInz7ThjFKvPXq8Zmo&amp;mime_type=audio_mpeg&amp;qs=6&amp;rc=NzwzOjs7OTxpPDNkOTczaEBpMzY5N285cmV4NzMzODU8NEBjXjAxLWIzNjIxYy5eNGMyYSNuNWRzMmRzaTJhLS1kMS1zcw%3D%3D&amp;btag=e00090000&amp;expire=1764559411&amp;l=2025120110215532A809179141715F3748&amp;ply_type=3&amp;policy=3&amp;signature=d19ec3d48cd45be393cb8bdd9c2772cf&amp;tk=7571587458748974088</t>
  </si>
  <si>
    <t>https://www.tiktok.com/@taharibnn/video/7280211496968146181</t>
  </si>
  <si>
    <t>tdah,tdahhumor,autoconhecimento,tdahmemes,tdahadulto,viral</t>
  </si>
  <si>
    <t>7479213316397731127</t>
  </si>
  <si>
    <t>autistaanonimo30</t>
  </si>
  <si>
    <t>AUTISTAANONIMO</t>
  </si>
  <si>
    <t>https://p16-sign-va.tiktokcdn.com/tos-maliva-avt-0068/53f49a16dabfc9146c2c96cf228775a7~tplv-tiktokx-cropcenter:100:100.jpeg?dr=14579&amp;refresh_token=39f10f75&amp;x-expires=1763172000&amp;x-signature=iIstdHx1fA5Iw6Wpz950dtwbJqU%3D&amp;t=4d5b0474&amp;ps=13740610&amp;shp=a5d48078&amp;shcp=81f88b70&amp;idc=my</t>
  </si>
  <si>
    <t>https://v16-webapp-prime.tiktok.com/video/tos/alisg/tos-alisg-pve-0037/oMIrooSAeewSs7WXDDQiYFFQTNgCsAfhE1E88X/?a=1988&amp;bti=ODszNWYuMDE6&amp;ch=0&amp;cr=3&amp;dr=0&amp;lr=all&amp;cd=0%7C0%7C0%7C&amp;cv=1&amp;br=1198&amp;bt=599&amp;cs=0&amp;ds=3&amp;ft=-Csk_mrMPD12NSBh5d-Uxs12aY6e3wv252cAp&amp;mime_type=video_mp4&amp;qs=0&amp;rc=OGg8NDtlNDo7OzdnZGk6ZUBpamZzcWo5cmh4NzMzODgzNEA2MmIwNjUwNTExLzBjNDUzYSMyL2ZoMmRzaDJhLS1kLzFzcw%3D%3D&amp;btag=e00090000&amp;expire=1764728611&amp;l=2025120110215532A809179141715F3748&amp;ply_type=2&amp;policy=2&amp;signature=f4cc2c0cc0a40fcac435293bc92af19a&amp;tk=tt_chain_token</t>
  </si>
  <si>
    <t>Definitivamente o Autismo nos dá muito trabalho #comorbidadeseautismo #autistaadulto #sobrecargasensorialnotea #autismotardio #exaustao #autistanotiktok</t>
  </si>
  <si>
    <t>som original - AUTISTAANONIMO</t>
  </si>
  <si>
    <t>7479213342918576901</t>
  </si>
  <si>
    <t>https://v16-webapp-prime.tiktok.com/video/tos/useast2a/tos-useast2a-v-27dcd7/oUrSlLMk7izQAPU3Buug3uB8I3ilncVkFZAvC/?a=1988&amp;bti=ODszNWYuMDE6&amp;ch=0&amp;cr=0&amp;dr=0&amp;er=0&amp;lr=default&amp;cd=0%7C0%7C0%7C0&amp;br=250&amp;bt=125&amp;ft=GNDpcInz7ThYK-UPXq8Zmo&amp;mime_type=audio_mpeg&amp;qs=6&amp;rc=OWllOzU1ZzYzNzNoMzw4NkBpajdzb3E5cnVyeTMzNzU8M0BhX2MwM2AtX18xNDE1NmFjYSNvbWFpMmRrLjJgLS1kMTZzcw%3D%3D&amp;btag=e000b8000&amp;expire=1763004193&amp;l=20251113102250DC012CE1E68AEAAA2B86&amp;ply_type=3&amp;policy=3&amp;signature=f52bc7ffc061b0d2cac55422cf4688b4&amp;tk=7571587458748974088</t>
  </si>
  <si>
    <t>https://p77-sign-va.tiktokcdn.com/tos-maliva-avt-0068/53f49a16dabfc9146c2c96cf228775a7~tplv-tiktokx-cropcenter:1080:1080.jpeg?dr=14579&amp;refresh_token=c387f4a8&amp;x-expires=1763172000&amp;x-signature=ej7J1g8IwJ6Y2ADbDKVjfORTA7g%3D&amp;t=4d5b0474&amp;ps=13740610&amp;shp=a5d48078&amp;shcp=81f88b70&amp;idc=my</t>
  </si>
  <si>
    <t>https://www.tiktok.com/@liberdade.mentall/video/7569401587852905736</t>
  </si>
  <si>
    <t>https://v16-webapp-prime.tiktok.com/video/tos/useast2a/tos-useast2a-pve-0068/oQBHTi5QBEo5GiOBykAfPvOvglBUAKoDLzIcAg/?a=1988&amp;bti=ODszNWYuMDE6&amp;ch=0&amp;cr=3&amp;dr=0&amp;lr=all&amp;cd=0%7C0%7C0%7C&amp;cv=1&amp;br=908&amp;bt=454&amp;cs=0&amp;ds=3&amp;ft=-Csk_mrMPD12N_hopd-Ux315hY6e3wv25dcAp&amp;mime_type=video_mp4&amp;qs=0&amp;rc=aWQ1NmdlNjRoZjo7ZjxlZkBpM2x4a3M5cjZyeTMzNzgzM0BiMTEuXzY2X2ExMC0wMi0tYSNeX3EuMmRjLjJgLS1kLzZzcw%3D%3D&amp;btag=e000b8000&amp;expire=1763173393&amp;l=20251113102250DC012CE1E68AEAAA2B86&amp;ply_type=2&amp;policy=2&amp;signature=929e3bce7a4d0b64587d4def841d934b&amp;tk=tt_chain_token</t>
  </si>
  <si>
    <t>7537471214659439928</t>
  </si>
  <si>
    <t>TDAH EM HOMENS... #tdah #sintomasdotdah #oqueetdah</t>
  </si>
  <si>
    <t>7537471256447224581</t>
  </si>
  <si>
    <t>https://v16-webapp-prime.tiktok.com/video/tos/useast2a/tos-useast2a-v-27dcd7/oEn0Jn2voQJCUnBq9BmFe0oEYKDgckCltQf5GC/?a=1988&amp;bti=ODszNWYuMDE6&amp;ch=0&amp;cr=0&amp;dr=0&amp;er=0&amp;lr=default&amp;cd=0%7C0%7C0%7C0&amp;br=250&amp;bt=125&amp;ft=GNDpcInz7ThhFKvPXq8Zmo&amp;mime_type=audio_mpeg&amp;qs=6&amp;rc=ZmY0OWg6NztoODY1ZjlpOkBpam1vM285cmU6NTMzNzU8M0A1XjJfMS01Nl4xMF9fNV8vYSNxMjU0MmRjaGFhLS1kMTZzcw%3D%3D&amp;btag=e00090000&amp;expire=1764559399&amp;l=20251201102153319CD8E1EA373154CB8C&amp;ply_type=3&amp;policy=3&amp;signature=827dc6b3103d27a572c540939f5ab311&amp;tk=7571587458748974088</t>
  </si>
  <si>
    <t>https://www.tiktok.com/@autistaanonimo30/video/7479213316397731127</t>
  </si>
  <si>
    <t>comorbidadeseautismo,autistaadulto,sobrecargasensorialnotea,autismotardio,exaustao,autistanotiktok</t>
  </si>
  <si>
    <t>7475125515779575046</t>
  </si>
  <si>
    <t xml:space="preserve">Você sempre achou que só precisava de mais força de vontade. Mas e se eu te disser que o problema nunca foi falta de esforço… e sim o caos dentro da sua mente? 1️⃣ Decisões Ruins – Você sabe o que tem que fazer… mas nunca faz. E quando percebe, já estragou tudo de novo. 2️⃣ Explosões de Raiva – Você se irrita, grita, machuca quem ama… e depois se afoga na culpa. 3️⃣ A Vida Não Anda – Todo mundo avança, menos você. Parece que sua vida tá congelada no tempo. 4️⃣ Vergonha de Si Mesmo – Você finge que tá tudo bem, mas se sente um completo fracasso por dentro. 5️⃣ Relacionamentos Quebrados – As pessoas desistem de você. E no fundo, você entende o porquê. 6️⃣ O Medo do Futuro – O que te espera lá na frente? Mais anos desperdiçados… ou a coragem de mudar agora? O Manual da Liberdade está no link da minha bio e vai te ajudar a mudar isso de uma vez por todas. #TDAH #oqueetdah #sintomasdotdah </t>
  </si>
  <si>
    <t>7475125597505702711</t>
  </si>
  <si>
    <t>https://v16-webapp-prime.tiktok.com/video/tos/useast2a/tos-useast2a-v-27dcd7/o8lKYyGOLDR18e5JMMoeSJzhG0ZQYIgeAefroI/?a=1988&amp;bti=ODszNWYuMDE6&amp;ch=0&amp;cr=0&amp;dr=0&amp;er=0&amp;lr=default&amp;cd=0%7C0%7C0%7C0&amp;br=250&amp;bt=125&amp;ft=GNDpcInz7ThnY-UPXq8Zmo&amp;mime_type=audio_mpeg&amp;qs=6&amp;rc=PGZmaTtkN2RlZDRpOzY5OUBpam5zdHc5cjlpeDMzNzU8M0BjMGNfXmA0NV8xMWNeYGNfYSNjbWotMmRranJgLS1kMTZzcw%3D%3D&amp;btag=e00090000&amp;expire=1763004518&amp;l=20251113102653A1DB3C7B0C5E8C8BA025&amp;ply_type=3&amp;policy=3&amp;signature=98c0281fd05d8920de17d467d2de0f97&amp;tk=7571587458748974088</t>
  </si>
  <si>
    <t>https://v16-webapp-prime.tiktok.com/video/tos/useast2a/tos-useast2a-ve-0068c003/oEfE0vSABgBEwhQxqGDZJoIjmQInzeVonFgC89/?a=1988&amp;bti=ODszNWYuMDE6&amp;ch=0&amp;cr=3&amp;dr=0&amp;lr=all&amp;cd=0%7C0%7C0%7C&amp;cv=1&amp;br=836&amp;bt=418&amp;cs=0&amp;ds=3&amp;ft=-Csk_mrMPD12NNBh5d-UxIS5hY6e3wv25ocAp&amp;mime_type=video_mp4&amp;qs=0&amp;rc=ZDU3NTs8ZWRkZWRmNzc3ZUBpM2Y8aW85cm46NTMzNzgzM0A1NmBhNi4yXjMxYS5fYS9fYSNsLmhgMmRrZ2FhLS1kLzZzcw%3D%3D&amp;btag=e00090000&amp;expire=1764728599&amp;l=20251201102153319CD8E1EA373154CB8C&amp;ply_type=2&amp;policy=2&amp;signature=d3622d613b386dc97781cc881915caa1&amp;tk=tt_chain_token</t>
  </si>
  <si>
    <t>https://v16-webapp-prime.tiktok.com/video/tos/useast2a/tos-useast2a-pve-0068/oEin24GNQLAPISJ8egIITeiLKpfEeM05epzVAQ/?a=1988&amp;bti=ODszNWYuMDE6&amp;ch=0&amp;cr=3&amp;dr=0&amp;lr=all&amp;cd=0%7C0%7C0%7C&amp;cv=1&amp;br=884&amp;bt=442&amp;cs=0&amp;ds=3&amp;ft=-Csk_mrMPD12NP_opd-Ux9T2bY6e3wv25IcAp&amp;mime_type=video_mp4&amp;qs=0&amp;rc=OzQ6aTc3OjwzNTU8OGU0aUBpam5uZHQ5cnNpeDMzNzczM0AuNWAvMl4zNWIxNC4vLl42YSM0Z2dgMmRrZ3JgLS1kMTZzcw%3D%3D&amp;btag=e00090000&amp;expire=1763173718&amp;l=20251113102653A1DB3C7B0C5E8C8BA025&amp;ply_type=2&amp;policy=2&amp;signature=d4956a4361d3b0e93c316a3d3bd63d4b&amp;tk=tt_chain_token</t>
  </si>
  <si>
    <t>https://www.tiktok.com/@liberdade.mentall/video/7537471214659439928</t>
  </si>
  <si>
    <t>7221912457990671621</t>
  </si>
  <si>
    <t xml:space="preserve">Se você se reconhece nos sintomas do TDAH e se esses sintomas te causam prejuízo ou sofrimento ao longo da sua vida, procure a opinião de um profissional! Pode Psiquiatra ou Neuro, ambos saberão te orientar, diagnosticar e prescrever medicação caso necessário. TDAH tem tratamento e com acompanhamento correto, muda nossa qualidade de vida! #tdahpositivo #oqueétdah #diagnosticotdah </t>
  </si>
  <si>
    <t>SERÁ QUE O QUÊ VOCÊ
         TEM É TDAH?</t>
  </si>
  <si>
    <t>7221912453453204230</t>
  </si>
  <si>
    <t>https://v16-webapp-prime.tiktok.com/video/tos/useast2a/tos-useast2a-v-27dcd7/a3f8acf9599a425293ebf4c845dbb91b/?a=1988&amp;bti=ODszNWYuMDE6&amp;ch=0&amp;cr=0&amp;dr=0&amp;er=0&amp;lr=default&amp;cd=0%7C0%7C0%7C0&amp;br=250&amp;bt=125&amp;ds=5&amp;ft=GNDpcInz7ThuzKvPXq8Zmo&amp;mime_type=audio_mpeg&amp;qs=13&amp;rc=ajp2eTk6ZjxwajMzNzU8M0Bpajp2eTk6ZjxwajMzNzU8M0BgLW9tcjQwM3BgLS1kMTZzYSNgLW9tcjQwM3BgLS1kMTZzcw%3D%3D&amp;btag=e00050000&amp;expire=1764559372&amp;l=202512011021508D2E02B19879BA6D89C0&amp;ply_type=3&amp;policy=3&amp;signature=e08a2632bd4e114be3e536358df4bc34&amp;tk=7571587458748974088</t>
  </si>
  <si>
    <t>https://www.tiktok.com/@liberdade.mentall/video/7475125515779575046</t>
  </si>
  <si>
    <t>7511523125704658181</t>
  </si>
  <si>
    <t>https://p77-sign-va.tiktokcdn.com/tos-maliva-avt-0068/924cd2a569ead49e262b2573224c311d~tplv-tiktokx-cropcenter:1080:1080.jpeg?dr=14579&amp;refresh_token=300d38cc&amp;x-expires=1764727200&amp;x-signature=WUruUJlAL%2BNR0IWd0zz8U22K7aU%3D&amp;t=4d5b0474&amp;ps=13740610&amp;shp=a5d48078&amp;shcp=81f88b70&amp;idc=my</t>
  </si>
  <si>
    <t>#tdah #saudemental #psicologia #psicoterapia #psicologoonline #fyp #foryou #foryoupage #viralizou</t>
  </si>
  <si>
    <t>Gosta de BR1GAR? UMA PESSOA COM TDAH 1- SENSO DE JUSTIÇA AGUÇADO  2- CRENÇA “INFLEXÍVEL” 3- REAÇÃO EXPLOSIVA E 
IMPULSIVIDADE VERBAL 4- A “DISCUSSÃO” é uma 
fonte de estímulo </t>
  </si>
  <si>
    <t>7511523143253510968</t>
  </si>
  <si>
    <t>https://v16-webapp-prime.tiktok.com/video/tos/useast2a/tos-useast2a-v-27dcd7/ocqPDfvKUETJIoS3FAoQFBteItJkCAj4BBpARc/?a=1988&amp;bti=ODszNWYuMDE6&amp;ch=0&amp;cr=0&amp;dr=0&amp;er=0&amp;lr=default&amp;cd=0%7C0%7C0%7C0&amp;br=250&amp;bt=125&amp;ds=5&amp;ft=GNDpcInz7ThyY-UPXq8Zmo&amp;mime_type=audio_mpeg&amp;qs=13&amp;rc=M3U2Z3E5cjU3MzMzNzU8M0BpM3U2Z3E5cjU3MzMzNzU8M0ByMGllMmRraXNhLS1kMTZzYSNyMGllMmRraXNhLS1kMTZzcw%3D%3D&amp;btag=e00050000&amp;expire=1763004473&amp;l=2025111310264583C2663DA446357263D7&amp;ply_type=3&amp;policy=3&amp;signature=d5711cb30c704b9f989943e42ec3845e&amp;tk=7571587458748974088</t>
  </si>
  <si>
    <t>https://v16-webapp-prime.tiktok.com/video/tos/maliva/tos-maliva-ve-0068c801-us/o0ZveEn4g8ALR0BOEADJqjEYB1WfbRKlkiLjQU/?a=1988&amp;bti=ODszNWYuMDE6&amp;ch=0&amp;cr=3&amp;dr=0&amp;lr=all&amp;cd=0%7C0%7C0%7C&amp;cv=1&amp;br=1606&amp;bt=803&amp;cs=0&amp;ds=3&amp;ft=-Csk_mrMPD12NGDh5d-UxSc2hY6e3wv25DcAp&amp;mime_type=video_mp4&amp;qs=0&amp;rc=NDdoPDxoZWk4ZWg2M2c1OUBpam9kOWc6ZnhwajMzNzczM0AwYDU1YV42NjYxMV8tMmAxYSMtazFfcjQwMnBgLS1kMTZzcw%3D%3D&amp;btag=e00090000&amp;expire=1764728572&amp;l=202512011021508D2E02B19879BA6D89C0&amp;ply_type=2&amp;policy=2&amp;signature=07cc4f2cf4b726e506f54f550a6e23e4&amp;tk=tt_chain_token</t>
  </si>
  <si>
    <t>https://v16-webapp-prime.tiktok.com/video/tos/useast2a/tos-useast2a-ve-0068c004/oI4gJIRHeJgAwU1SviIaELfRGFtG1AKklQeBae/?a=1988&amp;bti=ODszNWYuMDE6&amp;ch=0&amp;cr=3&amp;dr=0&amp;lr=all&amp;cd=0%7C0%7C0%7C&amp;cv=1&amp;br=2122&amp;bt=1061&amp;cs=0&amp;ds=3&amp;ft=-Csk_mrMPD12Nw_opd-UxfeFaY6e3wv25HcAp&amp;mime_type=video_mp4&amp;qs=0&amp;rc=aWk0ZWQ0NDk8Mzg3NDU7O0BpM2k4cGw5cmo3MzMzNzczM0A0YTJfMGMxXjAxNWIyYDIuYSNgYXNiMmRzZnNhLS1kMTZzcw%3D%3D&amp;btag=e00090000&amp;expire=1763173673&amp;l=2025111310264583C2663DA446357263D7&amp;ply_type=2&amp;policy=2&amp;signature=99588ee662e210bd0364ac8aec89b9d6&amp;tk=tt_chain_token</t>
  </si>
  <si>
    <t>https://www.tiktok.com/@lorenatdahta/video/7221912457990671621</t>
  </si>
  <si>
    <t>tdahpositivo,oqueétdah,diagnosticotdah</t>
  </si>
  <si>
    <t>https://www.tiktok.com/@igorpsicologo/video/7511523125704658181</t>
  </si>
  <si>
    <t>7488485939438767365</t>
  </si>
  <si>
    <t xml:space="preserve">Você fala demais. Interrompe os outros. Quer atenção. Gosta de ser o centro. E as pessoas começam a te olhar torto, a te chamar de egocêntrico. De arrogante. De narcisista. Mas não é isso. Não é sobre se achar melhor. É sobre tentar existir num mundo que te faz se sentir um merda o tempo todo. Você fala porque, se não falar, esquece. Você se exalta porque precisa sentir que ainda importa. Você busca atenção porque já passou a vida inteira se sentindo ignorado. E no fundo… você só queria ser compreendido. O TDAH não tratado transforma tudo em exagero. Em excesso. Você ama demais, fala demais, sente demais, explode por pouco… E depois se culpa por tudo. Acha que tá se achando? Na real, você tá se segurando pra não se odiar de vez. E todo esse "narcisismo" que os outros enxergam… É só uma defesa. Pra não desabar. O problema não é quem você é. É o que o TDAH tá fazendo com você. E se você continuar fingindo que dá pra levar, Vai perder sua identidade no meio desse caos. Vai ser rotulado, julgado, afastado — Sem ninguém entender o que tá por trás. #tdah #oqueetdah #sintomasdotdah </t>
  </si>
  <si>
    <t>7488485988040166149</t>
  </si>
  <si>
    <t>https://v16-webapp-prime.tiktok.com/video/tos/useast2a/tos-useast2a-v-27dcd7/osAMA1feTPIuDSCRCeGsRSLOAlc2gEbEcpcAEo/?a=1988&amp;bti=ODszNWYuMDE6&amp;ch=0&amp;cr=0&amp;dr=0&amp;er=0&amp;lr=default&amp;cd=0%7C0%7C0%7C0&amp;br=250&amp;bt=125&amp;ds=5&amp;ft=GNDpcInz7ThvFKvPXq8Zmo&amp;mime_type=audio_mpeg&amp;qs=13&amp;rc=ajl2anA5cnA6eTMzNzU8M0Bpajl2anA5cnA6eTMzNzU8M0BjZS5vMmRrMWpgLS1kMTZzYSNjZS5vMmRrMWpgLS1kMTZzcw%3D%3D&amp;btag=e00050000&amp;expire=1764559413&amp;l=2025120110220104295D62D2C47867A675&amp;ply_type=3&amp;policy=3&amp;signature=6c9df3b0505a69a807c1d9fd2f5cb802&amp;tk=7571587458748974088</t>
  </si>
  <si>
    <t>tdah,saudemental,psicologia,psicoterapia,psicologoonline,fyp,foryou,foryoupage,viralizou</t>
  </si>
  <si>
    <t>7254292365467323653</t>
  </si>
  <si>
    <t xml:space="preserve">Essa situação ilustra a dificuldade de manter o foco e a tendência de ser facilmente distraído. A mente de uma pessoa com TDAH é como um labirinto, cheia de caminhos que se bifurcam e levam a diferentes pensamentos e preocupações. Essa falta de estabilidade e concentração pode tornar tarefas simples em empreendimentos desafiadores. No entanto, é importante ressaltar que viver com TDAH não é uma sentença de fracasso. Embora haja obstáculos a serem superados, as pessoas com TDAH também têm habilidades únicas e características positivas. Elas podem ser criativas, hiperfocadas em áreas de interesse, ter uma mente ágil e serem pensadores originais. Com o suporte adequado, como terapias comportamentais, estratégias de gerenciamento de tempo e medicamentos, é possível minimizar os impactos negativos do TDAH e potencializar as habilidades positivas. É fundamental que as pessoas com TDAH sejam compreendidas, apoiadas e tenham acesso aos recursos necessários para lidar com os desafios diários. Viver com TDAH pode ser como navegar em águas agitadas, mas com a compreensão e o apoio adequados, aqueles que têm esse transtorno podem aprender a lidar com suas particularidades e aproveitar ao máximo seus talentos e potenciais. Ib: di_rangster #terapia #psicologo #psicologia #terapiacognitivo #saudemental #tdah #tdahadulto #tdahinfantil #tdahdescomplicado #tdahadultos #tdahcomamor </t>
  </si>
  <si>
    <t>7254292376775461638</t>
  </si>
  <si>
    <t>https://v16-webapp-prime.tiktok.com/video/tos/useast2a/tos-useast2a-v-27dcd7/oYBgAIOsKnyENAYADCzj2EBEkVbEhZfoAtGKsu/?a=1988&amp;bti=ODszNWYuMDE6&amp;ch=0&amp;cr=0&amp;dr=0&amp;er=0&amp;lr=default&amp;cd=0%7C0%7C0%7C0&amp;br=250&amp;bt=125&amp;ds=5&amp;ft=GNDpcInz7ThzK-UPXq8Zmo&amp;mime_type=audio_mpeg&amp;qs=13&amp;rc=M2h1dTY6ZjM5bDMzNzU8M0BpM2h1dTY6ZjM5bDMzNzU8M0BqYGRncjRnbWpgLS1kMTZzYSNqYGRncjRnbWpgLS1kMTZzcw%3D%3D&amp;btag=e00078000&amp;expire=1763004171&amp;l=20251113102236D675DBC36011DA84E058&amp;ply_type=3&amp;policy=3&amp;signature=4a6f9234665748344279d37e06b194de&amp;tk=7571587458748974088</t>
  </si>
  <si>
    <t>https://v16-webapp-prime.tiktok.com/video/tos/useast2a/tos-useast2a-pve-0068/oQweCOeGSIuRjrPIVcJaz2eOsCoAxIQBLQHdEg/?a=1988&amp;bti=ODszNWYuMDE6&amp;ch=0&amp;cr=3&amp;dr=0&amp;lr=all&amp;cd=0%7C0%7C0%7C&amp;cv=1&amp;br=1246&amp;bt=623&amp;cs=0&amp;ds=3&amp;ft=-Csk_mrMPD12NOBh5d-Uxbt2hY6e3wv25HcAp&amp;mime_type=video_mp4&amp;qs=0&amp;rc=NGQ4ZWUzZWRlaWc2Mzw4NEBpM3h3cXU5cjY6eTMzNzczM0AvLjIzXmAvNTExLmBfMTYwYSNhX2xmMmRrMWpgLS1kMTZzcw%3D%3D&amp;btag=e00090000&amp;expire=1764728614&amp;l=2025120110220104295D62D2C47867A675&amp;ply_type=2&amp;policy=2&amp;signature=cbfcc382f62d079d22c22c8e5c468572&amp;tk=tt_chain_token</t>
  </si>
  <si>
    <t>https://v16-webapp-prime.tiktok.com/video/tos/maliva/tos-maliva-ve-0068c801-us/ooFrJQRonqBxGB2QQDbQAfgiBerXEkBEORsRtY/?a=1988&amp;bti=ODszNWYuMDE6&amp;ch=0&amp;cr=3&amp;dr=0&amp;lr=all&amp;cd=0%7C0%7C0%7C&amp;cv=1&amp;br=2444&amp;bt=1222&amp;cs=0&amp;ds=3&amp;ft=-Csk_mrMPD12NDhopd-Ux2.2GY6e3wv25rcAp&amp;mime_type=video_mp4&amp;qs=0&amp;rc=cnF8b2hsc2d3SkBwaHIxaDFybndmNzg2NTw1Njs0aGg6NDNlM0BpMztudDs6Zm45bDMzNzczM0BjRl5Nc3FePmJKYSNvYF90aHFmOiNgMl8zYGJfXmIxYzYtY19iYSNfLnJucjRfbGpgLS1kMTZzcw%3D%3D&amp;btag=e000b8000&amp;expire=1763173371&amp;l=20251113102236D675DBC36011DA84E058&amp;ply_type=2&amp;policy=2&amp;signature=18afd907753fa093c0f4833a9467eb6e&amp;tk=tt_chain_token</t>
  </si>
  <si>
    <t>https://www.tiktok.com/@liberdade.mentall/video/7488485939438767365</t>
  </si>
  <si>
    <t>7519548755490704646</t>
  </si>
  <si>
    <t xml:space="preserve">Como você sente saudade? A pessoa com TDAH tem algumas formas de lidar com a saudade, e muitas vezes vai por essas duas vertentes, ou sente exacerbadamente ou parece que não sente, mas em ambos os casos é um fato: a pessoa sente saudade, ainda que muitas vezes pode não parecer. #psicologia #tdah #tdahadulto </t>
  </si>
  <si>
    <t>https://v16-webapp-prime.tiktok.com/video/tos/useast2a/tos-useast2a-pve-0068/oQaUHUiD7Qtr9NBAiSnFX4aB3BBQSExvwIEW9/?a=1988&amp;bti=ODszNWYuMDE6&amp;ch=0&amp;cr=3&amp;dr=0&amp;lr=all&amp;cd=0%7C0%7C0%7C&amp;cv=1&amp;br=1092&amp;bt=546&amp;cs=0&amp;ds=3&amp;ft=-Csk_mrMPD12NyDh5d-UxO72hY6e3wv257cAp&amp;mime_type=video_mp4&amp;qs=0&amp;rc=O2loaTVpNTZnaTo1aDk1ZkBpM2w4d3c5cjRmNDMzNzczM0AwNTFeYDYxX2MxNmM2Ll4tYSNeYHJyMmRrbmFhLS1kMTZzcw%3D%3D&amp;btag=e00090000&amp;expire=1764728578&amp;l=20251201102104F69A53E45B65A94E5B1C&amp;ply_type=2&amp;policy=2&amp;signature=8555e5453ca380ce02de4fbc1818f945&amp;tk=tt_chain_token</t>
  </si>
  <si>
    <t>https://www.tiktok.com/@psicologo.mateus/video/7254292365467323653</t>
  </si>
  <si>
    <t>terapia,psicologo,psicologia,terapiacognitivo,saudemental,tdah,tdahadulto,tdahinfantil,tdahdescomplicado,tdahadultos,tdahcomamor</t>
  </si>
  <si>
    <t>7475150776483024134</t>
  </si>
  <si>
    <t>https://www.tiktok.com/@psi.walace/video/7519548755490704646</t>
  </si>
  <si>
    <t>#saudemental #tdah #psicologia #psicoterapia #psicologoonline #emocoes #fyp #foryou #foryoupage #viralizou</t>
  </si>
  <si>
    <t>RAIO-X de UM TDAH em 60 segundos </t>
  </si>
  <si>
    <t>7475155963604257541</t>
  </si>
  <si>
    <t>https://v16-webapp-prime.tiktok.com/video/tos/useast2a/tos-useast2a-v-27dcd7/ocW2YADeeSxfKRJAQ26iFMLJIm68IfUAhekAIM/?a=1988&amp;bti=ODszNWYuMDE6&amp;ch=0&amp;cr=0&amp;dr=0&amp;er=0&amp;lr=default&amp;cd=0%7C0%7C0%7C0&amp;br=250&amp;bt=125&amp;ds=5&amp;ft=GNDpcInz7ThyY-UPXq8Zmo&amp;mime_type=audio_mpeg&amp;qs=13&amp;rc=MztudXA5cmtreDMzNzU8M0BpMztudXA5cmtreDMzNzU8M0Btc2hvMmQ0YXJgLS1kMTZzYSNtc2hvMmQ0YXJgLS1kMTZzcw%3D%3D&amp;btag=e00050000&amp;expire=1763004474&amp;l=2025111310264583C2663DA446357263D7&amp;ply_type=3&amp;policy=3&amp;signature=aa826158edea96ba3cb0aa47d6d5efb3&amp;tk=7571587458748974088</t>
  </si>
  <si>
    <t>7559962560343051532</t>
  </si>
  <si>
    <t>luisandradepaideautista</t>
  </si>
  <si>
    <t>https://p16-sign-va.tiktokcdn.com/tos-maliva-avt-0068/51a8ec821dc3dd7c6bd487cdce57a3f8~tplv-tiktokx-cropcenter:100:100.jpeg?dr=14579&amp;refresh_token=a16d1a61&amp;x-expires=1764727200&amp;x-signature=o6FAarguzF8UO0u03K3%2FsFlULAM%3D&amp;t=4d5b0474&amp;ps=13740610&amp;shp=a5d48078&amp;shcp=81f88b70&amp;idc=my</t>
  </si>
  <si>
    <t>O que é TDAH? TDAH deprime? Sofre de ansiedade? Você se identifica? . . . #tdah #psicologia #psiquiatria</t>
  </si>
  <si>
    <t>7559962558515120907</t>
  </si>
  <si>
    <t>https://v16-webapp-prime.tiktok.com/video/tos/useast2a/tos-useast2a-pve-0068/owtMGIABgXeA1aiGRJ6ecILwXesfJKeibFAkLx/?a=1988&amp;bti=ODszNWYuMDE6&amp;ch=0&amp;cr=3&amp;dr=0&amp;lr=all&amp;cd=0%7C0%7C0%7C&amp;cv=1&amp;br=2888&amp;bt=1444&amp;cs=0&amp;ds=3&amp;ft=-Csk_mrMPD12Nw_opd-UxfeFaY6e3wv25HcAp&amp;mime_type=video_mp4&amp;qs=0&amp;rc=MzQzODw7OTRnODQ6aDVpPEBpanE0d3A5cnhreDMzNzczM0AyM14tYTBfXzIxMGFgLl8zYSMybmJuMmQ0L3JgLS1kMTZzcw%3D%3D&amp;btag=e00090000&amp;expire=1763173674&amp;l=2025111310264583C2663DA446357263D7&amp;ply_type=2&amp;policy=2&amp;signature=a335371692c9f5483d52c8b3a5a689e8&amp;tk=tt_chain_token</t>
  </si>
  <si>
    <t>https://v16-webapp-prime.tiktok.com/video/tos/useast2a/tos-useast2a-v-27dcd7/ooIJn6EHKAM1yUJeUtHswRQIDfCAFBAKpBAomI/?a=1988&amp;bti=ODszNWYuMDE6&amp;ch=0&amp;cr=0&amp;dr=0&amp;er=0&amp;lr=default&amp;cd=0%7C0%7C0%7C0&amp;br=250&amp;bt=125&amp;ds=5&amp;ft=GNDpcInz7ThcFKvPXq8Zmo&amp;mime_type=audio_mpeg&amp;qs=13&amp;rc=MzhvOG05cnU5NjMzNzU8M0BpMzhvOG05cnU5NjMzNzU8M0AvNmhnMmQ0MGlhLS1kMTZzYSMvNmhnMmQ0MGlhLS1kMTZzcw%3D%3D&amp;btag=e00048000&amp;expire=1764559366&amp;l=2025120110220384643B3986DED954E961&amp;ply_type=3&amp;policy=3&amp;signature=e07fb0e6eed260ae4bec9553d5a2bfe6&amp;tk=7571587458748974088</t>
  </si>
  <si>
    <t>https://www.tiktok.com/@igorpsicologo/video/7475150776483024134</t>
  </si>
  <si>
    <t>https://p77-sign-va.tiktokcdn.com/tos-maliva-avt-0068/51a8ec821dc3dd7c6bd487cdce57a3f8~tplv-tiktokx-cropcenter:1080:1080.jpeg?dr=14579&amp;refresh_token=9652be81&amp;x-expires=1764727200&amp;x-signature=5jKICeyC6CLW7lIqjjkVue51Ptc%3D&amp;t=4d5b0474&amp;ps=13740610&amp;shp=a5d48078&amp;shcp=81f88b70&amp;idc=my</t>
  </si>
  <si>
    <t>saudemental,tdah,psicologia,psicoterapia,psicologoonline,emocoes,fyp,foryou,foryoupage,viralizou</t>
  </si>
  <si>
    <t>7520418190598409478</t>
  </si>
  <si>
    <t>#saudemental #tdah #psicologia #psicoterapia #psicologoonline #emocoes #fyp #fy #foryoupage #viralizou</t>
  </si>
  <si>
    <t>ao se RELACIONAR com um TDAH “PRECAUÇÕES” a tomar 1- NÃO INTERPRETE “ESQUECIMENTO”
como falta de amor 2- EVITE dar ordens DIRETAS ou 
AUTORITÁRIAS  3- NÃO ESPERE “CONSTÂNCIA” EMOCIONAL  4- “DISTRAÇÃO” não é falta de interesse </t>
  </si>
  <si>
    <t>7520418201039112965</t>
  </si>
  <si>
    <t>https://v16-webapp-prime.tiktok.com/video/tos/useast2a/tos-useast2a-v-27dcd7/okaAlrFB3uBPiIpEAkd8RQ1ICp5EAviUWSqiA/?a=1988&amp;bti=ODszNWYuMDE6&amp;ch=0&amp;cr=0&amp;dr=0&amp;er=0&amp;lr=default&amp;cd=0%7C0%7C0%7C0&amp;br=250&amp;bt=125&amp;ds=5&amp;ft=GNDpcInz7Thm9-UPXq8Zmo&amp;mime_type=audio_mpeg&amp;qs=13&amp;rc=M2Q5ZW85cjV4NDMzNzU8M0BpM2Q5ZW85cjV4NDMzNzU8M0AxZ2ZyMmRrNmJhLS1kMTZzYSMxZ2ZyMmRrNmJhLS1kMTZzcw%3D%3D&amp;btag=e00050000&amp;expire=1763004339&amp;l=202511131024337F554789EF0D09A1F8EB&amp;ply_type=3&amp;policy=3&amp;signature=ce9325685ab98e697c3a69c6e30aa8ac&amp;tk=7571587458748974088</t>
  </si>
  <si>
    <t>https://v16-webapp-prime.tiktok.com/video/tos/useast2a/tos-useast2a-ve-0068c003/oYCcIuA0goiERbIKDizbfQuAqmmBdi1DTkdysC/?a=1988&amp;bti=ODszNWYuMDE6&amp;ch=0&amp;cr=3&amp;dr=0&amp;lr=all&amp;cd=0%7C0%7C0%7C&amp;cv=1&amp;br=1354&amp;bt=677&amp;cs=0&amp;ds=3&amp;ft=I~da4oKyD12NvaMWS.IxRYjNWlBF-UjNSkopiX&amp;mime_type=video_mp4&amp;qs=0&amp;rc=O2Q6ODRpZztoOjU7ZmQ1aEBpM2hrOm85cm05NjMzNzczM0A0NV42YTZiNmExMTY2MF9fYSMybzIuMmRjMGlhLS1kMTZzcw%3D%3D&amp;btag=e00088000&amp;expire=1764728566&amp;l=2025120110220384643B3986DED954E961&amp;ply_type=2&amp;policy=2&amp;signature=4988db2e6d1afd9c44f3019e717aabcc&amp;tk=tt_chain_token</t>
  </si>
  <si>
    <t>https://v16-webapp-prime.tiktok.com/video/tos/useast2a/tos-useast2a-pve-0068/ocRSIFQBQU0IdAPiG9PaiRFECjqJUmo35BE3S/?a=1988&amp;bti=ODszNWYuMDE6&amp;ch=0&amp;cr=3&amp;dr=0&amp;lr=all&amp;cd=0%7C0%7C0%7C&amp;cv=1&amp;br=2048&amp;bt=1024&amp;cs=0&amp;ds=3&amp;ft=I~da4oKyD12NvuA0i.IxREJNglBF-UjNSmopiX&amp;mime_type=video_mp4&amp;qs=0&amp;rc=M2llNjg1aDdpOjg1aTNnM0Bpajt0d245cjV4NDMzNzczM0BfMjJeYmE2Ni4xLzI1Ml9fYSM1aWwvMmQ0M2JhLS1kMTZzcw%3D%3D&amp;btag=e00090000&amp;expire=1763173539&amp;l=202511131024337F554789EF0D09A1F8EB&amp;ply_type=2&amp;policy=2&amp;signature=2852c9a0c806ca7d7d21be3512bac5e0&amp;tk=tt_chain_token</t>
  </si>
  <si>
    <t>https://www.tiktok.com/@luisandradepaideautista/video/7559962560343051532</t>
  </si>
  <si>
    <t>tdah,psicologia,psiquiatria</t>
  </si>
  <si>
    <t>7528545423397637382</t>
  </si>
  <si>
    <t xml:space="preserve">Você que é neurodivergente sofre com isso também? Nesses quadros há uma sensibilidade sonora muito forte, e não é frescura, qualquer ruído contínuo pode incomodar ao ponto de causar de fato um sofrimento à pessoa! #psicologia #tdah #tdahadulto </t>
  </si>
  <si>
    <t>Popotão Grandão (1982)</t>
  </si>
  <si>
    <t>7507390044346600248</t>
  </si>
  <si>
    <t>https://sf16-ies-music-sg.tiktokcdn.com/obj/tos-alisg-ve-2774/owZyMWsUIAgkNi6BVYHWUApiNxaGivMQOIPHr</t>
  </si>
  <si>
    <t>https://www.tiktok.com/@igorpsicologo/video/7520418190598409478</t>
  </si>
  <si>
    <t>saudemental,tdah,psicologia,psicoterapia,psicologoonline,emocoes,fyp,fy,foryoupage,viralizou</t>
  </si>
  <si>
    <t>7516337237416545541</t>
  </si>
  <si>
    <t>https://p77-sg.tiktokcdn.com/aweme/720x720/tiktok-obj/image/tiktok_song_default_cover.jpeg.jpeg</t>
  </si>
  <si>
    <t>#saudemental #tdah #psicologia #psicologoonline #psicoterapia #fyp #foryou #foryoupage #viralizou</t>
  </si>
  <si>
    <t>“SIMULADOR” sinta como é uma MENTE DE UM TDAH</t>
  </si>
  <si>
    <t>7516337242929449734</t>
  </si>
  <si>
    <t>https://v16-webapp-prime.tiktok.com/video/tos/useast2a/tos-useast2a-v-27dcd7/owjE5zUACia3BHi4k0lMAEO9ZQ7ASqvtBAPZE/?a=1988&amp;bti=ODszNWYuMDE6&amp;ch=0&amp;cr=0&amp;dr=0&amp;er=0&amp;lr=default&amp;cd=0%7C0%7C0%7C0&amp;br=250&amp;bt=125&amp;ds=5&amp;ft=GNDpcInz7ThEY-UPXq8Zmo&amp;mime_type=audio_mpeg&amp;qs=13&amp;rc=MzppNnE5cnVwNDMzNzU8M0BpMzppNnE5cnVwNDMzNzU8M0BuZDNpMmRrNjRhLS1kMTZzYSNuZDNpMmRrNjRhLS1kMTZzcw%3D%3D&amp;btag=e00050000&amp;expire=1763004441&amp;l=202511131026218DEF8CE7185C8F9E5844&amp;ply_type=3&amp;policy=3&amp;signature=ef5e4dd13a43b11bf87cbd8e0a0006f1&amp;tk=7571587458748974088</t>
  </si>
  <si>
    <t>BLOW RECORDS</t>
  </si>
  <si>
    <t>https://v16-webapp-prime.tiktok.com/video/tos/useast2a/tos-useast2a-ve-0068c003/osRC3kxAUrEBEBQVhRDGZEi5SaiI6VHQIxWQP/?a=1988&amp;bti=ODszNWYuMDE6&amp;ch=0&amp;cr=3&amp;dr=0&amp;lr=all&amp;cd=0%7C0%7C0%7C&amp;cv=1&amp;br=2134&amp;bt=1067&amp;cs=0&amp;ds=3&amp;ft=-Csk_mrMPD12NGDh5d-UxSc2hY6e3wv25DcAp&amp;mime_type=video_mp4&amp;qs=0&amp;rc=aTs8NTc2aWY4ODxnaTs4aUBpMzlsb3M5cmtmNDMzNzczM0BhLzNjXzVeXzMxMi9hMmIyYSMuNTU1MmQ0NHFhLS1kMTZzcw%3D%3D&amp;btag=e00090000&amp;expire=1764728642&amp;l=202512011021508D2E02B19879BA6D89C0&amp;ply_type=2&amp;policy=2&amp;signature=f340c589e89d4af563065c6ffcbb3110&amp;tk=tt_chain_token</t>
  </si>
  <si>
    <t>https://v16-webapp-prime.tiktok.com/video/tos/useast2a/tos-useast2a-pve-0068/oYGVQfkeDB9oFg4EpPEZ2HIPTBJEYDuQstRYPA/?a=1988&amp;bti=ODszNWYuMDE6&amp;ch=0&amp;cr=3&amp;dr=0&amp;lr=all&amp;cd=0%7C0%7C0%7C&amp;cv=1&amp;br=1754&amp;bt=877&amp;cs=0&amp;ds=3&amp;ft=-Csk_mrMPD12NH_opd-UxDTFGY6e3wv25ocAp&amp;mime_type=video_mp4&amp;qs=0&amp;rc=O2U1ODU1ZmVnNTM7OTg0OEBpajc1OnA5cnRwNDMzNzczM0AtLl5iLV42XmMxYV5hYjMuYSMucWszMmRjNDRhLS1kMTZzcw%3D%3D&amp;btag=e00090000&amp;expire=1763173641&amp;l=202511131026218DEF8CE7185C8F9E5844&amp;ply_type=2&amp;policy=2&amp;signature=019df596c59652752179e9ed9e59ece3&amp;tk=tt_chain_token</t>
  </si>
  <si>
    <t>https://www.tiktok.com/@psi.walace/video/7528545423397637382</t>
  </si>
  <si>
    <t>https://www.tiktok.com/@igorpsicologo/video/7516337237416545541</t>
  </si>
  <si>
    <t>7481442083299986743</t>
  </si>
  <si>
    <t>15 Principais intomas do TDAH em ADULTOS 🧐 . . .  🫂 Se você se reconhece nos sintomas e se esses, te causam sofrimento ou prejuízos, procure um profissional de saúde mental capacitado. Que pode ser tanto um Psiquiatra, quanto um Neurologista.  📘 E se você quer aprender a gerenciar melhor seu TDAH junto comigo, te ensino isso no meu Livro Digital. Confere no meu link da bio! 💛 📌 Referência: " Os Principais Sintomas do TDAH em Adultos", Dra. Ana Beatriz Barbosa.  #tdahsintomas #tdahadulto #draanabeatrizbarbosa</t>
  </si>
  <si>
    <t>saudemental,tdah,psicologia,psicologoonline,psicoterapia,fyp,foryou,foryoupage,viralizou</t>
  </si>
  <si>
    <t>Interstellar Experience (Piano)</t>
  </si>
  <si>
    <t>7345073264417818626</t>
  </si>
  <si>
    <t>https://sf16-ies-music-sg.tiktokcdn.com/obj/tos-alisg-ve-2774/okVWvCe1wQOmrEMln7FfBBgUwAQXFyIOZ1Dutn</t>
  </si>
  <si>
    <t>7470930995986828599</t>
  </si>
  <si>
    <t>thiagocoutogt</t>
  </si>
  <si>
    <t>🏴‍☠️Jack Sparrow Capixaba🤘🎸</t>
  </si>
  <si>
    <t>https://p77-sign-va.tiktokcdn.com/tos-maliva-avt-0068/634e3ccf21671e098e69ebd35bf5db45~tplv-tiktokx-cropcenter:100:100.jpeg?dr=14579&amp;refresh_token=29fdd4ae&amp;x-expires=1763172000&amp;x-signature=%2BQG6rD%2Bvn%2BKjxZntqmdIqAOxOKM%3D&amp;t=4d5b0474&amp;ps=13740610&amp;shp=a5d48078&amp;shcp=81f88b70&amp;idc=my</t>
  </si>
  <si>
    <t>https://p16-sg.tiktokcdn.com/aweme/720x720/tos-alisg-v-2774/o8AGkAMAIOLAQrLAXeuKFAAeFVdmFf1veQGpi9.jpeg</t>
  </si>
  <si>
    <t>Se eu tenho TDAH? O TDAH que tem a mim😂😏😌 #tdah #hiperatividade #tdahadulto</t>
  </si>
  <si>
    <t>VOCÊ TEM TDAH? Eu:</t>
  </si>
  <si>
    <t>7455730788412967685</t>
  </si>
  <si>
    <t>https://v16-webapp-prime.tiktok.com/video/tos/useast2a/tos-useast2a-v-27dcd7/osktvb8EBI3zKEPgizAoXnBziUfOBA6vxM74TH/?a=1988&amp;bti=ODszNWYuMDE6&amp;ch=0&amp;cr=0&amp;dr=0&amp;er=0&amp;lr=default&amp;cd=0%7C0%7C0%7C0&amp;br=250&amp;bt=125&amp;ft=GNDpcInz7ThUK-UPXq8Zmo&amp;mime_type=audio_mpeg&amp;qs=6&amp;rc=NjQ1ZDM4ZWk5OjQ0aTNkaEBpajRobW05cmQ0dzMzNzU8M0AuNTQtNTVgXjAxMTYtXl80YSNhbnJvMmRjNHBgLS1kMTZzcw%3D%3D&amp;btag=e00090000&amp;expire=1763004208&amp;l=202511131022270BBA173F4561DD71A814&amp;ply_type=3&amp;policy=3&amp;signature=1649db60b42677cf2cf45aab4f598a92&amp;tk=7571587458748974088</t>
  </si>
  <si>
    <t>Wandinho Nonato</t>
  </si>
  <si>
    <t>https://v16-webapp-prime.tiktok.com/video/tos/useast2a/tos-useast2a-pve-0068/o8AEef2TxQxRDRKEQboEATBJbB0FIdO0nssAnn/?a=1988&amp;bti=ODszNWYuMDE6&amp;ch=0&amp;cr=3&amp;dr=0&amp;lr=all&amp;cd=0%7C0%7C0%7C&amp;cv=1&amp;br=2488&amp;bt=1244&amp;cs=0&amp;ds=3&amp;ft=-Csk_mrMPD12Nudh5d-Uxs12aY6e3wv252cAp&amp;mime_type=video_mp4&amp;qs=0&amp;rc=aDg4MzQ5NzllNDM6NTozZEBpM3BxOW45cjdweTMzNzczM0AyL2E1M2JhNV4xNC1iY2AvYSNjZWUtMmRzajZgLS1kMTZzcw%3D%3D&amp;btag=e00090000&amp;expire=1764728476&amp;l=202512011020068133AB7BCB086C5F4CDC&amp;ply_type=2&amp;policy=2&amp;signature=d4eab30103b0ec27da759d2afd6a4882&amp;tk=tt_chain_token</t>
  </si>
  <si>
    <t>https://p16-sign-va.tiktokcdn.com/tos-maliva-avt-0068/8186585c64ea09dc5e3d06509e2f379e~tplv-tiktokx-cropcenter:1080:1080.jpeg?dr=14579&amp;refresh_token=27216167&amp;x-expires=1763172000&amp;x-signature=YYKkWTm7hGhM2G2Dwh%2Fx2abEgjQ%3D&amp;t=4d5b0474&amp;ps=13740610&amp;shp=a5d48078&amp;shcp=81f88b70&amp;idc=my</t>
  </si>
  <si>
    <t>Td.dia.uma.musica</t>
  </si>
  <si>
    <t>https://v16-webapp-prime.tiktok.com/video/tos/useast2a/tos-useast2a-pve-0068/oQpeQICbVDA4IBYDefF1KMegWiZAzJYtIkfFuE/?a=1988&amp;bti=ODszNWYuMDE6&amp;ch=0&amp;cr=3&amp;dr=0&amp;lr=all&amp;cd=0%7C0%7C0%7C&amp;cv=1&amp;br=8066&amp;bt=4033&amp;cs=0&amp;ds=3&amp;ft=I~da4oKyD12NviW0i.IxRHqNglBF-UjNSqopiX&amp;mime_type=video_mp4&amp;qs=0&amp;rc=NWZpZGQ1PDpmOjdpN2Y0NUBpanM7cnQ5cjh5eDMzNzczM0A1YzMuMWIvNmIxNi1iYWA2YSNkbTNqMmRjc2pgLS1kMTZzcw%3D%3D&amp;btag=e000b8000&amp;expire=1763173373&amp;l=202511131022270BBA173F4561DD71A814&amp;ply_type=2&amp;policy=2&amp;signature=07b89b7123ae188b00b663a52d51a810&amp;tk=tt_chain_token</t>
  </si>
  <si>
    <t>https://www.tiktok.com/@thiagocoutogt/video/7470930995986828599</t>
  </si>
  <si>
    <t>tdah,hiperatividade,tdahadulto</t>
  </si>
  <si>
    <t>7365983740050361605</t>
  </si>
  <si>
    <t>doutordiamba</t>
  </si>
  <si>
    <t>https://p77-sign-va.tiktokcdn.com/tos-maliva-avt-0068/e58116bbf4ad2696c33e7ca59d05752f~tplv-tiktokx-cropcenter:100:100.jpeg?dr=14579&amp;refresh_token=b852af7e&amp;x-expires=1763172000&amp;x-signature=hTTUMHfTz%2FBdo%2FLgo%2B8qslqO4xw%3D&amp;t=4d5b0474&amp;ps=13740610&amp;shp=a5d48078&amp;shcp=81f88b70&amp;idc=my</t>
  </si>
  <si>
    <t>A cabeça do TDAH no seu dia mais tranquilo tentando socializar enquanto almoça: Salve meu povo!! O Transtorno do Déficit de Atenção e Hiperatividade (TDAH) é uma condição neurobiológica que afeta a capacidade de uma pessoa em prestar atenção, controlar impulsos e regular o comportamento. É mais comum em crianças, mas também pode persistir na vida adulta. Os sintomas incluem dificuldade em manter o foco, hiperatividade e impulsividade. O TDAH pode impactar a vida diária, a educação e o trabalho. O diagnóstico precoce e o tratamento adequado, que geralmente envolve terapia comportamental e, em alguns casos, medicação, podem ajudar a pessoa a gerenciar os sintomas e viver uma vida plena e produtiva. É importante que a condição seja compreendida e que haja apoio e compreensão por parte da família, escola e comunidade para que as pessoas com TDAH possam alcançar seu potencial máximo. Sabia que existe tratamento para os sintomas do TDAH com baixíssimos efeitos colaterais? Clique no link da bio e saiba mais. Haux 🦜 Dr. Felipe Mourão | CRM 221657-SP #drfelipemourao#medicinaintegrativa#medicinanatural#qualidadedevida#tdah</t>
  </si>
  <si>
    <t>som original - Dr. Felipe Mourão</t>
  </si>
  <si>
    <t>7365984204332157702</t>
  </si>
  <si>
    <t>https://v16-webapp-prime.tiktok.com/video/tos/useast2a/tos-useast2a-v-27dcd7/og6cIS0f5GE5O0s2snLkCTMCkofg1CucMNel5I/?a=1988&amp;bti=ODszNWYuMDE6&amp;ch=0&amp;cr=0&amp;dr=0&amp;er=0&amp;lr=default&amp;cd=0%7C0%7C0%7C0&amp;br=250&amp;bt=125&amp;ft=GNDpcInz7ThiV-UPXq8Zmo&amp;mime_type=audio_mpeg&amp;qs=6&amp;rc=Zzc0aDhoaTQ4Zjk4NWQ6aEBpM291eHM5cjptcjMzNzU8M0A1XmBfXmEuNTAxMDE0Mi40YSNuc2Q0MmQ0a3BgLS1kMTZzcw%3D%3D&amp;btag=e000b0000&amp;expire=1763004247&amp;l=2025111310235634FE9FF2AA2A079ADB1D&amp;ply_type=3&amp;policy=3&amp;signature=e20ca0979927f983a584d58164ac58f3&amp;tk=7571587458748974088</t>
  </si>
  <si>
    <t>https://www.tiktok.com/@lorenatdahta/video/7481442083299986743</t>
  </si>
  <si>
    <t>https://p77-sign-va.tiktokcdn.com/tos-maliva-avt-0068/e58116bbf4ad2696c33e7ca59d05752f~tplv-tiktokx-cropcenter:1080:1080.jpeg?dr=14579&amp;refresh_token=5869a420&amp;x-expires=1763172000&amp;x-signature=9tfNfTuhL1NM0Gb9GoEcx0AuFbI%3D&amp;t=4d5b0474&amp;ps=13740610&amp;shp=a5d48078&amp;shcp=81f88b70&amp;idc=my</t>
  </si>
  <si>
    <t>tdahsintomas,tdahadulto,draanabeatrizbarbosa</t>
  </si>
  <si>
    <t>7472027625481915654</t>
  </si>
  <si>
    <t>Tahar 🪐</t>
  </si>
  <si>
    <t>https://p77-sign-va.tiktokcdn.com/tos-maliva-avt-0068/f6c9ce0e62719a5be566968f7c4b37c5~tplv-tiktokx-cropcenter:100:100.jpeg?dr=14579&amp;refresh_token=533a2951&amp;x-expires=1764727200&amp;x-signature=4PrwEOhMZjuRYar4pyKYqwwQj1g%3D&amp;t=4d5b0474&amp;ps=13740610&amp;shp=a5d48078&amp;shcp=81f88b70&amp;idc=my</t>
  </si>
  <si>
    <t>https://v16-webapp-prime.tiktok.com/video/tos/useast2a/tos-useast2a-ve-0068c002/o0bcM8fLEQgSIxcflVMgXCIfQ8rnAhLUpCptVo/?a=1988&amp;bti=ODszNWYuMDE6&amp;ch=0&amp;cr=3&amp;dr=0&amp;lr=all&amp;cd=0%7C0%7C0%7C&amp;cv=1&amp;br=1012&amp;bt=506&amp;cs=0&amp;ds=3&amp;ft=-Csk_mrMPD12N3Yopd-Ux24FaY6e3wv25WcAp&amp;mime_type=video_mp4&amp;qs=0&amp;rc=cnF8b2hsc2d3SkBwaHIxaDFybndmNjlkZzU6OjQ4OzRpOWk1Z0BpM3lvbnk5cnNtcjMzNzgzM0BjRl5Nc3FePmJKYSNvYF90aHFmOiMxLy4vNmIuXjYxMzQvNC8vYSNpMmRwMmRjanBgLS1kLzZzcw%3D%3D&amp;btag=e000b0000&amp;expire=1763173446&amp;l=2025111310235634FE9FF2AA2A079ADB1D&amp;ply_type=2&amp;policy=2&amp;signature=796a10c564e2f4fea4af2ef52a5387f9&amp;tk=tt_chain_token</t>
  </si>
  <si>
    <t>https://www.tiktok.com/@doutordiamba/video/7365983740050361605</t>
  </si>
  <si>
    <t>drfelipemourao,medicinaintegrativa,medicinanatural,qualidadedevida,tdah</t>
  </si>
  <si>
    <t>7303920572528987397</t>
  </si>
  <si>
    <t xml:space="preserve">Só quem tem sabe o quão difícil é, né? 😅 . Estudar com TDAH pode ser desafiador, pois manter o foco é mais difícil do que para aqueles sem o transtorno. No entanto, buscar ajuda de um profissional especializado em TDAH pode ser transformador, ajudando a organizar a rotina e melhorar a concentração. Com o apoio certo, é possível transformar desafios em conquistas.  Além disso, compartilhar informações sobre TDAH aumenta a conscientização e pode mudar vidas, incentivando o apoio e a empatia em comunidades. Compartilhe esse conhecimento e ajude a criar um mundo onde todos possam alcançar seus sonhos. 🌟 #tdah #tdahzando #tdahadulto </t>
  </si>
  <si>
    <t>🧠A paralisia do TDAH pode ser comparada a uma procrastinação intensificada, onde a pessoa se vê envolvida por uma resistência paralisante diante das tarefas cotidianas.  🚫É como se houvesse um bloqueio interno que impede a transformação de intenções em ações concretas. Os pensamentos se acumulam, formando uma barreira que dificulta a execução de até mesmo as tarefas mais simples. 😩Essa sensação de inércia pode gerar frustração e autoquestionamento, aumentando o ciclo de procrastinação.  👨🏻‍⚕️Buscar ajuda profissional é crucial nesse cenário. O profissional (psicólogo) pode fornecer ferramentas para superar esse bloqueio, desenvolvendo estratégias adaptativas e promovendo uma abordagem mais eficaz diante dos desafios do dia a dia.  😉Reconhecer a paralisia do TDAH como uma dificuldade real é o primeiro passo em direção a uma vida mais produtiva e satisfatória. 📚 Se você deseja mais informações sobre o TDAH e maneiras de enfrentar esses desafios, recomendo meu curso online, “Manual do Universo TDAH.” Ele oferece uma abordagem abrangente sobre o TDAH, com orientações práticas para lidar com essa condição. 🌐 Para mais informações, clique no link da bio ou acesse: mateuspsicologo.com/tdah ⚠️SIGA @psicologo.mateus PARA MAIS CONTEÚDOS! ⚠️SIGA @psicologo.mateus PARA MAIS CONTEÚDOS! ⚠️SIGA @psicologo.mateus PARA MAIS CONTEÚDOS! #terapia #psicologo #psicologia #terapiacognitivo #saudemental #tdah #tdahadulto #tdahinfantil #tdahdescomplicado #tdahadultos #tdahcomamor</t>
  </si>
  <si>
    <t>yes</t>
  </si>
  <si>
    <t>7303920600498146054</t>
  </si>
  <si>
    <t>7472027646054927110</t>
  </si>
  <si>
    <t>https://v16-webapp-prime.tiktok.com/video/tos/useast2a/tos-useast2a-v-27dcd7/ooQAQSy8Xi0QQ9oTveuKfAWokATMgFgCEZ9eyC/?a=1988&amp;bti=ODszNWYuMDE6&amp;ch=0&amp;cr=0&amp;dr=0&amp;er=0&amp;lr=default&amp;cd=0%7C0%7C0%7C0&amp;br=250&amp;bt=125&amp;ds=5&amp;ft=GNDpcInz7ThNV-UPXq8Zmo&amp;mime_type=audio_mpeg&amp;qs=13&amp;rc=andqeHE5cjhlbzMzNzU8M0BpandqeHE5cjhlbzMzNzU8M0AxYC1rMmRzbmJgLS1kMTZzYSMxYC1rMmRzbmJgLS1kMTZzcw%3D%3D&amp;btag=e00078000&amp;expire=1763004211&amp;l=20251113102306B19E1F5BC676BF8CC05E&amp;ply_type=3&amp;policy=3&amp;signature=5ca7a363d2fc42a01154480310bad9a8&amp;tk=7571587458748974088</t>
  </si>
  <si>
    <t>https://v16-webapp-prime.tiktok.com/video/tos/useast2a/tos-useast2a-v-27dcd7/ogPASIjrSCpIfEFTlC6IVZIAAYoYg3fFFmeDE6/?a=1988&amp;bti=ODszNWYuMDE6&amp;ch=0&amp;cr=0&amp;dr=0&amp;er=0&amp;lr=default&amp;cd=0%7C0%7C0%7C0&amp;br=250&amp;bt=125&amp;ds=5&amp;ft=GNDpcInz7ThUPKvPXq8Zmo&amp;mime_type=audio_mpeg&amp;qs=13&amp;rc=am5rdGw5cjd5eDMzNzU8M0Bpam5rdGw5cjd5eDMzNzU8M0BybmluMmRrZ2xgLS1kMTZzYSNybmluMmRrZ2xgLS1kMTZzcw%3D%3D&amp;btag=e00050000&amp;expire=1764559279&amp;l=202512011020200FFD70C70F6D756DA043&amp;ply_type=3&amp;policy=3&amp;signature=452a16b58cc522d7a18e049d765a88f8&amp;tk=7571587458748974088</t>
  </si>
  <si>
    <t>https://v16-webapp-prime.tiktok.com/video/tos/maliva/tos-maliva-ve-0068c801-us/oIIcEQgkIv7rAtBybiB6vmc4557CfiBokJlRA7/?a=1988&amp;bti=ODszNWYuMDE6&amp;ch=0&amp;cr=3&amp;dr=0&amp;lr=all&amp;cd=0%7C0%7C0%7C&amp;cv=1&amp;br=1012&amp;bt=506&amp;cs=0&amp;ds=3&amp;ft=-Csk_mrMPD12NOYopd-Uxtv5GY6e3wv252cAp&amp;mime_type=video_mp4&amp;qs=0&amp;rc=Zzg6MztlaDZnaTQzaTw4NUBpajlmeHU5cnllbzMzNzczM0BeYy9fMGIxXzUxMi8yY2FeYSNwZzRhMmRrbWJgLS1kMTZzcw%3D%3D&amp;btag=e000b8000&amp;expire=1763173411&amp;l=20251113102306B19E1F5BC676BF8CC05E&amp;ply_type=2&amp;policy=2&amp;signature=787199027eb46c9651ad6313e5b65265&amp;tk=tt_chain_token</t>
  </si>
  <si>
    <t>https://p77-sign-va.tiktokcdn.com/tos-maliva-avt-0068/f6c9ce0e62719a5be566968f7c4b37c5~tplv-tiktokx-cropcenter:1080:1080.jpeg?dr=14579&amp;refresh_token=8ba12849&amp;x-expires=1764727200&amp;x-signature=hDlJ0Km9FpQ8joxBQlZrQvRs%2FE8%3D&amp;t=4d5b0474&amp;ps=13740610&amp;shp=a5d48078&amp;shcp=81f88b70&amp;idc=my</t>
  </si>
  <si>
    <t>https://v16-webapp-prime.tiktok.com/video/tos/useast2a/tos-useast2a-ve-0068c002/oIlYDf3rIENSEVDUAQPgFCVyIrjfALofqCdId0/?a=1988&amp;bti=ODszNWYuMDE6&amp;ch=0&amp;cr=3&amp;dr=0&amp;lr=all&amp;cd=0%7C0%7C0%7C&amp;cv=1&amp;br=2236&amp;bt=1118&amp;cs=0&amp;ds=3&amp;ft=I~da4oKyD12Nvi.WS.IxR51NWlBF-UjNSMopiX&amp;mime_type=video_mp4&amp;qs=0&amp;rc=aDo4OWg8ZTg2Zjw4OWlkaEBpamR1NXU5cnR5eDMzNzczM0BhYC9hMWBeNi8xMTMtMF4zYSNjNWlkMmRzZmxgLS1kMTZzcw%3D%3D&amp;btag=e00090000&amp;expire=1764728479&amp;l=202512011020200FFD70C70F6D756DA043&amp;ply_type=2&amp;policy=2&amp;signature=cbf974c8ecbd082d8bae6e8e06addaa7&amp;tk=tt_chain_token</t>
  </si>
  <si>
    <t>https://www.tiktok.com/@psicologo.mateus/video/7303920572528987397</t>
  </si>
  <si>
    <t>7395732807986728198</t>
  </si>
  <si>
    <t>Coisas que eu sei sobre você, caso você for TDAH 🕵🏻‍♀️ _____________________________ E aí? Se identificou com quantas características desse vídeo? 😅💬_____________________________  #tdahta #tdahadulto  #tdahtiktok #tdahhumor #tdahcaracterísticas</t>
  </si>
  <si>
    <t>7395732812097178373</t>
  </si>
  <si>
    <t>https://v16-webapp-prime.tiktok.com/video/tos/useast2a/tos-useast2a-v-27dcd7/oMmCEikUCDEceQAAZ6ABfF9xvBJDXExGJuo8sA/?a=1988&amp;bti=ODszNWYuMDE6&amp;ch=0&amp;cr=0&amp;dr=0&amp;er=0&amp;lr=default&amp;cd=0%7C0%7C0%7C0&amp;br=250&amp;bt=125&amp;ds=5&amp;ft=GNDpcInz7Th8Y-UPXq8Zmo&amp;mime_type=audio_mpeg&amp;qs=13&amp;rc=ajdzcHI5cm9odDMzNzU8M0BpajdzcHI5cm9odDMzNzU8M0BgcTRlMmRza2VgLS1kMTZzYSNgcTRlMmRza2VgLS1kMTZzcw%3D%3D&amp;btag=e00050000&amp;expire=1763004443&amp;l=20251113102607CD4452BD4E07158E0822&amp;ply_type=3&amp;policy=3&amp;signature=80b394aeb77cf19dca86bc448b756d98&amp;tk=7571587458748974088</t>
  </si>
  <si>
    <t>https://www.tiktok.com/@taharibnn/video/7472027625481915654</t>
  </si>
  <si>
    <t>tdah,tdahzando,tdahadulto</t>
  </si>
  <si>
    <t>7342164411433487622</t>
  </si>
  <si>
    <t>gabijesus274</t>
  </si>
  <si>
    <t>Destravandootdah</t>
  </si>
  <si>
    <t>https://p77-sign-va.tiktokcdn.com/tos-maliva-avt-0068/c49a54b11dcccde0dd668ae269ebe723~tplv-tiktokx-cropcenter:100:100.jpeg?dr=14579&amp;refresh_token=0a60260a&amp;x-expires=1764727200&amp;x-signature=2BZ9j%2BOuQflzpjto4%2BwdsYgdynU%3D&amp;t=4d5b0474&amp;ps=13740610&amp;shp=a5d48078&amp;shcp=81f88b70&amp;idc=my</t>
  </si>
  <si>
    <t>https://v16-webapp-prime.tiktok.com/video/tos/useast2a/tos-useast2a-ve-0068c003/o0jCaLCbgo7e19RTeNZgA4SF4SQIIUfBGd1xIg/?a=1988&amp;bti=ODszNWYuMDE6&amp;ch=0&amp;cr=3&amp;dr=0&amp;lr=all&amp;cd=0%7C0%7C0%7C&amp;br=2210&amp;bt=1105&amp;cs=0&amp;ds=3&amp;ft=-Csk_mrMPD12Nx_opd-Ux7o2aY6e3wv25zcAp&amp;mime_type=video_mp4&amp;qs=0&amp;rc=NTc0OmQ4ZjY4OGgzMzk1OUBpM3I0aHk5cnFodDMzNzczM0AtX2IuMl80Xi0xMl8tNjRgYSNyc2ReMmRjamVgLS1kMTZzcw%3D%3D&amp;btag=e00090000&amp;expire=1763173643&amp;l=20251113102607CD4452BD4E07158E0822&amp;ply_type=2&amp;policy=2&amp;signature=ba509197a7737ec5d0c077b474028293&amp;tk=tt_chain_token</t>
  </si>
  <si>
    <t xml:space="preserve">Diferenças nitidas, que nos ajudam avaliar… #tudosobretdah #lutandocontratdah #tdah </t>
  </si>
  <si>
    <t>Sem TDAH          Com TDAH</t>
  </si>
  <si>
    <t>Relaxed</t>
  </si>
  <si>
    <t>7312848656368764930</t>
  </si>
  <si>
    <t>https://sf16-music-sign.tiktokcdn.com/obj/tos-alisg-ve-2774/o8bAF4vIOlgIe8fVKdfwm6iLoej56X1AGGMFAB?lk3s=08d74b56&amp;x-expires=1764577223&amp;x-signature=sqL9QRLum%2FlRSNpcZI7m%2FI89TB8%3D</t>
  </si>
  <si>
    <t>https://www.tiktok.com/@lorenatdahta/video/7395732807986728198</t>
  </si>
  <si>
    <t>tdahta,tdahadulto,tdahtiktok,tdahhumor,tdahcaracterísticas</t>
  </si>
  <si>
    <t>https://v16-webapp-prime.tiktok.com/video/tos/useast2a/tos-useast2a-v-27dcd7/oMAEoi4AEZ8EzBmvoAGeDiQSuBJBKAiCkdoguj/?a=1988&amp;bti=ODszNWYuMDE6&amp;ch=0&amp;cr=0&amp;dr=0&amp;er=0&amp;lr=default&amp;cd=0%7C0%7C0%7C0&amp;br=250&amp;bt=125&amp;ds=5&amp;ft=GNDpcInz7ThiV-UPXq8Zmo&amp;mime_type=audio_mpeg&amp;qs=13&amp;rc=MzRsdXI5cjU8eTMzNzU8M0BpMzRsdXI5cjU8eTMzNzU8M0AwM2tiMmRrZmhgLS1kMTZzYSMwM2tiMmRrZmhgLS1kMTZzcw%3D%3D&amp;btag=e00050000&amp;expire=1763004334&amp;l=2025111310235634FE9FF2AA2A079ADB1D&amp;ply_type=3&amp;policy=3&amp;signature=4ac886eee48f11683d8c8d9e3ccb2fb3&amp;tk=7571587458748974088</t>
  </si>
  <si>
    <t>https://p77-sign-sg.tiktokcdn.com/tos-alisg-v-2774/ooWABEYzLKBiMAkUKAAzrEZZIMj4VAciiYimP~720x720.jpeg?lk3s=08d74b56&amp;x-expires=1764577223&amp;x-signature=TocRQkWxSp6m8jZ%2FaGkSbzL6j3A%3D</t>
  </si>
  <si>
    <t>https://v16-webapp-prime.tiktok.com/video/tos/maliva/tos-maliva-ve-0068c801-us/og7XQnCLCghI4fjsEIg6egeAkzRGyLmYTSB0yI/?a=1988&amp;bti=ODszNWYuMDE6&amp;ch=0&amp;cr=3&amp;dr=0&amp;lr=all&amp;cd=0%7C0%7C0%7C&amp;cv=1&amp;br=1870&amp;bt=935&amp;cs=0&amp;ds=3&amp;ft=-Csk_mrMPD12NLdh5d-Uxbt2hY6e3wv25HcAp&amp;mime_type=video_mp4&amp;qs=0&amp;rc=ZjY3Njo4ZzU3OTY7ZDQ8OkBpM3lsZ3M5cjk8cTMzNzczM0BiLjYuNGIyNmIxY2M0NTUtYSNfLWNrMmRjamZgLS1kMTZzcw%3D%3D&amp;btag=e000b8000&amp;expire=1764728442&amp;l=202512011020239FD63C9B4E4C976A9DFE&amp;ply_type=2&amp;policy=2&amp;signature=7142f85c1ec6b295e8583e00ae8703c5&amp;tk=tt_chain_token</t>
  </si>
  <si>
    <t>https://v16-webapp-prime.tiktok.com/video/tos/useast2a/tos-useast2a-ve-0068c003/ok6MlgPcPnCzeSqRC0FEgDDeI0AjF5oIQPfQST/?a=1988&amp;bti=ODszNWYuMDE6&amp;ch=0&amp;cr=3&amp;dr=0&amp;lr=all&amp;cd=0%7C0%7C0%7C&amp;cv=1&amp;br=1300&amp;bt=650&amp;cs=0&amp;ds=3&amp;ft=-Csk_mrMPD12N3Yopd-Ux24FaY6e3wv25WcAp&amp;mime_type=video_mp4&amp;qs=0&amp;rc=aGhoaGVnMzc6ODc4Mzg0Z0BpMzxueXQ5cnk8eTMzNzczM0AwYTEuM2BiNmAxYTEtLV4zYSM0ZF4wMmRrZGhgLS1kMTZzcw%3D%3D&amp;btag=e00090000&amp;expire=1763173534&amp;l=2025111310235634FE9FF2AA2A079ADB1D&amp;ply_type=2&amp;policy=2&amp;signature=be1842b7a13ad71266c2dd8bb8002bfc&amp;tk=tt_chain_token</t>
  </si>
  <si>
    <t>https://www.tiktok.com/@gabijesus274/video/7342164411433487622</t>
  </si>
  <si>
    <t>tudosobretdah,lutandocontratdah,tdah</t>
  </si>
  <si>
    <t>7220801815019851013</t>
  </si>
  <si>
    <t>7536596381553659192</t>
  </si>
  <si>
    <t>patriciacandidopsi</t>
  </si>
  <si>
    <t>Patricia Candido Psicóloga</t>
  </si>
  <si>
    <t xml:space="preserve">E o especialista que trouxemos hoje, é o querido Dr. Drauzio Varella. Médico e conhecido por popularizar a informação médica no Brasil. Em relação ao TDAH, não poderia ser diferente, onde o mesmo trouxe o assunto até mesmo na TV aberta, nos últimos anos. #oqueétdah #tdahadulto #drauziovarella #drauzioresponde </t>
  </si>
  <si>
    <t xml:space="preserve">   TDAH NÃO SOME NA             
         VIDA ADULTA! 
  DR. DRAUZIO VARELLA</t>
  </si>
  <si>
    <t>https://p77-sign-va.tiktokcdn.com/tos-maliva-avt-0068/cc4c7490dee638829f007d6b41ea9da8~tplv-tiktokx-cropcenter:100:100.jpeg?dr=14579&amp;refresh_token=38e35d93&amp;x-expires=1764727200&amp;x-signature=9McZxljYZO0IWIwvtfYwLnj4vts%3D&amp;t=4d5b0474&amp;ps=13740610&amp;shp=a5d48078&amp;shcp=81f88b70&amp;idc=my</t>
  </si>
  <si>
    <t>7220801838470466310</t>
  </si>
  <si>
    <t>https://v16-webapp-prime.tiktok.com/video/tos/useast2a/tos-useast2a-v-27dcd7/5988a7d8c769421581ce8932ae573d87/?a=1988&amp;bti=ODszNWYuMDE6&amp;ch=0&amp;cr=0&amp;dr=0&amp;er=0&amp;lr=default&amp;cd=0%7C0%7C0%7C0&amp;br=250&amp;bt=125&amp;ds=5&amp;ft=GNDpcInz7ThN9-UPXq8Zmo&amp;mime_type=audio_mpeg&amp;qs=13&amp;rc=amtvdGY6ZjRxajMzNzU8M0BpamtvdGY6ZjRxajMzNzU8M0AuX3BrcjRvL25gLS1kMTZzYSMuX3BrcjRvL25gLS1kMTZzcw%3D%3D&amp;btag=e00058000&amp;expire=1763004480&amp;l=20251113102410CE8B814C77F7637842AC&amp;ply_type=3&amp;policy=3&amp;signature=ee56ec804a248e313c01c8590c890111&amp;tk=7571587458748974088</t>
  </si>
  <si>
    <t>Se arrepender depois de uma explosão emocional é algo muito comum para quem tem TDAH.  Entender como o seu cérebro funciona é o primeiro passo para aprender a lidar com essa intensidade e reduzir o peso da culpa. #tdah #tdahadulto #tdahadultos</t>
  </si>
  <si>
    <t>som original - Patricia Candido Psicóloga</t>
  </si>
  <si>
    <t>7536596386612742918</t>
  </si>
  <si>
    <t>https://v16-webapp-prime.tiktok.com/video/tos/useast2a/tos-useast2a-v-27dcd7/oUwXoAAT0Cglz5QXA9iio9BAKSBEtFAEEkftk6/?a=1988&amp;bti=ODszNWYuMDE6&amp;ch=0&amp;cr=0&amp;dr=0&amp;er=0&amp;lr=default&amp;cd=0%7C0%7C0%7C0&amp;br=250&amp;bt=125&amp;ds=5&amp;ft=GNDpcInz7ThvzKvPXq8Zmo&amp;mime_type=audio_mpeg&amp;qs=13&amp;rc=anM1Znc5cjNvNTMzNzU8M0BpanM1Znc5cjNvNTMzNzU8M0A2by9mMmRjcV9hLS1kMTZzYSM2by9mMmRjcV9hLS1kMTZzcw%3D%3D&amp;btag=e00048000&amp;expire=1764559316&amp;l=2025120110205711DA509A8B9B2F6AA181&amp;ply_type=3&amp;policy=3&amp;signature=3e0d2586cbe4196c26f819577d1fe16a&amp;tk=7571587458748974088</t>
  </si>
  <si>
    <t>https://v16-webapp-prime.tiktok.com/video/tos/maliva/tos-maliva-ve-0068c801-us/oYFsK1ghrLImGU6yA1QEIcVfuNo1iACkgz6Aou/?a=1988&amp;bti=ODszNWYuMDE6&amp;ch=0&amp;cr=3&amp;dr=0&amp;lr=all&amp;cd=0%7C0%7C0%7C&amp;cv=1&amp;br=1434&amp;bt=717&amp;cs=0&amp;ds=3&amp;ft=I~da4oKyD12Nv5A0i.IxRIk_glBF-UjNSbopiX&amp;mime_type=video_mp4&amp;qs=0&amp;rc=OWQ4ZTQ5OThpOTdlNTpkOkBpMzlsbzg6ZjhxajMzNzczM0BgYDMzMC1iNmIxMDZgNGAvYSNxcWFucjRnLW5gLS1kMTZzcw%3D%3D&amp;btag=e00098000&amp;expire=1763173680&amp;l=20251113102410CE8B814C77F7637842AC&amp;ply_type=2&amp;policy=2&amp;signature=205c050ea6b5df327dca5326342d6f5b&amp;tk=tt_chain_token</t>
  </si>
  <si>
    <t>https://p77-sign-va.tiktokcdn.com/tos-maliva-avt-0068/cc4c7490dee638829f007d6b41ea9da8~tplv-tiktokx-cropcenter:1080:1080.jpeg?dr=14579&amp;refresh_token=1ce75f64&amp;x-expires=1764727200&amp;x-signature=vPJpkVwZd2F%2B1VCJhRqHGsqPWZk%3D&amp;t=4d5b0474&amp;ps=13740610&amp;shp=a5d48078&amp;shcp=81f88b70&amp;idc=my</t>
  </si>
  <si>
    <t>https://www.tiktok.com/@lorenatdahta/video/7220801815019851013</t>
  </si>
  <si>
    <t>oqueétdah,tdahadulto,drauziovarella,drauzioresponde</t>
  </si>
  <si>
    <t>7476966422241922359</t>
  </si>
  <si>
    <t>https://v16-webapp-prime.tiktok.com/video/tos/alisg/tos-alisg-ve-37c813-sg/oIIrwSRAr1fz85svGCQcNLLkwMgCfgeTIDEgg7/?a=1988&amp;bti=ODszNWYuMDE6&amp;ch=0&amp;cr=3&amp;dr=0&amp;lr=all&amp;cd=0%7C0%7C0%7C&amp;cv=1&amp;br=1726&amp;bt=863&amp;cs=0&amp;ds=3&amp;ft=-Csk_mrMPD12N5Dh5d-UxP12hY6e3wv25ocAp&amp;mime_type=video_mp4&amp;qs=0&amp;rc=NmhoPGhoOzRkZGQ1NmdlPEBpMzl4aG45cjpvNTMzNzgzM0AxLTIyYTVjNS4xNS00M14tYSNvcC5yMmQ0cF9hLS1kLzZzcw%3D%3D&amp;btag=e00088000&amp;expire=1764728516&amp;l=2025120110205711DA509A8B9B2F6AA181&amp;ply_type=2&amp;policy=2&amp;signature=40398d1e77c4fb0616148d92581df4de&amp;tk=tt_chain_token</t>
  </si>
  <si>
    <t>https://p16-sign-va.tiktokcdn.com/tos-maliva-avt-0068/54df30458f3a66aed8bbb7fbd484cf07~tplv-tiktokx-cropcenter:100:100.jpeg?dr=14579&amp;refresh_token=b75f83d5&amp;x-expires=1763172000&amp;x-signature=oBjuRoJSYS%2FYIFLD1sm%2BYHJLgjc%3D&amp;t=4d5b0474&amp;ps=13740610&amp;shp=a5d48078&amp;shcp=81f88b70&amp;idc=my</t>
  </si>
  <si>
    <t>Todo tdah tem ansiedade #ansiedade #tdah #psicologia #terapia</t>
  </si>
  <si>
    <t>7476966544363244343</t>
  </si>
  <si>
    <t>https://v16-webapp-prime.tiktok.com/video/tos/useast2a/tos-useast2a-v-27dcd7/oYKH8OQwfCIl4VGCADJnxvBQCEBJFUAr14AIex/?a=1988&amp;bti=ODszNWYuMDE6&amp;ch=0&amp;cr=0&amp;dr=0&amp;er=0&amp;lr=default&amp;cd=0%7C0%7C0%7C0&amp;br=250&amp;bt=125&amp;ds=5&amp;ft=GNDpcInz7Tht9-UPXq8Zmo&amp;mime_type=audio_mpeg&amp;qs=13&amp;rc=MzpvaHI5cnlyeTMzNzU8M0BpMzpvaHI5cnlyeTMzNzU8M0AxXzFxMmQ0Xi5gLS1kMTZzYSMxXzFxMmQ0Xi5gLS1kMTZzcw%3D%3D&amp;btag=e00050000&amp;expire=1763004337&amp;l=20251113102438711CFC3830D7669110B2&amp;ply_type=3&amp;policy=3&amp;signature=812ec76f102b72e338a8bda85a41a1fd&amp;tk=7571587458748974088</t>
  </si>
  <si>
    <t>https://www.tiktok.com/@patriciacandidopsi/video/7536596381553659192</t>
  </si>
  <si>
    <t>tdah,tdahadulto,tdahadultos</t>
  </si>
  <si>
    <t>7490295723515268358</t>
  </si>
  <si>
    <t>rangellima.oficial</t>
  </si>
  <si>
    <t>Rangel Lima</t>
  </si>
  <si>
    <t>https://p77-sign-va.tiktokcdn.com/tos-maliva-avt-0068/54df30458f3a66aed8bbb7fbd484cf07~tplv-tiktokx-cropcenter:1080:1080.jpeg?dr=14579&amp;refresh_token=3fe86796&amp;x-expires=1763172000&amp;x-signature=7GALVOP7Ef6R%2FOz3mpQxxDUUJX4%3D&amp;t=4d5b0474&amp;ps=13740610&amp;shp=a5d48078&amp;shcp=81f88b70&amp;idc=my</t>
  </si>
  <si>
    <t>https://p77-sign-va.tiktokcdn.com/tos-maliva-avt-0068/7bb47b8c243b1057903cd168a856e7ba~tplv-tiktokx-cropcenter:100:100.jpeg?dr=14579&amp;refresh_token=184c7952&amp;x-expires=1764727200&amp;x-signature=jffNS6z6Tig%2F2zWo5bkb1vsSghE%3D&amp;t=4d5b0474&amp;ps=13740610&amp;shp=a5d48078&amp;shcp=81f88b70&amp;idc=my</t>
  </si>
  <si>
    <t>https://v16-webapp-prime.tiktok.com/video/tos/useast2a/tos-useast2a-pve-0068/okDfciKvAYzIbByRELhgAHagzwiC4zikoQADIs/?a=1988&amp;bti=ODszNWYuMDE6&amp;ch=0&amp;cr=3&amp;dr=0&amp;lr=all&amp;cd=0%7C0%7C0%7C&amp;cv=1&amp;br=938&amp;bt=469&amp;cs=0&amp;ds=3&amp;ft=I~da4oKyD12NvnA0i.IxRTF_blBF-UjNSaopiX&amp;mime_type=video_mp4&amp;qs=0&amp;rc=OjQ8aDQ4NzxpO2c7NTtkZUBpams2dWw5cjNyeTMzNzczM0BgLi82MTAzXy0xMzUxXi1iYSMyMzEwMmRjXi5gLS1kMTZzcw%3D%3D&amp;btag=e00090000&amp;expire=1763173537&amp;l=20251113102438711CFC3830D7669110B2&amp;ply_type=2&amp;policy=2&amp;signature=50ab18b3ecfd190e7f008ddaffa7c118&amp;tk=tt_chain_token</t>
  </si>
  <si>
    <t>🔍 Autismo em adultos: você reconhece os sinais? 🔍 Dificuldade em interações sociais, padrões repetitivos e sensibilidades sensoriais podem ser indícios do TEA. Com nossa avaliação neuropsicológica, em apenas duas sessões, você tem um diagnóstico preciso. 💡 Compreender é o primeiro passo para um suporte adequado. Quer saber mais? Fale conosco! 💬  #AutismoEmAdultos #Neuropsicologia #Autismo</t>
  </si>
  <si>
    <t>7490295767899441926</t>
  </si>
  <si>
    <t>https://v16-webapp-prime.tiktok.com/video/tos/useast2a/tos-useast2a-v-27dcd7/oY4UwitBQ7BBEA3ifQnJBQC8I4ySFeMXXocbaJ/?a=1988&amp;bti=ODszNWYuMDE6&amp;ch=0&amp;cr=0&amp;dr=0&amp;er=0&amp;lr=default&amp;cd=0%7C0%7C0%7C0&amp;br=250&amp;bt=125&amp;ft=GNDpcInz7ThGPKvPXq8Zmo&amp;mime_type=audio_mpeg&amp;qs=6&amp;rc=PDg4ZDlpZjhkZmg7N2hpOUBpanVtN3Y5cm5oeTMzNzU8M0AzXl4zMjRfNTAxMTMxYjUwYSNqY2RwMmRjLW1gLS1kMTZzcw%3D%3D&amp;btag=e00090000&amp;expire=1764559306&amp;l=202512011020239FD63C9B4E4C976A9E36&amp;ply_type=3&amp;policy=3&amp;signature=2f6fe7a11ff9178a82db79c69931b4ac&amp;tk=7571587458748974088</t>
  </si>
  <si>
    <t>https://www.tiktok.com/@visaopsicologiaof/video/7476966422241922359</t>
  </si>
  <si>
    <t>ansiedade,tdah,psicologia,terapia</t>
  </si>
  <si>
    <t>7502914133822541111</t>
  </si>
  <si>
    <t>literalmente_autismo</t>
  </si>
  <si>
    <t>Literalmente 🧠</t>
  </si>
  <si>
    <t>https://p77-sign-va.tiktokcdn.com/tos-maliva-avt-0068/76b855bfb2d655e73a48e3d4068f6f15~tplv-tiktokx-cropcenter:100:100.jpeg?dr=14579&amp;refresh_token=6bf443a7&amp;x-expires=1763172000&amp;x-signature=VpTleES2jls%2Fhcqenr7kNsu7bDE%3D&amp;t=4d5b0474&amp;ps=13740610&amp;shp=a5d48078&amp;shcp=81f88b70&amp;idc=my</t>
  </si>
  <si>
    <t>https://p77-sign-va.tiktokcdn.com/tos-maliva-avt-0068/7bb47b8c243b1057903cd168a856e7ba~tplv-tiktokx-cropcenter:1080:1080.jpeg?dr=14579&amp;refresh_token=e905a532&amp;x-expires=1764727200&amp;x-signature=tP%2BUbHoUE2Y3k25avM%2BcQLCq0I4%3D&amp;t=4d5b0474&amp;ps=13740610&amp;shp=a5d48078&amp;shcp=81f88b70&amp;idc=my</t>
  </si>
  <si>
    <t>🕥1m17s crise no autista adulto nível 1 de suporte… #espectroautista #crise #autistaadulto #creatorsearchinsights</t>
  </si>
  <si>
    <t>Crise no
Autista N1</t>
  </si>
  <si>
    <t>Pebbles</t>
  </si>
  <si>
    <t>6671174103279520525</t>
  </si>
  <si>
    <t>https://sf16-ies-music-sg.tiktokcdn.com/obj/tos-alisg-ve-2774/c76c8c4d3de34b55b14bae3665d866bc</t>
  </si>
  <si>
    <t>https://p77-sg.tiktokcdn.com/aweme/720x720/tiktok-obj/default_clip_cover.png.jpeg</t>
  </si>
  <si>
    <t>Official Sound Studio</t>
  </si>
  <si>
    <t>https://v16-webapp-prime.tiktok.com/video/tos/useast2a/tos-useast2a-pve-0068/okQIfoyEKB7VMQRQuZIAoFEBRtDU5HgRQfMUNJ/?a=1988&amp;bti=ODszNWYuMDE6&amp;ch=0&amp;cr=3&amp;dr=0&amp;lr=all&amp;cd=0%7C0%7C0%7C&amp;cv=1&amp;br=2220&amp;bt=1110&amp;cs=0&amp;ds=3&amp;ft=-Csk_mrMPD12NH_opd-UxDTFGY6e3wv25ocAp&amp;mime_type=video_mp4&amp;qs=0&amp;rc=NjRlZDQ6OWg4aTw3OjVmZ0BpM3ZtNXE5cm91MzMzNzczM0AvLjYvNDReXmIxNS0vXjItYSNnZi4xMmQ0NWNhLS1kMTZzcw%3D%3D&amp;btag=e00090000&amp;expire=1763173658&amp;l=202511131026218DEF8CE7185C8F9E5844&amp;ply_type=2&amp;policy=2&amp;signature=872c4eb8b79aa5faf3adc18417aae624&amp;tk=tt_chain_token</t>
  </si>
  <si>
    <t>https://v16-webapp-prime.tiktok.com/video/tos/alisg/tos-alisg-ve-37c813-sg/oof5SgLRMxaCcCwvgQ8MAxAPmWCkpPCIfe8jJl/?a=1988&amp;bti=ODszNWYuMDE6&amp;ch=0&amp;cr=3&amp;dr=0&amp;lr=all&amp;cd=0%7C0%7C0%7C&amp;cv=1&amp;br=2052&amp;bt=1026&amp;cs=0&amp;ds=3&amp;ft=I~da4oKyD12Nvz.WS.IxRjkNWlBF-UjNSRopiX&amp;mime_type=video_mp4&amp;qs=0&amp;rc=NjQ5ZDQ3ODs4ZjwzNjc6aUBpamVrZHE5cmtoeTMzNzczM0BhMWAtLjYzXzUxY18xLi1fYSNzZzZkMmRjLW1gLS1kMTZzcw%3D%3D&amp;btag=e00090000&amp;expire=1764728506&amp;l=202512011020239FD63C9B4E4C976A9E36&amp;ply_type=2&amp;policy=2&amp;signature=1ece8d2357ec67a76522b3a43df47933&amp;tk=tt_chain_token</t>
  </si>
  <si>
    <t>https://www.tiktok.com/@literalmente_autismo/video/7502914133822541111</t>
  </si>
  <si>
    <t>espectroautista,crise,autistaadulto,creatorsearchinsights</t>
  </si>
  <si>
    <t>7416320171314269446</t>
  </si>
  <si>
    <t>https://p16-sign-va.tiktokcdn.com/tos-maliva-avt-0068/409b8f094a519052398ae01ba95bf160~tplv-tiktokx-cropcenter:100:100.jpeg?dr=14579&amp;refresh_token=ec36672c&amp;x-expires=1763172000&amp;x-signature=vGem3E1Yo1z2nI84c29fX7XqBZo%3D&amp;t=4d5b0474&amp;ps=13740610&amp;shp=a5d48078&amp;shcp=81f88b70&amp;idc=my</t>
  </si>
  <si>
    <t>https://www.tiktok.com/@rangellima.oficial/video/7490295723515268358</t>
  </si>
  <si>
    <t>‼️NINGUÉM QUER SABER‼️#tdah #tdahadulto #tdahmemes #depressão #videos #viraltiktok #psicologia #psicologia #psiquiatria #ansiedade #bipolaridade #transtornobipolar #saudemental #venvanse #ritalina #produtividade #inconstancia</t>
  </si>
  <si>
    <t>7416320185304124165</t>
  </si>
  <si>
    <t>https://v16-webapp-prime.tiktok.com/video/tos/useast2a/tos-useast2a-v-27dcd7/o4HIoAE4EFEae2AgITrDSvZoBxHAf9NY7C3fC9/?a=1988&amp;bti=ODszNWYuMDE6&amp;ch=0&amp;cr=0&amp;dr=0&amp;er=0&amp;lr=default&amp;cd=0%7C0%7C0%7C0&amp;br=250&amp;bt=125&amp;ds=5&amp;ft=GNDpcInz7ThPV-UPXq8Zmo&amp;mime_type=audio_mpeg&amp;qs=13&amp;rc=M3JtcHg5cnUzdTMzNzU8M0BpM3JtcHg5cnUzdTMzNzU8M0ByNXFqMmRzc2pgLS1kMTZzYSNyNXFqMmRzc2pgLS1kMTZzcw%3D%3D&amp;btag=e00048000&amp;expire=1763004239&amp;l=202511131023026989DBCE704A6574DC2E&amp;ply_type=3&amp;policy=3&amp;signature=4f5ca3c35aec9f6937e9101d1b36359d&amp;tk=7571587458748974088</t>
  </si>
  <si>
    <t>autismoemadultos,neuropsicologia,autismo</t>
  </si>
  <si>
    <t>7278667146916302086</t>
  </si>
  <si>
    <t>https://p16-sign-va.tiktokcdn.com/tos-maliva-avt-0068/7326721801726689286~tplv-tiktokx-cropcenter:100:100.jpeg?dr=14579&amp;refresh_token=ca76a651&amp;x-expires=1764727200&amp;x-signature=yh298qblqBFwttjCiYmRWF%2BD4Lw%3D&amp;t=4d5b0474&amp;ps=13740610&amp;shp=a5d48078&amp;shcp=81f88b70&amp;idc=my</t>
  </si>
  <si>
    <t>https://v16-webapp-prime.tiktok.com/video/tos/useast2a/tos-useast2a-ve-0068c001/owIqNmjIgCAefRfYANyghsmRSCL8AH2GB66DEs/?a=1988&amp;bti=ODszNWYuMDE6&amp;ch=0&amp;cr=3&amp;dr=0&amp;lr=all&amp;cd=0%7C0%7C0%7C&amp;cv=1&amp;br=2758&amp;bt=1379&amp;cs=0&amp;ds=3&amp;ft=-Csk_mrMPD12NdYopd-UxMTFGY6e3wv25LcAp&amp;mime_type=video_mp4&amp;qs=0&amp;rc=ZjZmZTNmMzZpOzhlNzs4OkBpampndHU5cjMzdTMzNzczM0BeXl80YWAyNjUxXmMvY2IuYSMyNS8xMmRjc2pgLS1kMTZzcw%3D%3D&amp;btag=e00088000&amp;expire=1763173439&amp;l=202511131023026989DBCE704A6574DC2E&amp;ply_type=2&amp;policy=2&amp;signature=4f1da8e6a3ba7019176040efca7ce090&amp;tk=tt_chain_token</t>
  </si>
  <si>
    <t>tdah #transtorno #tdahadulto #tdah</t>
  </si>
  <si>
    <t>7278667253553597190</t>
  </si>
  <si>
    <t>https://v16-webapp-prime.tiktok.com/video/tos/useast2a/tos-useast2a-v-27dcd7/oACAG8lOVAfpnCfAJbbBwxUAQJDHBAAI8lidIE/?a=1988&amp;bti=ODszNWYuMDE6&amp;ch=0&amp;cr=0&amp;dr=0&amp;er=0&amp;lr=default&amp;cd=0%7C0%7C0%7C0&amp;br=250&amp;bt=125&amp;ds=5&amp;ft=GNDpcInz7ThuPKvPXq8Zmo&amp;mime_type=audio_mpeg&amp;qs=13&amp;rc=M3h1dTM6Zm1qbjMzNzU8M0BpM3h1dTM6Zm1qbjMzNzU8M0AuMmE0cjRnXi5gLS1kMTZzYSMuMmE0cjRnXi5gLS1kMTZzcw%3D%3D&amp;btag=e00060000&amp;expire=1764559754&amp;l=20251201102046E8B89E886773854715A1&amp;ply_type=3&amp;policy=3&amp;signature=9f9483abe080a98e35303568f020ad0b&amp;tk=7571587458748974088</t>
  </si>
  <si>
    <t>https://www.tiktok.com/@veigasaymon/video/7416320171314269446</t>
  </si>
  <si>
    <t>tdah,tdahadulto,tdahmemes,depressão,videos,viraltiktok,psicologia,psicologia,psiquiatria,ansiedade,bipolaridade,transtornobipolar,saudemental,venvanse,ritalina,produtividade,inconstancia</t>
  </si>
  <si>
    <t>tdah,tdahadulto,tdahmemes,depressão,videos,viraltiktok,psicologia,psiquiatria,ansiedade,bipolaridade,transtornobipolar,saudemental,venvanse,ritalina,produtividade,inconstancia</t>
  </si>
  <si>
    <t>7218176201934834950</t>
  </si>
  <si>
    <t>Acho que sou da mesma família da Dory 🐠  #tdah #tdahmemes #tdahreal #tdahtiktok #tdahhumor</t>
  </si>
  <si>
    <t>@taharibnn</t>
  </si>
  <si>
    <t>7218176191710808838</t>
  </si>
  <si>
    <t>https://v16-webapp-prime.tiktok.com/video/tos/useast2a/tos-useast2a-v-27dcd7/4dc8724fd1e54499b833bb4a57c7b8aa/?a=1988&amp;bti=ODszNWYuMDE6&amp;ch=0&amp;cr=0&amp;dr=0&amp;er=0&amp;lr=default&amp;cd=0%7C0%7C0%7C0&amp;br=252&amp;bt=126&amp;ds=5&amp;ft=GNDpcInz7ThbK-UPXq8Zmo&amp;mime_type=audio_mpeg&amp;qs=13&amp;rc=amU0NDQ6ZjQ0ajMzNzU8M0BpamU0NDQ6ZjQ0ajMzNzU8M0BpMGc0cjRnbmpgLS1kMTZzYSNpMGc0cjRnbmpgLS1kMTZzcw%3D%3D&amp;btag=e00070000&amp;expire=1763004175&amp;l=202511131022442EE54DE47B86CCA867A8&amp;ply_type=3&amp;policy=3&amp;signature=e81891e7a8c8e0dcd9c688012154b50a&amp;tk=7571587458748974088</t>
  </si>
  <si>
    <t>https://v16-webapp-prime.tiktok.com/video/tos/maliva/tos-maliva-ve-0068c801-us/oIDFgBPheIKI4MfnlS2CjbYnWgDoBgIeAHCuZQ/?a=1988&amp;bti=ODszNWYuMDE6&amp;ch=0&amp;cr=3&amp;dr=0&amp;lr=all&amp;cd=0%7C0%7C0%7C&amp;cv=1&amp;br=1174&amp;bt=587&amp;cs=0&amp;ds=3&amp;ft=I~da4oKyD12Nvb.WS.IxRnTNWlBF-UjNS3opiX&amp;mime_type=video_mp4&amp;qs=0&amp;rc=NTNmZWQ2ZTs7ZzVnaDc4O0BpajR4cDc6ZnVqbjMzNzczM0AyYjI0L2AxXmExYDFgM2A1YSNvczIucjQwNi5gLS1kMTZzcw%3D%3D&amp;btag=e000a0000&amp;expire=1764728954&amp;l=20251201102046E8B89E886773854715A1&amp;ply_type=2&amp;policy=2&amp;signature=edc83704377ccc8272c539b3fa4d2f41&amp;tk=tt_chain_token</t>
  </si>
  <si>
    <t>https://v16-webapp-prime.tiktok.com/video/tos/maliva/tos-maliva-ve-0068c801-us/o0U0iQJnkBHM77teDBuBWAIgEBfsbLtQKREQYB/?a=1988&amp;bti=ODszNWYuMDE6&amp;ch=0&amp;cr=3&amp;dr=0&amp;lr=all&amp;cd=0%7C0%7C0%7C&amp;cv=1&amp;br=2360&amp;bt=1180&amp;cs=0&amp;ds=3&amp;ft=-Csk_mrMPD12Nzhopd-UxfeFaY6e3wv25HcAp&amp;mime_type=video_mp4&amp;qs=0&amp;rc=cnF8b2hsc2d3SkBwaHIxaDFybndmOTw5Ozc3Z2VnZTs6O2Y6aEBpM3V4NDk6ZjM0ajMzNzczM0BjRl5Nc3FePmJKYSNvYF90aHFmOiNfNi0vXl9fXmIxXl5iMjJfYSNeb181cjRfbmpgLS1kMTZzcw%3D%3D&amp;btag=e000b0000&amp;expire=1763173376&amp;l=202511131022442EE54DE47B86CCA867A8&amp;ply_type=2&amp;policy=2&amp;signature=18b1642093b504c442c42d6dcda27c66&amp;tk=tt_chain_token</t>
  </si>
  <si>
    <t>https://www.tiktok.com/@taharibnn/video/7218176201934834950</t>
  </si>
  <si>
    <t>https://www.tiktok.com/@marilialanoa/video/7278667146916302086</t>
  </si>
  <si>
    <t>tdah,tdahmemes,tdahreal,tdahtiktok,tdahhumor</t>
  </si>
  <si>
    <t>7409053001735818502</t>
  </si>
  <si>
    <t>ritajorge59</t>
  </si>
  <si>
    <t>Rita Jorge - Bote Salva Vidas</t>
  </si>
  <si>
    <t>transtorno,tdahadulto,tdah</t>
  </si>
  <si>
    <t>https://p16-sign-va.tiktokcdn.com/tos-maliva-avt-0068/18079c46c06ed7b354e537e2c8d28c00~tplv-tiktokx-cropcenter:100:100.jpeg?dr=14579&amp;refresh_token=240acca7&amp;x-expires=1763172000&amp;x-signature=Jq0PduQj%2Bj2tJoEuli%2F71Hkc0%2F4%3D&amp;t=4d5b0474&amp;ps=13740610&amp;shp=a5d48078&amp;shcp=81f88b70&amp;idc=my</t>
  </si>
  <si>
    <t>Prestige</t>
  </si>
  <si>
    <t>7254563923872009477</t>
  </si>
  <si>
    <t>tdahabitos</t>
  </si>
  <si>
    <t>TDAHábitos - Haider Rizvi 🎗🧠</t>
  </si>
  <si>
    <t>https://p16-sign-va.tiktokcdn.com/tos-maliva-avt-0068/1c71a0228c5bad5aadc1820539c510e2~tplv-tiktokx-cropcenter:100:100.jpeg?dr=14579&amp;refresh_token=0ef49d69&amp;x-expires=1764727200&amp;x-signature=xMMDr8ohDBklGgOwA9%2FVRF%2F0lSM%3D&amp;t=4d5b0474&amp;ps=13740610&amp;shp=a5d48078&amp;shcp=81f88b70&amp;idc=my</t>
  </si>
  <si>
    <t xml:space="preserve">Sintoma do TDAH pouco falado:  Desregulação Emocional Rita Jorge, Médica, Psiquiatra, CRM 88.994, RQE 26.859 #psiquiatrasp #psiquiatriasp #consultaonline #tdah #tdahadulto </t>
  </si>
  <si>
    <t>Sintoma do TDAH
pouco falado: 
Desregulação Emocional</t>
  </si>
  <si>
    <t>7409053028761029382</t>
  </si>
  <si>
    <t>https://v16-webapp-prime.tiktok.com/video/tos/useast2a/tos-useast2a-v-27dcd7/o8CABUomJEGAAJkE6ASfBFP0DDYbBjE20YeUlQ/?a=1988&amp;bti=ODszNWYuMDE6&amp;ch=0&amp;cr=0&amp;dr=0&amp;er=0&amp;lr=default&amp;cd=0%7C0%7C0%7C0&amp;br=250&amp;bt=125&amp;ds=5&amp;ft=GNDpcInz7ThMV-UPXq8Zmo&amp;mime_type=audio_mpeg&amp;qs=13&amp;rc=M248ZnU5cjQ2dTMzNzU8M0BpM248ZnU5cjQ2dTMzNzU8M0AtcWktMmRrcTZgLS1kMTZzYSMtcWktMmRrcTZgLS1kMTZzcw%3D%3D&amp;btag=e00050000&amp;expire=1763004291&amp;l=2025111310232002E5437D242CEA8409F2&amp;ply_type=3&amp;policy=3&amp;signature=a6ac98d7c0d52cb983274926c44d3fd5&amp;tk=7571587458748974088</t>
  </si>
  <si>
    <t>Você também se sente sobrecarregado às vezes? A jornada não é fácil. Estamos sempre lidando com sintomas do TDAH, que são difíceis de lidar. A frustração, a procrastinação, a dificuldade de se concentrar... tudo isso resulta em: Assista até o final! ▶️ Segue lá: https://www.instagram.com/tdahabitos ▶️ Conheça a https://ComunidadeSegundoCerebo.com para pessoas com TDAH! 👍 Se você gostou da dica, já clica no gostei e ativa o sininho para receber mais dessa série! #tdah #tdahadulto #tda</t>
  </si>
  <si>
    <t>som original - TDAHábitos - Haider Rizvi 🎗🧠</t>
  </si>
  <si>
    <t>7254564413999336197</t>
  </si>
  <si>
    <t>https://v16-webapp-prime.tiktok.com/video/tos/useast2a/tos-useast2a-v-27dcd7/oMDrMAJUIBCbeIFaAkAQtuEmJBePGxrnWDhqCT/?a=1988&amp;bti=ODszNWYuMDE6&amp;ch=0&amp;cr=0&amp;dr=0&amp;er=0&amp;lr=default&amp;cd=0%7C0%7C0%7C0&amp;br=250&amp;bt=125&amp;ds=5&amp;ft=GNDpcInz7ThyPKvPXq8Zmo&amp;mime_type=audio_mpeg&amp;qs=13&amp;rc=ajZzODw6ZnRwbDMzNzU8M0BpajZzODw6ZnRwbDMzNzU8M0BfM2hlcjRnNGpgLS1kMTZzYSNfM2hlcjRnNGpgLS1kMTZzcw%3D%3D&amp;btag=e00078000&amp;expire=1764559240&amp;l=202512011020211DC26370CAB01566B5CA&amp;ply_type=3&amp;policy=3&amp;signature=4dc82d8b8206161288b95d42d202bed9&amp;tk=7571587458748974088</t>
  </si>
  <si>
    <t>https://p16-sign-va.tiktokcdn.com/tos-maliva-avt-0068/18079c46c06ed7b354e537e2c8d28c00~tplv-tiktokx-cropcenter:1080:1080.jpeg?dr=14579&amp;refresh_token=bab2e0f3&amp;x-expires=1763172000&amp;x-signature=h8rPHhAtuXs0eO48jJNsvNnWTLI%3D&amp;t=4d5b0474&amp;ps=13740610&amp;shp=a5d48078&amp;shcp=81f88b70&amp;idc=my</t>
  </si>
  <si>
    <t>https://p16-sign-va.tiktokcdn.com/tos-maliva-avt-0068/1c71a0228c5bad5aadc1820539c510e2~tplv-tiktokx-cropcenter:1080:1080.jpeg?dr=14579&amp;refresh_token=f11b5bb5&amp;x-expires=1764727200&amp;x-signature=f%2BCEGhQiWKcyySOvlq0RNeMocsA%3D&amp;t=4d5b0474&amp;ps=13740610&amp;shp=a5d48078&amp;shcp=81f88b70&amp;idc=my</t>
  </si>
  <si>
    <t>https://v16-webapp-prime.tiktok.com/video/tos/alisg/tos-alisg-pve-0037c001/ooxt5ng6QEh7etaBjhmEzDlB0IMtJDCfQAkFGR/?a=1988&amp;bti=ODszNWYuMDE6&amp;ch=0&amp;cr=3&amp;dr=0&amp;lr=all&amp;cd=0%7C0%7C0%7C&amp;cv=1&amp;br=2244&amp;bt=1122&amp;cs=0&amp;ds=3&amp;ft=-Csk_mrMPD12N9Yopd-Ux315hY6e3wv25dcAp&amp;mime_type=video_mp4&amp;qs=0&amp;rc=ZjgzaDw7PDw7aGQ3ZDM1aEBpampwOG05cnU2dTMzNzczM0BhNjExL18vNjMxNV4yLi8yYSNyMGttMmRjcDZgLS1kMTZzcw%3D%3D&amp;btag=e00090000&amp;expire=1763173491&amp;l=2025111310232002E5437D242CEA8409F2&amp;ply_type=2&amp;policy=2&amp;signature=caab60c5bec80c779305b011f3b5e6c2&amp;tk=tt_chain_token</t>
  </si>
  <si>
    <t>https://v16-webapp-prime.tiktok.com/video/tos/alisg/tos-alisg-pve-0037/ocCBY4CrSPJSWVEcsgMoAeelA23Q5PCHIDiesA/?a=1988&amp;bti=ODszNWYuMDE6&amp;ch=0&amp;cr=3&amp;dr=0&amp;lr=all&amp;cd=0%7C0%7C0%7C&amp;cv=1&amp;br=1128&amp;bt=564&amp;cs=0&amp;ds=3&amp;ft=ytpHh9DfxxOusd.YtDKt8lcLVWOuRx_HFKKMNOWCuJETJDz7T&amp;mime_type=video_mp4&amp;qs=0&amp;rc=NzwzMzpkNDw6N2Y2NWRmNUBpM2hkbTY6ZjVwbDMzNzgzM0A1LzAxMGIwNTUxNjVfMWFfYSNwbTUwcjQwNGpgLS1kLzZzcw%3D%3D&amp;btag=e000b8000&amp;expire=1764728440&amp;l=202512011020211DC26370CAB01566B5CA&amp;ply_type=2&amp;policy=2&amp;signature=6162316d502e23e069142d5098984cd9&amp;tk=tt_chain_token</t>
  </si>
  <si>
    <t>https://www.tiktok.com/@ritajorge59/video/7409053001735818502</t>
  </si>
  <si>
    <t>psiquiatrasp,psiquiatriasp,consultaonline,tdah,tdahadulto</t>
  </si>
  <si>
    <t>https://v16-webapp-prime.tiktok.com/video/tos/useast2a/tos-useast2a-v-27dcd7/oIn5nEgCHIAO9AfPEsAAEyEteToDRCCSeGPT2L/?a=1988&amp;bti=ODszNWYuMDE6&amp;ch=0&amp;cr=0&amp;dr=0&amp;er=0&amp;lr=default&amp;cd=0%7C0%7C0%7C0&amp;br=250&amp;bt=125&amp;ds=5&amp;ft=GNDpcInz7ThyY-UPXq8Zmo&amp;mime_type=audio_mpeg&amp;qs=13&amp;rc=M3hocW05cnZ2eTMzNzU8M0BpM3hocW05cnZ2eTMzNzU8M0BqMXBzMmRzaGpgLS1kMTZzYSNqMXBzMmRzaGpgLS1kMTZzcw%3D%3D&amp;btag=e00050000&amp;expire=1763004510&amp;l=2025111310264583C2663DA446357263D7&amp;ply_type=3&amp;policy=3&amp;signature=e531213f78d91e5df1d7de28d3c1c000&amp;tk=7571587458748974088</t>
  </si>
  <si>
    <t>https://www.tiktok.com/@tdahabitos/video/7254563923872009477</t>
  </si>
  <si>
    <t>tdah,tdahadulto,tda</t>
  </si>
  <si>
    <t>7294571886233521413</t>
  </si>
  <si>
    <t>tdah na adolecente uma das maiores preocupações #tdahadulto #tdah #tdahinfantil</t>
  </si>
  <si>
    <t xml:space="preserve">TDAH NA PRÉ ADOLESCÊNCIA 
as preocupações TDAH na  adolescência </t>
  </si>
  <si>
    <t>7294571938444249861</t>
  </si>
  <si>
    <t>https://v16-webapp-prime.tiktok.com/video/tos/useast2a/tos-useast2a-v-27dcd7/ocTGLCqbwoeA4B03IAARIeGVSDdOKIE3ACVTge/?a=1988&amp;bti=ODszNWYuMDE6&amp;ch=0&amp;cr=0&amp;dr=0&amp;er=0&amp;lr=default&amp;cd=0%7C0%7C0%7C0&amp;br=250&amp;bt=125&amp;ds=5&amp;ft=GNDpcInz7Th5gKvPXq8Zmo&amp;mime_type=audio_mpeg&amp;qs=13&amp;rc=anZueHk5cjVybjMzNzU8M0BpanZueHk5cjVybjMzNzU8M0AuaXIzMmRrYXFgLS1kMTZzYSMuaXIzMmRrYXFgLS1kMTZzcw%3D%3D&amp;btag=e00050000&amp;expire=1764559522&amp;l=2025120110231876F6DCE29F9E0DEB7B51&amp;ply_type=3&amp;policy=3&amp;signature=102074c6ba7a43d4a485fe239bd96eb6&amp;tk=7571587458748974088</t>
  </si>
  <si>
    <t>https://v16-webapp-prime.tiktok.com/video/tos/useast2a/tos-useast2a-ve-0068c001/oIA6IqByeL3PKJt7tatrkzGiQnwiICzTgEoAq2/?a=1988&amp;bti=ODszNWYuMDE6&amp;ch=0&amp;cr=3&amp;dr=0&amp;lr=all&amp;cd=0%7C0%7C0%7C&amp;cv=1&amp;br=1502&amp;bt=751&amp;cs=0&amp;ds=3&amp;ft=-Csk_mrMPD12Nw_opd-UxfeFaY6e3wv25HcAp&amp;mime_type=video_mp4&amp;qs=0&amp;rc=Mzc7ZTk4aWk8Ojc5NDZnOUBpanBnZGo5cjl2eTMzNzczM0BfNS80MTE0X18xYGJiYy5gYSNnNHNhMmQ0aGpgLS1kMTZzcw%3D%3D&amp;btag=e00090000&amp;expire=1763173710&amp;l=2025111310264583C2663DA446357263D7&amp;ply_type=2&amp;policy=2&amp;signature=ae4bcb8a398357dab0961bcb4bfadfd3&amp;tk=tt_chain_token</t>
  </si>
  <si>
    <t>https://p77-sign-va.tiktokcdn.com/tos-maliva-avt-0068/7326721801726689286~tplv-tiktokx-cropcenter:1080:1080.jpeg?dr=14579&amp;refresh_token=19420db4&amp;x-expires=1764727200&amp;x-signature=MrMtO7g3igBNsJvynwOSz5Ud%2BhY%3D&amp;t=4d5b0474&amp;ps=13740610&amp;shp=a5d48078&amp;shcp=81f88b70&amp;idc=my</t>
  </si>
  <si>
    <t>7509499852422647045</t>
  </si>
  <si>
    <t>https://v16-webapp-prime.tiktok.com/video/tos/maliva/tos-maliva-ve-0068c801-us/o0CJjlGhdwwemIIG7fgFSwhIQyJLIIKeCEgApM/?a=1988&amp;bti=ODszNWYuMDE6&amp;ch=0&amp;cr=3&amp;dr=0&amp;lr=all&amp;cd=0%7C0%7C0%7C&amp;cv=1&amp;br=1128&amp;bt=564&amp;cs=0&amp;ds=3&amp;ft=-Csk_mrMPD12NeZh5d-UxbS5hY6e3wv25McAp&amp;mime_type=video_mp4&amp;qs=0&amp;rc=NTQ2ZGZoZmU0ODk1NjpkPEBpM2Zncmw5cm5ybjMzNzczM0AxM2I1MC1jNjYxNS1hLV5fYSNtcGhjMmQ0NnFgLS1kMTZzcw%3D%3D&amp;btag=e00090000&amp;expire=1764728722&amp;l=2025120110231876F6DCE29F9E0DEB7B51&amp;ply_type=2&amp;policy=2&amp;signature=370b34f4911dcefb551faae1421f09c2&amp;tk=tt_chain_token</t>
  </si>
  <si>
    <t>Se relacionar com um TDAH pode ser irritante. A gente fala demais, esquece o que você acabou de dizer e muda de ideia a cada 5 minutos. Mas também é incrível. A gente sente tudo com intensidade. Ama com entrega. Vive com verdade. Com a gente, nunca falta emoção — e nem afeto. É caos… mas é um caos com coração. 🧠❤️ #tdah #relacionamento #intensidade #distraidosvenceremos #tdahadulto #neurodivergente #psicologia</t>
  </si>
  <si>
    <t>7509499896261544710</t>
  </si>
  <si>
    <t>https://v16-webapp-prime.tiktok.com/video/tos/useast2a/tos-useast2a-v-27dcd7/oEYBpmDOFBQdNG3MXJNCCBtU8eRIMJQfQox2qE/?a=1988&amp;bti=ODszNWYuMDE6&amp;ch=0&amp;cr=0&amp;dr=0&amp;er=0&amp;lr=default&amp;cd=0%7C0%7C0%7C0&amp;br=250&amp;bt=125&amp;ft=GNDpcInz7Th29-UPXq8Zmo&amp;mime_type=audio_mpeg&amp;qs=6&amp;rc=aWY6NTtlNTRpODRlZzg0NkBpM2o5Z3g5cnFrMzMzNzU8M0AxY141MjQuXzQxLjBgYS4xYSMubmZyMmRjaG9hLS1kMTZzcw%3D%3D&amp;btag=e00090000&amp;expire=1763004372&amp;l=20251113102443BFAC5C39F8934C8F8E6A&amp;ply_type=3&amp;policy=3&amp;signature=a82e02c2d73c7f781afbe80fda2862f6&amp;tk=7571587458748974088</t>
  </si>
  <si>
    <t>https://p77-sign-sg.tiktokcdn.com/tos-alisg-avt-0068/a922d44f129753f3f4657ae1aab09386~tplv-tiktokx-cropcenter:1080:1080.jpeg?dr=14579&amp;refresh_token=eea8c9d7&amp;x-expires=1763172000&amp;x-signature=gbJiSnz%2BZvxqNpbpAlTxR2pCe1w%3D&amp;t=4d5b0474&amp;ps=13740610&amp;shp=a5d48078&amp;shcp=81f88b70&amp;idc=my</t>
  </si>
  <si>
    <t>https://www.tiktok.com/@marilialanoa/video/7294571886233521413</t>
  </si>
  <si>
    <t>https://v16-webapp-prime.tiktok.com/video/tos/useast2a/tos-useast2a-ve-0068c004/oc8TDQrAEIHEiB3BHU0SQEO3SUPoa2am87iGc/?a=1988&amp;bti=ODszNWYuMDE6&amp;ch=0&amp;cr=3&amp;dr=0&amp;lr=all&amp;cd=0%7C0%7C0%7C&amp;cv=1&amp;br=1398&amp;bt=699&amp;cs=0&amp;ds=3&amp;ft=I~da4oKyD12NvOA0i.IxRehNblBF-UjNSMopiX&amp;mime_type=video_mp4&amp;qs=0&amp;rc=ODc3OjYzODUzOzY5ZTg7ZUBpMzpydHY5cm1rMzMzNzczM0A1LjAvNDBiXjUxNDAzYDRiYSNyNW1vMmQ0aG9hLS1kMTZzcw%3D%3D&amp;btag=e00090000&amp;expire=1763173572&amp;l=20251113102443BFAC5C39F8934C8F8E6A&amp;ply_type=2&amp;policy=2&amp;signature=6dd23604c11430cd80df6267e0b8967d&amp;tk=tt_chain_token</t>
  </si>
  <si>
    <t>tdahadulto,tdah,tdahinfantil</t>
  </si>
  <si>
    <t>7547098585024695608</t>
  </si>
  <si>
    <t>ISSO QUE É O TDAH: Imagina ter vinte abas abertas na cabeça… todas ao mesmo tempo. Todas gritando. E nenhuma ficando em silêncio. Você tenta focar em uma coisa. Mas outra invade. E mais outra. Até você perder tudo. E ficar parado, olhando pro nada. Travado. Com a mente te sabotando. É querer muito fazer. Mas não conseguir. É se culpar por não ter feito. E repetir isso todo dia. É explodir de raiva por besteira. E depois chorar de arrependimento. É amar com intensidade sufocante. E, no minuto seguinte, se isolar como se ninguém importasse. É prometer mudar. E não mudar. Não porque não queira. Mas porque o cérebro trava… bem na hora que você mais precisa dele. É viver de extremos. Oito ou oitenta. Amor ou ódio. Energia infinita ou cansaço absoluto. Nunca equilíbrio. Nunca paz. Por fora, você sorri. Faz piada. Disfarça. Mas, por dentro, é barulho, caos, desespero. E ninguém vê. Ninguém entende. Só você — vivendo uma guerra contra si mesmo. Esse é o TDAH. O verdadeiro. Não a versão romantizada da internet. #tdah #oqueetdah #sintomasdotdah</t>
  </si>
  <si>
    <t>7547098779067828998</t>
  </si>
  <si>
    <t>https://v16-webapp-prime.tiktok.com/video/tos/useast2a/tos-useast2a-v-27dcd7/oYKU1vgtPFOgCBJ4ro83JvQC4EQefB6DY5XLzg/?a=1988&amp;bti=ODszNWYuMDE6&amp;ch=0&amp;cr=0&amp;dr=0&amp;er=0&amp;lr=default&amp;cd=0%7C0%7C0%7C0&amp;br=250&amp;bt=125&amp;ft=GNDpcInz7ThLgKvPXq8Zmo&amp;mime_type=audio_mpeg&amp;qs=6&amp;rc=NDhkNTY5ZmQ8NTQ4aDM2OkBpM3dweHg5cmdkNTMzNzU8M0BfNGE1XzUwNV8xNmI1M2FiYSM1YmowMmRzcHJhLS1kMTZzcw%3D%3D&amp;btag=e00090000&amp;expire=1764559485&amp;l=20251201102310FC54B381C57309EF4F27&amp;ply_type=3&amp;policy=3&amp;signature=e2e0b8e69002e01bfc7efca402bf63af&amp;tk=7571587458748974088</t>
  </si>
  <si>
    <t>https://www.tiktok.com/@psi.jonathanorlandi/video/7509499852422647045</t>
  </si>
  <si>
    <t>tdah,relacionamento,intensidade,distraidosvenceremos,tdahadulto,neurodivergente,psicologia</t>
  </si>
  <si>
    <t>7442853429224934712</t>
  </si>
  <si>
    <t>tdahdescomplica</t>
  </si>
  <si>
    <t>TDAH sem drama 🪴</t>
  </si>
  <si>
    <t>https://p77-sign-va.tiktokcdn.com/tos-maliva-avt-0068/9af8e5d3e3c65d74ce05ff9527fc6b94~tplv-tiktokx-cropcenter:100:100.jpeg?dr=14579&amp;refresh_token=048f9819&amp;x-expires=1763172000&amp;x-signature=I3BHDi%2FnnGJZxyWlIaHz8MZJbgI%3D&amp;t=4d5b0474&amp;ps=13740610&amp;shp=a5d48078&amp;shcp=81f88b70&amp;idc=my</t>
  </si>
  <si>
    <t xml:space="preserve">Voce tambem tem dificuldades para lidar com o seu tdah? Vá para a nossa bio e adquira nosso ebook, e aprenda ainda hoje a lidar melhor com as adversidades do nosso dia a dia com tdah #tdah #tdahadulto #tdahtiktok #tdahmemes #tdah #tdahdescomplicado </t>
  </si>
  <si>
    <t>7442853457563323191</t>
  </si>
  <si>
    <t>https://v16-webapp-prime.tiktok.com/video/tos/useast2a/tos-useast2a-v-27dcd7/oAvKTTZhSzQ9CUSAFpBOJqUl5iAA0B8iEEbAo/?a=1988&amp;bti=ODszNWYuMDE6&amp;ch=0&amp;cr=0&amp;dr=0&amp;er=0&amp;lr=default&amp;cd=0%7C0%7C0%7C0&amp;br=250&amp;bt=125&amp;ds=5&amp;ft=GNDpcInz7Th8Y-UPXq8Zmo&amp;mime_type=audio_mpeg&amp;qs=13&amp;rc=ajQ0NXc5cm04dzMzNzU8M0BpajQ0NXc5cm04dzMzNzU8M0BhNGE0MmRrNDJgLS1kMTZzYSNhNGE0MmRrNDJgLS1kMTZzcw%3D%3D&amp;btag=e00048000&amp;expire=1763004416&amp;l=20251113102607CD4452BD4E07158E0822&amp;ply_type=3&amp;policy=3&amp;signature=4699fa3c0c606be47055e82313e5adfc&amp;tk=7571587458748974088</t>
  </si>
  <si>
    <t>https://p16-sign-va.tiktokcdn.com/tos-maliva-avt-0068/9af8e5d3e3c65d74ce05ff9527fc6b94~tplv-tiktokx-cropcenter:1080:1080.jpeg?dr=14579&amp;refresh_token=39819ece&amp;x-expires=1763172000&amp;x-signature=tDI1Hl%2B1XVAK5K%2B8eodkUS22m%2BY%3D&amp;t=4d5b0474&amp;ps=13740610&amp;shp=a5d48078&amp;shcp=81f88b70&amp;idc=my</t>
  </si>
  <si>
    <t>https://v16-webapp-prime.tiktok.com/video/tos/useast2a/tos-useast2a-pve-0068/owWEpr2kIfvCJkvBB8XDfBHV0mAFQqKQFu4oE7/?a=1988&amp;bti=ODszNWYuMDE6&amp;ch=0&amp;cr=3&amp;dr=0&amp;lr=all&amp;cd=0%7C0%7C0%7C&amp;cv=1&amp;br=980&amp;bt=490&amp;cs=0&amp;ds=3&amp;ft=-Csk_mrMPD12N7Zh5d-UxXt2hY6e3wv25IcAp&amp;mime_type=video_mp4&amp;qs=0&amp;rc=NztlaGZkZDQ4ZWRkO2Y8ZUBpajQ6eHE5cjxkNTMzNzgzM0AtMjUxMDM1NWAxYDFfMy9fYSMwYHFzMmRrbnJhLS1kLzZzcw%3D%3D&amp;btag=e00090000&amp;expire=1764728685&amp;l=20251201102310FC54B381C57309EF4F27&amp;ply_type=2&amp;policy=2&amp;signature=19668907ea80efb80a224ee291a6a575&amp;tk=tt_chain_token</t>
  </si>
  <si>
    <t>https://v16-webapp-prime.tiktok.com/video/tos/useast2a/tos-useast2a-ve-0068c003/ooKhSLGfjICqBR6DepIgqaCATAbg2TUOlOekdE/?a=1988&amp;bti=ODszNWYuMDE6&amp;ch=0&amp;cr=3&amp;dr=0&amp;lr=all&amp;cd=0%7C0%7C0%7C&amp;cv=1&amp;br=1752&amp;bt=876&amp;cs=0&amp;ds=3&amp;ft=-Csk_mrMPD12Nx_opd-Ux7o2aY6e3wv25zcAp&amp;mime_type=video_mp4&amp;qs=0&amp;rc=PGVkOjkzNjk3OTw3NTszZ0BpanFoOW45cmo4dzMzNzczM0A1YF5iNl8tNS8xLy8vLmIzYSNgYWhwMmRjMzJgLS1kMTZzcw%3D%3D&amp;btag=e00088000&amp;expire=1763173617&amp;l=20251113102607CD4452BD4E07158E0822&amp;ply_type=2&amp;policy=2&amp;signature=b994a09c3dfb6df6367804414fabede2&amp;tk=tt_chain_token</t>
  </si>
  <si>
    <t>https://www.tiktok.com/@tdahdescomplica/video/7442853429224934712</t>
  </si>
  <si>
    <t>https://www.tiktok.com/@liberdade.mentall/video/7547098585024695608</t>
  </si>
  <si>
    <t>tdah,tdahadulto,tdahtiktok,tdahmemes,tdah,tdahdescomplicado</t>
  </si>
  <si>
    <t>tdah,tdahadulto,tdahtiktok,tdahmemes,tdahdescomplicado</t>
  </si>
  <si>
    <t>7397855879304842501</t>
  </si>
  <si>
    <t>luizaapsicologa</t>
  </si>
  <si>
    <t>luizarbalbino</t>
  </si>
  <si>
    <t>https://p77-sign-va.tiktokcdn.com/tos-maliva-avt-0068/c4ddbb322ecc8a7326a8b416b0b1fbd7~tplv-tiktokx-cropcenter:100:100.jpeg?dr=14579&amp;refresh_token=62317a54&amp;x-expires=1763172000&amp;x-signature=uqeU9Ub0QiVCjImsaTacS51oh%2FI%3D&amp;t=4d5b0474&amp;ps=13740610&amp;shp=a5d48078&amp;shcp=81f88b70&amp;idc=my</t>
  </si>
  <si>
    <t>Fatos de alguém que recebeu o diagnóstico tardio. 😂🙌🏼 #tdah #diagnosticotardio #ansiedade #psicologia #fatos #neurodivergente #neurodesenvolvimento #autoconhecimento #aba</t>
  </si>
  <si>
    <t>MTG CHIHIRO by Mulú</t>
  </si>
  <si>
    <t>7372770313615739654</t>
  </si>
  <si>
    <t>https://v16-webapp-prime.tiktok.com/video/tos/useast2a/tos-useast2a-v-27dcd7/oIMBERPoEGI2fgAARVVCeL4f8CSKbEALTqoAWA/?a=1988&amp;bti=ODszNWYuMDE6&amp;ch=0&amp;cr=0&amp;dr=0&amp;er=0&amp;lr=default&amp;cd=0%7C0%7C0%7C0&amp;br=250&amp;bt=125&amp;ds=5&amp;ft=GNDpcInz7ThiV-UPXq8Zmo&amp;mime_type=audio_mpeg&amp;qs=13&amp;rc=amk0cnk5cjZvczMzNzU8M0Bpamk0cnk5cjZvczMzNzU8M0A1ci1mMmRjYzVgLS1kMTZzYSM1ci1mMmRjYzVgLS1kMTZzcw%3D%3D&amp;btag=e00078000&amp;expire=1763004255&amp;l=2025111310235634FE9FF2AA2A079ADB1D&amp;ply_type=3&amp;policy=3&amp;signature=b457a79cb26374039c6c058d611cb8f8&amp;tk=7571587458748974088</t>
  </si>
  <si>
    <t>7568640345265802514</t>
  </si>
  <si>
    <t>O que é TDAH? VÍCIO Eles não se viciam só por prazer, mas pra fugir de si mesmos. Qualquer coisa que anestesie o caos interno vira refúgio. RELACIONAMENTOS Eles amam intensamente, mas se perdem no próprio descontrole. Um dia te colocam no céu, no outro somem como se você nunca tivesse existido. TRABALHO Podem ser gênios criativos ou completos desastres. Produzem dez vezes mais que os outros num dia… e nada por semanas. CULPA Vivem pedindo desculpa por promessas que quebraram sem querer. O arrependimento é constante, mas o controle é raro. SONO Deitam exaustos, mas o cérebro não cala. Pensam, repensam, se cobram, se odeiam. Dormir vira uma luta diária. REALIDADE Não é falta de vontade, é uma mente travada num campo de guerra. E ninguém entende o quanto isso dói. #tdah  #oqueetdah #sintomasdotdah</t>
  </si>
  <si>
    <t>7568640448267995912</t>
  </si>
  <si>
    <t>https://v16-webapp-prime.tiktok.com/video/tos/alisg/tos-alisg-v-27dcd7/o8NUoECDg5BBtZtFflpJBQCrIQJfmCMITcTg6Q/?a=1988&amp;bti=ODszNWYuMDE6&amp;ch=0&amp;cr=0&amp;dr=0&amp;er=0&amp;lr=default&amp;cd=0%7C0%7C0%7C0&amp;br=250&amp;bt=125&amp;ft=GNDpcInz7ThuzKvPXq8Zmo&amp;mime_type=audio_mpeg&amp;qs=6&amp;rc=Ozw0ODdmZmZlN2lnOzc3PEBpM3NwOm85cnFtNzMzODU8NEBfLzRfMi4wX2MxMjE0LWNgYSMub3FoMmQ0YDFhLS1kMS1zcw%3D%3D&amp;btag=e00090000&amp;expire=1764559413&amp;l=202512011021508D2E02B19879BA6D89C0&amp;ply_type=3&amp;policy=3&amp;signature=0b18ff1ed3c5d4085763018124c21ee1&amp;tk=7571587458748974088</t>
  </si>
  <si>
    <t>https://p16-sign-sg.tiktokcdn.com/tos-alisg-avt-0068/2f66c95536f2e768e547d169d6d36ba4~tplv-tiktokx-cropcenter:1080:1080.jpeg?dr=14579&amp;refresh_token=dd020d3c&amp;x-expires=1763172000&amp;x-signature=RtzwjNA50T7DH4EIBda5o198D64%3D&amp;t=4d5b0474&amp;ps=13740610&amp;shp=a5d48078&amp;shcp=81f88b70&amp;idc=my</t>
  </si>
  <si>
    <t>lilizz</t>
  </si>
  <si>
    <t>https://v16-webapp-prime.tiktok.com/video/tos/alisg/tos-alisg-pve-0037c001/o0CEEUBqABxQm2LiO3aZ2SAnQumQBpi4vHIVE/?a=1988&amp;bti=ODszNWYuMDE6&amp;ch=0&amp;cr=3&amp;dr=0&amp;lr=all&amp;cd=0%7C0%7C0%7C&amp;cv=1&amp;br=1506&amp;bt=753&amp;cs=0&amp;ds=3&amp;ft=-Csk_mrMPD12N3Yopd-Ux24FaY6e3wv25WcAp&amp;mime_type=video_mp4&amp;qs=0&amp;rc=OGUzNDQ3NTo4aWc4Zjo5aUBpM2U4NnI5cjM6dDMzNzczM0BfXzYwMjZhXzYxLjJhNWJhYSNvaGpnMmRrYGlgLS1kMTZzcw%3D%3D&amp;btag=e00090000&amp;expire=1763173508&amp;l=2025111310235634FE9FF2AA2A079ADB1D&amp;ply_type=2&amp;policy=2&amp;signature=3ed8022355c106dc2396e093116dbbec&amp;tk=tt_chain_token</t>
  </si>
  <si>
    <t>https://v16-webapp-prime.tiktok.com/video/tos/alisg/tos-alisg-pve-0037/ocEVZ3IJsUvMecDBBgfOFqAUgXQ2mLv5BTCpNC/?a=1988&amp;bti=ODszNWYuMDE6&amp;ch=0&amp;cr=3&amp;dr=0&amp;lr=all&amp;cd=0%7C0%7C0%7C&amp;cv=1&amp;br=940&amp;bt=470&amp;cs=0&amp;ds=3&amp;ft=-Csk_mrMPD12NGDh5d-UxSc2hY6e3wv25DcAp&amp;mime_type=video_mp4&amp;qs=0&amp;rc=OGRlZWY0PDlkPDg6NWhnaUBpanVsa3A5cnhtNzMzODgzNEBiMzAwMy8uXy8xM18tMjEzYSMwLmVeMmRjXzFhLS1kLzFzcw%3D%3D&amp;btag=e00090000&amp;expire=1764728613&amp;l=202512011021508D2E02B19879BA6D89C0&amp;ply_type=2&amp;policy=2&amp;signature=9c72f41d953fe835e3aecbda83e7d112&amp;tk=tt_chain_token</t>
  </si>
  <si>
    <t>https://www.tiktok.com/@luizaapsicologa/video/7397855879304842501</t>
  </si>
  <si>
    <t>tdah,diagnosticotardio,ansiedade,psicologia,fatos,neurodivergente,neurodesenvolvimento,autoconhecimento,aba</t>
  </si>
  <si>
    <t>7396075071866965253</t>
  </si>
  <si>
    <t>https://www.tiktok.com/@liberdade.mentall/video/7568640345265802514</t>
  </si>
  <si>
    <t>Voce tem memoria seletiva?? #tdah #tdahadulto #tdahtiktok #terapeuta</t>
  </si>
  <si>
    <t>7396075173648550661</t>
  </si>
  <si>
    <t>https://v16-webapp-prime.tiktok.com/video/tos/useast2a/tos-useast2a-v-27dcd7/ogfuIhakUAgil7CEAEIAwABUQuGozzdzBKEkiC/?a=1988&amp;bti=ODszNWYuMDE6&amp;ch=0&amp;cr=0&amp;dr=0&amp;er=0&amp;lr=default&amp;cd=0%7C0%7C0%7C0&amp;br=250&amp;bt=125&amp;ds=5&amp;ft=GNDpcInz7ThN9-UPXq8Zmo&amp;mime_type=audio_mpeg&amp;qs=13&amp;rc=M2puZmo5cmc1dDMzNzU8M0BpM2puZmo5cmc1dDMzNzU8M0AuZHBrMmRjM2ZgLS1kMTZzYSMuZHBrMmRjM2ZgLS1kMTZzcw%3D%3D&amp;btag=e00050000&amp;expire=1763004397&amp;l=20251113102410CE8B814C77F7637842AC&amp;ply_type=3&amp;policy=3&amp;signature=f9ff61f97ed1b36b6e149a861a58a5d4&amp;tk=7571587458748974088</t>
  </si>
  <si>
    <t>7519918185961753861</t>
  </si>
  <si>
    <t xml:space="preserve">A mente de uma pessoa com TDAH é muito acelerada e com diversos pensamentos ao mesmo tempo, onde muitas vezes parece que tem várias vozes na nossa cabeça, e é aí que em alguns casos entra a medicação, que ajuda a regular o cérebro e deixar a cabeça mais tranquila e focada, dando até certo alívio! #psicologia #tdah #tdahadulto </t>
  </si>
  <si>
    <t>7066198734106856238</t>
  </si>
  <si>
    <t>https://v16-webapp-prime.tiktok.com/video/tos/maliva/tos-maliva-v-27dcd7c799-us/c333cd205a4f40e8b744be4828d93770/?a=1988&amp;bti=ODszNWYuMDE6&amp;ch=0&amp;cr=0&amp;dr=0&amp;er=0&amp;lr=default&amp;cd=0%7C0%7C0%7C0&amp;br=198&amp;bt=99&amp;ds=5&amp;ft=GNDpcInz7ThvzKvPXq8Zmo&amp;mime_type=audio_mp4&amp;qs=13&amp;rc=anB5djw6Zm81OzMzZzU8NEBpanB5djw6Zm81OzMzZzU8NEBrMmJvcjQwcDVgLS1kMS9zYSNrMmJvcjQwcDVgLS1kMS9zcw%3D%3D&amp;btag=e00070000&amp;expire=1764559268&amp;l=2025120110205711DA509A8B9B2F6AA181&amp;ply_type=3&amp;policy=3&amp;signature=a1d0c4bd5d4fc5ac4f4567c4d62f117c&amp;tk=7571587458748974088</t>
  </si>
  <si>
    <t>https://v16-webapp-prime.tiktok.com/video/tos/useast2a/tos-useast2a-ve-0068c004/ooE3fADpeICB3FREmGhxqQJEQIakBiWEXxgBEZ/?a=1988&amp;bti=ODszNWYuMDE6&amp;ch=0&amp;cr=3&amp;dr=0&amp;lr=all&amp;cd=0%7C0%7C0%7C&amp;cv=1&amp;br=2648&amp;bt=1324&amp;cs=0&amp;ds=3&amp;ft=I~da4oKyD12Nv5A0i.IxRIk_glBF-UjNSbopiX&amp;mime_type=video_mp4&amp;qs=0&amp;rc=Nzg4ZTtnZzg4OGU5Ojo3NkBpM2o7bmo5cmY0dDMzNzczM0AyYzI2NTRiXjAxMS41YjA2YSNzbTUuMmRjaWZgLS1kMTZzcw%3D%3D&amp;btag=e00090000&amp;expire=1763173597&amp;l=20251113102410CE8B814C77F7637842AC&amp;ply_type=2&amp;policy=2&amp;signature=9e8a35c8d90d2fbc7e69b4de3177eeee&amp;tk=tt_chain_token</t>
  </si>
  <si>
    <t>https://www.tiktok.com/@claralisle/video/7396075071866965253</t>
  </si>
  <si>
    <t>https://p16-sign-va.tiktokcdn.com/tos-maliva-avt-0068/bf3e85492ef0c591e6c4fb283a3a3dc7~tplv-tiktokx-cropcenter:1080:1080.jpeg?dr=14579&amp;refresh_token=fa92752e&amp;x-expires=1764727200&amp;x-signature=6w8AzE%2Fdkup5kK8qlDMebmC05mU%3D&amp;t=4d5b0474&amp;ps=13740610&amp;shp=a5d48078&amp;shcp=81f88b70&amp;idc=my</t>
  </si>
  <si>
    <t>7480721645401869573</t>
  </si>
  <si>
    <t>de um ADULTO COM TDAH “TRAÇOS DE PERSONALIDADE” FALANTE… INCRÍVEL COM AS PESSOAS… TEM SENSO DE HUMOR… CRIATIVIDADE… TEM ENERGIA… EXPRESSIVO 
EMOCIONALMENTE  SINAIS DE TDAH</t>
  </si>
  <si>
    <t>7480721644426513207</t>
  </si>
  <si>
    <t>https://v16-webapp-prime.tiktok.com/video/tos/useast2a/tos-useast2a-v-27dcd7/o0LrCy2pcBiQzAA7zrAQPpEAil9iZE3vSUDDb/?a=1988&amp;bti=ODszNWYuMDE6&amp;ch=0&amp;cr=0&amp;dr=0&amp;er=0&amp;lr=default&amp;cd=0%7C0%7C0%7C0&amp;br=250&amp;bt=125&amp;ds=5&amp;ft=GNDpcInz7ThVY-UPXq8Zmo&amp;mime_type=audio_mpeg&amp;qs=13&amp;rc=MzxpcHU5cmlneTMzNzU8M0BpMzxpcHU5cmlneTMzNzU8M0BlMnFpMmQ0bTVgLS1kMTZzYSNlMnFpMmQ0bTVgLS1kMTZzcw%3D%3D&amp;btag=e00050000&amp;expire=1763004464&amp;l=202511131026378F10DAFBB0AF239B249B&amp;ply_type=3&amp;policy=3&amp;signature=671d50951006002e0711e3c449a994b3&amp;tk=7571587458748974088</t>
  </si>
  <si>
    <t>Sarah Palmyra✨</t>
  </si>
  <si>
    <t>https://v16-webapp-prime.tiktok.com/video/tos/useast2a/tos-useast2a-pve-0068/okokJXcibBTIBAFReBbEmRxMAXEFQrfd42MDEY/?a=1988&amp;bti=ODszNWYuMDE6&amp;ch=0&amp;cr=3&amp;dr=0&amp;lr=all&amp;cd=0%7C0%7C0%7C&amp;cv=1&amp;br=1134&amp;bt=567&amp;cs=0&amp;ds=3&amp;ft=-Csk_mrMPD12N5Dh5d-UxP12hY6e3wv25ocAp&amp;mime_type=video_mp4&amp;qs=0&amp;rc=M2ZoOzloNTVkOjk3NmlnM0BpM21vPHg5cjk0NDMzNzczM0AxMjEtNTFfNTAxNTViX18wYSNgamRlMmRzb2JhLS1kMTZzcw%3D%3D&amp;btag=e000b0000&amp;expire=1764728467&amp;l=2025120110205711DA509A8B9B2F6AA181&amp;ply_type=2&amp;policy=2&amp;signature=6c6fd7ca7b29c68e729c115b2d783d99&amp;tk=tt_chain_token</t>
  </si>
  <si>
    <t>https://v16-webapp-prime.tiktok.com/video/tos/useast2a/tos-useast2a-ve-0068c002/o4RjaSPAbL8aBDEhGCgQBoLefiACNgeSIuIDZl/?a=1988&amp;bti=ODszNWYuMDE6&amp;ch=0&amp;cr=3&amp;dr=0&amp;lr=all&amp;cd=0%7C0%7C0%7C&amp;cv=1&amp;br=2094&amp;bt=1047&amp;cs=0&amp;ds=3&amp;ft=-Csk_mrMPD12NY_opd-Uxz42hY6e3wv25ycAp&amp;mime_type=video_mp4&amp;qs=0&amp;rc=MzllNDhlaGUzM2U4Z2k6N0BpajNnPG45cmpneTMzNzczM0A0MTYwXzU0Nl8xMmMwLV5iYSM1NWZnMmRjajVgLS1kMTZzcw%3D%3D&amp;btag=e00090000&amp;expire=1763173664&amp;l=202511131026378F10DAFBB0AF239B249B&amp;ply_type=2&amp;policy=2&amp;signature=d7eb46c1ddfb56fb53a3be807d384eb3&amp;tk=tt_chain_token</t>
  </si>
  <si>
    <t>https://www.tiktok.com/@igorpsicologo/video/7480721645401869573</t>
  </si>
  <si>
    <t>https://www.tiktok.com/@psi.walace/video/7519918185961753861</t>
  </si>
  <si>
    <t>https://p77-sign-va.tiktokcdn.com/tos-maliva-avt-0068/c690e1c09c18ba7a3d9af56ba23e4738~tplv-tiktokx-cropcenter:100:100.jpeg?dr=14579&amp;refresh_token=cf1fcef4&amp;x-expires=1763172000&amp;x-signature=he8nWfZtOUoklQbkRro6KlBeRsY%3D&amp;t=4d5b0474&amp;ps=13740610&amp;shp=a5d48078&amp;shcp=81f88b70&amp;idc=my</t>
  </si>
  <si>
    <t>7575315588931734802</t>
  </si>
  <si>
    <t xml:space="preserve">Traumas de um TDAH adulto… 🫠 É ter que se lembrar de vez em quando, que você não tá encrencado. Que não fez nada errado, não falou nada demais, que ninguém tá te julgando.   E que, na real... Aquela "criança TDAH" que você foi um dia, se orgulharia do adulto que você é hoje! 🫂✨ . . . 🎬 Animação original @neurodivers.show e dublagem por minha conta! 🎙 . . . #tdahhumor #tdahadulto  #adhdawarness </t>
  </si>
  <si>
    <t>7575315636597115656</t>
  </si>
  <si>
    <t>https://v16-webapp-prime.tiktok.com/video/tos/alisg/tos-alisg-v-27dcd7/oUALB79kFiAATKHAE0iByXfNEAEbwaPyAog48E/?a=1988&amp;bti=ODszNWYuMDE6&amp;ch=0&amp;cr=0&amp;dr=0&amp;er=0&amp;lr=default&amp;cd=0%7C0%7C0%7C0&amp;br=250&amp;bt=125&amp;ds=5&amp;ft=GNDpcInz7Th8zKvPXq8Zmo&amp;mime_type=audio_mpeg&amp;qs=13&amp;rc=and5dmw5cnZoNzMzODU8NEBpand5dmw5cnZoNzMzODU8NEAzbWU2MmRjbmRhLS1kMS1zYSMzbWU2MmRjbmRhLS1kMS1zcw%3D%3D&amp;btag=e00078000&amp;expire=1764559263&amp;l=202512011020485614ECD0EEDB8C5FDDDB&amp;ply_type=3&amp;policy=3&amp;signature=3658848dc1255d8c2239c652eab40bb3&amp;tk=7571587458748974088</t>
  </si>
  <si>
    <t>https://v16-webapp-prime.tiktok.com/video/tos/useast2a/tos-useast2a-v-27dcd7/oUD44CfQAS6AlFAU1BjBCjJfEuEBBEQQJQCAPO/?a=1988&amp;bti=ODszNWYuMDE6&amp;ch=0&amp;cr=0&amp;dr=0&amp;er=0&amp;lr=default&amp;cd=0%7C0%7C0%7C0&amp;br=250&amp;bt=125&amp;ds=5&amp;ft=GNDpcInz7ThaV-UPXq8Zmo&amp;mime_type=audio_mpeg&amp;qs=13&amp;rc=anc3NWs5cjszcDMzNzU8M0Bpanc3NWs5cjszcDMzNzU8M0BjZC5yMmRzNXBgLS1kMTZzYSNjZC5yMmRzNXBgLS1kMTZzcw%3D%3D&amp;btag=e00050000&amp;expire=1763004318&amp;l=20251113102343D1A0044B947998B9C2A2&amp;ply_type=3&amp;policy=3&amp;signature=569cdd2bd273b82c8ac6656830c577f5&amp;tk=7571587458748974088</t>
  </si>
  <si>
    <t>https://v16-webapp-prime.tiktok.com/video/tos/alisg/tos-alisg-pve-0037c001/oc6avKuB0A72ZuyiiwsH4AIKCAmgfkMwlIEXIg/?a=1988&amp;bti=ODszNWYuMDE6&amp;ch=0&amp;cr=3&amp;dr=0&amp;lr=all&amp;cd=0%7C0%7C0%7C&amp;cv=1&amp;br=724&amp;bt=362&amp;cs=0&amp;ds=3&amp;ft=-Csk_mrMPD12NxDh5d-UxIS5hY6e3wv25ycAp&amp;mime_type=video_mp4&amp;qs=0&amp;rc=cnF8b2hsc2d3SkBwaHIxaDFybndmaDk3M2c8ODg0ZjhmMztpZ0BpM3N1PHA5cmpoNzMzODczNEBjRl5Nc3FePmJKYSNvYF90aHFmOiM0MmA0X2A1XjYxMGNeMWAtYSNxMWAyMmRjbmRhLS1kMWBzcw%3D%3D&amp;btag=e000b8000&amp;expire=1764728463&amp;l=202512011020485614ECD0EEDB8C5FDDDB&amp;ply_type=2&amp;policy=2&amp;signature=1ec9282eba6c7232375dae0d8c683a60&amp;tk=tt_chain_token</t>
  </si>
  <si>
    <t>https://p16-sign-va.tiktokcdn.com/tos-maliva-avt-0068/c690e1c09c18ba7a3d9af56ba23e4738~tplv-tiktokx-cropcenter:1080:1080.jpeg?dr=14579&amp;refresh_token=f829dcf2&amp;x-expires=1763172000&amp;x-signature=oRM0EkS4UusgtWora2lPJ8%2BH6gM%3D&amp;t=4d5b0474&amp;ps=13740610&amp;shp=a5d48078&amp;shcp=81f88b70&amp;idc=my</t>
  </si>
  <si>
    <t>https://v16-webapp-prime.tiktok.com/video/tos/alisg/tos-alisg-pve-0037c001/oQARpuEHEIiLTTJuEMQCBJQIDfATFBQReBTlAE/?a=1988&amp;bti=ODszNWYuMDE6&amp;ch=0&amp;cr=3&amp;dr=0&amp;lr=all&amp;cd=0%7C0%7C0%7C&amp;cv=1&amp;br=1378&amp;bt=689&amp;cs=0&amp;ds=3&amp;ft=-Csk_mrMPD12N8Yopd-UxfeFaY6e3wv25HcAp&amp;mime_type=video_mp4&amp;qs=0&amp;rc=ZjQ5aTQ2NGk3aWVlOmc1aUBpM2s8a245cjMzcDMzNzczM0BjMDY1MC0tX2AxMzIuLzQyYSMtcGRsMmRrNXBgLS1kMTZzcw%3D%3D&amp;btag=e00090000&amp;expire=1763173518&amp;l=20251113102343D1A0044B947998B9C2A2&amp;ply_type=2&amp;policy=2&amp;signature=89ec1958b440714829f5f82b2e9c3e45&amp;tk=tt_chain_token</t>
  </si>
  <si>
    <t>https://www.tiktok.com/@lorenatdahta/video/7575315588931734802</t>
  </si>
  <si>
    <t>tdahhumor,tdahadulto,adhdawarness</t>
  </si>
  <si>
    <t>7445020773682580792</t>
  </si>
  <si>
    <t>https://p16-sign-va.tiktokcdn.com/tos-maliva-avt-0068/38f87d0ccea25144d85cc3d0f2f08234~tplv-tiktokx-cropcenter:100:100.jpeg?dr=14579&amp;refresh_token=5c27644b&amp;x-expires=1764727200&amp;x-signature=Y3W7ZNk3QcWIa%2BlbpiN4v36RV3o%3D&amp;t=4d5b0474&amp;ps=13740610&amp;shp=a5d48078&amp;shcp=81f88b70&amp;idc=my</t>
  </si>
  <si>
    <t>Você sabia que pessoas com TDAH podem ficar inquietas até enquanto dormem? 😴 Movimentos excessivos, virar de um lado para o outro, sonhos intensos ou até ranger de dentes são comuns! Isso acontece porque o cérebro muitas vezes continua “acelerado”, dificultando o relaxamento. 💡 Dica: Criar uma rotina noturna calma e consistente pode ajudar a melhorar a qualidade do sono. Priorize momentos de relaxamento antes de deitar! Você se identifica ou conhece alguém assim? Compartilhe! 💬 #tdah #tdahadulto #comportamentohumano</t>
  </si>
  <si>
    <t>7479557548773887237</t>
  </si>
  <si>
    <t>maylahaddad</t>
  </si>
  <si>
    <t>Mayla | DOMINE SUA ANSIEDADE</t>
  </si>
  <si>
    <t>7445020802257668919</t>
  </si>
  <si>
    <t>https://p77-sign-va.tiktokcdn.com/tos-maliva-avt-0068/9e06e976e88a97c1965a9363892b8bc4~tplv-tiktokx-cropcenter:100:100.jpeg?dr=14579&amp;refresh_token=d87e39ae&amp;x-expires=1763172000&amp;x-signature=zqBRPwgUIAHQxwIaWE6J11eCr6s%3D&amp;t=4d5b0474&amp;ps=13740610&amp;shp=a5d48078&amp;shcp=81f88b70&amp;idc=my</t>
  </si>
  <si>
    <t>https://v16-webapp-prime.tiktok.com/video/tos/useast2a/tos-useast2a-v-27dcd7/oUFQRGofQe0QkpSE5IeM8FMmvfJWAABAAShdQZ/?a=1988&amp;bti=ODszNWYuMDE6&amp;ch=0&amp;cr=0&amp;dr=0&amp;er=0&amp;lr=default&amp;cd=0%7C0%7C0%7C0&amp;br=250&amp;bt=125&amp;ds=5&amp;ft=GNDpcInz7ThdPKvPXq8Zmo&amp;mime_type=audio_mpeg&amp;qs=13&amp;rc=amhrc3A5cnkzdzMzNzU8M0Bpamhrc3A5cnkzdzMzNzU8M0A2aGZnMmRzYTZgLS1kMTZzYSM2aGZnMmRzYTZgLS1kMTZzcw%3D%3D&amp;btag=e00070000&amp;expire=1764559234&amp;l=202512011020239FD63C9B4E4C976A9DFE&amp;ply_type=3&amp;policy=3&amp;signature=3e14435773381d97dca03f4d25f4bd33&amp;tk=7571587458748974088</t>
  </si>
  <si>
    <t>Transtorno de déficit de atenção e hiperatividade. Se identificou? #ansiedade #tdah #videoviral #page #fyyyyyyyyyyyyyyyy #video</t>
  </si>
  <si>
    <t>Manias comuns de
uma pessoa com TDAH Balança as pernas
 ou muda de posição
o tempo todo Mexe no celular o tempo
todo, mesmo sem
necessidade real
 Fica enrolando ou
arrancando o
cabelo Tem muita dificuldade 
em esperar Faz tudo no última
minuto, funciona melhor
sob pressão Fala sozinho Cria vários projetos
mas desiste no meio
do caminho  Esquece o que ia dizer
no meio da frase</t>
  </si>
  <si>
    <t>6766128122128500738</t>
  </si>
  <si>
    <t>https://sf16-ies-music-sg.tiktokcdn.com/obj/tos-alisg-ve-2774/o0eyc3nzQ8CnoxB50dDQBUtrBT6ybZHPjpfng3</t>
  </si>
  <si>
    <t>https://v16-webapp-prime.tiktok.com/video/tos/maliva/tos-maliva-v-85c255-us/oo77N7QbIiBPLOBgQBzYSBwAqEklkbxfoCwitA/?a=1988&amp;bti=ODszNWYuMDE6&amp;ch=0&amp;cr=3&amp;dr=0&amp;lr=all&amp;cd=0%7C0%7C0%7C&amp;cv=1&amp;br=2458&amp;bt=1229&amp;cs=0&amp;ds=3&amp;ft=-Csk_mrMPD12NLdh5d-Uxbt2hY6e3wv25HcAp&amp;mime_type=video_mp4&amp;qs=0&amp;rc=cnF8b2hsc2d3SkBwaHIxaDFybndmOzllNDtnPDg2ZGZnOzk2ZEBpajR3PHU5cnczdzQzNzM2M0BjRl5Nc3FePmJKYSNvYF90aHFmOiM2NTYtLTAyX2ExMzEyMDYtYSNhajZsMmRzYTZgLS1kLTZzcw%3D%3D&amp;btag=e000b0000&amp;expire=1764728434&amp;l=202512011020239FD63C9B4E4C976A9DFE&amp;ply_type=2&amp;policy=2&amp;signature=e8479c0f33fd86522a330da9b778d8e1&amp;tk=tt_chain_token</t>
  </si>
  <si>
    <t>https://v16-webapp-prime.tiktok.com/video/tos/useast2a/tos-useast2a-pve-0068/o0QRfRBnPzZdlF015KmDCQgEJWBfADxh1IKVEL/?a=1988&amp;bti=ODszNWYuMDE6&amp;ch=0&amp;cr=3&amp;dr=0&amp;lr=all&amp;cd=0%7C0%7C0%7C&amp;cv=1&amp;br=1410&amp;bt=705&amp;cs=0&amp;ds=3&amp;ft=-Csk_mrMPD12N8hopd-Ux~v2bY6e3wv251cAp&amp;mime_type=video_mp4&amp;qs=0&amp;rc=aWQ1NzM6N2YzNDs3Zzg6M0BpamVlZHY5cmpleTMzNzczM0AwMTFeLi02NTMxX19jYGEvYSMvaGtwMmRzZjNgLS1kMTZzcw%3D%3D&amp;btag=e00090000&amp;expire=1763173421&amp;l=202511131022406C90E0DA9AAAC98C2302&amp;ply_type=2&amp;policy=2&amp;signature=41ce78c6c0df0054faff52370a196096&amp;tk=tt_chain_token</t>
  </si>
  <si>
    <t>https://www.tiktok.com/@maylahaddad/video/7479557548773887237</t>
  </si>
  <si>
    <t>https://www.tiktok.com/@meu.mundotdah/video/7445020773682580792</t>
  </si>
  <si>
    <t>ansiedade,tdah,videoviral,page,fyyyyyyyyyyyyyyyy,video</t>
  </si>
  <si>
    <t>7372576486915575045</t>
  </si>
  <si>
    <t>Porque pessoas com transtornos mentais podem se dar muito bem na vida? #psicologia #tdah #tda #tdahadulto</t>
  </si>
  <si>
    <t xml:space="preserve">PESSOAS COM TDAH VÃO TER 
MUITO SUCESSO 
NA VIDA </t>
  </si>
  <si>
    <t>7372577692465957638</t>
  </si>
  <si>
    <t>https://v16-webapp-prime.tiktok.com/video/tos/useast2a/tos-useast2a-v-27dcd7/oAFdFB5mUCWfBPKQE6BKhJqBJsQfM5HAU29QID/?a=1988&amp;bti=ODszNWYuMDE6&amp;ch=0&amp;cr=0&amp;dr=0&amp;er=0&amp;lr=default&amp;cd=0%7C0%7C0%7C0&amp;br=250&amp;bt=125&amp;ft=GNDpcInz7ThQ9-UPXq8Zmo&amp;mime_type=audio_mpeg&amp;qs=6&amp;rc=Z2hpZzZlNTQ5ZDMzNTg5OUBpamlpanc5cmxkczMzNzU8M0AvYzIxMy1jNjUxYzZgNmIwYSNycjFhMmRrYjVgLS1kMTZzcw%3D%3D&amp;btag=e00090000&amp;expire=1763004311&amp;l=202511131024053FAEE14371AE44A729CC&amp;ply_type=3&amp;policy=3&amp;signature=3d5404a1694c257998d79f4635ec8093&amp;tk=7571587458748974088</t>
  </si>
  <si>
    <t>7449795601916562694</t>
  </si>
  <si>
    <t>Qual você se identifica?😄 Sim! O TDAH (Transtorno de Déficit de Atenção e Hiperatividade) é classificado em três tipos principais, de acordo com os sintomas mais presentes: 1. Tipo Predominantemente Desatento • Dificuldade em manter o foco. • Tendência a se distrair facilmente. • Esquecimento frequente. 2. Tipo Predominantemente Hiperativo-Impulsivo • Inquietação constante. • Fala excessiva. • Dificuldade em esperar a vez. 3. Tipo Combinado • Combinação de sintomas de desatenção e hiperatividade/impulsividade. • É o tipo mais comum. #tdah #tdahadulto #comportamentohumano</t>
  </si>
  <si>
    <t>7449795624746502917</t>
  </si>
  <si>
    <t>https://v16-webapp-prime.tiktok.com/video/tos/useast2a/tos-useast2a-v-27dcd7/osVnYADAIBBEAD6GfUCQImAFFvFpd8Y2aYoJJf/?a=1988&amp;bti=ODszNWYuMDE6&amp;ch=0&amp;cr=0&amp;dr=0&amp;er=0&amp;lr=default&amp;cd=0%7C0%7C0%7C0&amp;br=250&amp;bt=125&amp;ds=5&amp;ft=GNDpcInz7ThIPKvPXq8Zmo&amp;mime_type=audio_mpeg&amp;qs=13&amp;rc=M2ZkNXc5cmRpdzMzNzU8M0BpM2ZkNXc5cmRpdzMzNzU8M0BjLWheMmRjb2VgLS1kMTZzYSNjLWheMmRjb2VgLS1kMTZzcw%3D%3D&amp;btag=e00048000&amp;expire=1764559266&amp;l=20251201102014E2CB5F4C19000C61E683&amp;ply_type=3&amp;policy=3&amp;signature=4cf2a9aa318a1432df3cc54a85b59f9d&amp;tk=7571587458748974088</t>
  </si>
  <si>
    <t>https://www.tiktok.com/@pisicopop/video/7372576486915575045</t>
  </si>
  <si>
    <t>7285110810274286853</t>
  </si>
  <si>
    <t>Conhecendo melhor o TDAH. #oqueetdah #tdahinfo #tdahdescomplicado #psiquiatria</t>
  </si>
  <si>
    <t>CONHECENDO MELHOR O TDAH</t>
  </si>
  <si>
    <t>7285110909676833541</t>
  </si>
  <si>
    <t>https://v16-webapp-prime.tiktok.com/video/tos/useast2a/tos-useast2a-v-27dcd7/ooyAEZ9KBzhivoAA16HANfcETgkCkE02EPjqJA/?a=1988&amp;bti=ODszNWYuMDE6&amp;ch=0&amp;cr=0&amp;dr=0&amp;er=0&amp;lr=default&amp;cd=0%7C0%7C0%7C0&amp;br=250&amp;bt=125&amp;ds=5&amp;ft=GNDpcInz7Th49-UPXq8Zmo&amp;mime_type=audio_mpeg&amp;qs=13&amp;rc=andkZzc6Zmx4bjMzNzU8M0BpandkZzc6Zmx4bjMzNzU8M0BuczJvcjQwZ2BgLS1kMTZzYSNuczJvcjQwZ2BgLS1kMTZzcw%3D%3D&amp;btag=e00050000&amp;expire=1763004402&amp;l=20251113102415EC11E565E652E77F00C9&amp;ply_type=3&amp;policy=3&amp;signature=2253c46f2244524336be6608adcb97ab&amp;tk=7571587458748974088</t>
  </si>
  <si>
    <t>https://v16-webapp-prime.tiktok.com/video/tos/maliva/tos-maliva-v-85c255-us/o8JBYNcExvsDRleFQE3BUif2wNBFjEEnQIYEXm/?a=1988&amp;bti=ODszNWYuMDE6&amp;ch=0&amp;cr=3&amp;dr=0&amp;lr=all&amp;cd=0%7C0%7C0%7C&amp;br=1542&amp;bt=771&amp;cs=0&amp;ds=3&amp;ft=-Csk_mrMPD12N0dh5d-UxPO2hY6e3wv252cAp&amp;mime_type=video_mp4&amp;qs=0&amp;rc=NDVoNjs4OGloOTtpOzw2OkBpM2drcXg5cjtpdzQzNzM2M0BeNF8wNDQtXzAxNGM2Ly00YSNgYjJmMmRrb2VgLS1kLTZzcw%3D%3D&amp;btag=e00088000&amp;expire=1764728466&amp;l=20251201102014E2CB5F4C19000C61E683&amp;ply_type=2&amp;policy=2&amp;signature=3414f062152ccc19a39f1e0512b19e73&amp;tk=tt_chain_token</t>
  </si>
  <si>
    <t>https://v16-webapp-prime.tiktok.com/video/tos/useast2a/tos-useast2a-ve-0068c001/oAeCjl1bQzrKeCAZQh9Ij0OngD5ISPgPDjMeIi/?a=1988&amp;bti=ODszNWYuMDE6&amp;ch=0&amp;cr=3&amp;dr=0&amp;lr=all&amp;cd=0%7C0%7C0%7C&amp;cv=1&amp;br=1992&amp;bt=996&amp;cs=0&amp;ds=3&amp;ft=-Csk_mrMPD12Nycopd-UxG4vXY6e3wv25McAp&amp;mime_type=video_mp4&amp;qs=0&amp;rc=M2Y1Njo5OmRnNTNmNTc1OUBpMzo6c2Y6Znd4bjMzNzczM0AtYV8uNjY1NTMxMS01My8wYSMvMnJkcjRfZGBgLS1kMTZzcw%3D%3D&amp;btag=e00090000&amp;expire=1763173602&amp;l=20251113102415EC11E565E652E77F00C9&amp;ply_type=2&amp;policy=2&amp;signature=80fe307637e3ccf2558a3f6c6ac5774f&amp;tk=tt_chain_token</t>
  </si>
  <si>
    <t>https://www.tiktok.com/@meu.mundotdah/video/7449795601916562694</t>
  </si>
  <si>
    <t>7561947142995053845</t>
  </si>
  <si>
    <t xml:space="preserve">Por conta do TDAH há uma dificuldade grande em manter o foco e concentração numa tarefa por muito tempo. Na hora do estudo isso não é diferente, por isso algumas técnicas são ótimas e necessárias para auxiliar nesse processo. Se você tem a mente muito acelerada, com pensamentos intrusivos, tente alguma dessas técnicas citadas no vídeo, para estudar, certamente vai te ajudar muito! 😄 #psicologia #tdah #tdahadulto </t>
  </si>
  <si>
    <t>7561947145528478472</t>
  </si>
  <si>
    <t>https://www.tiktok.com/@lorenatdahta/video/7285110810274286853</t>
  </si>
  <si>
    <t>https://v16-webapp-prime.tiktok.com/video/tos/alisg/tos-alisg-v-27dcd7/oEDlPBAA7AiAwE2ZChAm6ALRaxEPwYuuFbiUg/?a=1988&amp;bti=ODszNWYuMDE6&amp;ch=0&amp;cr=0&amp;dr=0&amp;er=0&amp;lr=default&amp;cd=0%7C0%7C0%7C0&amp;br=250&amp;bt=125&amp;ds=5&amp;ft=GNDpcInz7ThizKvPXq8Zmo&amp;mime_type=audio_mpeg&amp;qs=13&amp;rc=ams2OXA5cnRwNjMzODU8NEBpams2OXA5cnRwNjMzODU8NEBxLTVkMmQ0cWxhLS1kMS1zYSNxLTVkMmQ0cWxhLS1kMS1zcw%3D%3D&amp;btag=e00050000&amp;expire=1764559450&amp;l=20251201102147CB7160225F86D969BC26&amp;ply_type=3&amp;policy=3&amp;signature=09973dc86e9b5b6cd82545b29fe4a550&amp;tk=7571587458748974088</t>
  </si>
  <si>
    <t>oqueetdah,tdahinfo,tdahdescomplicado,psiquiatria</t>
  </si>
  <si>
    <t>7545135844810657030</t>
  </si>
  <si>
    <t>tdah.com.amorr</t>
  </si>
  <si>
    <t>TDAH COM AMORR ❤️</t>
  </si>
  <si>
    <t>https://p16-sign-va.tiktokcdn.com/tos-maliva-avt-0068/e36021fab1514000f0e38ef6e435b4da~tplv-tiktokx-cropcenter:100:100.jpeg?dr=14579&amp;refresh_token=4f86a7fb&amp;x-expires=1763172000&amp;x-signature=PFYw8JbyZ%2BiuetpanBHHT7bEsJc%3D&amp;t=4d5b0474&amp;ps=13740610&amp;shp=a5d48078&amp;shcp=81f88b70&amp;idc=my</t>
  </si>
  <si>
    <t>TDAH não sente saudades? Clica no link da Bio e saiba mais. 🧠💙#tdahinfantil #amor #tdahadulto #tdah #brasil</t>
  </si>
  <si>
    <t>TDAHcomamorr</t>
  </si>
  <si>
    <t>7545135858304502584</t>
  </si>
  <si>
    <t>https://v16-webapp-prime.tiktok.com/video/tos/useast2a/tos-useast2a-v-27dcd7/ooAS1rBzDAESRiy1L1VpyUlEHCtMUQACWiAPa/?a=1988&amp;bti=ODszNWYuMDE6&amp;ch=0&amp;cr=0&amp;dr=0&amp;er=0&amp;lr=default&amp;cd=0%7C0%7C0%7C0&amp;br=250&amp;bt=125&amp;ds=5&amp;ft=GNDpcInz7ThPV-UPXq8Zmo&amp;mime_type=audio_mpeg&amp;qs=13&amp;rc=M29nZGw5cjp1NTMzNzU8M0BpM29nZGw5cjp1NTMzNzU8M0A2X2FeMmQ0Xm5hLS1kMTZzYSM2X2FeMmQ0Xm5hLS1kMTZzcw%3D%3D&amp;btag=e00048000&amp;expire=1763004239&amp;l=202511131023026989DBCE704A6574DC2E&amp;ply_type=3&amp;policy=3&amp;signature=6341361ecd32ab0d252b83bdb380e73f&amp;tk=7571587458748974088</t>
  </si>
  <si>
    <t>https://v16-webapp-prime.tiktok.com/video/tos/alisg/tos-alisg-pve-0037c001/osVNEPxiRczf5XTsbgQLPEPeIA9oY9BzwyxBiB/?a=1988&amp;bti=ODszNWYuMDE6&amp;ch=0&amp;cr=3&amp;dr=0&amp;lr=all&amp;cd=0%7C0%7C0%7C&amp;br=1750&amp;bt=875&amp;cs=0&amp;ds=3&amp;ft=-Csk_mrMPD12N3Dh5d-UxIS5hY6e3wv25ocAp&amp;mime_type=video_mp4&amp;qs=0&amp;rc=ZGc5NzZmaDdkN2Y6ZjdpNkBpM2c2dnc5cnNwNjMzODczNEAtYTNjNGA0Xl8xNmJhYmBfYSNqZm9yMmRja2xhLS1kMWBzcw%3D%3D&amp;btag=e00090000&amp;expire=1764728650&amp;l=20251201102147CB7160225F86D969BC26&amp;ply_type=2&amp;policy=2&amp;signature=7317757e101f3afb89036bbea67047ff&amp;tk=tt_chain_token</t>
  </si>
  <si>
    <t>https://p16-sign-va.tiktokcdn.com/tos-maliva-avt-0068/e36021fab1514000f0e38ef6e435b4da~tplv-tiktokx-cropcenter:1080:1080.jpeg?dr=14579&amp;refresh_token=6c78693a&amp;x-expires=1763172000&amp;x-signature=6VGbsJIiaumelwiXR7zs8YAOQ2E%3D&amp;t=4d5b0474&amp;ps=13740610&amp;shp=a5d48078&amp;shcp=81f88b70&amp;idc=my</t>
  </si>
  <si>
    <t>https://v16-webapp-prime.tiktok.com/video/tos/useast2a/tos-useast2a-ve-0068c001/ogf142RbGIGD01KlAaLgSDjJoCepRFCQIGgeIa/?a=1988&amp;bti=ODszNWYuMDE6&amp;ch=0&amp;cr=3&amp;dr=0&amp;lr=all&amp;cd=0%7C0%7C0%7C&amp;cv=1&amp;br=844&amp;bt=422&amp;cs=0&amp;ds=3&amp;ft=-Csk_mrMPD12NdYopd-UxMTFGY6e3wv25LcAp&amp;mime_type=video_mp4&amp;qs=0&amp;rc=MzZnZTpmNDU4aGY2aTQ6ZUBpM25kaWw5cjx1NTMzNzczM0AwYi9eMC0yXi0xLjYyMTUzYSNhbm9nMmQ0Nm5hLS1kMTZzcw%3D%3D&amp;btag=e00088000&amp;expire=1763173439&amp;l=202511131023026989DBCE704A6574DC2E&amp;ply_type=2&amp;policy=2&amp;signature=5abbf3fb994df0b9c9bfea0a58588a98&amp;tk=tt_chain_token</t>
  </si>
  <si>
    <t>https://www.tiktok.com/@psi.walace/video/7561947142995053845</t>
  </si>
  <si>
    <t>https://www.tiktok.com/@tdah.com.amorr/video/7545135844810657030</t>
  </si>
  <si>
    <t>tdahinfantil,amor,tdahadulto,tdah,brasil</t>
  </si>
  <si>
    <t>7525593077642235192</t>
  </si>
  <si>
    <t>7361963192874061062</t>
  </si>
  <si>
    <t>#tdah #saudemental #hiperfoco #emocoes #saudemental #hiperatividade #psicologoonline #fyp #foryou #foryoupage</t>
  </si>
  <si>
    <t>em uma pessoa ADULTA  5 SINAIS DO TDAH 1-Vai querer fazer muita coisa ao mesmo tempo e não vai concluir nada! 2- VAI SER DESASTRADO E DESORGANIZADO  3- VAI SEMPRE INTERROMPER A FALA DO OUTRO 4-VAI SEMPRE DESVIAR A ATENÇÃO  5- VAI SER COMUM COMETER ERROS NA FALA, ESCRITA OU LEITURA Link na Bio!</t>
  </si>
  <si>
    <t>7361963220608076550</t>
  </si>
  <si>
    <t>O que é o TDAH na vida de um homem? É viver com o freio de mão puxado e o pé no acelerador. É saber o que tem que fazer… mas não conseguir. É tentar mudar todos os dias… e falhar todos os dias. É prometer que vai ser diferente… e repetir o mesmo erro. Na cabeça dele, tem sempre barulho. Culpa, pressa, raiva, cobrança. A mente não para, o corpo não acompanha, e o mundo exige mais do que ele consegue dar. E o impacto no casamento? Gigante. Silencioso. Devastador. Porque a mulher não entende por que ele esquece tudo. Por que some no meio das tarefas. Por que promete e não cumpre. Por que se irrita à toa. Por que parece distante mesmo estando ao lado dela. Ela acha que ele não liga. Ele sabe que ama, mas não consegue demonstrar. O TDAH destrói a rotina, o sexo, a conversa, o respeito… Até que só sobra silêncio, mágoa e frustração. O TDAH não tratado transforma o homem num peso. E o casamento num campo de batalha. E o pior: muitas vezes, nem ele sabe que carrega essa bomba dentro da cabeça. #tdah#oqueetdah#sintomasdotdah</t>
  </si>
  <si>
    <t>https://v16-webapp-prime.tiktok.com/video/tos/useast2a/tos-useast2a-v-27dcd7/oktOxcDMEFCKEnBK5AEJA8UABvv3fJiqmooAQf/?a=1988&amp;bti=ODszNWYuMDE6&amp;ch=0&amp;cr=0&amp;dr=0&amp;er=0&amp;lr=default&amp;cd=0%7C0%7C0%7C0&amp;br=250&amp;bt=125&amp;ds=5&amp;ft=GNDpcInz7Th4K-UPXq8Zmo&amp;mime_type=audio_mpeg&amp;qs=13&amp;rc=ank3Z3E5cjZpcjMzNzU8M0Bpank3Z3E5cjZpcjMzNzU8M0BwYi9vMmQ0MmlgLS1kMTZzYSNwYi9vMmQ0MmlgLS1kMTZzcw%3D%3D&amp;btag=e00050000&amp;expire=1763004191&amp;l=2025111310220790E74D25ACF9796D8D06&amp;ply_type=3&amp;policy=3&amp;signature=f7e52be2eb3ed98b4cc40cf4b90a9f6f&amp;tk=7571587458748974088</t>
  </si>
  <si>
    <t>7525593121948044037</t>
  </si>
  <si>
    <t>https://v16-webapp-prime.tiktok.com/video/tos/useast2a/tos-useast2a-v-27dcd7/oEkBiBpvi9iQMxio0pqBsRCfdO6EAIKOwIg8Z2/?a=1988&amp;bti=ODszNWYuMDE6&amp;ch=0&amp;cr=0&amp;dr=0&amp;er=0&amp;lr=default&amp;cd=0%7C0%7C0%7C0&amp;br=250&amp;bt=125&amp;ft=GNDpcInz7ThgzKvPXq8Zmo&amp;mime_type=audio_mpeg&amp;qs=6&amp;rc=OWRlZDpkMztnOjU8ZzVoZEBpM2RtcHQ5cjc3NDMzNzU8M0AuX182LV4zXl4xXzYuYS0zYSNlYWFiMmRjYmxhLS1kMTZzcw%3D%3D&amp;btag=e00090000&amp;expire=1764559382&amp;l=2025120110210868B8F68F0D0B7F5CDC9D&amp;ply_type=3&amp;policy=3&amp;signature=14ccdb7c613715527d4f8fd31939964b&amp;tk=7571587458748974088</t>
  </si>
  <si>
    <t>https://v16-webapp-prime.tiktok.com/video/tos/useast2a/tos-useast2a-ve-0068c001/oQEww5QQJuAF6EvIfNR0rKfxKBDABBNIsg3mH1/?a=1988&amp;bti=ODszNWYuMDE6&amp;ch=0&amp;cr=3&amp;dr=0&amp;lr=all&amp;cd=0%7C0%7C0%7C&amp;cv=1&amp;br=1606&amp;bt=803&amp;cs=0&amp;ds=3&amp;ft=-Csk_mrMPD12Nyhopd-UxFN2aY6e3wv25ycAp&amp;mime_type=video_mp4&amp;qs=0&amp;rc=OmlnOzM0NWY7OmQzNTk1ZkBpanQ0eG85cnhpcjMzNzczM0A2LmM2MDZeXzAxYF5jYy1eYSNiYDRlMmRjLWlgLS1kMTZzcw%3D%3D&amp;btag=e00090000&amp;expire=1763173391&amp;l=2025111310220790E74D25ACF9796D8D06&amp;ply_type=2&amp;policy=2&amp;signature=df52343992d2d511d86a96c4f7ad83dc&amp;tk=tt_chain_token</t>
  </si>
  <si>
    <t>https://v16-webapp-prime.tiktok.com/video/tos/useast2a/tos-useast2a-ve-0068c004/oMP4I5H4g02rAIQyQLEdfELiEqCwSIeRC5QeG7/?a=1988&amp;bti=ODszNWYuMDE6&amp;ch=0&amp;cr=3&amp;dr=0&amp;lr=all&amp;cd=0%7C0%7C0%7C&amp;cv=1&amp;br=1704&amp;bt=852&amp;cs=0&amp;ds=3&amp;ft=I~da4oKyD12Nvm1WS.IxR~kNglBF-UjNSEopiX&amp;mime_type=video_mp4&amp;qs=0&amp;rc=Mzo0aTs1Omg7NDUzZjw3aEBpM3Y0Onc5cjQ3NDMzNzgzM0AvMDRjNjE0XjIxMjNiYzZiYSNzXnFrMmRzYWxhLS1kLzZzcw%3D%3D&amp;btag=e00090000&amp;expire=1764728582&amp;l=2025120110210868B8F68F0D0B7F5CDC9D&amp;ply_type=2&amp;policy=2&amp;signature=82a941ab92104d52e6a131a2f4282329&amp;tk=tt_chain_token</t>
  </si>
  <si>
    <t>https://www.tiktok.com/@igorpsicologo/video/7361963192874061062</t>
  </si>
  <si>
    <t>https://www.tiktok.com/@liberdade.mentall/video/7525593077642235192</t>
  </si>
  <si>
    <t>tdah,saudemental,hiperfoco,emocoes,saudemental,hiperatividade,psicologoonline,fyp,foryou,foryoupage</t>
  </si>
  <si>
    <t>tdah,saudemental,hiperfoco,emocoes,hiperatividade,psicologoonline,fyp,foryou,foryoupage</t>
  </si>
  <si>
    <t>https://v16-webapp-prime.tiktok.com/video/tos/useast2a/tos-useast2a-v-27dcd7/oga3iO8sQKxJCE1TnAECxWicUxBzJefxBqAqBA/?a=1988&amp;bti=ODszNWYuMDE6&amp;ch=0&amp;cr=0&amp;dr=0&amp;er=0&amp;lr=default&amp;cd=0%7C0%7C0%7C0&amp;br=250&amp;bt=125&amp;ds=5&amp;ft=GNDpcInz7ThEY-UPXq8Zmo&amp;mime_type=audio_mpeg&amp;qs=13&amp;rc=M2RxZms5cmd2eDMzNzU8M0BpM2RxZms5cmd2eDMzNzU8M0BpMGI0MmRjXm1gLS1kMTZzYSNpMGI0MmRjXm1gLS1kMTZzcw%3D%3D&amp;btag=e00050000&amp;expire=1763004455&amp;l=202511131026218DEF8CE7185C8F9E5844&amp;ply_type=3&amp;policy=3&amp;signature=55f9a36e53415eb9b3d56228b8b17304&amp;tk=7571587458748974088</t>
  </si>
  <si>
    <t>7449009935217626374</t>
  </si>
  <si>
    <t>Você sabia que pessoas com TDAH não têm falta de foco, mas sim dificuldade em regular o foco? Isso significa que você pode se distrair com facilidade, mas também pode entrar em hiperfoco em algo que ama! 🎯✨ A chave é entender o seu cérebro. Use timers ⏱️, faça pausas programadas e elimine distrações. Pequenas mudanças podem trazer grandes resultados! E aí, bora focar no que importa? 🚀 #tdah #tdahadulto #conhecimentopessoal</t>
  </si>
  <si>
    <t>7449009959385221893</t>
  </si>
  <si>
    <t>https://v16-webapp-prime.tiktok.com/video/tos/useast2a/tos-useast2a-v-27dcd7/oktPBxfDJEfGJMnU7MoQBYODgBxCtEMAFAAbEQ/?a=1988&amp;bti=ODszNWYuMDE6&amp;ch=0&amp;cr=0&amp;dr=0&amp;er=0&amp;lr=default&amp;cd=0%7C0%7C0%7C0&amp;br=250&amp;bt=125&amp;ds=5&amp;ft=GNDpcInz7ThizKvPXq8Zmo&amp;mime_type=audio_mpeg&amp;qs=13&amp;rc=M2g3bXk5cjk2dzMzNzU8M0BpM2g3bXk5cjk2dzMzNzU8M0A1bHJxMmRzM2RgLS1kMTZzYSM1bHJxMmRzM2RgLS1kMTZzcw%3D%3D&amp;btag=e00078000&amp;expire=1764559333&amp;l=20251201102147CB7160225F86D969BC26&amp;ply_type=3&amp;policy=3&amp;signature=8b788a73db5e111b366236e4a595ae9e&amp;tk=7571587458748974088</t>
  </si>
  <si>
    <t>https://v16-webapp-prime.tiktok.com/video/tos/useast2a/tos-useast2a-pve-0068/oIzIyJA2iQF6Psw7BU0NZ0xiIQpAUVrdvSE6l/?a=1988&amp;bti=ODszNWYuMDE6&amp;ch=0&amp;cr=3&amp;dr=0&amp;lr=all&amp;cd=0%7C0%7C0%7C&amp;cv=1&amp;br=1952&amp;bt=976&amp;cs=0&amp;ds=3&amp;ft=-Csk_mrMPD12NH_opd-UxDTFGY6e3wv25ocAp&amp;mime_type=video_mp4&amp;qs=0&amp;rc=M2ZoZTNmZGgzOjplaDNpO0BpM25xdWo5cjx2eDMzNzgzM0A1MzJjYS0vNTExNS8uNDMyYSNtYTBpMmRrXm1gLS1kLzZzcw%3D%3D&amp;btag=e00090000&amp;expire=1763173655&amp;l=202511131026218DEF8CE7185C8F9E5844&amp;ply_type=2&amp;policy=2&amp;signature=c515eb5eea8f9e464b7600540e2411a1&amp;tk=tt_chain_token</t>
  </si>
  <si>
    <t>https://p77-sign-va.tiktokcdn.com/tos-maliva-avt-0068/38f87d0ccea25144d85cc3d0f2f08234~tplv-tiktokx-cropcenter:1080:1080.jpeg?dr=14579&amp;refresh_token=05715bb8&amp;x-expires=1764727200&amp;x-signature=xWxAnWP7T5c46%2BsaMWv%2FT0LWcvM%3D&amp;t=4d5b0474&amp;ps=13740610&amp;shp=a5d48078&amp;shcp=81f88b70&amp;idc=my</t>
  </si>
  <si>
    <t>7218203496351370501</t>
  </si>
  <si>
    <t xml:space="preserve">É muito mais comum do que se parece, um TDAH só receber seu diagnóstico na vida adulta, por diversos fatores, entre eles a falta de informação que se tinha do transtorno até muito pouco tempo atrás. Mas de repente, você se vê adulto e recebe esse diagnóstico! E agora, o que fazer? É o que trarei nessa série de vídeos "Tdah na vida adulta". #OQueÉTDAH #tdahvidaadulta #tdah #tdahadulto </t>
  </si>
  <si>
    <t>TDAH NA VIDA ADULTA
           E AGORA?</t>
  </si>
  <si>
    <t>7218203607047785221</t>
  </si>
  <si>
    <t>https://v16-webapp-prime.tiktok.com/video/tos/useast2a/tos-useast2a-v-27dcd7/cc825b6ba694462eb70e509f11a29747/?a=1988&amp;bti=ODszNWYuMDE6&amp;ch=0&amp;cr=0&amp;dr=0&amp;er=0&amp;lr=default&amp;cd=0%7C0%7C0%7C0&amp;br=250&amp;bt=125&amp;ds=5&amp;ft=GNDpcInz7Th49-UPXq8Zmo&amp;mime_type=audio_mpeg&amp;qs=13&amp;rc=anVubDU6Znc2ajMzNzU8M0BpanVubDU6Znc2ajMzNzU8M0BwMS1ncjQwX2pgLS1kMTZzYSNwMS1ncjQwX2pgLS1kMTZzcw%3D%3D&amp;btag=e00058000&amp;expire=1763004488&amp;l=20251113102415EC11E565E652E77F00C9&amp;ply_type=3&amp;policy=3&amp;signature=df26899255fbfd287448bd8c2ae4ccdb&amp;tk=7571587458748974088</t>
  </si>
  <si>
    <t>https://v16-webapp-prime.tiktok.com/video/tos/maliva/tos-maliva-v-85c255-us/oYDwSYQdKFp5EBJQfnvSB2QBMEIdfBhDEgWo4P/?a=1988&amp;bti=ODszNWYuMDE6&amp;ch=0&amp;cr=3&amp;dr=0&amp;lr=all&amp;cd=0%7C0%7C0%7C&amp;cv=1&amp;br=810&amp;bt=405&amp;cs=0&amp;ds=3&amp;ft=-Csk_mrMPD12N3Dh5d-UxIS5hY6e3wv25ocAp&amp;mime_type=video_mp4&amp;qs=0&amp;rc=ZTo8NTg6NzgzZTVoOzRoO0BpajR4bHE5cjc2dzQzNzM2M0AtLy1fNWItNjUxLWE2XjZgYSNwZ19mMmRrM2RgLS1kLTZzcw%3D%3D&amp;btag=e000b8000&amp;expire=1764728533&amp;l=20251201102147CB7160225F86D969BC26&amp;ply_type=2&amp;policy=2&amp;signature=1efac761b51ba98a8c8dcef95dcf707b&amp;tk=tt_chain_token</t>
  </si>
  <si>
    <t>https://v16-webapp-prime.tiktok.com/video/tos/maliva/tos-maliva-ve-0068c801-us/o4kLkXENEUDnBCXEIHYsnBAyQReigJbfUQNnVD/?a=1988&amp;bti=ODszNWYuMDE6&amp;ch=0&amp;cr=3&amp;dr=0&amp;lr=all&amp;cd=0%7C0%7C0%7C&amp;cv=1&amp;br=1712&amp;bt=856&amp;cs=0&amp;ds=3&amp;ft=-Csk_mrMPD12Nycopd-UxG4vXY6e3wv25McAp&amp;mime_type=video_mp4&amp;qs=0&amp;rc=ZWVpNGc1M2lpM2Y7ZGhlNEBpajdueWU6Zms2ajMzNzczM0AuY2M2LzBiXl8xNmEtYTBeYSNnMW1pcjRvXmpgLS1kMTZzcw%3D%3D&amp;btag=e00098000&amp;expire=1763173688&amp;l=20251113102415EC11E565E652E77F00C9&amp;ply_type=2&amp;policy=2&amp;signature=8b7f6c94f15eed761254189dfdd2443f&amp;tk=tt_chain_token</t>
  </si>
  <si>
    <t>https://www.tiktok.com/@meu.mundotdah/video/7449009935217626374</t>
  </si>
  <si>
    <t>tdah,tdahadulto,conhecimentopessoal</t>
  </si>
  <si>
    <t>7559628020055641400</t>
  </si>
  <si>
    <t>tatiananolasco_</t>
  </si>
  <si>
    <t>Tatiana Nolasco</t>
  </si>
  <si>
    <t>https://p16-sign-va.tiktokcdn.com/tos-maliva-avt-0068/3a086195329f6cf80b84b44a330f168a~tplv-tiktokx-cropcenter:100:100.jpeg?dr=14579&amp;refresh_token=de0e7070&amp;x-expires=1764727200&amp;x-signature=7wr7jKphJpaEkESgqqLBeLS0%2B1k%3D&amp;t=4d5b0474&amp;ps=13740610&amp;shp=a5d48078&amp;shcp=81f88b70&amp;idc=my</t>
  </si>
  <si>
    <t>https://www.tiktok.com/@lorenatdahta/video/7218203496351370501</t>
  </si>
  <si>
    <t>oqueétdah,tdahvidaadulta,tdah,tdahadulto</t>
  </si>
  <si>
    <t>7504321627337805062</t>
  </si>
  <si>
    <t>tdah.con.amor</t>
  </si>
  <si>
    <t>TDAH con Amor</t>
  </si>
  <si>
    <t>https://p16-sign-va.tiktokcdn.com/tos-maliva-avt-0068/ec2b1ace9949df7debe22384aa09b0ab~tplv-tiktokx-cropcenter:100:100.jpeg?dr=14579&amp;refresh_token=b598f10e&amp;x-expires=1763172000&amp;x-signature=OTMf1gveIIEnaKhebbT8EvwY%2B%2FQ%3D&amp;t=4d5b0474&amp;ps=13740610&amp;shp=a5d48078&amp;shcp=81f88b70&amp;idc=my</t>
  </si>
  <si>
    <t xml:space="preserve">👨‍🧠 Homem com TDAH O TDAH não é algo que “fica só na infância”. Muitos homens chegam à vida adulta sem diagnóstico e carregam dificuldades que não entendem de onde vêm. 👉 Eles podem se sentir: Ansiosos por não conseguir se organizar Frustrados por esquecer compromissos importantes Culpados por não corresponder às expectativas Impulsivos em decisões, relacionamentos ou no trabalho Mas também têm uma mente criativa, energia intensa e capacidade de enxergar soluções fora da caixa. ✨ 💡 Reconhecer o TDAH no homem adulto não é fraqueza, é libertação. É entender que existe um caminho de autoconhecimento, estratégias e apoio para viver com mais equilíbrio. #TDAH #HomemComTDAH #tdahadultos </t>
  </si>
  <si>
    <t>7559628052390841144</t>
  </si>
  <si>
    <t>https://v16-webapp-prime.tiktok.com/video/tos/useast2a/tos-useast2a-v-27dcd7/o4vpixaCDrQyCUSAGkDClzMl4iAAOBaiEECA8/?a=1988&amp;bti=ODszNWYuMDE6&amp;ch=0&amp;cr=0&amp;dr=0&amp;er=0&amp;lr=default&amp;cd=0%7C0%7C0%7C0&amp;br=250&amp;bt=125&amp;ds=5&amp;ft=GNDpcInz7Th0zKvPXq8Zmo&amp;mime_type=audio_mpeg&amp;qs=13&amp;rc=MzVsPGw5cmVtNjMzNzU8M0BpMzVsPGw5cmVtNjMzNzU8M0AuMWMuMmRrMGhhLS1kMTZzYSMuMWMuMmRrMGhhLS1kMTZzcw%3D%3D&amp;btag=e00050000&amp;expire=1764559378&amp;l=2025120110213238A64472738F9C5726DD&amp;ply_type=3&amp;policy=3&amp;signature=6df3964f1f086e158b4c8ffa1f8b5041&amp;tk=7571587458748974088</t>
  </si>
  <si>
    <t xml:space="preserve">La tolerancia a la frustración en niños con TDAH no es un capricho, es parte del trastorno. Este video puede ayudarte a entenderlo… y a acompañarlo mejor. 💬 ¿Te ha pasado? Contámelo en los comentarios. #tdah #tdahinfantil #tdahadulto #adhd #tdahtiktok #tdahconamor #crianzaconamor #padresinformados </t>
  </si>
  <si>
    <t>¿Tu hijo explota por ‘cosas pequeñas’? Esto es lo que nadie te explica...</t>
  </si>
  <si>
    <t>In the Lifetime</t>
  </si>
  <si>
    <t>7403075751426361345</t>
  </si>
  <si>
    <t>https://p16-sign-sg.tiktokcdn.com/tos-alisg-v-2774/owhCNBEzzoDAZlg0MJAxFjHBfuQACoEtMSE4eJ~720x720.jpeg?lk3s=08d74b56&amp;x-expires=1763022170&amp;x-signature=mtmy2mTUNdKSgHuzWVCLpv%2BZuus%3D</t>
  </si>
  <si>
    <t>Melodia Simples</t>
  </si>
  <si>
    <t>https://v16-webapp-prime.tiktok.com/video/tos/useast2a/tos-useast2a-pve-0068/ocEIk2IQJJAFNELtIiResJfu0SDhBBCEUQNoDk/?a=1988&amp;bti=ODszNWYuMDE6&amp;ch=0&amp;cr=3&amp;dr=0&amp;lr=all&amp;cd=0%7C0%7C0%7C&amp;cv=1&amp;br=1010&amp;bt=505&amp;cs=0&amp;ds=3&amp;ft=-Csk_mrMPD12N_hopd-Ux315hY6e3wv25dcAp&amp;mime_type=video_mp4&amp;qs=0&amp;rc=OmhoZmdkOjk7MzQ2Ozw4OUBpanhqd3A5cmdlMzMzNzczM0A0LzVjYC41Ni0xMC40YTEtYSMzaGwtMmRrNmZhLS1kMTZzcw%3D%3D&amp;btag=e00088000&amp;expire=1763173415&amp;l=20251113102250DC012CE1E68AEAAA2B86&amp;ply_type=2&amp;policy=2&amp;signature=0399ee6e2fc6e96c370615910fa36278&amp;tk=tt_chain_token</t>
  </si>
  <si>
    <t>https://p16-sign-va.tiktokcdn.com/tos-maliva-avt-0068/3a086195329f6cf80b84b44a330f168a~tplv-tiktokx-cropcenter:1080:1080.jpeg?dr=14579&amp;refresh_token=0751c3f5&amp;x-expires=1764727200&amp;x-signature=L%2Blyu45tECkhQz%2BFVF4B%2FrnPi0E%3D&amp;t=4d5b0474&amp;ps=13740610&amp;shp=a5d48078&amp;shcp=81f88b70&amp;idc=my</t>
  </si>
  <si>
    <t>https://v16-webapp-prime.tiktok.com/video/tos/alisg/tos-alisg-ve-37c813-sg/oEIapOUDivDikzBEA7WVQEB7xUayQnOGx32MS/?a=1988&amp;bti=ODszNWYuMDE6&amp;ch=0&amp;cr=3&amp;dr=0&amp;lr=all&amp;cd=0%7C0%7C0%7C&amp;cv=1&amp;br=610&amp;bt=305&amp;cs=0&amp;ds=2&amp;ft=-Csk_mrMPD12NsDh5d-UxSc2hY6e3wv25DcAp&amp;mime_type=video_mp4&amp;qs=0&amp;rc=NDo5aDM0PGZnaWk2Nzk6ZEBpanR1NHU5cjptNjMzNzczM0A0MC5gMGEtNjQxYDEyNDVhYSNeYGZtMmRrMGhhLS1kMTZzcw%3D%3D&amp;btag=e00090000&amp;expire=1764728578&amp;l=2025120110213238A64472738F9C5726DD&amp;ply_type=2&amp;policy=2&amp;signature=98de95d403d71a24dce965dea4ff24a6&amp;tk=tt_chain_token</t>
  </si>
  <si>
    <t>https://www.tiktok.com/@tdah.con.amor/video/7504321627337805062</t>
  </si>
  <si>
    <t>tdah,tdahinfantil,tdahadulto,adhd,tdahtiktok,tdahconamor,crianzaconamor,padresinformados</t>
  </si>
  <si>
    <t>7526958621536668984</t>
  </si>
  <si>
    <t>sorayacarvalho.psi</t>
  </si>
  <si>
    <t>https://p77-sign-va.tiktokcdn.com/tos-maliva-avt-0068/db2aa230d258e7c56591b8c569ce5386~tplv-tiktokx-cropcenter:100:100.jpeg?dr=14579&amp;refresh_token=d33445c1&amp;x-expires=1763172000&amp;x-signature=vd5Nhdi0mxbu2ngjlX6Kiy6cwmA%3D&amp;t=4d5b0474&amp;ps=13740610&amp;shp=a5d48078&amp;shcp=81f88b70&amp;idc=my</t>
  </si>
  <si>
    <t>https://www.tiktok.com/@tatiananolasco_/video/7559628020055641400</t>
  </si>
  <si>
    <t>tdah,homemcomtdah,tdahadultos</t>
  </si>
  <si>
    <t>A dificuldade para iniciar o sono é comum em quem tem TDAH (não é frescura e não é falta de sono). 🔁 O cérebro hiperativo não “desliga” facilmente. Pensamentos acelerados, dificuldade de regulação emocional e impulsividade dificultam a transição para o descanso. 📚 Estudos apontam que pessoas com TDAH têm maior risco de apresentar atraso no ritmo circadiano, o que impacta diretamente na qualidade e na rotina do sono. Mas dá pra melhorar! Criar uma rotina noturna previsível, reduzir estímulos e usar estratégias como leitura, respiração profunda e iluminação quente podem ajudar a preparar o cérebro para descansar. Entender o funcionamento do seu cérebro é o primeiro passo. Comenta aqui se você se identifica — ou marca aquele amigo que vive isso toda noite. Crédito: Senhor Alguém   #TDAH #TDAHeSono #Psicologia #SaudeMental #Neurodivergente #Sono #Terapia</t>
  </si>
  <si>
    <t>7526958665346730757</t>
  </si>
  <si>
    <t>https://v16-webapp-prime.tiktok.com/video/tos/useast2a/tos-useast2a-v-27dcd7/o0SBUBa1AMVLQ3wVQDilsH8hItQVIUXMCviAB/?a=1988&amp;bti=ODszNWYuMDE6&amp;ch=0&amp;cr=0&amp;dr=0&amp;er=0&amp;lr=default&amp;cd=0%7C0%7C0%7C0&amp;br=250&amp;bt=125&amp;ft=GNDpcInz7ThVY-UPXq8Zmo&amp;mime_type=audio_mpeg&amp;qs=6&amp;rc=ZjU3Ozw4Z2Q1NzU0PDg7OUBpM3Z4b2o5cjRsNDMzNzU8M0AzXmAwLmAuNi8xMjM1LTJjYSMzb15eMmRrL25hLS1kMTZzcw%3D%3D&amp;btag=e00090000&amp;expire=1763004466&amp;l=202511131026378F10DAFBB0AF239B249B&amp;ply_type=3&amp;policy=3&amp;signature=023bbb38ec37cbdcb2912977d0fbfafc&amp;tk=7571587458748974088</t>
  </si>
  <si>
    <t>7558980068215721227</t>
  </si>
  <si>
    <t>raiz.da.conscincia</t>
  </si>
  <si>
    <t>Raiz da Consciência</t>
  </si>
  <si>
    <t>https://p16-sign-va.tiktokcdn.com/tos-maliva-avt-0068/e695bdda47f1c7179037a6de28e0c63a~tplv-tiktokx-cropcenter:100:100.jpeg?dr=14579&amp;refresh_token=aeccb072&amp;x-expires=1764727200&amp;x-signature=PSivAl8OvzEwjHFA%2BnyZSR3cbLE%3D&amp;t=4d5b0474&amp;ps=13740610&amp;shp=a5d48078&amp;shcp=81f88b70&amp;idc=my</t>
  </si>
  <si>
    <t xml:space="preserve">Nem sempre é preguiça, distração ou falta de foco. Às vezes é TDAH — e você passou a vida se culpando por algo que só precisava ser compreendido. 💭✨ ( Conteúdo meramente informativo, não servindo como diagnóstico) #tdah #tdahadulto #tdahemmulheres </t>
  </si>
  <si>
    <t>Da Girls</t>
  </si>
  <si>
    <t>7213105412156065793</t>
  </si>
  <si>
    <t>https://sf16-ies-music-sg.tiktokcdn.com/obj/tos-alisg-ve-2774/o8Q9CnotfBUqZgZKv3YCCFEBXiDrZQdwdf6S6Q</t>
  </si>
  <si>
    <t>https://p16-sign-va.tiktokcdn.com/tos-maliva-avt-0068/db2aa230d258e7c56591b8c569ce5386~tplv-tiktokx-cropcenter:1080:1080.jpeg?dr=14579&amp;refresh_token=7f405353&amp;x-expires=1763172000&amp;x-signature=3lNKvlvuxICPHJMSHAQOMC%2BEabA%3D&amp;t=4d5b0474&amp;ps=13740610&amp;shp=a5d48078&amp;shcp=81f88b70&amp;idc=my</t>
  </si>
  <si>
    <t>https://p77-sg.tiktokcdn.com/aweme/720x720/tos-alisg-v-2774/oopyANSAidTiBCNB9wLExFqAsqmLBAAwWfvE2o.jpeg</t>
  </si>
  <si>
    <t>https://v16-webapp-prime.tiktok.com/video/tos/useast2a/tos-useast2a-ve-0068c002/oA5m5QfTeACfABGHIAtqHpRgsLjIk6jNMSIgCc/?a=1988&amp;bti=ODszNWYuMDE6&amp;ch=0&amp;cr=3&amp;dr=0&amp;lr=all&amp;cd=0%7C0%7C0%7C&amp;cv=1&amp;br=830&amp;bt=415&amp;cs=0&amp;ds=3&amp;ft=-Csk_mrMPD12NY_opd-Uxz42hY6e3wv25ycAp&amp;mime_type=video_mp4&amp;qs=0&amp;rc=ZjtkODpnOGZpaGgzaDc5ZEBpamhmN3M5cnJsNDMzNzczM0AwMWNiNjU2NmIxMjYzLV42YSNfMzBpMmRzLm5hLS1kMTZzcw%3D%3D&amp;btag=e00090000&amp;expire=1763173666&amp;l=202511131026378F10DAFBB0AF239B249B&amp;ply_type=2&amp;policy=2&amp;signature=795c7bc05d4451d09b5c210ec7b12e33&amp;tk=tt_chain_token</t>
  </si>
  <si>
    <t>Ciara</t>
  </si>
  <si>
    <t>https://v16-webapp-prime.tiktok.com/video/tos/useast2a/tos-useast2a-ve-0068c004/o04ED6Ze3NejLFAjQeMoGyeGAI8RkRghtnmmI0/?a=1988&amp;bti=ODszNWYuMDE6&amp;ch=0&amp;cr=3&amp;dr=0&amp;lr=all&amp;cd=0%7C0%7C0%7C&amp;cv=1&amp;br=1180&amp;bt=590&amp;cs=0&amp;ds=3&amp;ft=-Csk_mrMPD12NTDh5d-UxHX2hY6e3wv25McAp&amp;mime_type=video_mp4&amp;qs=0&amp;rc=OjxnOjQ6aGlmOjY2ZDo7OEBpM2k6cHI5cm1oNjMzNzczM0BjYS9gXmBhXjQxXmNiYzYwYSNecTBxMmQ0NGdhLS1kMTZzcw%3D%3D&amp;btag=e000b8000&amp;expire=1764728477&amp;l=20251201102050B730D50024D84153D9E5&amp;ply_type=2&amp;policy=2&amp;signature=f06083b6014c5ce1fd31eb07029a1901&amp;tk=tt_chain_token</t>
  </si>
  <si>
    <t>https://www.tiktok.com/@sorayacarvalho.psi/video/7526958621536668984</t>
  </si>
  <si>
    <t>https://www.tiktok.com/@raiz.da.conscincia/video/7558980068215721227</t>
  </si>
  <si>
    <t>TDAH,TDAHeSono,Psicologia,SaudeMental,Neurodivergente,Sono,Terapia</t>
  </si>
  <si>
    <t>tdah,tdahesono,psicologia,saudemental,neurodivergente,sono,terapia</t>
  </si>
  <si>
    <t>7371818503029984518</t>
  </si>
  <si>
    <t>tdah,tdahadulto,tdahemmulheres</t>
  </si>
  <si>
    <t>E ai? Concordam?! Deixa aqui nos comentarios se esqueci de alguma situação. #tdah #tdahadulto #psicologia #humor #foryou #comportamento #sinais #empatia #saudemental #curiosidades #ciencia</t>
  </si>
  <si>
    <t>7371818531394243333</t>
  </si>
  <si>
    <t>https://v16-webapp-prime.tiktok.com/video/tos/useast2a/tos-useast2a-v-27dcd7/o0DCAEkAXI6mnFSoKSefCGS8w7AGCTgRbMIfEC/?a=1988&amp;bti=ODszNWYuMDE6&amp;ch=0&amp;cr=0&amp;dr=0&amp;er=0&amp;lr=default&amp;cd=0%7C0%7C0%7C0&amp;br=250&amp;bt=125&amp;ds=5&amp;ft=GNDpcInz7ThSY-UPXq8Zmo&amp;mime_type=audio_mpeg&amp;qs=13&amp;rc=ajhnO2w5cnN5czMzNzU8M0BpajhnO2w5cnN5czMzNzU8M0AubzUxMmRzXzNgLS1kMTZzYSMubzUxMmRzXzNgLS1kMTZzcw%3D%3D&amp;btag=e00050000&amp;expire=1763004464&amp;l=20251113102614E0AE0D1C94494C7B69A1&amp;ply_type=3&amp;policy=3&amp;signature=180728029072a8ccdea56f5ad873468c&amp;tk=7571587458748974088</t>
  </si>
  <si>
    <t>7202704408541416709</t>
  </si>
  <si>
    <t>https://p77-sign-va.tiktokcdn.com/tos-maliva-avt-0068/ebc42eb348fcf29a09bcbf1c40faef80~tplv-tiktokx-cropcenter:100:100.jpeg?dr=14579&amp;refresh_token=caf3553d&amp;x-expires=1764727200&amp;x-signature=kuXKVitFmIMlqcy74SEn%2BHk6AyQ%3D&amp;t=4d5b0474&amp;ps=13740610&amp;shp=a5d48078&amp;shcp=81f88b70&amp;idc=my</t>
  </si>
  <si>
    <t>🚨 Você se identifica? ⬇️ Tratamento: Normalmente a combinação entre psicoterapia e medicação é a melhor e mais efetiva intervenção. Busque ajuda.😉 #tdah #tdahadulto #tdahtiktok #saudemental</t>
  </si>
  <si>
    <t>https://v16-webapp-prime.tiktok.com/video/tos/alisg/tos-alisg-pve-0037c001/okDnQGREQBAb6Ie6gjhQxuJuJBeVbi9nSdQp1C/?a=1988&amp;bti=ODszNWYuMDE6&amp;ch=0&amp;cr=3&amp;dr=0&amp;lr=all&amp;cd=0%7C0%7C0%7C&amp;cv=1&amp;br=1466&amp;bt=733&amp;cs=0&amp;ds=3&amp;ft=I~da4oKyD12NvO3WS.IxR3TNWlBF-UjNS3opiX&amp;mime_type=video_mp4&amp;qs=0&amp;rc=PDs1Zzs7N2c3aTU4PDY5Z0Bpamc0aDQ6ZnRsaTMzNzczM0A2MTRgLjQ1XjMxY2JhNTM2YSNvYjIvcjRfXm5gLS1kMTZzcw%3D%3D&amp;btag=e00088000&amp;expire=1764728779&amp;l=202512011025477241245B5AF7596AC68C&amp;ply_type=2&amp;policy=2&amp;signature=a215f35d3987b099294dc3d7ffa3a2dc&amp;tk=tt_chain_token</t>
  </si>
  <si>
    <t>https://v16-webapp-prime.tiktok.com/video/tos/useast2a/tos-useast2a-ve-0068c002/o8fMuKVCMAM6QjUFgIFCmXSDbfSkVlfECICPkE/?a=1988&amp;bti=ODszNWYuMDE6&amp;ch=0&amp;cr=3&amp;dr=0&amp;lr=all&amp;cd=0%7C0%7C0%7C&amp;cv=1&amp;br=2130&amp;bt=1065&amp;cs=0&amp;ds=3&amp;ft=-Csk_mrMPD12NF_opd-UxbX5bY6e3wv25zcAp&amp;mime_type=video_mp4&amp;qs=0&amp;rc=ZWlpaDw8ZmQzO2hmODQ2NkBpMzc8bnc5cnB5czMzNzczM0AvNTZgX14zXmAxX2EwXjQzYSMuX2RjMmRzXjNgLS1kMTZzcw%3D%3D&amp;btag=e00090000&amp;expire=1763173664&amp;l=20251113102614E0AE0D1C94494C7B69A1&amp;ply_type=2&amp;policy=2&amp;signature=4ad9cd5775bbb708cd8c13066463f5f3&amp;tk=tt_chain_token</t>
  </si>
  <si>
    <t>https://www.tiktok.com/@psi.jonathanorlandi/video/7371818503029984518</t>
  </si>
  <si>
    <t>https://www.tiktok.com/@psicologo.mateus/video/7202704408541416709</t>
  </si>
  <si>
    <t>tdah,tdahadulto,tdahtiktok,saudemental</t>
  </si>
  <si>
    <t>tdah,tdahadulto,psicologia,humor,foryou,comportamento,sinais,empatia,saudemental,curiosidades,ciencia</t>
  </si>
  <si>
    <t>7377552711681707270</t>
  </si>
  <si>
    <t>7386299936528207110</t>
  </si>
  <si>
    <t>podpah</t>
  </si>
  <si>
    <t>Podpah Podcast</t>
  </si>
  <si>
    <t>O TDAH nas mulheres, pode se manifestar assim! 🤷‍♀️🧠...E para você mulher TDAH como eu, fez sentido também? 💬#tdahta #tdahmulher  #tdahadulto  #tdahcaracterísticas #tdahtiktok #adhdinwomen</t>
  </si>
  <si>
    <t>https://p77-sign-va.tiktokcdn.com/tos-maliva-avt-0068/ebb98fced30febfe9148afd9416f08d4~tplv-tiktokx-cropcenter:100:100.jpeg?dr=14579&amp;refresh_token=c4ba517a&amp;x-expires=1764727200&amp;x-signature=Px6ntp%2FPZpw1FN6vMibg5q%2FOY5E%3D&amp;t=4d5b0474&amp;ps=13740610&amp;shp=a5d48078&amp;shcp=81f88b70&amp;idc=my</t>
  </si>
  <si>
    <t>https://p16-sg.tiktokcdn.com/aweme/720x720/tos-alisg-v-2774/7851b9d4cd8c4aa98ae927a8c7b9fe1b.jpeg</t>
  </si>
  <si>
    <t>https://v16-webapp-prime.tiktok.com/video/tos/useast2a/tos-useast2a-ve-0068c004/o4jPcQItnZB1b3OnBfFEQHDVCZAVt3WEIAfoJt/?a=1988&amp;bti=ODszNWYuMDE6&amp;ch=0&amp;cr=3&amp;dr=0&amp;lr=all&amp;cd=0%7C0%7C0%7C&amp;br=1902&amp;bt=951&amp;cs=0&amp;ds=3&amp;ft=-Csk_mrMPD12N3Yopd-Ux24FaY6e3wv25WcAp&amp;mime_type=video_mp4&amp;qs=0&amp;rc=OzM6NjU6MztnZDlnaTpnaUBpanF0O3k5cm9ndzMzNzgzM0BjYl4wXmEvXi0xYWA2MWBgYSNqZW0tMmRjMGdgLS1kLzZzcw%3D%3D&amp;btag=e00090000&amp;expire=1763173507&amp;l=2025111310235634FE9FF2AA2A079ADB1D&amp;ply_type=2&amp;policy=2&amp;signature=7b4571496431e865f9052b09a3ed9c03&amp;tk=tt_chain_token</t>
  </si>
  <si>
    <t>TDAH #podpah #podcast #mitico #tdah</t>
  </si>
  <si>
    <t>7386299995597245189</t>
  </si>
  <si>
    <t>https://v16-webapp-prime.tiktok.com/video/tos/useast2a/tos-useast2a-v-27dcd7/o0BlCmWBVKiEUBFJN4Ygf4CJO0QfIwpCrUgQWD/?a=1988&amp;bti=ODszNWYuMDE6&amp;ch=0&amp;cr=0&amp;dr=0&amp;er=0&amp;lr=default&amp;cd=0%7C0%7C0%7C0&amp;br=250&amp;bt=125&amp;ft=GNDpcInz7ThgzKvPXq8Zmo&amp;mime_type=audio_mpeg&amp;qs=6&amp;rc=Omk8aThoOjY8aTdmZWQ4ZEBpM3Z2Zm45cmZwdDMzNzU8M0AvXzI0MWBfXy4xMV5eYjUyYSMvXmhpMmQ0ZS1gLS1kMTZzcw%3D%3D&amp;btag=e00090000&amp;expire=1764559355&amp;l=2025120110210868B8F68F0D0B7F5CDC9D&amp;ply_type=3&amp;policy=3&amp;signature=a2f2081b2a1d1055b0cd28e0c3090256&amp;tk=7571587458748974088</t>
  </si>
  <si>
    <t>https://www.tiktok.com/@lorenatdahta/video/7377552711681707270</t>
  </si>
  <si>
    <t>https://p77-sign-va.tiktokcdn.com/tos-maliva-avt-0068/ebb98fced30febfe9148afd9416f08d4~tplv-tiktokx-cropcenter:1080:1080.jpeg?dr=14579&amp;refresh_token=c86ce17f&amp;x-expires=1764727200&amp;x-signature=oIC2l%2BNKR%2BnMVKvH1vdBcvM8SQI%3D&amp;t=4d5b0474&amp;ps=13740610&amp;shp=a5d48078&amp;shcp=81f88b70&amp;idc=my</t>
  </si>
  <si>
    <t>tdahta,tdahmulher,tdahadulto,tdahcaracterísticas,tdahtiktok,adhdinwomen</t>
  </si>
  <si>
    <t>7517416026632359224</t>
  </si>
  <si>
    <t xml:space="preserve">Neurodivergentes tendem a repetir padrões, principalmente quando é algo que agrada o cérebro. No caso do TDAH em específico, algumas coisas que geram dopamina podem diminuir com o tempo, fazendo com que busque mais novidades e estímulos novos. obs: Só para deixar claro, o vídeo é especificamente sobre neurodivergentes (TDAH/TEA), o que não quer dizer que um cérebro neurotipico também não passe por algo parecido com o que ocorre no vídeo. #psicologia #tdah #tdahadulto </t>
  </si>
  <si>
    <t>https://p16-sg.tiktokcdn.com/aweme/720x720/tos-alisg-v-2774/oUG8AAGLIKPebIIr4eMBrqUMeeVeAAi7ABVAL2.jpeg</t>
  </si>
  <si>
    <t>https://v16-webapp-prime.tiktok.com/video/tos/useast2a/tos-useast2a-pve-0068/oQaIM8TEiSExA2BQdIiONxi5kMQGa8inUvOBF/?a=1988&amp;bti=ODszNWYuMDE6&amp;ch=0&amp;cr=3&amp;dr=0&amp;lr=all&amp;cd=0%7C0%7C0%7C&amp;cv=1&amp;br=1766&amp;bt=883&amp;cs=0&amp;ds=3&amp;ft=-Csk_mrMPD12NF_opd-UxbX5bY6e3wv25zcAp&amp;mime_type=video_mp4&amp;qs=0&amp;rc=ODdlOTlnMzlmOTc7Omk0aUBpMztxPGs5cnBtNDMzNzczM0AvXjYxLjI2NjYxNGA2YDAxYSNhL29lMmRrZzZhLS1kMTZzcw%3D%3D&amp;btag=e00090000&amp;expire=1763173639&amp;l=20251113102614E0AE0D1C94494C7B69A1&amp;ply_type=2&amp;policy=2&amp;signature=f3812425500c8bf99cabded06caa4fb3&amp;tk=tt_chain_token</t>
  </si>
  <si>
    <t>https://v16-webapp-prime.tiktok.com/video/tos/useast2a/tos-useast2a-pve-0068/owztvIgfOIPZKVKNA0AfRogFeEIIvCCSrGjjAL/?a=1988&amp;bti=ODszNWYuMDE6&amp;ch=0&amp;cr=3&amp;dr=0&amp;lr=all&amp;cd=0%7C0%7C0%7C&amp;cv=1&amp;br=992&amp;bt=496&amp;cs=0&amp;ds=6&amp;ft=I~da4oKyD12Nvm1WS.IxR~kNglBF-UjNSEopiX&amp;mime_type=video_mp4&amp;qs=5&amp;rc=aGY2ZGgzPGllaGQ4ZzRmM0BpamRoO3I5cjlwdDMzNzczM0AyMjJeMjBfNTYxXmFfNTUwYSNyMWhtMmRjZS1gLS1kMTZzcw%3D%3D&amp;btag=e00090000&amp;expire=1764728555&amp;l=2025120110210868B8F68F0D0B7F5CDC9D&amp;ply_type=2&amp;policy=2&amp;signature=bb2215c4707497dff5b90220c19325b1&amp;tk=tt_chain_token</t>
  </si>
  <si>
    <t>https://www.tiktok.com/@psi.walace/video/7517416026632359224</t>
  </si>
  <si>
    <t>https://www.tiktok.com/@podpah/video/7386299936528207110</t>
  </si>
  <si>
    <t>7434884122780175671</t>
  </si>
  <si>
    <t>🔊 Já ouviu falar em Distúrbio de Processamento Auditivo Central (DPAC)? Em pessoas com TDAH, essa condição pode tornar o entendimento de sons mais difícil, mesmo que a audição esteja normal! 👂 Quem tem DPAC pode ter dificuldade para seguir instruções, entender em ambientes ruidosos ou até lembrar o que foi dito em uma conversa. 🧠✨ Imagina só a confusão no dia a dia! O DPAC é mais comum do que parece em TDAHs, e entender como ele afeta a rotina pode ser o primeiro passo para criar estratégias de apoio. Se você se identificou, comenta aqui! #psicologia #foryou #terapia #curiosidades #amizades #comportamento #tdahadulto #tdah #Psicologia #DistraídosVenceremos</t>
  </si>
  <si>
    <t>podpah,podcast,mitico,tdah</t>
  </si>
  <si>
    <t>7434884179153308472</t>
  </si>
  <si>
    <t>https://v16-webapp-prime.tiktok.com/video/tos/useast2a/tos-useast2a-v-27dcd7/ocIrEOJLQPoJCEa8nAEAthFzUZBuJgfABMAfDA/?a=1988&amp;bti=ODszNWYuMDE6&amp;ch=0&amp;cr=0&amp;dr=0&amp;er=0&amp;lr=default&amp;cd=0%7C0%7C0%7C0&amp;br=250&amp;bt=125&amp;ds=5&amp;ft=GNDpcInz7ThA9-UPXq8Zmo&amp;mime_type=audio_mpeg&amp;qs=13&amp;rc=ajlub245cmwzdjMzNzU8M0Bpajlub245cmwzdjMzNzU8M0BjbWkwMmQ0NGtgLS1kMTZzYSNjbWkwMmQ0NGtgLS1kMTZzcw%3D%3D&amp;btag=e00050000&amp;expire=1763004360&amp;l=20251113102449DDADD1FB7AF14A841409&amp;ply_type=3&amp;policy=3&amp;signature=c28cbd16714c362edec82b50f8ff52a2&amp;tk=7571587458748974088</t>
  </si>
  <si>
    <t>7508766819830779142</t>
  </si>
  <si>
    <t>https://p77-sign-va.tiktokcdn.com/tos-maliva-avt-0068/dc1254c61f7c029eaaef87fbdfa88d8d~tplv-tiktokx-cropcenter:100:100.jpeg?dr=14579&amp;refresh_token=41bef4eb&amp;x-expires=1764727200&amp;x-signature=bbnZqB6RKe%2FNsRpt8s6UW7LCN9I%3D&amp;t=4d5b0474&amp;ps=13740610&amp;shp=a5d48078&amp;shcp=81f88b70&amp;idc=my</t>
  </si>
  <si>
    <t>https://v16-webapp-prime.tiktok.com/video/tos/useast2a/tos-useast2a-ve-0068c001/ocZdQSQMMd8CdfegBOAcIRsI7QWbfjAXE5COog/?a=1988&amp;bti=ODszNWYuMDE6&amp;ch=0&amp;cr=3&amp;dr=0&amp;lr=all&amp;cd=0%7C0%7C0%7C&amp;cv=1&amp;br=1872&amp;bt=936&amp;cs=0&amp;ds=3&amp;ft=I~da4oKyD12NvgA0i.IxRMb_glBF-UjNSaopiX&amp;mime_type=video_mp4&amp;qs=0&amp;rc=aDszZjdmPGY4OWQ1NzYzPEBpMzs7cXE5cmkzdjMzNzczM0BeNjAuYGMwXzExXjAzLWMyYSNvcXBvMmQ0NGtgLS1kMTZzcw%3D%3D&amp;btag=e00090000&amp;expire=1763173560&amp;l=20251113102449DDADD1FB7AF14A841409&amp;ply_type=2&amp;policy=2&amp;signature=13315b95e1b19daa5f815e4c64c071c0&amp;tk=tt_chain_token</t>
  </si>
  <si>
    <t xml:space="preserve">Depois que surgiu o TDAH, ninguém mais é distraído😂 📌  O TDAH requer um diagnóstico médico. Além de impulsividade, excesso de agitação e déficit de atenção, o quadro pode gerar ansiedade e outros transtornos. Não é porque você esqueceu a chave que você tem TDAH.  Busque o diagnóstico médico.  #humor #comedia #curiosidades #tdah </t>
  </si>
  <si>
    <t>7508766816368659205</t>
  </si>
  <si>
    <t>https://v16-webapp-prime.tiktok.com/video/tos/useast2a/tos-useast2a-v-27dcd7/oYeoTPk5QISAoACOfCaLoB9IIiGAFvEmXgeo6F/?a=1988&amp;bti=ODszNWYuMDE6&amp;ch=0&amp;cr=0&amp;dr=0&amp;er=0&amp;lr=default&amp;cd=0%7C0%7C0%7C0&amp;br=250&amp;bt=125&amp;ds=5&amp;ft=GNDpcInz7ThfpKvPXq8Zmo&amp;mime_type=audio_mpeg&amp;qs=13&amp;rc=M2k1bm05cmQ6MzMzNzU8M0BpM2k1bm05cmQ6MzMzNzU8M0A2Z19kMmRzc25hLS1kMTZzYSM2Z19kMmRzc25hLS1kMTZzcw%3D%3D&amp;btag=e00048000&amp;expire=1764559597&amp;l=202512011025596D30CB3112238F5D274D&amp;ply_type=3&amp;policy=3&amp;signature=45e42f128a3abbfe3ac68a9ec0f9e214&amp;tk=7571587458748974088</t>
  </si>
  <si>
    <t>https://www.tiktok.com/@psi.jonathanorlandi/video/7434884122780175671</t>
  </si>
  <si>
    <t>psicologia,foryou,terapia,curiosidades,amizades,comportamento,tdahadulto,tdah,psicologia,distraídosvenceremos</t>
  </si>
  <si>
    <t>psicologia,foryou,terapia,curiosidades,amizades,comportamento,tdahadulto,tdah,distraídosvenceremos</t>
  </si>
  <si>
    <t>https://p77-sign-va.tiktokcdn.com/tos-maliva-avt-0068/8bc5cafa0969c1cbad00f88541c52e3c~tplv-tiktokx-cropcenter:100:100.jpeg?dr=14579&amp;refresh_token=cf17b580&amp;x-expires=1763172000&amp;x-signature=nEowp%2BpIOLb%2FIj01XElw9yTsyWI%3D&amp;t=4d5b0474&amp;ps=13740610&amp;shp=a5d48078&amp;shcp=81f88b70&amp;idc=my</t>
  </si>
  <si>
    <t>https://p16-sign-va.tiktokcdn.com/tos-maliva-avt-0068/dc1254c61f7c029eaaef87fbdfa88d8d~tplv-tiktokx-cropcenter:1080:1080.jpeg?dr=14579&amp;refresh_token=fb7f3aea&amp;x-expires=1764727200&amp;x-signature=ob%2FgMOVPSSMhWEzbPQwPZ1ebot4%3D&amp;t=4d5b0474&amp;ps=13740610&amp;shp=a5d48078&amp;shcp=81f88b70&amp;idc=my</t>
  </si>
  <si>
    <t>https://v16-webapp-prime.tiktok.com/video/tos/useast2a/tos-useast2a-v-27dcd7/ogZOwebIBbQCfC3gJOgYmCiL0exWXMQkFGeEA8/?a=1988&amp;bti=ODszNWYuMDE6&amp;ch=0&amp;cr=0&amp;dr=0&amp;er=0&amp;lr=default&amp;cd=0%7C0%7C0%7C0&amp;br=250&amp;bt=125&amp;ft=GNDpcInz7ThyY-UPXq8Zmo&amp;mime_type=audio_mpeg&amp;qs=6&amp;rc=ODs6ZjVmNjc4aTs6NWloZEBpajNodHA5cnUzMzMzNzU8M0AwNl8zNjYxNl4xLmBiLTIxYSNrcjE2MmRjanNhLS1kMTZzcw%3D%3D&amp;btag=e00090000&amp;expire=1763004495&amp;l=2025111310264583C2663DA446357263D7&amp;ply_type=3&amp;policy=3&amp;signature=96892417b67b76cccbe62fe4e85181ce&amp;tk=7571587458748974088</t>
  </si>
  <si>
    <t>https://v16-webapp-prime.tiktok.com/video/tos/useast2a/tos-useast2a-pve-0068/oMMoYsgIEDDAaSOFPECxRQfehIFCjIgWQm70fQ/?a=1988&amp;bti=ODszNWYuMDE6&amp;ch=0&amp;cr=3&amp;dr=0&amp;lr=all&amp;cd=0%7C0%7C0%7C&amp;cv=1&amp;br=1780&amp;bt=890&amp;cs=0&amp;ds=3&amp;ft=-Csk_mrMPD12NAgh5d-UxbS5hY6e3wv25McAp&amp;mime_type=video_mp4&amp;qs=0&amp;rc=aGY2ZzpoNGVpMzVoOjVmZEBpM3RyaGo5cjM6MzMzNzczM0AyNjEwLi40X2MxLzViXy0yYSMzZDNlMmRzc25hLS1kMTZzcw%3D%3D&amp;btag=e00088000&amp;expire=1764728798&amp;l=202512011025596D30CB3112238F5D274D&amp;ply_type=2&amp;policy=2&amp;signature=814ee6ae9cd9d5ce7ee86f9d72dacf39&amp;tk=tt_chain_token</t>
  </si>
  <si>
    <t>https://p16-sign-va.tiktokcdn.com/tos-maliva-avt-0068/8bc5cafa0969c1cbad00f88541c52e3c~tplv-tiktokx-cropcenter:1080:1080.jpeg?dr=14579&amp;refresh_token=f4623997&amp;x-expires=1763172000&amp;x-signature=xmcWgG0hsb%2BraS8VIJh9THdj7h4%3D&amp;t=4d5b0474&amp;ps=13740610&amp;shp=a5d48078&amp;shcp=81f88b70&amp;idc=my</t>
  </si>
  <si>
    <t>https://www.tiktok.com/@mister.emerson/video/7508766819830779142</t>
  </si>
  <si>
    <t>humor,comedia,curiosidades,tdah</t>
  </si>
  <si>
    <t>7528542804130155781</t>
  </si>
  <si>
    <t>https://v16-webapp-prime.tiktok.com/video/tos/useast2a/tos-useast2a-ve-0068c001/oMOotlt0gAThgVODQQFAPCJDBfa4V3gEBCBJeI/?a=1988&amp;bti=ODszNWYuMDE6&amp;ch=0&amp;cr=3&amp;dr=0&amp;lr=all&amp;cd=0%7C0%7C0%7C&amp;cv=1&amp;br=2924&amp;bt=1462&amp;cs=0&amp;ds=3&amp;ft=-Csk_mrMPD12Nw_opd-UxfeFaY6e3wv25HcAp&amp;mime_type=video_mp4&amp;qs=0&amp;rc=PDc1NDY1NTZnNTYzNWU4NUBpM3Y7bWo5cmozMzMzNzgzM0A0LV9iMzIzNjExMzVgYi5jYSMtaV9nMmRjanNhLS1kLzZzcw%3D%3D&amp;btag=e00090000&amp;expire=1763173695&amp;l=2025111310264583C2663DA446357263D7&amp;ply_type=2&amp;policy=2&amp;signature=02825923f05f12bddf7a1ad04c3e6884&amp;tk=tt_chain_token</t>
  </si>
  <si>
    <t>melissa_montagnole</t>
  </si>
  <si>
    <t>Melissa Montagnole</t>
  </si>
  <si>
    <t>https://p77-sign-va.tiktokcdn.com/tos-maliva-avt-0068/f5f3e05e40b3036e9f414849c4ff11a1~tplv-tiktokx-cropcenter:100:100.jpeg?dr=14579&amp;refresh_token=79e5a22b&amp;x-expires=1764727200&amp;x-signature=4AAjeEZ%2BLMFWDIEPNn3Y1yTlul0%3D&amp;t=4d5b0474&amp;ps=13740610&amp;shp=a5d48078&amp;shcp=81f88b70&amp;idc=my</t>
  </si>
  <si>
    <t>MELISSA É AUTISTA? 🧩 Antes que maus informados iniciem seus ataques, quero deixar claro que todo laudo é feito com profissionais excelentes e validados, e que dividir algo tão pessoal com vocês, é exatamente no intuito de gerar compreensão, acolhimento e mais informação!! Somos todos um e indiferente das características de cada um, todos sem exceção merecem respeito e consideração. Gratidão a todos que me acompanham com todo carinho do mundo, saibam que é recíproco. Bjs da Memel ❤️ #tea #tdah #autismoadulto #diagnosticotardio</t>
  </si>
  <si>
    <t>FUI DIAGNOSTICADA COM AUTISMO 🧩</t>
  </si>
  <si>
    <t>Monkeys Spinning Monkeys</t>
  </si>
  <si>
    <t>6746993352891189249</t>
  </si>
  <si>
    <t>https://sf16-ies-music-sg.tiktokcdn.com/obj/tos-alisg-ve-2774/oMGv3IXAHMY9WOUO3Z1cqAtiBLblarXGiATW5</t>
  </si>
  <si>
    <t>https://p16-sg.tiktokcdn.com/aweme/720x720/tos-alisg-v-2774/baccdb3bc024418b9276ed236c584908.jpeg</t>
  </si>
  <si>
    <t>7211652717209570566</t>
  </si>
  <si>
    <t>dr.guilhermemachado</t>
  </si>
  <si>
    <t>Guilherme Machado</t>
  </si>
  <si>
    <t>Kevin MacLeod &amp; Kevin The Monkey</t>
  </si>
  <si>
    <t>https://p77-sign-va.tiktokcdn.com/tos-maliva-avt-0068/978c28354dd93bc4bed9362aaac99b9e~tplv-tiktokx-cropcenter:100:100.jpeg?dr=14579&amp;refresh_token=86ccbbbe&amp;x-expires=1763172000&amp;x-signature=W0iKP1EpfT7jD0OZcbR6%2BBZQpRk%3D&amp;t=4d5b0474&amp;ps=13740610&amp;shp=a5d48078&amp;shcp=81f88b70&amp;idc=my</t>
  </si>
  <si>
    <t>https://v16-webapp-prime.tiktok.com/video/tos/useast2a/tos-useast2a-ve-0068c001/o0IACig1QgLfZ5P100U5ANk6GGICEgiSBW5dio/?a=1988&amp;bti=ODszNWYuMDE6&amp;ch=0&amp;cr=3&amp;dr=0&amp;lr=all&amp;cd=0%7C0%7C0%7C&amp;cv=1&amp;br=3134&amp;bt=1567&amp;cs=0&amp;ds=3&amp;ft=-Csk_mrMPD12NaDh5d-Uxq42hY6e3wv25IcAp&amp;mime_type=video_mp4&amp;qs=0&amp;rc=NzxkZWU0OGVpN2U7NjY5N0BpandkcnM5cjhmNDMzNzczM0BgNV8vMS5eX2AxYzAtNl5iYSMzMS9uMmRzL3FhLS1kMTZzcw%3D%3D&amp;btag=e00090000&amp;expire=1764728665&amp;l=202512011021380CC83080A64AA152B5B8&amp;ply_type=2&amp;policy=2&amp;signature=f4cddab440b0316cbf52ac13d211df24&amp;tk=tt_chain_token</t>
  </si>
  <si>
    <t>https://www.tiktok.com/@melissa_montagnole/video/7528542804130155781</t>
  </si>
  <si>
    <t>#autismo #autista #psicologia #autism</t>
  </si>
  <si>
    <t xml:space="preserve">Sinais de
AUTISMO
em adultos </t>
  </si>
  <si>
    <t>tea,tdah,autismoadulto,diagnosticotardio</t>
  </si>
  <si>
    <t>7211652736487541509</t>
  </si>
  <si>
    <t>https://v16-webapp-prime.tiktok.com/video/tos/useast2a/tos-useast2a-v-27dcd7/e66296f617484738a8aa7ae3e28953de/?a=1988&amp;bti=ODszNWYuMDE6&amp;ch=0&amp;cr=0&amp;dr=0&amp;er=0&amp;lr=default&amp;cd=0%7C0%7C0%7C0&amp;br=250&amp;bt=125&amp;ds=5&amp;ft=GNDpcInz7ThPV-UPXq8Zmo&amp;mime_type=audio_mpeg&amp;qs=13&amp;rc=ajpmZDs6ZnhoajMzNzU8M0BpajpmZDs6ZnhoajMzNzU8M0AzMjEwcjRnc15gLS1kMTZzYSMzMjEwcjRnc15gLS1kMTZzcw%3D%3D&amp;btag=e00050000&amp;expire=1763004314&amp;l=202511131023026989DBCE704A6574DC2E&amp;ply_type=3&amp;policy=3&amp;signature=fb4e40e7bb2c27c53c5c9d9a20b60026&amp;tk=7571587458748974088</t>
  </si>
  <si>
    <t>https://p77-sign-va.tiktokcdn.com/tos-maliva-avt-0068/558a1246010c72cc49bee2096709c74b~tplv-tiktokx-cropcenter:100:100.jpeg?dr=14579&amp;refresh_token=2747aa18&amp;x-expires=1764727200&amp;x-signature=nDNNYYAR%2FLn8VNqMhsFEHlg08AA%3D&amp;t=4d5b0474&amp;ps=13740610&amp;shp=a5d48078&amp;shcp=81f88b70&amp;idc=my</t>
  </si>
  <si>
    <t>https://p16-sign-va.tiktokcdn.com/tos-maliva-avt-0068/978c28354dd93bc4bed9362aaac99b9e~tplv-tiktokx-cropcenter:1080:1080.jpeg?dr=14579&amp;refresh_token=991fec88&amp;x-expires=1763172000&amp;x-signature=JsaaZK0qju5u4elB7ivPF9pjocU%3D&amp;t=4d5b0474&amp;ps=13740610&amp;shp=a5d48078&amp;shcp=81f88b70&amp;idc=my</t>
  </si>
  <si>
    <t>https://v16-webapp-prime.tiktok.com/video/tos/useast2a/tos-useast2a-v-27dcd7/ocgro9guQIfaskCFe9jQLGRELY83kXfeAJvLPm/?a=1988&amp;bti=ODszNWYuMDE6&amp;ch=0&amp;cr=0&amp;dr=0&amp;er=0&amp;lr=default&amp;cd=0%7C0%7C0%7C0&amp;br=250&amp;bt=125&amp;ft=GNDpcInz7ThvzKvPXq8Zmo&amp;mime_type=audio_mpeg&amp;qs=6&amp;rc=NWQ8OGk4OWRnaGk3Zzs8NEBpanl0eXk5cjh5NjMzNzU8M0BeYTUvX14vXzUxY18yMy42YSNvX2JhMmRjXjJhLS1kMTZzcw%3D%3D&amp;btag=e00090000&amp;expire=1764559354&amp;l=2025120110205711DA509A8B9B2F6AA181&amp;ply_type=3&amp;policy=3&amp;signature=6dc3833528a6c29449ab04ece997d5d0&amp;tk=7571587458748974088</t>
  </si>
  <si>
    <t>https://v16-webapp-prime.tiktok.com/video/tos/useast2a/tos-useast2a-pve-0068/ooIuFRBkyFU8ffUgJAczBQQEJJBNAo1hBUS0hO/?a=1988&amp;bti=ODszNWYuMDE6&amp;ch=0&amp;cr=3&amp;dr=0&amp;lr=all&amp;cd=0%7C0%7C0%7C&amp;cv=1&amp;br=2292&amp;bt=1146&amp;cs=0&amp;ds=3&amp;ft=-Csk_mrMPD12NdYopd-UxMTFGY6e3wv25LcAp&amp;mime_type=video_mp4&amp;qs=0&amp;rc=Nzs4ZDM3M2Q4OjdkNDU3OEBpMzw4dzw6Zm5oajMzNzczM0AuMy42NTEwXzYxMF4uMzMuYSMtNS1ucjQwc15gLS1kMTZzcw%3D%3D&amp;btag=e00090000&amp;expire=1763173514&amp;l=202511131023026989DBCE704A6574DC2E&amp;ply_type=2&amp;policy=2&amp;signature=770834d9ad9483fd222a2aaefae06ab9&amp;tk=tt_chain_token</t>
  </si>
  <si>
    <t>https://p77-sign-va.tiktokcdn.com/tos-maliva-avt-0068/558a1246010c72cc49bee2096709c74b~tplv-tiktokx-cropcenter:1080:1080.jpeg?dr=14579&amp;refresh_token=64adab2a&amp;x-expires=1764727200&amp;x-signature=FdeLC4KLylp4O9JaobA%2FZ4OvkxA%3D&amp;t=4d5b0474&amp;ps=13740610&amp;shp=a5d48078&amp;shcp=81f88b70&amp;idc=my</t>
  </si>
  <si>
    <t>https://www.tiktok.com/@dr.guilhermemachado/video/7211652717209570566</t>
  </si>
  <si>
    <t>autismo,autista,psicologia,autism</t>
  </si>
  <si>
    <t>https://v16-webapp-prime.tiktok.com/video/tos/maliva/tos-maliva-v-85c255-us/owJvyyiBxIJBw9FBiofQIqB4iDfQEBSIDE9LGi/?a=1988&amp;bti=ODszNWYuMDE6&amp;ch=0&amp;cr=3&amp;dr=0&amp;lr=all&amp;cd=0%7C0%7C0%7C&amp;cv=1&amp;br=1360&amp;bt=680&amp;cs=0&amp;ds=3&amp;ft=-Csk_mrMPD12N5Dh5d-UxP12hY6e3wv25ocAp&amp;mime_type=video_mp4&amp;qs=0&amp;rc=NDZpaTlpaGY8aGc5aDM2ZEBpM2s5a3I5cjR5NjQzNzM2M0AuXy4tYTIwNS8xMC1gXjExYSNtczUxMmRzXjJhLS1kLTZzcw%3D%3D&amp;btag=e00090000&amp;expire=1764728554&amp;l=2025120110205711DA509A8B9B2F6AA181&amp;ply_type=2&amp;policy=2&amp;signature=d3dfadf0193e136a4917fa1765241742&amp;tk=tt_chain_token</t>
  </si>
  <si>
    <t>7546750654287498502</t>
  </si>
  <si>
    <t xml:space="preserve">Talentos ocultos" do TDAH 😅🎭🤸🎨 . . . 👩‍🎨 Conviver com um TDAH muitas vezes, é acabar se deparando com talentos aleatórios que se revelam para os demais, como surpresa. E do nada você descobre que a pessoa sabe fazer malabarismo, tocar um instrumento ou pintar quadros incríveis... 🧠 Talvez pela quantidade de hiperfixações que o TDAH vivencia ao longo de sua vida e por sua tendência em se buscar por novidades... Mas infelizmente, a real é que na maioria das vezes, a gente não usa boa parte disso e só coleciona "talentos aleatórios" mesmo.  E por aí, TDAH? Essa teoria faz sentido também? 😅💬 🎙 Animação original @neurodivers.show e dublagem por minha conta! #tdahta #tdahadulto #talentosocultos #tdahmemes #tdahproblemas </t>
  </si>
  <si>
    <t>7546750663004031749</t>
  </si>
  <si>
    <t>https://v16-webapp-prime.tiktok.com/video/tos/useast2a/tos-useast2a-v-27dcd7/ooZjrAkB0Ac0QNuiiAAbPBEAKgt7fXnolEEcCk/?a=1988&amp;bti=ODszNWYuMDE6&amp;ch=0&amp;cr=0&amp;dr=0&amp;er=0&amp;lr=default&amp;cd=0%7C0%7C0%7C0&amp;br=250&amp;bt=125&amp;ds=5&amp;ft=GNDpcInz7Tht9-UPXq8Zmo&amp;mime_type=audio_mpeg&amp;qs=13&amp;rc=ampwPG45cmxxNTMzNzU8M0BpampwPG45cmxxNTMzNzU8M0BgcGEtMmRjMHFhLS1kMTZzYSNgcGEtMmRjMHFhLS1kMTZzcw%3D%3D&amp;btag=e00050000&amp;expire=1763004339&amp;l=20251113102438711CFC3830D7669110B2&amp;ply_type=3&amp;policy=3&amp;signature=1ca1ece0714e16ba1f93d625f4782f6c&amp;tk=7571587458748974088</t>
  </si>
  <si>
    <t>https://p16-sign-sg.tiktokcdn.com/tos-alisg-avt-0068/9832aa685b2cfe94db09e06f702f0a77~tplv-tiktokx-cropcenter:100:100.jpeg?dr=14579&amp;refresh_token=07da26e1&amp;x-expires=1764727200&amp;x-signature=Ri8nDTJDplNCkNFz41OqjVNk2dg%3D&amp;t=4d5b0474&amp;ps=13740610&amp;shp=a5d48078&amp;shcp=81f88b70&amp;idc=my</t>
  </si>
  <si>
    <t>https://v16-webapp-prime.tiktok.com/video/tos/useast2a/tos-useast2a-ve-0068c003/oYuCG81ed2ARLCARQMFMj5LGgIRISfgqyedLIW/?a=1988&amp;bti=ODszNWYuMDE6&amp;ch=0&amp;cr=3&amp;dr=0&amp;lr=all&amp;cd=0%7C0%7C0%7C&amp;cv=1&amp;br=838&amp;bt=419&amp;cs=0&amp;ds=3&amp;ft=I~da4oKyD12NvnA0i.IxRTF_blBF-UjNSaopiX&amp;mime_type=video_mp4&amp;qs=0&amp;rc=NWk6PGg3M2U3NGQ6NDhpM0BpMzh3ZG45cjlxNTMzNzczM0AzNTQ2MGM0X2AxMzBfMTQ2YSNncGliMmRrMHFhLS1kMTZzcw%3D%3D&amp;btag=e00090000&amp;expire=1763173539&amp;l=20251113102438711CFC3830D7669110B2&amp;ply_type=2&amp;policy=2&amp;signature=42a10dca510562c1cb21e4791e94f968&amp;tk=tt_chain_token</t>
  </si>
  <si>
    <t>https://v16-webapp-prime.tiktok.com/video/tos/useast2a/tos-useast2a-v-27dcd7/ogLBeEGvARFCnLT3Mq65ZASogQefCGgQAAM0Ia/?a=1988&amp;bti=ODszNWYuMDE6&amp;ch=0&amp;cr=0&amp;dr=0&amp;er=0&amp;lr=default&amp;cd=0%7C0%7C0%7C0&amp;br=250&amp;bt=125&amp;ds=5&amp;ft=GNDpcInz7ThVPKvPXq8Zmo&amp;mime_type=audio_mpeg&amp;qs=13&amp;rc=M2hxO205cml0czMzNzU8M0BpM2hxO205cml0czMzNzU8M0BkYWEyMmQ0M2NgLS1kMTZzYSNkYWEyMmQ0M2NgLS1kMTZzcw%3D%3D&amp;btag=e00048000&amp;expire=1764559253&amp;l=2025120110201396469B6E0854EC6377C0&amp;ply_type=3&amp;policy=3&amp;signature=69005c057287dc86d343ebea1759e027&amp;tk=7571587458748974088</t>
  </si>
  <si>
    <t>https://www.tiktok.com/@lorenatdahta/video/7546750654287498502</t>
  </si>
  <si>
    <t>tdahta,tdahadulto,talentosocultos,tdahmemes,tdahproblemas</t>
  </si>
  <si>
    <t>https://p16-sign-va.tiktokcdn.com/tos-maliva-avt-0068/6be26b68d84c67932ffb00957a6ebeb5~tplv-tiktokx-cropcenter:100:100.jpeg?dr=14579&amp;refresh_token=80801e62&amp;x-expires=1763172000&amp;x-signature=Nc95gFePxeetPj4Xre3eP2XgKnE%3D&amp;t=4d5b0474&amp;ps=13740610&amp;shp=a5d48078&amp;shcp=81f88b70&amp;idc=my</t>
  </si>
  <si>
    <t>https://p16-sign-sg.tiktokcdn.com/tos-alisg-avt-0068/9832aa685b2cfe94db09e06f702f0a77~tplv-tiktokx-cropcenter:1080:1080.jpeg?dr=14579&amp;refresh_token=5a779525&amp;x-expires=1764727200&amp;x-signature=%2B0pNRrldm22S3MT63DWJ%2BKpj0ZQ%3D&amp;t=4d5b0474&amp;ps=13740610&amp;shp=a5d48078&amp;shcp=81f88b70&amp;idc=my</t>
  </si>
  <si>
    <t>https://v16-webapp-prime.tiktok.com/video/tos/alisg/tos-alisg-pve-0037c001/o4DEyf6VxQ6RDDHIgZpEAJBJeBXFQQBYmhMOcB/?a=1988&amp;bti=ODszNWYuMDE6&amp;ch=0&amp;cr=3&amp;dr=0&amp;lr=all&amp;cd=0%7C0%7C0%7C&amp;cv=1&amp;br=1412&amp;bt=706&amp;cs=0&amp;ds=3&amp;ft=I~da4oKyD12Nvl.WS.IxR51NWlBF-UjNSMopiX&amp;mime_type=video_mp4&amp;qs=0&amp;rc=Ozk7aGk8aDk2OmY2ZzZlZUBpamptbW45cjV0czMzNzczM0AxYTM0Ll82Xi0xXjMtYmBhYSNwZS5nMmRjM2NgLS1kMTZzcw%3D%3D&amp;btag=e00088000&amp;expire=1764728453&amp;l=2025120110201396469B6E0854EC6377C0&amp;ply_type=2&amp;policy=2&amp;signature=b86a73f8bd69746e55b457ee4de74a68&amp;tk=tt_chain_token</t>
  </si>
  <si>
    <t>https://v16-webapp-prime.tiktok.com/video/tos/alisg/tos-alisg-v-27dcd7/o0UnstQgQ3CFkE5lfXJR49fAYUDvBBEYBgToM3/?a=1988&amp;bti=ODszNWYuMDE6&amp;ch=0&amp;cr=0&amp;dr=0&amp;er=0&amp;lr=default&amp;cd=0%7C0%7C0%7C0&amp;br=250&amp;bt=125&amp;ft=GNDpcInz7ThQ9-UPXq8Zmo&amp;mime_type=audio_mpeg&amp;qs=6&amp;rc=aWU0Nzg5NDhnZjxoM2g1NEBpMztoM3Y5cmVzNjMzODU8NEAzL2EzXzAwNTExYGFeXzIzYSNtLi8wMmRjXm9hLS1kMS1zcw%3D%3D&amp;btag=e00090000&amp;expire=1763004388&amp;l=202511131024053FAEE14371AE44A729CC&amp;ply_type=3&amp;policy=3&amp;signature=bb7dc5a111f6ae0a2c024d26dec3b115&amp;tk=7571587458748974088</t>
  </si>
  <si>
    <t>https://v16-webapp-prime.tiktok.com/video/tos/useast2a/tos-useast2a-v-27dcd7/b3f738b66b9542f18db59a9568f3cd65/?a=1988&amp;bti=ODszNWYuMDE6&amp;ch=0&amp;cr=0&amp;dr=0&amp;er=0&amp;lr=default&amp;cd=0%7C0%7C0%7C0&amp;br=250&amp;bt=125&amp;ds=5&amp;ft=GNDpcInz7ThgzKvPXq8Zmo&amp;mime_type=audio_mpeg&amp;qs=13&amp;rc=MzNvbDw6ZjhnaDMzNzU8M0BpMzNvbDw6ZjhnaDMzNzU8M0AtcXJjcjRvcW5gLS1kMTZzYSMtcXJjcjRvcW5gLS1kMTZzcw%3D%3D&amp;btag=e00048000&amp;expire=1764559321&amp;l=2025120110210868B8F68F0D0B7F5CDC9D&amp;ply_type=3&amp;policy=3&amp;signature=e774441b397ac030278ce8096918f3b3&amp;tk=7571587458748974088</t>
  </si>
  <si>
    <t>https://p16-sign-va.tiktokcdn.com/tos-maliva-avt-0068/6be26b68d84c67932ffb00957a6ebeb5~tplv-tiktokx-cropcenter:1080:1080.jpeg?dr=14579&amp;refresh_token=7020cb9d&amp;x-expires=1763172000&amp;x-signature=Iml3MP6PIX2kIFmttARZfOgKhOU%3D&amp;t=4d5b0474&amp;ps=13740610&amp;shp=a5d48078&amp;shcp=81f88b70&amp;idc=my</t>
  </si>
  <si>
    <t>https://v16-webapp-prime.tiktok.com/video/tos/alisg/tos-alisg-pve-0037c001/o8BRAVztOe4JJENgQjDnDzbOI7zeQ5BOBJWz3R/?a=1988&amp;bti=ODszNWYuMDE6&amp;ch=0&amp;cr=3&amp;dr=0&amp;lr=all&amp;cd=0%7C0%7C0%7C&amp;cv=1&amp;br=1420&amp;bt=710&amp;cs=0&amp;ds=3&amp;ft=I~da4oKyD12Nvm1WS.IxR~kNglBF-UjNSEopiX&amp;mime_type=video_mp4&amp;qs=0&amp;rc=aGhnNmdkOWk6OWdlOWQ2M0BpanM2PDQ6ZnZnaDMzNzczM0AwXy0wYjAxNTExM2MyMF8uYSNna2xmcjRvcG5gLS1kMTZzcw%3D%3D&amp;btag=e00088000&amp;expire=1764728521&amp;l=2025120110210868B8F68F0D0B7F5CDC9D&amp;ply_type=2&amp;policy=2&amp;signature=479f3290cd4839f8b509fa61c08dba41&amp;tk=tt_chain_token</t>
  </si>
  <si>
    <t>https://v16-webapp-prime.tiktok.com/video/tos/alisg/tos-alisg-pve-0037c001/oIPaMUwABQBiDZgOwvB4coEheITUa6RDeioE0L/?a=1988&amp;bti=ODszNWYuMDE6&amp;ch=0&amp;cr=3&amp;dr=0&amp;lr=all&amp;cd=0%7C0%7C0%7C&amp;cv=1&amp;br=2170&amp;bt=1085&amp;cs=0&amp;ds=3&amp;ft=-Csk_mrMPD12Nlcopd-UxB6vSY6e3wv25rcAp&amp;mime_type=video_mp4&amp;qs=0&amp;rc=ODRpPDhmOGhkMzhlNDc6NEBpM3I8NWo5cmpzNjMzODczNEAtMGM2LzY1NTMxYzUuMDA2YSNoZ280MmQ0Nm9hLS1kMWBzcw%3D%3D&amp;btag=e00090000&amp;expire=1763173588&amp;l=202511131024053FAEE14371AE44A729CC&amp;ply_type=2&amp;policy=2&amp;signature=4e4b5d10e64bd4246f07d6f587f19ca0&amp;tk=tt_chain_token</t>
  </si>
  <si>
    <t>https://p77-sign-va.tiktokcdn.com/tos-maliva-avt-0068/a4433909479e5c5be1a6365400a4bf02~tplv-tiktokx-cropcenter:100:100.jpeg?dr=14579&amp;refresh_token=6c76d7da&amp;x-expires=1764727200&amp;x-signature=OtTSLf3gh0Fo9KPDc5eS%2FB3XA4Y%3D&amp;t=4d5b0474&amp;ps=13740610&amp;shp=a5d48078&amp;shcp=81f88b70&amp;idc=my</t>
  </si>
  <si>
    <t>7127387283673648390</t>
  </si>
  <si>
    <t>isabelecpr</t>
  </si>
  <si>
    <t>Isa 🌈</t>
  </si>
  <si>
    <t>https://p16-sign-va.tiktokcdn.com/tos-maliva-avt-0068/b2c65951c2414a2f3bd250002a9867d2~tplv-tiktokx-cropcenter:100:100.jpeg?dr=14579&amp;refresh_token=170f4918&amp;x-expires=1763172000&amp;x-signature=eL0JffMn7tWVjXCOpz5lG7zkZPc%3D&amp;t=4d5b0474&amp;ps=13740610&amp;shp=a5d48078&amp;shcp=81f88b70&amp;idc=my</t>
  </si>
  <si>
    <t>se tiver comentário, gravo parte 2 🥰 #tdah #sensibilidadesensorial #trend #fyp #foryoupage</t>
  </si>
  <si>
    <t xml:space="preserve">SINTOMAS DO TDAH QUE NINGUÉM CONHECE 
PT 1 </t>
  </si>
  <si>
    <t>https://v16-webapp-prime.tiktok.com/video/tos/useast2a/tos-useast2a-v-27dcd7/218454df15564e17963ce7e0d5d62c1a/?a=1988&amp;bti=ODszNWYuMDE6&amp;ch=0&amp;cr=0&amp;dr=0&amp;er=0&amp;lr=default&amp;cd=0%7C0%7C0%7C0&amp;br=250&amp;bt=125&amp;ds=5&amp;ft=GNDpcInz7ThIPKvPXq8Zmo&amp;mime_type=audio_mpeg&amp;qs=13&amp;rc=anV4OGY6ZnFsbDMzNzU8M0BpanV4OGY6ZnFsbDMzNzU8M0BkXjJmcjRfZjJgLS1kMTZzYSNkXjJmcjRfZjJgLS1kMTZzcw%3D%3D&amp;btag=e00078000&amp;expire=1764559243&amp;l=20251201102014E2CB5F4C19000C61E683&amp;ply_type=3&amp;policy=3&amp;signature=be3e54599b44539f72bd75002ff76056&amp;tk=7571587458748974088</t>
  </si>
  <si>
    <t>Chopin Nocturne No. 2 Piano Mono</t>
  </si>
  <si>
    <t>6817665487665629186</t>
  </si>
  <si>
    <t>https://sf16-ies-music-sg.tiktokcdn.com/obj/tos-alisg-ve-2774/7776172bb19a49c89a9506853c72a930</t>
  </si>
  <si>
    <t>https://p77-sg.tiktokcdn.com/aweme/720x720/tos-alisg-v-2774/45dce671159540e4a05c7ad4efc719c3.jpeg</t>
  </si>
  <si>
    <t>https://p77-sign-va.tiktokcdn.com/tos-maliva-avt-0068/a4433909479e5c5be1a6365400a4bf02~tplv-tiktokx-cropcenter:1080:1080.jpeg?dr=14579&amp;refresh_token=36fb0e93&amp;x-expires=1764727200&amp;x-signature=sF6JR2dkri95t4uUmPRb2rfFepA%3D&amp;t=4d5b0474&amp;ps=13740610&amp;shp=a5d48078&amp;shcp=81f88b70&amp;idc=my</t>
  </si>
  <si>
    <t>moshimo sound design</t>
  </si>
  <si>
    <t>https://v16-webapp-prime.tiktok.com/video/tos/maliva/tos-maliva-ve-0068c801-us/c82c9c18331c4ecc9934cf19a2cb127b/?a=1988&amp;bti=ODszNWYuMDE6&amp;ch=0&amp;cr=3&amp;dr=0&amp;lr=all&amp;cd=0%7C0%7C0%7C&amp;cv=1&amp;br=862&amp;bt=431&amp;cs=0&amp;ds=3&amp;ft=-Csk_mrMPD12NH_opd-UxDTFGY6e3wv25ocAp&amp;mime_type=video_mp4&amp;qs=0&amp;rc=Zjs3MzVpMzQ8Ozo5ZTU7PEBpMzY4dDw6ZnBzZTMzNzczM0AyMS0wM2MuX2AxMzEvNjFeYSMwb140cjRvLmhgLS1kMTZzcw%3D%3D&amp;btag=e00098000&amp;expire=1763173760&amp;l=202511131026218DEF8CE7185C8F9E5844&amp;ply_type=2&amp;policy=2&amp;signature=8546106361349d5b6f47891cc697a5e3&amp;tk=tt_chain_token</t>
  </si>
  <si>
    <t>https://v16-webapp-prime.tiktok.com/video/tos/alisg/tos-alisg-pve-0037c001/o8PF9SA2iCoFnAHaf2jfIeYCNJ1xlgZzAcAb5J/?a=1988&amp;bti=ODszNWYuMDE6&amp;ch=0&amp;cr=3&amp;dr=0&amp;lr=all&amp;cd=0%7C0%7C0%7C&amp;cv=1&amp;br=1780&amp;bt=890&amp;cs=0&amp;ds=3&amp;ft=-Csk_mrMPD12N0dh5d-UxPO2hY6e3wv252cAp&amp;mime_type=video_mp4&amp;qs=0&amp;rc=NDZoZjxlZmU3N2dkZzxnNEBpMzZtc2U6ZmhsbDMzNzczM0BfLjRgLy4vXzQxLzVfYjRfYSM0bmcucjRvZjJgLS1kMTZzcw%3D%3D&amp;btag=e000b8000&amp;expire=1764728443&amp;l=20251201102014E2CB5F4C19000C61E683&amp;ply_type=2&amp;policy=2&amp;signature=e94ee85cb9cb44114f2b58bf09710075&amp;tk=tt_chain_token</t>
  </si>
  <si>
    <t>https://www.tiktok.com/@isabelecpr/video/7127387283673648390</t>
  </si>
  <si>
    <t>tdah,sensibilidadesensorial,trend,fyp,foryoupage</t>
  </si>
  <si>
    <t>7154024625524002054</t>
  </si>
  <si>
    <t>llluizax</t>
  </si>
  <si>
    <t>lu🫧</t>
  </si>
  <si>
    <t>https://p16-sign-va.tiktokcdn.com/tos-maliva-avt-0068/751b95bb64af464ec194e98478edf8b8~tplv-tiktokx-cropcenter:100:100.jpeg?dr=14579&amp;refresh_token=03bde1fb&amp;x-expires=1763172000&amp;x-signature=EWaV7DViPbXxB27Xz1EiVxPAYy8%3D&amp;t=4d5b0474&amp;ps=13740610&amp;shp=a5d48078&amp;shcp=81f88b70&amp;idc=my</t>
  </si>
  <si>
    <t>https://v16-webapp-prime.tiktok.com/video/tos/useast2a/tos-useast2a-v-27dcd7/oQNLJFDUJUBbvEA27kEEyjBC2AyQPkAepmfr9C/?a=1988&amp;bti=ODszNWYuMDE6&amp;ch=0&amp;cr=0&amp;dr=0&amp;er=0&amp;lr=default&amp;cd=0%7C0%7C0%7C0&amp;br=250&amp;bt=125&amp;ds=5&amp;ft=GNDpcInz7ThHzKvPXq8Zmo&amp;mime_type=audio_mpeg&amp;qs=13&amp;rc=and1eGw5cndndDMzNzU8M0Bpand1eGw5cndndDMzNzU8M0BpMl8vMmRrZWZgLS1kMTZzYSNpMl8vMmRrZWZgLS1kMTZzcw%3D%3D&amp;btag=e00048000&amp;expire=1764559319&amp;l=2025120110210247DE29902DF1415935A0&amp;ply_type=3&amp;policy=3&amp;signature=a51542dc849b582208d275d8141dfb28&amp;tk=7571587458748974088</t>
  </si>
  <si>
    <t>#ludoviajante #tdah #fyp</t>
  </si>
  <si>
    <t>Love You So</t>
  </si>
  <si>
    <t>6728562975734515713</t>
  </si>
  <si>
    <t>https://sf16-ies-music-sg.tiktokcdn.com/obj/tos-alisg-ve-2774/6a790bec1bf640c185753440ca131a7e</t>
  </si>
  <si>
    <t>https://p77-sg.tiktokcdn.com/aweme/720x720/tos-alisg-v-2774/6aa2532c996940c484c6513b9049d494.jpeg</t>
  </si>
  <si>
    <t>The King Khan &amp; BBQ Show</t>
  </si>
  <si>
    <t>https://v16-webapp-prime.tiktok.com/video/tos/maliva/tos-maliva-ve-0068c801-us/1aa411b564924ae3a69874cae39b15c5/?a=1988&amp;bti=ODszNWYuMDE6&amp;ch=0&amp;cr=3&amp;dr=0&amp;lr=all&amp;cd=0%7C0%7C0%7C&amp;cv=1&amp;br=456&amp;bt=228&amp;cs=0&amp;ds=3&amp;ft=-Csk_mrMPD12Nw_opd-UxfeFaY6e3wv25HcAp&amp;mime_type=video_mp4&amp;qs=0&amp;rc=aTk0ZDY5MztoOTs0ODVpOUBpMzV3bzw6ZjU2ZzMzNzczM0A0MjNeMDIyNjMxYC4uNGNiYSNzamY1cjQwMzFgLS1kMTZzcw%3D%3D&amp;btag=e000b8000&amp;expire=1763173630&amp;l=2025111310264583C2663DA446357263D7&amp;ply_type=2&amp;policy=2&amp;signature=9c17441ab90b56756f820778d0ef58ac&amp;tk=tt_chain_token</t>
  </si>
  <si>
    <t>https://p16-sign-va.tiktokcdn.com/tos-maliva-avt-0068/a4433909479e5c5be1a6365400a4bf02~tplv-tiktokx-cropcenter:1080:1080.jpeg?dr=14579&amp;refresh_token=b5d2d414&amp;x-expires=1764727200&amp;x-signature=CPIi4R9Qcr0OjEqsVeHq6xKotls%3D&amp;t=4d5b0474&amp;ps=13740610&amp;shp=a5d48078&amp;shcp=81f88b70&amp;idc=my</t>
  </si>
  <si>
    <t>https://v16-webapp-prime.tiktok.com/video/tos/useast2a/tos-useast2a-ve-0068c003/o0VbZNXq8ACfAvMhIfnTBfRgZXjPbS934SQgCU/?a=1988&amp;bti=ODszNWYuMDE6&amp;ch=0&amp;cr=3&amp;dr=0&amp;lr=all&amp;cd=0%7C0%7C0%7C&amp;cv=1&amp;br=3928&amp;bt=1964&amp;cs=0&amp;ds=3&amp;ft=-Csk_mrMPD12N7Dh5d-UxII2hY6e3wv252cAp&amp;mime_type=video_mp4&amp;qs=0&amp;rc=ODxpNjY7ZWhkZjNoOjdoZUBpajhzeHU5cmZndDMzNzczM0AuYi5iNTRiNTAxNS40NjAvYSNecHJjMmQ0ZGZgLS1kMTZzcw%3D%3D&amp;btag=e00088000&amp;expire=1764728520&amp;l=2025120110210247DE29902DF1415935A0&amp;ply_type=2&amp;policy=2&amp;signature=2508667d56e1506dae13c74d9b3c3120&amp;tk=tt_chain_token</t>
  </si>
  <si>
    <t>https://www.tiktok.com/@llluizax/video/7154024625524002054</t>
  </si>
  <si>
    <t>ludoviajante,tdah,fyp</t>
  </si>
  <si>
    <t>https://v16-webapp-prime.tiktok.com/video/tos/alisg/tos-alisg-v-27dcd7/oAgDSCarEmbgY8FARTkEzXlfLf5TCcolWQDe2g/?a=1988&amp;bti=ODszNWYuMDE6&amp;ch=0&amp;cr=0&amp;dr=0&amp;er=0&amp;lr=default&amp;cd=0%7C0%7C0%7C0&amp;br=250&amp;bt=125&amp;ft=GNDpcInz7Th49-UPXq8Zmo&amp;mime_type=audio_mpeg&amp;qs=6&amp;rc=Mzw6aGhpZDNlNzhmNDpkZUBpamw6eHY5cnFsNjMzODU8NEBhMWE0NjBgXjExMmIvNGFhYSMxLW9mMmQ0czJhLS1kMS1zcw%3D%3D&amp;btag=e00090000&amp;expire=1763004343&amp;l=20251113102415EC11E565E652E77F00C9&amp;ply_type=3&amp;policy=3&amp;signature=0e169ca485892e7147bdb3a282ff4e2d&amp;tk=7571587458748974088</t>
  </si>
  <si>
    <t>https://v16-webapp-prime.tiktok.com/video/tos/useast2a/tos-useast2a-v-27dcd7/oMYZdAHMR0C6lNkFCdLIgXGBoBETeQexgTe3SW/?a=1988&amp;bti=ODszNWYuMDE6&amp;ch=0&amp;cr=0&amp;dr=0&amp;er=0&amp;lr=default&amp;cd=0%7C0%7C0%7C0&amp;br=250&amp;bt=125&amp;ft=GNDpcInz7ThoPKvPXq8Zmo&amp;mime_type=audio_mpeg&amp;qs=6&amp;rc=Z2U0ZzY3ZjU5Nzw2Mzo6O0Bpam03Z3E5cnJlNTMzNzU8M0AvYjMxMGM2Ni4xNTU2LS8vYSM2b2VeMmQ0Mi5hLS1kMTZzcw%3D%3D&amp;btag=e00090000&amp;expire=1764559337&amp;l=202512011020068133AB7BCB086C5F4CDC&amp;ply_type=3&amp;policy=3&amp;signature=f2fef5a2b2ea077f8494b51b85c71d9d&amp;tk=7571587458748974088</t>
  </si>
  <si>
    <t>https://v16-webapp-prime.tiktok.com/video/tos/useast2a/tos-useast2a-ve-0068c003/oE9C5WiQsIBAz1QAjOuof8iN0CE4IiCgkGuVsA/?a=1988&amp;bti=ODszNWYuMDE6&amp;ch=0&amp;cr=3&amp;dr=0&amp;lr=all&amp;cd=0%7C0%7C0%7C&amp;cv=1&amp;br=844&amp;bt=422&amp;cs=0&amp;ds=3&amp;ft=-Csk_mrMPD12Nudh5d-Uxs12aY6e3wv252cAp&amp;mime_type=video_mp4&amp;qs=0&amp;rc=N2RoZDVpNjg2NDM1Ojw3aUBpM2ZleW85cnNlNTMzNzczM0AzYjEwNV8zNWAxYzMuMjVeYSM0Zy0zMmRzMC5hLS1kMTZzcw%3D%3D&amp;btag=e00090000&amp;expire=1764728537&amp;l=202512011020068133AB7BCB086C5F4CDC&amp;ply_type=2&amp;policy=2&amp;signature=0e637f492c8586d49bf0ac1197e38e87&amp;tk=tt_chain_token</t>
  </si>
  <si>
    <t>https://v16-webapp-prime.tiktok.com/video/tos/alisg/tos-alisg-ve-4863-sg/oQAieqg6QEuA8sOGlXRfWDeFlIYzQoKfASBF27/?a=1988&amp;bti=ODszNWYuMDE6&amp;ch=0&amp;cr=3&amp;dr=0&amp;lr=all&amp;cd=0%7C0%7C0%7C&amp;cv=1&amp;br=1322&amp;bt=661&amp;cs=0&amp;ds=3&amp;ft=-Csk_mrMPD12Nycopd-UxG4vXY6e3wv25McAp&amp;mime_type=video_mp4&amp;qs=0&amp;rc=aGg6ZTY4NDwzZThoaTNkM0BpanE0aG85cjtsNjQzOGk1NEA2LzYuYDZgXzIxMV5eXjYwYSNiNWAtMmRrczJhLS1kYzFzcw%3D%3D&amp;btag=e00090000&amp;expire=1763173543&amp;l=20251113102415EC11E565E652E77F00C9&amp;ply_type=2&amp;policy=2&amp;signature=7d216545f56e6cf3ad8035be5d2a58f2&amp;tk=tt_chain_token</t>
  </si>
  <si>
    <t>7539230397813591301</t>
  </si>
  <si>
    <t>tdah_da_base_ao_avan</t>
  </si>
  <si>
    <t>https://p77-sign-va.tiktokcdn.com/tos-maliva-avt-0068/54f33af02e8f412b8807f6a009affdb4~tplv-tiktokx-cropcenter:100:100.jpeg?dr=14579&amp;refresh_token=c5f0bfcb&amp;x-expires=1763172000&amp;x-signature=WCGzuhR3g%2Bn3aXU9dW4OV4pKtOQ%3D&amp;t=4d5b0474&amp;ps=13740610&amp;shp=a5d48078&amp;shcp=81f88b70&amp;idc=my</t>
  </si>
  <si>
    <t>https://v16-webapp-prime.tiktok.com/video/tos/useast2a/tos-useast2a-v-27dcd7/ogA04lefJlEiDJBZBxDaArFoAuI2QC4EWWiAEU/?a=1988&amp;bti=ODszNWYuMDE6&amp;ch=0&amp;cr=0&amp;dr=0&amp;er=0&amp;lr=default&amp;cd=0%7C0%7C0%7C0&amp;br=250&amp;bt=125&amp;ds=5&amp;ft=GNDpcInz7ThkPKvPXq8Zmo&amp;mime_type=audio_mpeg&amp;qs=13&amp;rc=M3Q1cXY5cnM7cTMzNzU8M0BpM3Q1cXY5cnM7cTMzNzU8M0BjLTAyMmRjaWFgLS1kMTZzYSNjLTAyMmRjaWFgLS1kMTZzcw%3D%3D&amp;btag=e00050000&amp;expire=1764559330&amp;l=2025120110204563AE4C62401D615C8166&amp;ply_type=3&amp;policy=3&amp;signature=a7d0de2ba4b15477c46cf7277fc34190&amp;tk=7571587458748974088</t>
  </si>
  <si>
    <t>Aula sobre o tdah #tdahadulto #tdah #saudemental #foryoupage #anabeatrizbarbosa</t>
  </si>
  <si>
    <t>7539230411571579654</t>
  </si>
  <si>
    <t>https://v16-webapp-prime.tiktok.com/video/tos/useast2a/tos-useast2a-v-27dcd7/o0QiSTDJAilEKB7ZiAu2AagJC6EU7iCPAACkv/?a=1988&amp;bti=ODszNWYuMDE6&amp;ch=0&amp;cr=0&amp;dr=0&amp;er=0&amp;lr=default&amp;cd=0%7C0%7C0%7C0&amp;br=250&amp;bt=125&amp;ds=5&amp;ft=GNDpcInz7Th8Y-UPXq8Zmo&amp;mime_type=audio_mpeg&amp;qs=13&amp;rc=ajNocnU5cjxlNTMzNzU8M0BpajNocnU5cjxlNTMzNzU8M0AucmtgMmQ0aGRhLS1kMTZzYSMucmtgMmQ0aGRhLS1kMTZzcw%3D%3D&amp;btag=e00050000&amp;expire=1763004428&amp;l=20251113102607CD4452BD4E07158E0822&amp;ply_type=3&amp;policy=3&amp;signature=986d53fb2339ab3f83a6a0a1c3946735&amp;tk=7571587458748974088</t>
  </si>
  <si>
    <t>https://v16-webapp-prime.tiktok.com/video/tos/useast2a/tos-useast2a-pve-0068/ogfnaApABQBEnZQnlFDfJlEx2IKpPiRQoFcErM/?a=1988&amp;bti=ODszNWYuMDE6&amp;ch=0&amp;cr=3&amp;dr=0&amp;lr=all&amp;cd=0%7C0%7C0%7C&amp;cv=1&amp;br=2046&amp;bt=1023&amp;cs=0&amp;ds=3&amp;ft=-Csk_mrMPD12Nqdh5d-UxgS5hY6e3wv25icAp&amp;mime_type=video_mp4&amp;qs=0&amp;rc=Ozk5NWY2Ojw2ZWU8ZzhpN0BpM3loc2w5cnQ7cTMzNzczM0AxMi1fYTU1NmExLjItYzM0YSNibWZtMmRjaGFgLS1kMTZzcw%3D%3D&amp;btag=e00090000&amp;expire=1764728529&amp;l=2025120110204563AE4C62401D615C8166&amp;ply_type=2&amp;policy=2&amp;signature=93824f0326b1fb521e24de50c5eeaaec&amp;tk=tt_chain_token</t>
  </si>
  <si>
    <t>https://p77-sign-va.tiktokcdn.com/tos-maliva-avt-0068/54f33af02e8f412b8807f6a009affdb4~tplv-tiktokx-cropcenter:1080:1080.jpeg?dr=14579&amp;refresh_token=64378bae&amp;x-expires=1763172000&amp;x-signature=AwoC%2FX5rpTsbnzNMgxKItz9i1e8%3D&amp;t=4d5b0474&amp;ps=13740610&amp;shp=a5d48078&amp;shcp=81f88b70&amp;idc=my</t>
  </si>
  <si>
    <t>https://v16-webapp-prime.tiktok.com/video/tos/useast2a/tos-useast2a-ve-0068c003/oQ81eAGQsqtCWLjnR9fzPgSIgQDBCceIIz3XIV/?a=1988&amp;bti=ODszNWYuMDE6&amp;ch=0&amp;cr=3&amp;dr=0&amp;lr=all&amp;cd=0%7C0%7C0%7C&amp;cv=1&amp;br=1192&amp;bt=596&amp;cs=0&amp;ds=3&amp;ft=-Csk_mrMPD12Nx_opd-Ux7o2aY6e3wv25zcAp&amp;mime_type=video_mp4&amp;qs=0&amp;rc=MzNlZzo8O2c2NjU6ZGVmNkBpM3k6b3c5cnhlNTMzNzczM0AxNTRjMS8wXl4xXjJjYzI2YSNvXm1zMmRjZ2RhLS1kMTZzcw%3D%3D&amp;btag=e00090000&amp;expire=1763173628&amp;l=20251113102607CD4452BD4E07158E0822&amp;ply_type=2&amp;policy=2&amp;signature=56bd1c104e40d593f9c7958e2d05b070&amp;tk=tt_chain_token</t>
  </si>
  <si>
    <t>https://p77-sign-va.tiktokcdn.com/tos-maliva-avt-0068/da7a6883faf98893a78013cae3307500~tplv-tiktokx-cropcenter:100:100.jpeg?dr=14579&amp;refresh_token=1a372d55&amp;x-expires=1764727200&amp;x-signature=EbWT9VXQCe1CSOb3Tr6an4%2F4yYk%3D&amp;t=4d5b0474&amp;ps=13740610&amp;shp=a5d48078&amp;shcp=81f88b70&amp;idc=my</t>
  </si>
  <si>
    <t>https://www.tiktok.com/@tdah_da_base_ao_avan/video/7539230397813591301</t>
  </si>
  <si>
    <t>tdahadulto,tdah,saudemental,foryoupage,anabeatrizbarbosa</t>
  </si>
  <si>
    <t>7211169343931944198</t>
  </si>
  <si>
    <t>Essas são comorbidades comuns do TDAH não tratado que muita gente não sabe mas podem ser amenizadas com algumas mudanças. Me fala, você já adotou algumas soluções para sua rotina?  #tdah #tda #dda #tdahadultos #tdahadulto</t>
  </si>
  <si>
    <t>7211169364954188549</t>
  </si>
  <si>
    <t>https://v16-webapp-prime.tiktok.com/video/tos/useast2a/tos-useast2a-v-27dcd7/a40a059d7525485198a3a580e2f2a9f8/?a=1988&amp;bti=ODszNWYuMDE6&amp;ch=0&amp;cr=0&amp;dr=0&amp;er=0&amp;lr=default&amp;cd=0%7C0%7C0%7C0&amp;br=250&amp;bt=125&amp;ds=5&amp;ft=GNDpcInz7ThNV-UPXq8Zmo&amp;mime_type=audio_mpeg&amp;qs=13&amp;rc=M2t3NDQ6ZnBtajMzNzU8M0BpM2t3NDQ6ZnBtajMzNzU8M0BzNWcucjRvZDZgLS1kMTZzYSNzNWcucjRvZDZgLS1kMTZzcw%3D%3D&amp;btag=e00050000&amp;expire=1763004266&amp;l=20251113102306B19E1F5BC676BF8CC05E&amp;ply_type=3&amp;policy=3&amp;signature=6a05f823f385b1c498eb90ce2a9c4536&amp;tk=7571587458748974088</t>
  </si>
  <si>
    <t>https://p16-sg.tiktokcdn.com/aweme/720x720/tos-alisg-v-2774/47ccb712fc744e03b97c5b232ff279cc.jpeg</t>
  </si>
  <si>
    <t>https://v16-webapp-prime.tiktok.com/video/tos/maliva/tos-maliva-ve-0068c801-us/oUNyvZI4CvzChTIh3OfwVIAGgPKxUoALZ6QksA/?a=1988&amp;bti=ODszNWYuMDE6&amp;ch=0&amp;cr=3&amp;dr=0&amp;lr=all&amp;cd=0%7C0%7C0%7C&amp;cv=1&amp;br=2036&amp;bt=1018&amp;cs=0&amp;ds=3&amp;ft=-Csk_mrMPD12NOYopd-Uxtv5GY6e3wv252cAp&amp;mime_type=video_mp4&amp;qs=0&amp;rc=ZTU7OjY5OzM6ZTc2ZTxpZUBpanQ4ZmU6ZmRtajMzNzczM0BfMjBhLl8tXmExLWAxLTZiYSM0Z2BqcjRnZDZgLS1kMTZzcw%3D%3D&amp;btag=e00090000&amp;expire=1763173466&amp;l=20251113102306B19E1F5BC676BF8CC05E&amp;ply_type=2&amp;policy=2&amp;signature=8037c13187e4747645b7912a142baad7&amp;tk=tt_chain_token</t>
  </si>
  <si>
    <t>https://v16-webapp-prime.tiktok.com/video/tos/maliva/tos-maliva-ve-0068c799-us/oshE4fSFdAmRDAHEQeiEA7BVKEBFIPx3pihYog/?a=1988&amp;bti=ODszNWYuMDE6&amp;ch=0&amp;cr=3&amp;dr=0&amp;lr=all&amp;cd=0%7C0%7C0%7C&amp;cv=1&amp;br=1694&amp;bt=847&amp;cs=0&amp;ds=3&amp;ft=I~da4oKyD12Nvz.WS.IxRjkNWlBF-UjNSRopiX&amp;mime_type=video_mp4&amp;qs=0&amp;rc=Zmc7PDM6OmY2MzY8NGY4NkBpMzVzOWs5cnhsNzMzaTczNEAxY2M0YjJgNl4xNC9gXmItYSNwb3MzMmRzZC9hLS1kMTJzcw%3D%3D&amp;btag=e00090000&amp;expire=1764728497&amp;l=202512011020239FD63C9B4E4C976A9E36&amp;ply_type=2&amp;policy=2&amp;signature=1fe23c811c3ff1dac1ffce2e0130453b&amp;tk=tt_chain_token</t>
  </si>
  <si>
    <t>https://www.tiktok.com/@brunolnunes/video/7211169343931944198</t>
  </si>
  <si>
    <t>7524478649664277816</t>
  </si>
  <si>
    <t>O que é TDAH? TDAH NÃO TRATADO É UMA CONDENAÇÃO INVISÍVEL. É viver com a mente acelerada, mas o corpo travado. É ter mil ideias, mil promessas… mas nunca conseguir cumprir nenhuma. É se sentir um merda, mesmo tentando pra caralho. Você acorda já atrasado, perdido, com a sensação de que está sempre devendo algo. Seu quarto é bagunça, sua mente é bagunça, sua vida virou bagunça. Você gasta o que não pode, fala o que não devia, promete o que não consegue. E quando as coisas dão errado, você se culpa. Acha que é só preguiçoso, fraco, burro. Mas não é. É TDAH. Só que sem tratamento, você não tem controle. Você é o problema e a vítima ao mesmo tempo. Relacionamentos viram caos. Você ama, mas afasta. Quer mudar, mas sabota. Quer crescer, mas paralisa. E ninguém entende. Você se sente sozinho. Se sente quebrado. Vive no modo sobrevivência — só apagando incêndio e fingindo que tá tudo bem. Mas não tá. Você tá afundando… Só que com um sorriso no rosto e piada pronta. Porque é isso que um homem com TDAH não tratado aprende: a fingir que tá tudo bem… enquanto desmorona por dentro. #tdah #tdahadulto #sintomasdotdah #oqueetdah</t>
  </si>
  <si>
    <t>7524478703137475384</t>
  </si>
  <si>
    <t>https://v16-webapp-prime.tiktok.com/video/tos/useast2a/tos-useast2a-v-27dcd7/ogOsD4QbfCIm2GJJQDJorYBaUEBJFUUeyFBMCs/?a=1988&amp;bti=ODszNWYuMDE6&amp;ch=0&amp;cr=0&amp;dr=0&amp;er=0&amp;lr=default&amp;cd=0%7C0%7C0%7C0&amp;br=250&amp;bt=125&amp;ft=GNDpcInz7ThQ9-UPXq8Zmo&amp;mime_type=audio_mpeg&amp;qs=6&amp;rc=ODs2ZThpZzs6Zzs1NWc4OEBpM3J3b3A5cjM4NDMzNzU8M0AzXjVjLWAxXzUxLy5fL2FfYSNhcWBgMmRzMGphLS1kMTZzcw%3D%3D&amp;btag=e00090000&amp;expire=1763004331&amp;l=202511131024053FAEE14371AE44A729CC&amp;ply_type=3&amp;policy=3&amp;signature=061479a911259e6ea4bc450688dc4ccf&amp;tk=7571587458748974088</t>
  </si>
  <si>
    <t>https://v16-webapp-prime.tiktok.com/video/tos/useast2a/tos-useast2a-v-27dcd7/ooYzmnAJaIkAQAFNOEZLHEGIITGAzeJ3fAeZNe/?a=1988&amp;bti=ODszNWYuMDE6&amp;ch=0&amp;cr=0&amp;dr=0&amp;er=0&amp;lr=default&amp;cd=0%7C0%7C0%7C0&amp;br=250&amp;bt=125&amp;ds=5&amp;ft=GNDpcInz7ThyPKvPXq8Zmo&amp;mime_type=audio_mpeg&amp;qs=13&amp;rc=M2Y6aW05cnVzdDMzNzU8M0BpM2Y6aW05cnVzdDMzNzU8M0Ata21iMmRzbGBgLS1kMTZzYSMta21iMmRzbGBgLS1kMTZzcw%3D%3D&amp;btag=e00050000&amp;expire=1764559345&amp;l=202512011020211DC26370CAB01566B5CA&amp;ply_type=3&amp;policy=3&amp;signature=a29eb3ae43b5fa592c99654b5816e1a6&amp;tk=7571587458748974088</t>
  </si>
  <si>
    <t>https://v16-webapp-prime.tiktok.com/video/tos/useast2a/tos-useast2a-ve-0068c001/oc8ksrFACQCQNfgFNZMeSQEZ2IIK6UrAKWeEZi/?a=1988&amp;bti=ODszNWYuMDE6&amp;ch=0&amp;cr=3&amp;dr=0&amp;lr=all&amp;cd=0%7C0%7C0%7C&amp;cv=1&amp;br=1562&amp;bt=781&amp;cs=0&amp;ds=3&amp;ft=-Csk_mrMPD12Nlcopd-UxB6vSY6e3wv25rcAp&amp;mime_type=video_mp4&amp;qs=0&amp;rc=Zmc5NjRkPDZlNWc0aTZnZUBpM3lsZWs5cmo4NDMzNzgzM0AtYWE2YWMyXjUxLV5iNl8tYSNjYy9oMmRrL2phLS1kLzZzcw%3D%3D&amp;btag=e00090000&amp;expire=1763173531&amp;l=202511131024053FAEE14371AE44A729CC&amp;ply_type=2&amp;policy=2&amp;signature=44733cab200bc1bd2597a899ad9dd0c1&amp;tk=tt_chain_token</t>
  </si>
  <si>
    <t>https://v16-webapp-prime.tiktok.com/video/tos/useast2a/tos-useast2a-pve-0068/oMyTkIfEBjh3MAnqoiPMAwQoJiwbVzgC8xRIEZ/?a=1988&amp;bti=ODszNWYuMDE6&amp;ch=0&amp;cr=3&amp;dr=0&amp;lr=all&amp;cd=0%7C0%7C0%7C&amp;cv=1&amp;br=2854&amp;bt=1427&amp;cs=0&amp;ds=3&amp;ft=ytpHh9DfxxOusd.YtDKt8lcLVWOuRx_HFKKMNOWCuJETJDz7T&amp;mime_type=video_mp4&amp;qs=0&amp;rc=NGc4aTY0ZGg3Mzo7ZTszZ0BpamRmOWs5cnlzdDMzNzczM0A1Xi9iMTI2X2IxY2AxMmAuYSM1Z3BsMmQ0a2BgLS1kMTZzcw%3D%3D&amp;btag=e00090000&amp;expire=1764728545&amp;l=202512011020211DC26370CAB01566B5CA&amp;ply_type=2&amp;policy=2&amp;signature=5327d39f601a0497dde077019e6102f7&amp;tk=tt_chain_token</t>
  </si>
  <si>
    <t>https://www.tiktok.com/@liberdade.mentall/video/7524478649664277816</t>
  </si>
  <si>
    <t>tdah,tdahadulto,sintomasdotdah,oqueetdah</t>
  </si>
  <si>
    <t>7551579467571858700</t>
  </si>
  <si>
    <t>saude_e_bemestar__</t>
  </si>
  <si>
    <t>SAÚDE E BEM ESTAR</t>
  </si>
  <si>
    <t>https://p16-sign-va.tiktokcdn.com/tos-maliva-avt-0068/f33c918b025334118e01aa37b2cabd9d~tplv-tiktokx-cropcenter:100:100.jpeg?dr=14579&amp;refresh_token=92733ba6&amp;x-expires=1763172000&amp;x-signature=LuD2z2UtUmCCGFp7icHNaS9u%2B%2FY%3D&amp;t=4d5b0474&amp;ps=13740610&amp;shp=a5d48078&amp;shcp=81f88b70&amp;idc=my</t>
  </si>
  <si>
    <t>Se seu filho tem TDAH provavelmente você também tem! #tdah #tdahadulto #tdahinfantil #psicologia #psicologa</t>
  </si>
  <si>
    <t>https://p77-sg.tiktokcdn.com/aweme/720x720/tos-alisg-v-2774/604e1985ea7e4d018e3eb92ee6d522b4.jpeg</t>
  </si>
  <si>
    <t>7465720803313667333</t>
  </si>
  <si>
    <t>https://p16-sign-va.tiktokcdn.com/tos-maliva-avt-0068/54df30458f3a66aed8bbb7fbd484cf07~tplv-tiktokx-cropcenter:100:100.jpeg?dr=14579&amp;refresh_token=546c9662&amp;x-expires=1764727200&amp;x-signature=7h2nDJpHmgN1WqFTkllYwFICopw%3D&amp;t=4d5b0474&amp;ps=13740610&amp;shp=a5d48078&amp;shcp=81f88b70&amp;idc=my</t>
  </si>
  <si>
    <t>https://v16-webapp-prime.tiktok.com/video/tos/useast2a/tos-useast2a-ve-0068c002/oIGTVoEEIBQop1zfsmFJMpTNHai9pEAjDBJRQf/?a=1988&amp;bti=ODszNWYuMDE6&amp;ch=0&amp;cr=3&amp;dr=0&amp;lr=all&amp;cd=0%7C0%7C0%7C&amp;cv=1&amp;br=1652&amp;bt=826&amp;cs=0&amp;ds=3&amp;ft=-Csk_mrMPD12N8Yopd-UxfeFaY6e3wv25HcAp&amp;mime_type=video_mp4&amp;qs=0&amp;rc=ZWQ5ODkzZDRmNjc0aTRkZEBpam9udXk5cmQ8NjMzNzczM0AtXzIyL18wNmAxXy8zMjMtYSMwbjRlMmRjZTNhLS1kMTZzcw%3D%3D&amp;btag=e00090000&amp;expire=1763173486&amp;l=20251113102343D1A0044B947998B9C2A2&amp;ply_type=2&amp;policy=2&amp;signature=f85e24c0b7f4c7e7d05385906ef4a0e2&amp;tk=tt_chain_token</t>
  </si>
  <si>
    <t>Essa é a vida de quem tem TDAH #tdah #psicologia #terapia #saude</t>
  </si>
  <si>
    <t>Last Hope</t>
  </si>
  <si>
    <t>7236362957471401985</t>
  </si>
  <si>
    <t>https://sf16-ies-music-sg.tiktokcdn.com/obj/tos-alisg-ve-2774/o41ZIiFU2PQMMegWBQDCMt1yZClgKBbtEiEHfP</t>
  </si>
  <si>
    <t>https://www.tiktok.com/@saude_e_bemestar__/video/7551579467571858700</t>
  </si>
  <si>
    <t>https://p16-sg.tiktokcdn.com/aweme/720x720/tos-alisg-v-2774/o4A8EiGS96Y7r6BApURZj7WAA3NPCh7FAEiPY.jpeg</t>
  </si>
  <si>
    <t>Steve Ralph</t>
  </si>
  <si>
    <t>https://v16-webapp-prime.tiktok.com/video/tos/useast2a/tos-useast2a-pve-0068/o4z4kKbFiAxIcAiI4gdERNUQDzCCogf6mioBi2/?a=1988&amp;bti=ODszNWYuMDE6&amp;ch=0&amp;cr=3&amp;dr=0&amp;lr=all&amp;cd=0%7C0%7C0%7C&amp;cv=1&amp;br=938&amp;bt=469&amp;cs=0&amp;ds=3&amp;ft=I~da4oKyD12NvOMWS.IxRnTNWlBF-UjNS3opiX&amp;mime_type=video_mp4&amp;qs=0&amp;rc=ZWhlOWRpZjdmNjNmO2Q3NEBpM2s8bnI5cmtzeDMzNzczM0BiNi4tLjJeNi8xYzMzM2NgYSNvbzUvMmRjL2FgLS1kMTZzcw%3D%3D&amp;btag=e00090000&amp;expire=1764728622&amp;l=20251201102235105D23322947EB5E91E0&amp;ply_type=2&amp;policy=2&amp;signature=f45fa73bc7cc2155caf702d7319362cd&amp;tk=tt_chain_token</t>
  </si>
  <si>
    <t>tdah,tdahadulto,tdahinfantil,psicologia,psicologa</t>
  </si>
  <si>
    <t>7357509398626848005</t>
  </si>
  <si>
    <t xml:space="preserve">TDAH e INTENSIDADE 🤯🌪 . Os desafios com as emoções intensas do TDAH, começam em seu próprio cérebro.  Às vezes, o comprometimento da memória operacional do TDAH, faz com que uma emoção momentânea se torne algo muito forte, inundando o cérebro com emoções bem mais intensas do que deveria.  Outras vezes, a pessoa com TDAH pode parecer insensível ou inconsciente das suas emoções e das emoções dos outros.  As redes de conectividade cerebral, que transportam informações relacionadas à emoção, realmente são um pouco mais limitadas nos indivíduos com TDAH.  Resultando em comportamentos e reações assim, no que diz respeito à intensidade de seus sentimentos e emoções. Você também pode ler mais sobre: https://www.additudemag.com/slideshows/adhd-emotions-understanding-intense-feelings/ #tdahta #tdahadulto  #intensidade #tdahtiktok #adhdbrain #neurodivergente </t>
  </si>
  <si>
    <t>7357509418484271877</t>
  </si>
  <si>
    <t>https://v16-webapp-prime.tiktok.com/video/tos/useast2a/tos-useast2a-v-27dcd7/oge5ETCMCgAElATPAE69fAOEbZsDNFgfjSbH0o/?a=1988&amp;bti=ODszNWYuMDE6&amp;ch=0&amp;cr=0&amp;dr=0&amp;er=0&amp;lr=default&amp;cd=0%7C0%7C0%7C0&amp;br=250&amp;bt=125&amp;ds=5&amp;ft=GNDpcInz7Thm9-UPXq8Zmo&amp;mime_type=audio_mpeg&amp;qs=13&amp;rc=amhraGo5cnBrcjMzNzU8M0BpamhraGo5cnBrcjMzNzU8M0A0amJjMmRjc2FgLS1kMTZzYSM0amJjMmRjc2FgLS1kMTZzcw%3D%3D&amp;btag=e00050000&amp;expire=1763004342&amp;l=202511131024337F554789EF0D09A1F8EB&amp;ply_type=3&amp;policy=3&amp;signature=8e7cf37dbc5989267ecc2126908aed18&amp;tk=7571587458748974088</t>
  </si>
  <si>
    <t>https://www.tiktok.com/@visaopsicologiaof/video/7465720803313667333</t>
  </si>
  <si>
    <t>tdah,psicologia,terapia,saude</t>
  </si>
  <si>
    <t>https://v16-webapp-prime.tiktok.com/video/tos/maliva/tos-maliva-ve-0068c801-us/o8grBtfDJQlTRJmEQPfSwGlx2B8AZE92FgTHIQ/?a=1988&amp;bti=ODszNWYuMDE6&amp;ch=0&amp;cr=3&amp;dr=0&amp;lr=all&amp;cd=0%7C0%7C0%7C&amp;cv=1&amp;br=2390&amp;bt=1195&amp;cs=0&amp;ds=3&amp;ft=I~da4oKyD12NvuA0i.IxREJNglBF-UjNSmopiX&amp;mime_type=video_mp4&amp;qs=0&amp;rc=OWk0PDpkZGZoNjhmNTZpZ0Bpamx0OGw5cmtrcjMzNzczM0AyMTYwMjE2NS4xYzUwXmJhYSNoNmJoMmRzcmFgLS1kMTZzcw%3D%3D&amp;btag=e00090000&amp;expire=1763173542&amp;l=202511131024337F554789EF0D09A1F8EB&amp;ply_type=2&amp;policy=2&amp;signature=a43df75fb0109dc652653e23eb99cbea&amp;tk=tt_chain_token</t>
  </si>
  <si>
    <t>https://p16-sign-va.tiktokcdn.com/tos-maliva-avt-0068/0c857903b1d71ebd63a58d7ad9b30044~tplv-tiktokx-cropcenter:100:100.jpeg?dr=14579&amp;refresh_token=c92bbeb2&amp;x-expires=1764727200&amp;x-signature=hYSdh1CelOhsN0%2BtbUykFli9sfU%3D&amp;t=4d5b0474&amp;ps=13740610&amp;shp=a5d48078&amp;shcp=81f88b70&amp;idc=my</t>
  </si>
  <si>
    <t>https://v16-webapp-prime.tiktok.com/video/tos/useast2a/tos-useast2a-v-27dcd7/ogAgRIBHiAAAHS6nAEmxBA1Kn9xEEkAfozSSKi/?a=1988&amp;bti=ODszNWYuMDE6&amp;ch=0&amp;cr=0&amp;dr=0&amp;er=0&amp;lr=default&amp;cd=0%7C0%7C0%7C0&amp;br=250&amp;bt=125&amp;ds=5&amp;ft=GNDpcInz7Th0zKvPXq8Zmo&amp;mime_type=audio_mpeg&amp;qs=13&amp;rc=ajM6bnc5cjM3cjMzNzU8M0BpajM6bnc5cjM3cjMzNzU8M0BsXmpnMmRjZXFgLS1kMTZzYSNsXmpnMmRjZXFgLS1kMTZzcw%3D%3D&amp;btag=e00050000&amp;expire=1764559353&amp;l=2025120110213238A64472738F9C5726DD&amp;ply_type=3&amp;policy=3&amp;signature=60b59463e6ef05f1dd4ed8d4e47bfe1c&amp;tk=7571587458748974088</t>
  </si>
  <si>
    <t>https://www.tiktok.com/@lorenatdahta/video/7357509398626848005</t>
  </si>
  <si>
    <t>tdahta,tdahadulto,intensidade,tdahtiktok,adhdbrain,neurodivergente</t>
  </si>
  <si>
    <t>https://v16-webapp-prime.tiktok.com/video/tos/useast2a/tos-useast2a-v-27dcd7/o0eTQoEk8DPfOAVBJlCeQy7AgALhCPEIwPGSAI/?a=1988&amp;bti=ODszNWYuMDE6&amp;ch=0&amp;cr=0&amp;dr=0&amp;er=0&amp;lr=default&amp;cd=0%7C0%7C0%7C0&amp;br=250&amp;bt=125&amp;ds=5&amp;ft=GNDpcInz7ThUK-UPXq8Zmo&amp;mime_type=audio_mpeg&amp;qs=13&amp;rc=amx1a2o5cjQ3eTMzNzU8M0Bpamx1a2o5cjQ3eTMzNzU8M0BjNF9wMmRzLmRgLS1kMTZzYSNjNF9wMmRzLmRgLS1kMTZzcw%3D%3D&amp;btag=e00078000&amp;expire=1763004165&amp;l=202511131022270BBA173F4561DD71A814&amp;ply_type=3&amp;policy=3&amp;signature=16aa21643616dbaae0c7416ef3addc61&amp;tk=7571587458748974088</t>
  </si>
  <si>
    <t>https://p16-sign-va.tiktokcdn.com/tos-maliva-avt-0068/0c857903b1d71ebd63a58d7ad9b30044~tplv-tiktokx-cropcenter:1080:1080.jpeg?dr=14579&amp;refresh_token=07a39830&amp;x-expires=1764727200&amp;x-signature=TFgaKCzOWmWwXJveI8zr6r6VDQY%3D&amp;t=4d5b0474&amp;ps=13740610&amp;shp=a5d48078&amp;shcp=81f88b70&amp;idc=my</t>
  </si>
  <si>
    <t>https://v16-webapp-prime.tiktok.com/video/tos/useast2a/tos-useast2a-ve-0068c004/oA5UQHBnBQLIyPVgEE3RfgSAA4eD4FnBEJKgOC/?a=1988&amp;bti=ODszNWYuMDE6&amp;ch=0&amp;cr=3&amp;dr=0&amp;lr=all&amp;cd=0%7C0%7C0%7C&amp;cv=1&amp;br=1886&amp;bt=943&amp;cs=0&amp;ds=3&amp;ft=I~da4oKyD12NviW0i.IxRHqNglBF-UjNSqopiX&amp;mime_type=video_mp4&amp;qs=0&amp;rc=NTNnOjQ1MzNlNTg5aGc4NEBpMzx2ZG05cng3eTMzNzgzM0AzMV4xMi4tXjUxMmMzMmBeYSM1XmRyMmQ0LWRgLS1kLzZzcw%3D%3D&amp;btag=e000b8000&amp;expire=1763173366&amp;l=202511131022270BBA173F4561DD71A814&amp;ply_type=2&amp;policy=2&amp;signature=9aa6a7b848336c092cd266ab5cdc0761&amp;tk=tt_chain_token</t>
  </si>
  <si>
    <t>7442004278698446135</t>
  </si>
  <si>
    <t>evolutiva_mente</t>
  </si>
  <si>
    <t>https://p16-sign-va.tiktokcdn.com/tos-maliva-avt-0068/5e5b84ee647a8a7823fb0c571e620293~tplv-tiktokx-cropcenter:100:100.jpeg?dr=14579&amp;refresh_token=8d76ac4a&amp;x-expires=1763172000&amp;x-signature=JoWqPsimhlIkRN1fyO87c1mR27A%3D&amp;t=4d5b0474&amp;ps=13740610&amp;shp=a5d48078&amp;shcp=81f88b70&amp;idc=my</t>
  </si>
  <si>
    <t>7538999632303557893</t>
  </si>
  <si>
    <t>neurodivertidosbr</t>
  </si>
  <si>
    <t>Neurodivertidos | Mel Fonseca</t>
  </si>
  <si>
    <t>#autismo #autismoftiktok #tdah #tdahadulto #tdahinfantil #fyp</t>
  </si>
  <si>
    <t>https://p77-sign-va.tiktokcdn.com/tos-maliva-avt-0068/920786d91705026732cfd97a63eec925~tplv-tiktokx-cropcenter:100:100.jpeg?dr=14579&amp;refresh_token=c1cd668f&amp;x-expires=1764727200&amp;x-signature=GXJ78fKfzYRHtpWrvkv1faPmUgU%3D&amp;t=4d5b0474&amp;ps=13740610&amp;shp=a5d48078&amp;shcp=81f88b70&amp;idc=my</t>
  </si>
  <si>
    <t>Hiperatividade
TDAH X AUTISMO
Hiperatividade
TDAH X AUTISMO</t>
  </si>
  <si>
    <t>7442004302238468919</t>
  </si>
  <si>
    <t>https://v16-webapp-prime.tiktok.com/video/tos/useast2a/tos-useast2a-v-27dcd7/ocOjBs7TEApRCJwoECAHFCE8ATF4KSfAHgeDeE/?a=1988&amp;bti=ODszNWYuMDE6&amp;ch=0&amp;cr=0&amp;dr=0&amp;er=0&amp;lr=default&amp;cd=0%7C0%7C0%7C0&amp;br=250&amp;bt=125&amp;ds=5&amp;ft=GNDpcInz7ThQ9-UPXq8Zmo&amp;mime_type=audio_mpeg&amp;qs=13&amp;rc=anVyM3A5cjNudzMzNzU8M0BpanVyM3A5cjNudzMzNzU8M0A1ZzBgMmRrczBgLS1kMTZzYSM1ZzBgMmRrczBgLS1kMTZzcw%3D%3D&amp;btag=e00050000&amp;expire=1763004305&amp;l=202511131024053FAEE14371AE44A729CC&amp;ply_type=3&amp;policy=3&amp;signature=3c297bc757d1498148443d8706433edc&amp;tk=7571587458748974088</t>
  </si>
  <si>
    <t xml:space="preserve">Você já ouviu falar de desregulação emocional no TDAH? Suas emoções negativas duram semanas? Já passou por alguma situação onde você reagiu de maneira desproporcional por sentir as coisas de maneira muito intensa, agiu/falou sem pensar e se arrependeu depois?  Pois é, isso é a famosa “Desregulação emocional” do TDAH e é uma das partes mais difíceis do transtorno… E POR QUE isso acontece? Acontece que nosso cérebro tem uma menor regulação no sistema límbico (responsável pelas emoções) e baixa atividade na região pré-frontal (que regula reações impulsivas). Além disso, a dopamina e a noradrenalina, neurotransmissores que ajudam a “filtrar” e regular estímulos funcionam de forma diferente em cérebros neurodivergentes. Por isso, uma crítica pode parecer um ataque. Um erro pequeno pode gerar vergonha extrema. E um conflito pode desencadear uma reação emocional intensa, às vezes desproporcional. Isso se chama desregulação emocional. E quando envolve medo de rejeição, se chama RSD, Disforia Sensível à Rejeição (como mencionei no ultimo video) Não é “frescura”, nem “falta de maturidade”. É uma reação química real. E machuca. Se você sente isso, saiba: Você não é “sensível demais”, “louca(o)”, “exagerada(o)”, como muitas vezes somos taxados… Nosso cérebro só processa as emoções de maneira diferente e tudo bem! #TDAH #neurodivergente #autismo #desregulacionemocional </t>
  </si>
  <si>
    <t>@melinabfonseca</t>
  </si>
  <si>
    <t>7538999746322238213</t>
  </si>
  <si>
    <t>https://v16-webapp-prime.tiktok.com/video/tos/useast2a/tos-useast2a-v-27dcd7/osIfIACAT6zPEwDRRFEAfsdsOh3ocEAgSTeFC7/?a=1988&amp;bti=ODszNWYuMDE6&amp;ch=0&amp;cr=0&amp;dr=0&amp;er=0&amp;lr=default&amp;cd=0%7C0%7C0%7C0&amp;br=250&amp;bt=125&amp;ds=5&amp;ft=GNDpcInz7ThcFKvPXq8Zmo&amp;mime_type=audio_mpeg&amp;qs=13&amp;rc=anA5Z3U5cnF4NTMzNzU8M0BpanA5Z3U5cnF4NTMzNzU8M0AwZ2doMmQ0ZGNhLS1kMTZzYSMwZ2doMmQ0ZGNhLS1kMTZzcw%3D%3D&amp;btag=e00060000&amp;expire=1764559891&amp;l=2025120110220384643B3986DED954E961&amp;ply_type=3&amp;policy=3&amp;signature=21eb52022f19d1806bd27207d069c24e&amp;tk=7571587458748974088</t>
  </si>
  <si>
    <t>https://p16-sign-va.tiktokcdn.com/tos-maliva-avt-0068/5e5b84ee647a8a7823fb0c571e620293~tplv-tiktokx-cropcenter:1080:1080.jpeg?dr=14579&amp;refresh_token=bc417078&amp;x-expires=1763172000&amp;x-signature=YPpUj%2B1aIxlsAw77CFhscmELSgw%3D&amp;t=4d5b0474&amp;ps=13740610&amp;shp=a5d48078&amp;shcp=81f88b70&amp;idc=my</t>
  </si>
  <si>
    <t>https://v16-webapp-prime.tiktok.com/video/tos/useast2a/tos-useast2a-ve-0068c002/okFf0F4MALOR3Dx9EMYBzf0GlkEERnoJQQBHIz/?a=1988&amp;bti=ODszNWYuMDE6&amp;ch=0&amp;cr=3&amp;dr=0&amp;lr=all&amp;cd=0%7C0%7C0%7C&amp;cv=1&amp;br=1580&amp;bt=790&amp;cs=0&amp;ds=3&amp;ft=-Csk_mrMPD12Nlcopd-UxB6vSY6e3wv25rcAp&amp;mime_type=video_mp4&amp;qs=0&amp;rc=ZGVpNWdlNGRmNTY6O2c1OEBpM3dydnI5cmZudzMzNzczM0AxNWE1XjFgX2AxXjFjLWAxYSMzcWxzMmRzcDBgLS1kMTZzcw%3D%3D&amp;btag=e00090000&amp;expire=1763173505&amp;l=202511131024053FAEE14371AE44A729CC&amp;ply_type=2&amp;policy=2&amp;signature=fe81120aaa937aaddf57e2364c6bd372&amp;tk=tt_chain_token</t>
  </si>
  <si>
    <t>https://p77-sign-va.tiktokcdn.com/tos-maliva-avt-0068/920786d91705026732cfd97a63eec925~tplv-tiktokx-cropcenter:1080:1080.jpeg?dr=14579&amp;refresh_token=3ec7241c&amp;x-expires=1764727200&amp;x-signature=chK5ydWlqwVUYvNAPBwODg3h6ZE%3D&amp;t=4d5b0474&amp;ps=13740610&amp;shp=a5d48078&amp;shcp=81f88b70&amp;idc=my</t>
  </si>
  <si>
    <t>https://www.tiktok.com/@neurodivertidosbr/video/7538999632303557893</t>
  </si>
  <si>
    <t>https://www.tiktok.com/@evolutiva_mente/video/7442004278698446135</t>
  </si>
  <si>
    <t>tdah,neurodivergente,autismo,desregulacionemocional</t>
  </si>
  <si>
    <t>autismo,autismoftiktok,tdah,tdahadulto,tdahinfantil,fyp</t>
  </si>
  <si>
    <t>7508740632177937720</t>
  </si>
  <si>
    <t>https://v16-webapp-prime.tiktok.com/video/tos/useast2a/tos-useast2a-v-27dcd7/oYKH8OQwfCIl4VGCADJnxvBQCEBJFUAr14AIex/?a=1988&amp;bti=ODszNWYuMDE6&amp;ch=0&amp;cr=0&amp;dr=0&amp;er=0&amp;lr=default&amp;cd=0%7C0%7C0%7C0&amp;br=250&amp;bt=125&amp;ds=5&amp;ft=GNDpcInz7ThRPKvPXq8Zmo&amp;mime_type=audio_mpeg&amp;qs=13&amp;rc=MzpvaHI5cnlyeTMzNzU8M0BpMzpvaHI5cnlyeTMzNzU8M0AxXzFxMmQ0Xi5gLS1kMTZzYSMxXzFxMmQ0Xi5gLS1kMTZzcw%3D%3D&amp;btag=e00050000&amp;expire=1764559275&amp;l=202512011020161DC26370CAB01566B4BC&amp;ply_type=3&amp;policy=3&amp;signature=51cd954370e6c695a65db6d1710d74c2&amp;tk=7571587458748974088</t>
  </si>
  <si>
    <t>Estar cansado o tempo todo não te torna fraco. Pra quem tem TDAH, viver em exaustão e com sensação de depressão pode ser mais comum do que parece. Não é preguiça. É sobrecarga mental. É o seu cérebro tentando funcionar num mundo que nem sempre entende o seu ritmo. Se você se sente assim com frequência, saiba: não é só você. #tdah #tdahadulto #comportamento #terapia #psicologia #curiosidade #psicoterapia #neurociência #foco #distraidosvenceremos</t>
  </si>
  <si>
    <t>7508740706996226872</t>
  </si>
  <si>
    <t>https://v16-webapp-prime.tiktok.com/video/tos/useast2a/tos-useast2a-v-27dcd7/oEQrpmEgt0ozfLAbxEpGeAgQkcFeJLeLsYCTIZ/?a=1988&amp;bti=ODszNWYuMDE6&amp;ch=0&amp;cr=0&amp;dr=0&amp;er=0&amp;lr=default&amp;cd=0%7C0%7C0%7C0&amp;br=250&amp;bt=125&amp;ft=GNDpcInz7ThNV-UPXq8Zmo&amp;mime_type=audio_mpeg&amp;qs=6&amp;rc=Z2k8NDg3NzpmZGlmNzU5OEBpM2hybHY5cnM5MzMzNzU8M0BhMDFeMjM2XzIxL2M2Ll5jYSMuLWJjMmRjY25hLS1kMTZzcw%3D%3D&amp;btag=e00090000&amp;expire=1763004257&amp;l=20251113102306B19E1F5BC676BF8CC05E&amp;ply_type=3&amp;policy=3&amp;signature=16c40376d5d6fbd8e6dcc0899c0f8fb8&amp;tk=7571587458748974088</t>
  </si>
  <si>
    <t>https://p77-sign-va.tiktokcdn.com/tos-maliva-avt-0068/54df30458f3a66aed8bbb7fbd484cf07~tplv-tiktokx-cropcenter:1080:1080.jpeg?dr=14579&amp;refresh_token=ef051081&amp;x-expires=1764727200&amp;x-signature=r0FwSuMl1D%2BhwAPacVFIKML1lms%3D&amp;t=4d5b0474&amp;ps=13740610&amp;shp=a5d48078&amp;shcp=81f88b70&amp;idc=my</t>
  </si>
  <si>
    <t>https://v16-webapp-prime.tiktok.com/video/tos/useast2a/tos-useast2a-ve-0068c002/o083WffRMQeHQgQgzP0WrIsMCtKaaIjo5NSAgC/?a=1988&amp;bti=ODszNWYuMDE6&amp;ch=0&amp;cr=3&amp;dr=0&amp;lr=all&amp;cd=0%7C0%7C0%7C&amp;cv=1&amp;br=1186&amp;bt=593&amp;cs=0&amp;ds=3&amp;ft=-Csk_mrMPD12NOYopd-Uxtv5GY6e3wv252cAp&amp;mime_type=video_mp4&amp;qs=0&amp;rc=PDQzaWdnNTs7Z2Y4ODg5Z0BpamlpcWs5cmg5MzMzNzczM0BgYDFjXzA2XmMxY2A0YDJeYSNqbnBqMmRzYm5hLS1kMTZzcw%3D%3D&amp;btag=e00090000&amp;expire=1763173457&amp;l=20251113102306B19E1F5BC676BF8CC05E&amp;ply_type=2&amp;policy=2&amp;signature=813681ab23da0a8a4cae604d4c9a9f56&amp;tk=tt_chain_token</t>
  </si>
  <si>
    <t>https://v16-webapp-prime.tiktok.com/video/tos/useast2a/tos-useast2a-pve-0068/okDfciKvAYzIbByRELhgAHagzwiC4zikoQADIs/?a=1988&amp;bti=ODszNWYuMDE6&amp;ch=0&amp;cr=3&amp;dr=0&amp;lr=all&amp;cd=0%7C0%7C0%7C&amp;cv=1&amp;br=938&amp;bt=469&amp;cs=0&amp;ds=3&amp;ft=-Csk_mrMPD12NXdh5d-Uxe42hY6e3wv25XcAp&amp;mime_type=video_mp4&amp;qs=0&amp;rc=OjQ8aDQ4NzxpO2c7NTtkZUBpams2dWw5cjNyeTMzNzczM0BgLi82MTAzXy0xMzUxXi1iYSMyMzEwMmRjXi5gLS1kMTZzcw%3D%3D&amp;btag=e00090000&amp;expire=1764728475&amp;l=202512011020161DC26370CAB01566B4BC&amp;ply_type=2&amp;policy=2&amp;signature=0fdb80faa01c46c0ea87d659bd6533f8&amp;tk=tt_chain_token</t>
  </si>
  <si>
    <t>https://www.tiktok.com/@psi.jonathanorlandi/video/7508740632177937720</t>
  </si>
  <si>
    <t>7374154836012485893</t>
  </si>
  <si>
    <t>#psicologia #tdah #tda #tdahadulto</t>
  </si>
  <si>
    <t xml:space="preserve">Remédio para inteligência 
PARTE 02 </t>
  </si>
  <si>
    <t>7374154885677206277</t>
  </si>
  <si>
    <t>https://v16-webapp-prime.tiktok.com/video/tos/useast2a/tos-useast2a-v-27dcd7/ogWNziAEkBzlKwKFQo49BuslIfZk37giEqMsyO/?a=1988&amp;bti=ODszNWYuMDE6&amp;ch=0&amp;cr=0&amp;dr=0&amp;er=0&amp;lr=default&amp;cd=0%7C0%7C0%7C0&amp;br=250&amp;bt=125&amp;ft=GNDpcInz7ThGD-UPXq8Zmo&amp;mime_type=audio_mpeg&amp;qs=6&amp;rc=OjU7PDk4aTZpOGY1OTtlOUBpanM1eW05cmw3czMzNzU8M0A1LTA2LWBiXmAxNi1iLTFgYSMzXmJvMmRjMl9gLS1kMTZzcw%3D%3D&amp;btag=e00090000&amp;expire=1763004404&amp;l=2025111310254344385823DD6566920070&amp;ply_type=3&amp;policy=3&amp;signature=7104752e8c9c9f4355fd071333a387c1&amp;tk=7571587458748974088</t>
  </si>
  <si>
    <t>https://v16-webapp-prime.tiktok.com/video/tos/useast2a/tos-useast2a-v-27dcd7/5988a7d8c769421581ce8932ae573d87/?a=1988&amp;bti=ODszNWYuMDE6&amp;ch=0&amp;cr=0&amp;dr=0&amp;er=0&amp;lr=default&amp;cd=0%7C0%7C0%7C0&amp;br=250&amp;bt=125&amp;ds=5&amp;ft=GNDpcInz7ThazKvPXq8Zmo&amp;mime_type=audio_mpeg&amp;qs=13&amp;rc=amtvdGY6ZjRxajMzNzU8M0BpamtvdGY6ZjRxajMzNzU8M0AuX3BrcjRvL25gLS1kMTZzYSMuX3BrcjRvL25gLS1kMTZzcw%3D%3D&amp;btag=e00058000&amp;expire=1764559526&amp;l=2025120110213521203C48224A5C66F6F4&amp;ply_type=3&amp;policy=3&amp;signature=33171ad127b9283739bc9d16ff3a6a2d&amp;tk=7571587458748974088</t>
  </si>
  <si>
    <t>https://www.tiktok.com/@pisicopop/video/7374154836012485893</t>
  </si>
  <si>
    <t>https://v16-webapp-prime.tiktok.com/video/tos/useast2a/tos-useast2a-v-27dcd7/ocAIQE9AJYVIoCTfXAuqF6C0gppDUBFXJoeB6J/?a=1988&amp;bti=ODszNWYuMDE6&amp;ch=0&amp;cr=0&amp;dr=0&amp;er=0&amp;lr=default&amp;cd=0%7C0%7C0%7C0&amp;br=250&amp;bt=125&amp;ds=5&amp;ft=GNDpcInz7ThGD-UPXq8Zmo&amp;mime_type=audio_mpeg&amp;qs=13&amp;rc=am5kN3g5cjh0NTMzNzU8M0Bpam5kN3g5cjh0NTMzNzU8M0BvNi5uMmRzYGlhLS1kMTZzYSNvNi5uMmRzYGlhLS1kMTZzcw%3D%3D&amp;btag=e00050000&amp;expire=1763004485&amp;l=2025111310254344385823DD6566920070&amp;ply_type=3&amp;policy=3&amp;signature=2d3410b02f00d9050ff57c758e8141d8&amp;tk=7571587458748974088</t>
  </si>
  <si>
    <t>https://v16-webapp-prime.tiktok.com/video/tos/maliva/tos-maliva-ve-0068c801-us/oYFsK1ghrLImGU6yA1QEIcVfuNo1iACkgz6Aou/?a=1988&amp;bti=ODszNWYuMDE6&amp;ch=0&amp;cr=3&amp;dr=0&amp;lr=all&amp;cd=0%7C0%7C0%7C&amp;cv=1&amp;br=1434&amp;bt=717&amp;cs=0&amp;ds=3&amp;ft=-Csk_mrMPD12N8Dh5d-UxSc2hY6e3wv252cAp&amp;mime_type=video_mp4&amp;qs=0&amp;rc=OWQ4ZTQ5OThpOTdlNTpkOkBpMzlsbzg6ZjhxajMzNzczM0BgYDMzMC1iNmIxMDZgNGAvYSNxcWFucjRnLW5gLS1kMTZzcw%3D%3D&amp;btag=e00098000&amp;expire=1764728726&amp;l=2025120110213521203C48224A5C66F6F4&amp;ply_type=2&amp;policy=2&amp;signature=596b1b5385212dc100619b396e3016f0&amp;tk=tt_chain_token</t>
  </si>
  <si>
    <t>https://p16-sign-va.tiktokcdn.com/tos-maliva-avt-0068/1b1ab6d65ae96fbe11db1ee88f115e37~tplv-tiktokx-cropcenter:1080:1080.jpeg?dr=14579&amp;refresh_token=4bd4e7cb&amp;x-expires=1763172000&amp;x-signature=GOXzrBOsGfzf0%2BGlVVrfFo1%2FkpE%3D&amp;t=4d5b0474&amp;ps=13740610&amp;shp=a5d48078&amp;shcp=81f88b70&amp;idc=my</t>
  </si>
  <si>
    <t>https://v16-webapp-prime.tiktok.com/video/tos/useast2a/tos-useast2a-ve-0068c003/o4p7dZEWiUOKBzd8v8qmiQuLSrkuAECIQaBT3/?a=1988&amp;bti=ODszNWYuMDE6&amp;ch=0&amp;cr=3&amp;dr=0&amp;lr=all&amp;cd=0%7C0%7C0%7C&amp;cv=1&amp;br=2308&amp;bt=1154&amp;cs=0&amp;ds=3&amp;ft=-Csk_mrMPD12Nn.opd-UxJTFGY6e3wv25bcAp&amp;mime_type=video_mp4&amp;qs=0&amp;rc=aDllO2ZkMzs2ZGk3ZGVmZ0BpandpOXE5cjV0NTMzNzczM0BhX2FgYDBgNmAxMC1iMF8zYSNtbGNrMmRrYGlhLS1kMTZzcw%3D%3D&amp;btag=e00090000&amp;expire=1763173685&amp;l=2025111310254344385823DD6566920070&amp;ply_type=2&amp;policy=2&amp;signature=28a8a961eaf33e3cffd920ee107786c8&amp;tk=tt_chain_token</t>
  </si>
  <si>
    <t>7373691403412573445</t>
  </si>
  <si>
    <t>#psicologia #tdah #tdahadulto #tdahtiktok</t>
  </si>
  <si>
    <t>A DROGA DA
INTELIGÊNCIA?</t>
  </si>
  <si>
    <t>7373691454421437190</t>
  </si>
  <si>
    <t>https://v16-webapp-prime.tiktok.com/video/tos/useast2a/tos-useast2a-v-27dcd7/ooa1fdJDmBOzgm1FEqDJBCQlUBgpfVOQcJYqCL/?a=1988&amp;bti=ODszNWYuMDE6&amp;ch=0&amp;cr=0&amp;dr=0&amp;er=0&amp;lr=default&amp;cd=0%7C0%7C0%7C0&amp;br=250&amp;bt=125&amp;ft=GNDpcInz7ThkPKvPXq8Zmo&amp;mime_type=audio_mpeg&amp;qs=6&amp;rc=aTQ6NGg3Nzs7Nmg1NmdkNkBpamo0ZXM5cmw8czMzNzU8M0BfNWIvYl9gNTIxNjQzXzJjYSMzaWZtMmRzbl5gLS1kMTZzcw%3D%3D&amp;btag=e00090000&amp;expire=1764559305&amp;l=2025120110204563AE4C62401D615C8166&amp;ply_type=3&amp;policy=3&amp;signature=ee831019f2f9df55fb07a8221419395a&amp;tk=7571587458748974088</t>
  </si>
  <si>
    <t>https://v16-webapp-prime.tiktok.com/video/tos/useast2a/tos-useast2a-v-27dcd7/oYAgdxQemiIpFkFXEeGfvVLqArVfAJMImhUAIQ/?a=1988&amp;bti=ODszNWYuMDE6&amp;ch=0&amp;cr=0&amp;dr=0&amp;er=0&amp;lr=default&amp;cd=0%7C0%7C0%7C0&amp;br=250&amp;bt=125&amp;ds=5&amp;ft=GNDpcInz7ThQ9-UPXq8Zmo&amp;mime_type=audio_mpeg&amp;qs=13&amp;rc=M2p3c205cmhvNTMzNzU8M0BpM2p3c205cmhvNTMzNzU8M0AxY28xMmQ0MnNhLS1kMTZzYSMxY28xMmQ0MnNhLS1kMTZzcw%3D%3D&amp;btag=e00050000&amp;expire=1763004359&amp;l=202511131024053FAEE14371AE44A729CC&amp;ply_type=3&amp;policy=3&amp;signature=6e20907d8ddcd022a847800bd8658d97&amp;tk=7571587458748974088</t>
  </si>
  <si>
    <t>https://p77-sign-va.tiktokcdn.com/tos-maliva-avt-0068/0c857903b1d71ebd63a58d7ad9b30044~tplv-tiktokx-cropcenter:1080:1080.jpeg?dr=14579&amp;refresh_token=119a0f11&amp;x-expires=1764727200&amp;x-signature=HoicRW9XlcVqtFyC2Ibd4WPT48I%3D&amp;t=4d5b0474&amp;ps=13740610&amp;shp=a5d48078&amp;shcp=81f88b70&amp;idc=my</t>
  </si>
  <si>
    <t>https://www.tiktok.com/@pisicopop/video/7373691403412573445</t>
  </si>
  <si>
    <t>https://v16-webapp-prime.tiktok.com/video/tos/useast2a/tos-useast2a-ve-0068c003/o4Q33GEi1ffUVWvGKSlMsAgRkFF8AJeIOIcfQq/?a=1988&amp;bti=ODszNWYuMDE6&amp;ch=0&amp;cr=3&amp;dr=0&amp;lr=all&amp;cd=0%7C0%7C0%7C&amp;cv=1&amp;br=2008&amp;bt=1004&amp;cs=0&amp;ds=3&amp;ft=-Csk_mrMPD12Nlcopd-UxB6vSY6e3wv25rcAp&amp;mime_type=video_mp4&amp;qs=0&amp;rc=OjxoOjpkNzZnZmk0MzQ7ZkBpajV3dWs5cjxvNTMzNzczM0BeLzUuYTY0X2MxLTQyMGAzYSNoY3BfMmQ0MnNhLS1kMTZzcw%3D%3D&amp;btag=e00090000&amp;expire=1763173559&amp;l=202511131024053FAEE14371AE44A729CC&amp;ply_type=2&amp;policy=2&amp;signature=321d9976ca3e27c405357d158f6119fb&amp;tk=tt_chain_token</t>
  </si>
  <si>
    <t>psicologia,tdah,tdahadulto,tdahtiktok</t>
  </si>
  <si>
    <t>https://v16-webapp-prime.tiktok.com/video/tos/useast2a/tos-useast2a-v-27dcd7/ogfuIhakUAgil7CEAEIAwABUQuGozzdzBKEkiC/?a=1988&amp;bti=ODszNWYuMDE6&amp;ch=0&amp;cr=0&amp;dr=0&amp;er=0&amp;lr=default&amp;cd=0%7C0%7C0%7C0&amp;br=250&amp;bt=125&amp;ds=5&amp;ft=GNDpcInz7ThVPKvPXq8Zmo&amp;mime_type=audio_mpeg&amp;qs=13&amp;rc=M2puZmo5cmc1dDMzNzU8M0BpM2puZmo5cmc1dDMzNzU8M0AuZHBrMmRjM2ZgLS1kMTZzYSMuZHBrMmRjM2ZgLS1kMTZzcw%3D%3D&amp;btag=e00050000&amp;expire=1764559361&amp;l=2025120110201396469B6E0854EC6377C0&amp;ply_type=3&amp;policy=3&amp;signature=9ec6210832b47a60a6565ccbd05fa210&amp;tk=7571587458748974088</t>
  </si>
  <si>
    <t>https://v16-webapp-prime.tiktok.com/video/tos/useast2a/tos-useast2a-ve-0068c004/oITEIBPGDEC9ekgqAZFQJ2RxhBfKmIBIEwQiEp/?a=1988&amp;bti=ODszNWYuMDE6&amp;ch=0&amp;cr=3&amp;dr=0&amp;lr=all&amp;cd=0%7C0%7C0%7C&amp;cv=1&amp;br=924&amp;bt=462&amp;cs=0&amp;ds=6&amp;ft=I~da4oKyD12Nvl.WS.IxR51NWlBF-UjNSMopiX&amp;mime_type=video_mp4&amp;qs=5&amp;rc=ZzY8OmRmZDppNjM4NTk7aEBpM2o7bmo5cmY0dDMzNzczM0BeYDVeYWAyNWExYTUvMWMxYSNzbTUuMmRjaWZgLS1kMTZzcw%3D%3D&amp;btag=e00090000&amp;expire=1764728561&amp;l=2025120110201396469B6E0854EC6377C0&amp;ply_type=2&amp;policy=2&amp;signature=656550b15a2214249c3ea6510b08cc61&amp;tk=tt_chain_token</t>
  </si>
  <si>
    <t>https://v16-webapp-prime.tiktok.com/video/tos/useast2a/tos-useast2a-v-27dcd7/ogcbTgTRRESAoAC7ACtFMDSEEBDAe5E8egfRlY/?a=1988&amp;bti=ODszNWYuMDE6&amp;ch=0&amp;cr=0&amp;dr=0&amp;er=0&amp;lr=default&amp;cd=0%7C0%7C0%7C0&amp;br=250&amp;bt=125&amp;ds=5&amp;ft=GNDpcInz7Th_9-UPXq8Zmo&amp;mime_type=audio_mpeg&amp;qs=13&amp;rc=anY6OXc5cnFqNjMzNzU8M0BpanY6OXc5cnFqNjMzNzU8M0A2bC1zMmRrMWFhLS1kMTZzYSM2bC1zMmRrMWFhLS1kMTZzcw%3D%3D&amp;btag=e00050000&amp;expire=1763004406&amp;l=202511131024200DA040BB1F5C349EC2B1&amp;ply_type=3&amp;policy=3&amp;signature=8b4dfeb062f4ed1a5b7dd12f3b717ffd&amp;tk=7571587458748974088</t>
  </si>
  <si>
    <t>https://v16-webapp-prime.tiktok.com/video/tos/useast2a/tos-useast2a-ve-0068c001/osRXGByOAe7E3QooWwJFEHX2IBWf7N7bsQDAEo/?a=1988&amp;bti=ODszNWYuMDE6&amp;ch=0&amp;cr=3&amp;dr=0&amp;lr=all&amp;cd=0%7C0%7C0%7C&amp;cv=1&amp;br=1564&amp;bt=782&amp;cs=0&amp;ds=3&amp;ft=I~da4oKyD12NvyA0i.IxRhq_glBF-UjNSmopiX&amp;mime_type=video_mp4&amp;qs=0&amp;rc=Zjw8NTtlNGVkZWY3ODo5OEBpM3FzOHg5cnZqNjMzNzczM0AxY2ExMjBfXjQxNjE1Xy42YSNfY2VoMmRrMGFhLS1kMTZzcw%3D%3D&amp;btag=e00090000&amp;expire=1763173606&amp;l=202511131024200DA040BB1F5C349EC2B1&amp;ply_type=2&amp;policy=2&amp;signature=a259d9a30f2b54c5bc0cd4aa07dc915e&amp;tk=tt_chain_token</t>
  </si>
  <si>
    <t>7527044595285380358</t>
  </si>
  <si>
    <t>TDAH É FRESCURA... #tdah #oqueetdah #sintomastdah #tdahadulto</t>
  </si>
  <si>
    <t>7366731620940827424</t>
  </si>
  <si>
    <t>https://v16-webapp-prime.tiktok.com/video/tos/useast2a/tos-useast2a-v-2370-euttp/o0VAjGfE2gd2Mj5eZEENTbEoAYEOFcoADeAe47/?a=1988&amp;bti=ODszNWYuMDE6&amp;ch=0&amp;cr=0&amp;dr=0&amp;er=0&amp;lr=default&amp;cd=0%7C0%7C0%7C0&amp;br=250&amp;bt=125&amp;ds=5&amp;ft=GNDpcInz7ThHzKvPXq8Zmo&amp;mime_type=audio_mpeg&amp;qs=13&amp;rc=ajZrcHg5cnJ4cjMzZjU8M0BpajZrcHg5cnJ4cjMzZjU8M0BwazBgMmRzM3FgLS1kMWNzYSNwazBgMmRzM3FgLS1kMWNzcw%3D%3D&amp;btag=e00058000&amp;expire=1764559514&amp;l=2025120110210247DE29902DF1415935A0&amp;ply_type=3&amp;policy=3&amp;signature=d013249944e2add582cc43a09e520c81&amp;tk=7571587458748974088</t>
  </si>
  <si>
    <t>7395685186454686981</t>
  </si>
  <si>
    <t>drdanieltales</t>
  </si>
  <si>
    <t>DR DANIEL TALES</t>
  </si>
  <si>
    <t>https://p16-sign-va.tiktokcdn.com/tos-maliva-avt-0068/351617397cb25a2a8754aa256e7690b2~tplv-tiktokx-cropcenter:100:100.jpeg?dr=14579&amp;refresh_token=46752314&amp;x-expires=1763172000&amp;x-signature=zI6u4kiUANV9QvrSgzdnyfTWrdw%3D&amp;t=4d5b0474&amp;ps=13740610&amp;shp=a5d48078&amp;shcp=81f88b70&amp;idc=my</t>
  </si>
  <si>
    <t>https://p19-common-sign-useastred.tiktokcdn-eu.com/tos-useast2a-avt-0068-euttp/aef08c932f06f3dfcbe7cd92188a70ad~tplv-tiktokx-cropcenter:1080:1080.jpeg?dr=14579&amp;refresh_token=204d10f1&amp;x-expires=1764727200&amp;x-signature=D1cda1M6tRe67ghlKiL5MXT99ik%3D&amp;t=4d5b0474&amp;ps=13740610&amp;shp=a5d48078&amp;shcp=81f88b70&amp;idc=my</t>
  </si>
  <si>
    <t>🚨 Você sabia? 🚨 As pessoas com TDAH têm um superpoder incrível! 💥✨ 👥 Seja criança ou adulto, quem tem TDAH pensa mais rápido e em muitas coisas ao mesmo tempo. Isso pode dificultar o foco em uma só tarefa, mas quando encontram algo que realmente interessa, entram no incrível estado de hiperfoco. 🔍🚀 💡 O hiperfoco transforma desafios em oportunidades! Pessoas com TDAH possuem uma cognição superavançada, especialmente quando tratadas corretamente e sem depender de medicamentos que causam dependência. 💊❌ 🧠 Entender e apoiar essas pessoas é crucial. Com o tratamento adequado, elas podem desenvolver habilidades cognitivas muito acima da média! 🌟 📣 Vamos desmistificar o TDAH juntos? Compartilhe este vídeo e deixe nos comentários sua experiência ou opinião sobre o tema. Vamos mostrar ao mundo o potencial extraordinário dessas pessoas! 💪 #SuperPoderTDAH #Hiperfoco #CogniçãoAvançada #DesmistificandoTDAH AVISO LEGAL: Este conteúdo é apenas informativo e não substitui a consulta a um médico, não estabelece relação médico-paciente via redes sociais e não indica tratamento. Consultas individuais são essenciais para uma avaliação completa e tratamento adequado.</t>
  </si>
  <si>
    <t>7395685228038687493</t>
  </si>
  <si>
    <t>https://v16-webapp-prime.tiktok.com/video/tos/useast2a/tos-useast2a-v-27dcd7/osJBCFBeA7PfF4oGRmH7CIJFXAIUIA6vDsg8EQ/?a=1988&amp;bti=ODszNWYuMDE6&amp;ch=0&amp;cr=0&amp;dr=0&amp;er=0&amp;lr=default&amp;cd=0%7C0%7C0%7C0&amp;br=250&amp;bt=125&amp;ds=5&amp;ft=GNDpcInz7ThlV-UPXq8Zmo&amp;mime_type=audio_mpeg&amp;qs=13&amp;rc=M3h5cXY5cjZmdDMzNzU8M0BpM3h5cXY5cjZmdDMzNzU8M0AvbmIuMmRzLmVgLS1kMTZzYSMvbmIuMmRzLmVgLS1kMTZzcw%3D%3D&amp;btag=e00050000&amp;expire=1763004247&amp;l=20251113102257F8D01E3BFCE9B2911856&amp;ply_type=3&amp;policy=3&amp;signature=a8ff1f10e0b30eb0424a968baae59f14&amp;tk=7571587458748974088</t>
  </si>
  <si>
    <t>xavier</t>
  </si>
  <si>
    <t>https://v16-webapp-prime.tiktok.com/video/tos/useast2a/tos-useast2a-pve-0068/o0BDIsM0Q51GFEQViB4bS5ASilavzZU9uiHEE/?a=1988&amp;bti=ODszNWYuMDE6&amp;ch=0&amp;cr=3&amp;dr=0&amp;lr=all&amp;cd=0%7C0%7C0%7C&amp;cv=1&amp;br=740&amp;bt=370&amp;cs=0&amp;ds=3&amp;ft=-Csk_mrMPD12N7Dh5d-UxII2hY6e3wv252cAp&amp;mime_type=video_mp4&amp;qs=0&amp;rc=ZDw8Ojg1aTQ5aWg1Zmk5NUBpamxuNHM5cnNwNDMzNzczM0AvNWNeNF8yXmMxYGExYDZfYSMubGtwMmRrcG5hLS1kMTZzcw%3D%3D&amp;btag=e00090000&amp;expire=1764728566&amp;l=2025120110210247DE29902DF1415935A0&amp;ply_type=2&amp;policy=2&amp;signature=dec6703de220ecbcd71fb13ccaae4dee&amp;tk=tt_chain_token</t>
  </si>
  <si>
    <t>https://p16-sign-va.tiktokcdn.com/tos-maliva-avt-0068/351617397cb25a2a8754aa256e7690b2~tplv-tiktokx-cropcenter:1080:1080.jpeg?dr=14579&amp;refresh_token=cc618679&amp;x-expires=1763172000&amp;x-signature=n%2FxOVVh6J7YPGUTrAV%2FqCg3ErhA%3D&amp;t=4d5b0474&amp;ps=13740610&amp;shp=a5d48078&amp;shcp=81f88b70&amp;idc=my</t>
  </si>
  <si>
    <t>https://www.tiktok.com/@liberdade.mentall/video/7527044595285380358</t>
  </si>
  <si>
    <t>https://v16-webapp-prime.tiktok.com/video/tos/useast2a/tos-useast2a-v-27dcd7/oAFdFB5mUCWfBPKQE6BKhJqBJsQfM5HAU29QID/?a=1988&amp;bti=ODszNWYuMDE6&amp;ch=0&amp;cr=0&amp;dr=0&amp;er=0&amp;lr=default&amp;cd=0%7C0%7C0%7C0&amp;br=250&amp;bt=125&amp;ft=GNDpcInz7ThuPKvPXq8Zmo&amp;mime_type=audio_mpeg&amp;qs=6&amp;rc=Z2hpZzZlNTQ5ZDMzNTg5OUBpamlpanc5cmxkczMzNzU8M0AvYzIxMy1jNjUxYzZgNmIwYSNycjFhMmRrYjVgLS1kMTZzcw%3D%3D&amp;btag=e00090000&amp;expire=1764559312&amp;l=20251201102046E8B89E886773854715A1&amp;ply_type=3&amp;policy=3&amp;signature=fc393b1b13be8608db637c69f03f75f0&amp;tk=7571587458748974088</t>
  </si>
  <si>
    <t>https://v16-webapp-prime.tiktok.com/video/tos/maliva/tos-maliva-ve-0068c801-us/ocweIS55mDAKwAIDSXFvCjNQ6IegiCUREpfCiE/?a=1988&amp;bti=ODszNWYuMDE6&amp;ch=0&amp;cr=3&amp;dr=0&amp;lr=all&amp;cd=0%7C0%7C0%7C&amp;cv=1&amp;br=1918&amp;bt=959&amp;cs=0&amp;ds=3&amp;ft=-Csk_mrMPD12N4Yopd-Ux9T2bY6e3wv25IcAp&amp;mime_type=video_mp4&amp;qs=0&amp;rc=NmdmMzM8NDk2NGk8ZTY7N0BpajVtO3E5cjxldDMzNzczM0A2NV4tMTNiXzUxMC4yNTM0YSNwcS9yMmRrc2VgLS1kMTZzcw%3D%3D&amp;btag=e00090000&amp;expire=1763173447&amp;l=20251113102257F8D01E3BFCE9B2911856&amp;ply_type=2&amp;policy=2&amp;signature=afa2c5ec3bf23a2712b63d525369505a&amp;tk=tt_chain_token</t>
  </si>
  <si>
    <t>https://www.tiktok.com/@drdanieltales/video/7395685186454686981</t>
  </si>
  <si>
    <t>superpodertdah,hiperfoco,cogniçãoavançada,desmistificandotdah</t>
  </si>
  <si>
    <t>7543388280205626680</t>
  </si>
  <si>
    <t>#tdah #transtornosneurodivergentes #foryou #neurodivergenciaeopapo #neurodivergencia</t>
  </si>
  <si>
    <t>TDAH E A FALTA DE EMPATIA</t>
  </si>
  <si>
    <t>Life's Good (STEM bass)</t>
  </si>
  <si>
    <t>7398662881061914641</t>
  </si>
  <si>
    <t>https://sf16-ies-music-sg.tiktokcdn.com/obj/tos-alisg-ve-2774/oYQWrdRZLIrLtaeBEm2gcvDxFCfOCB81GMhvhu</t>
  </si>
  <si>
    <t>https://v16-webapp-prime.tiktok.com/video/tos/useast2a/tos-useast2a-v-27dcd7/ooyAEZ9KBzhivoAA16HANfcETgkCkE02EPjqJA/?a=1988&amp;bti=ODszNWYuMDE6&amp;ch=0&amp;cr=0&amp;dr=0&amp;er=0&amp;lr=default&amp;cd=0%7C0%7C0%7C0&amp;br=250&amp;bt=125&amp;ds=5&amp;ft=GNDpcInz7Th0zKvPXq8Zmo&amp;mime_type=audio_mpeg&amp;qs=13&amp;rc=andkZzc6Zmx4bjMzNzU8M0BpandkZzc6Zmx4bjMzNzU8M0BuczJvcjQwZ2BgLS1kMTZzYSNuczJvcjQwZ2BgLS1kMTZzcw%3D%3D&amp;btag=e00050000&amp;expire=1764559439&amp;l=2025120110213238A64472738F9C5726DD&amp;ply_type=3&amp;policy=3&amp;signature=16dbeb7cd0132f71145883c2fbdaef3b&amp;tk=7571587458748974088</t>
  </si>
  <si>
    <t>https://p77-sg.tiktokcdn.com/aweme/720x720/tos-alisg-v-2774/24bc933fdd7042319cfd053044351f53.jpeg</t>
  </si>
  <si>
    <t>Altitude Music / BMGPM</t>
  </si>
  <si>
    <t>https://v16-webapp-prime.tiktok.com/video/tos/useast2a/tos-useast2a-ve-0068c003/oMKvgSQMI48C2leBfRv9IyER9gW0fjAX5NCiLg/?a=1988&amp;bti=ODszNWYuMDE6&amp;ch=0&amp;cr=3&amp;dr=0&amp;lr=all&amp;cd=0%7C0%7C0%7C&amp;cv=1&amp;br=1634&amp;bt=817&amp;cs=0&amp;ds=3&amp;ft=-Csk_mrMPD12NH_opd-UxDTFGY6e3wv25ocAp&amp;mime_type=video_mp4&amp;qs=0&amp;rc=aDg7NTs1MzQ4ODY6ZDVpM0BpamZza245cnNxNTMzNzczM0BjY2MwLS0zXl4xYTRfMjJeYSNkb3NrMmRrb2thLS1kMTZzcw%3D%3D&amp;btag=e00098000&amp;expire=1763173821&amp;l=202511131026218DEF8CE7185C8F9E5844&amp;ply_type=2&amp;policy=2&amp;signature=daff81d983cf50839f6d091e35b5ee85&amp;tk=tt_chain_token</t>
  </si>
  <si>
    <t>https://v16-webapp-prime.tiktok.com/video/tos/useast2a/tos-useast2a-ve-0068c001/oAeCjl1bQzrKeCAZQh9Ij0OngD5ISPgPDjMeIi/?a=1988&amp;bti=ODszNWYuMDE6&amp;ch=0&amp;cr=3&amp;dr=0&amp;lr=all&amp;cd=0%7C0%7C0%7C&amp;cv=1&amp;br=1992&amp;bt=996&amp;cs=0&amp;ds=3&amp;ft=-Csk_mrMPD12NsDh5d-UxSc2hY6e3wv25DcAp&amp;mime_type=video_mp4&amp;qs=0&amp;rc=M2Y1Njo5OmRnNTNmNTc1OUBpMzo6c2Y6Znd4bjMzNzczM0AtYV8uNjY1NTMxMS01My8wYSMvMnJkcjRfZGBgLS1kMTZzcw%3D%3D&amp;btag=e00090000&amp;expire=1764728639&amp;l=2025120110213238A64472738F9C5726DD&amp;ply_type=2&amp;policy=2&amp;signature=680d59dcd16a1d7a123af91b10f3b4ed&amp;tk=tt_chain_token</t>
  </si>
  <si>
    <t>https://www.tiktok.com/@neurodivergenciaeopapo/video/7543388280205626680</t>
  </si>
  <si>
    <t>tdah,transtornosneurodivergentes,foryou,neurodivergenciaeopapo,neurodivergencia</t>
  </si>
  <si>
    <t>7214166098164354309</t>
  </si>
  <si>
    <t>tdahdislexx</t>
  </si>
  <si>
    <t>TDAHDISLEX</t>
  </si>
  <si>
    <t>https://p77-sign-va.tiktokcdn.com/tos-maliva-avt-0068/6ef89dc319c140d2bc116f197a38b91b~tplv-tiktokx-cropcenter:100:100.jpeg?dr=14579&amp;refresh_token=55f9fda2&amp;x-expires=1763172000&amp;x-signature=VERnhHsgGeYJJiNAiadbipXNcrE%3D&amp;t=4d5b0474&amp;ps=13740610&amp;shp=a5d48078&amp;shcp=81f88b70&amp;idc=my</t>
  </si>
  <si>
    <t xml:space="preserve">O TDAH na visão do Dr Russel Barkley não é um transtorno de atenção, e sim uma miopia do tempo, a disfunção executiva e a falta de dopamina pra gerar ação de movimento faz com que a gente deixe tudo pra última hora assim, somos moralmente julgados como pessoas preguiçosas e negligentes por muitas vezes fazer coisas mal feitas de última hora, o TDAH atrapalha no movimento intencional, ou seja a gente até tem a vontade de seguir do ponto A ao PONTO B mas é como se tivéssemos uma separação no cérebro que atrapalha a vontade a motivação do agir; e só quando o o futuro é eminentemente que por conta do excesso de extress a gente consegue se movimentar. #tdahdislex #tdah #tdahadulto #tdahtiktok </t>
  </si>
  <si>
    <t>7214166126031702790</t>
  </si>
  <si>
    <t>https://v16-webapp-prime.tiktok.com/video/tos/useast2a/tos-useast2a-v-27dcd7/7e863f4605b0414da58ed677c6e25ec8/?a=1988&amp;bti=ODszNWYuMDE6&amp;ch=0&amp;cr=0&amp;dr=0&amp;er=0&amp;lr=default&amp;cd=0%7C0%7C0%7C0&amp;br=250&amp;bt=125&amp;ds=5&amp;ft=GNDpcInz7ThOD-UPXq8Zmo&amp;mime_type=audio_mpeg&amp;qs=13&amp;rc=anhrNzs6ZnN3ajMzNzU8M0BpanhrNzs6ZnN3ajMzNzU8M0BgNWhxcjQwb2JgLS1kMTZzYSNgNWhxcjQwb2JgLS1kMTZzcw%3D%3D&amp;btag=e00058000&amp;expire=1763004589&amp;l=20251113102536F89EBD83B531C49CD72A&amp;ply_type=3&amp;policy=3&amp;signature=1895541722c0e9328fde999ed0e4b1b7&amp;tk=7571587458748974088</t>
  </si>
  <si>
    <t>https://v16-webapp-prime.tiktok.com/video/tos/useast2a/tos-useast2a-v-27dcd7/cc825b6ba694462eb70e509f11a29747/?a=1988&amp;bti=ODszNWYuMDE6&amp;ch=0&amp;cr=0&amp;dr=0&amp;er=0&amp;lr=default&amp;cd=0%7C0%7C0%7C0&amp;br=250&amp;bt=125&amp;ds=5&amp;ft=GNDpcInz7ThrzKvPXq8Zmo&amp;mime_type=audio_mpeg&amp;qs=13&amp;rc=anVubDU6Znc2ajMzNzU8M0BpanVubDU6Znc2ajMzNzU8M0BwMS1ncjQwX2pgLS1kMTZzYSNwMS1ncjQwX2pgLS1kMTZzcw%3D%3D&amp;btag=e00058000&amp;expire=1764559483&amp;l=20251201102050B730D50024D84153D9E5&amp;ply_type=3&amp;policy=3&amp;signature=638738515d39b9569f6f982e195c7aa6&amp;tk=7571587458748974088</t>
  </si>
  <si>
    <t>https://p16-sign-va.tiktokcdn.com/tos-maliva-avt-0068/6ef89dc319c140d2bc116f197a38b91b~tplv-tiktokx-cropcenter:1080:1080.jpeg?dr=14579&amp;refresh_token=9ad518cb&amp;x-expires=1763172000&amp;x-signature=Q1hjr7falEflZg%2FjDLHlCwuJJF4%3D&amp;t=4d5b0474&amp;ps=13740610&amp;shp=a5d48078&amp;shcp=81f88b70&amp;idc=my</t>
  </si>
  <si>
    <t>https://v16-webapp-prime.tiktok.com/video/tos/maliva/tos-maliva-ve-0068c801-us/o4kLkXENEUDnBCXEIHYsnBAyQReigJbfUQNnVD/?a=1988&amp;bti=ODszNWYuMDE6&amp;ch=0&amp;cr=3&amp;dr=0&amp;lr=all&amp;cd=0%7C0%7C0%7C&amp;cv=1&amp;br=1712&amp;bt=856&amp;cs=0&amp;ds=3&amp;ft=-Csk_mrMPD12NTDh5d-UxHX2hY6e3wv25McAp&amp;mime_type=video_mp4&amp;qs=0&amp;rc=ZWVpNGc1M2lpM2Y7ZGhlNEBpajdueWU6Zms2ajMzNzczM0AuY2M2LzBiXl8xNmEtYTBeYSNnMW1pcjRvXmpgLS1kMTZzcw%3D%3D&amp;btag=e00098000&amp;expire=1764728683&amp;l=20251201102050B730D50024D84153D9E5&amp;ply_type=2&amp;policy=2&amp;signature=de5083c5c3cd03578577c70c86ce4b23&amp;tk=tt_chain_token</t>
  </si>
  <si>
    <t>https://v16-webapp-prime.tiktok.com/video/tos/maliva/tos-maliva-ve-0068c801-us/ooaCRcfDnIzQsLQArgaoNEhCydU3IWqgkJiu3A/?a=1988&amp;bti=ODszNWYuMDE6&amp;ch=0&amp;cr=3&amp;dr=0&amp;lr=all&amp;cd=0%7C0%7C0%7C&amp;cv=1&amp;br=610&amp;bt=305&amp;cs=0&amp;ds=3&amp;ft=-Csk_mrMPD12NE.opd-UxG4vXY6e3wv25McAp&amp;mime_type=video_mp4&amp;qs=0&amp;rc=Njg6ZDNpM2g1ZjM5aThmOkBpMzo8NGU6ZnB3ajMzNzczM0AyYy5iYDUtNWExYzYtYTVjYSNkMDIucjQwX2JgLS1kMTZzcw%3D%3D&amp;btag=e00098000&amp;expire=1763173789&amp;l=20251113102536F89EBD83B531C49CD72A&amp;ply_type=2&amp;policy=2&amp;signature=a94a83894cf8089ad32646c69be77385&amp;tk=tt_chain_token</t>
  </si>
  <si>
    <t>https://p16-sign-va.tiktokcdn.com/tos-maliva-avt-0068/978c28354dd93bc4bed9362aaac99b9e~tplv-tiktokx-cropcenter:100:100.jpeg?dr=14579&amp;refresh_token=b5977ed5&amp;x-expires=1764727200&amp;x-signature=Sx24Uz%2FZ4yyeY0ikwSbt0R0nsso%3D&amp;t=4d5b0474&amp;ps=13740610&amp;shp=a5d48078&amp;shcp=81f88b70&amp;idc=my</t>
  </si>
  <si>
    <t>https://www.tiktok.com/@tdahdislexx/video/7214166098164354309</t>
  </si>
  <si>
    <t>tdahdislex,tdah,tdahadulto,tdahtiktok</t>
  </si>
  <si>
    <t>7267552989060107522</t>
  </si>
  <si>
    <t>crescimento.prospero</t>
  </si>
  <si>
    <t>Crescimento Próspero 🌟</t>
  </si>
  <si>
    <t>https://v16-webapp-prime.tiktok.com/video/tos/useast2a/tos-useast2a-v-27dcd7/e66296f617484738a8aa7ae3e28953de/?a=1988&amp;bti=ODszNWYuMDE6&amp;ch=0&amp;cr=0&amp;dr=0&amp;er=0&amp;lr=default&amp;cd=0%7C0%7C0%7C0&amp;br=250&amp;bt=125&amp;ds=5&amp;ft=GNDpcInz7ThGPKvPXq8Zmo&amp;mime_type=audio_mpeg&amp;qs=13&amp;rc=ajpmZDs6ZnhoajMzNzU8M0BpajpmZDs6ZnhoajMzNzU8M0AzMjEwcjRnc15gLS1kMTZzYSMzMjEwcjRnc15gLS1kMTZzcw%3D%3D&amp;btag=e00050000&amp;expire=1764559356&amp;l=202512011020239FD63C9B4E4C976A9E36&amp;ply_type=3&amp;policy=3&amp;signature=f61ba1e00ee518ed2c2a071f462401c5&amp;tk=7571587458748974088</t>
  </si>
  <si>
    <t>https://p77-sign-va.tiktokcdn.com/tos-maliva-avt-0068/22f979861088a66f6a45140e21c5acd7~tplv-tiktokx-cropcenter:100:100.jpeg?dr=14579&amp;refresh_token=7a7a2a78&amp;x-expires=1763172000&amp;x-signature=LPcER5vxywhw%2Bj81KBhhz2y14uY%3D&amp;t=4d5b0474&amp;ps=13740610&amp;shp=a5d48078&amp;shcp=81f88b70&amp;idc=my</t>
  </si>
  <si>
    <t>Eslen Delanogare fala sobre dificuldades de pacientes com TDAH. #eslendelanogare #motivacional #reflexao #tdah #tdahadulto</t>
  </si>
  <si>
    <t>Shelby</t>
  </si>
  <si>
    <t>7162231194791184386</t>
  </si>
  <si>
    <t>https://sf16-ies-music-sg.tiktokcdn.com/obj/tos-alisg-ve-2774/o831hBCf4IuJrZOgSQtw2eUNvp3YzNOBQzkkBA</t>
  </si>
  <si>
    <t>https://p77-sign-va.tiktokcdn.com/tos-maliva-avt-0068/978c28354dd93bc4bed9362aaac99b9e~tplv-tiktokx-cropcenter:1080:1080.jpeg?dr=14579&amp;refresh_token=6252b57d&amp;x-expires=1764727200&amp;x-signature=52Oi5vTYLWwb%2BeVtDQgUgITDQS0%3D&amp;t=4d5b0474&amp;ps=13740610&amp;shp=a5d48078&amp;shcp=81f88b70&amp;idc=my</t>
  </si>
  <si>
    <t>https://p16-sg.tiktokcdn.com/aweme/720x720/tos-alisg-v-2774/ec1ace0f38ff40c2a188bf7ddc33226c.jpeg</t>
  </si>
  <si>
    <t>sergionabeat</t>
  </si>
  <si>
    <t>https://v16-webapp-prime.tiktok.com/video/tos/alisg/tos-alisg-pve-0037c001/o4BjAiq2j8ePuE4AgkDnRfb0RbsGgiqPBQ31pR/?a=1988&amp;bti=ODszNWYuMDE6&amp;ch=0&amp;cr=3&amp;dr=0&amp;lr=all&amp;cd=0%7C0%7C0%7C&amp;cv=1&amp;br=1556&amp;bt=778&amp;cs=0&amp;ds=3&amp;ft=-Csk_mrMPD12NXhopd-UxB6vSY6e3wv25rcAp&amp;mime_type=video_mp4&amp;qs=0&amp;rc=ZGRnZmU4OzpmaWllOzdnZEBpanRkcjc6ZmdybTMzODczNEAuMmEzYWI2NjIxNS8vMjJiYSNqaHNhcjRfZWFgLS1kMS1zcw%3D%3D&amp;btag=e00088000&amp;expire=1763173384&amp;l=202511131022245A53A91EDE77CC8B0DB4&amp;ply_type=2&amp;policy=2&amp;signature=ffd02f355df7e3bcf6b4fb8838334f80&amp;tk=tt_chain_token</t>
  </si>
  <si>
    <t>https://v16-webapp-prime.tiktok.com/video/tos/alisg/tos-alisg-pve-0037c001/oEQuDroKgfTjAQC4IjIlo0ePIoC1SdbfCSgAnC/?a=1988&amp;bti=ODszNWYuMDE6&amp;ch=0&amp;cr=3&amp;dr=0&amp;lr=all&amp;cd=0%7C0%7C0%7C&amp;cv=1&amp;br=2102&amp;bt=1051&amp;cs=0&amp;ds=3&amp;ft=I~da4oKyD12Nvz.WS.IxRjkNWlBF-UjNSRopiX&amp;mime_type=video_mp4&amp;qs=0&amp;rc=ZTRnZTVkNzRkM2ZpOTYzNkBpMzw4dzw6Zm5oajMzNzczM0BeMWBeLjAuNjYxNC1eXjQ0YSMtNS1ucjQwc15gLS1kMTZzcw%3D%3D&amp;btag=e00090000&amp;expire=1764728556&amp;l=202512011020239FD63C9B4E4C976A9E36&amp;ply_type=2&amp;policy=2&amp;signature=87b0d87bc75ec5bb688357d99f901ebd&amp;tk=tt_chain_token</t>
  </si>
  <si>
    <t>https://www.tiktok.com/@crescimento.prospero/video/7267552989060107522</t>
  </si>
  <si>
    <t>eslendelanogare,motivacional,reflexao,tdah,tdahadulto</t>
  </si>
  <si>
    <t>7503194684878015750</t>
  </si>
  <si>
    <t>lizafixia</t>
  </si>
  <si>
    <t>Liza •</t>
  </si>
  <si>
    <t>https://p16-sign-va.tiktokcdn.com/tos-maliva-avt-0068/8ac245882c4451a34baec8ff13abd309~tplv-tiktokx-cropcenter:100:100.jpeg?dr=14579&amp;refresh_token=e69cb1c6&amp;x-expires=1763172000&amp;x-signature=0fTsfZh9q9OmQpR89kbCFbZa9k0%3D&amp;t=4d5b0474&amp;ps=13740610&amp;shp=a5d48078&amp;shcp=81f88b70&amp;idc=my</t>
  </si>
  <si>
    <t>https://v16-webapp-prime.tiktok.com/video/tos/useast2a/tos-useast2a-v-27dcd7/ogOsD4QbfCIm2GJJQDJorYBaUEBJFUUeyFBMCs/?a=1988&amp;bti=ODszNWYuMDE6&amp;ch=0&amp;cr=0&amp;dr=0&amp;er=0&amp;lr=default&amp;cd=0%7C0%7C0%7C0&amp;br=250&amp;bt=125&amp;ft=GNDpcInz7Th0zKvPXq8Zmo&amp;mime_type=audio_mpeg&amp;qs=6&amp;rc=ODs2ZThpZzs6Zzs1NWc4OEBpM3J3b3A5cjM4NDMzNzU8M0AzXjVjLWAxXzUxLy5fL2FfYSNhcWBgMmRzMGphLS1kMTZzcw%3D%3D&amp;btag=e00090000&amp;expire=1764559379&amp;l=2025120110213238A64472738F9C5726DD&amp;ply_type=3&amp;policy=3&amp;signature=9ba5ff5c828ea9b509f77bab517a44da&amp;tk=7571587458748974088</t>
  </si>
  <si>
    <t>autismo × tdah em uma batalha  #autismcore #autismoadulto #tdahadulto #audhd #deficiencia</t>
  </si>
  <si>
    <t xml:space="preserve">TDAH Autismo e o que eu deveria 
fazer, ficar 
checando a cada 
dois minutos??? claro que sim, 
isso se chama 
contabilidade não to falando 
com você 
caralho, cala a 
boca porra repete.
</t>
  </si>
  <si>
    <t>7503194677278952247</t>
  </si>
  <si>
    <t>https://v16-webapp-prime.tiktok.com/video/tos/useast2a/tos-useast2a-v-27dcd7/owL9gCS3LJAiLEEoAIFfBBQ2UsLAPJEFJADeUY/?a=1988&amp;bti=ODszNWYuMDE6&amp;ch=0&amp;cr=0&amp;dr=0&amp;er=0&amp;lr=default&amp;cd=0%7C0%7C0%7C0&amp;br=250&amp;bt=125&amp;ds=5&amp;ft=GNDpcInz7ThMV-UPXq8Zmo&amp;mime_type=audio_mpeg&amp;qs=13&amp;rc=am5nbHg5cnBlMzMzNzU8M0Bpam5nbHg5cnBlMzMzNzU8M0AxMW0vMmQ0NGRhLS1kMTZzYSMxMW0vMmQ0NGRhLS1kMTZzcw%3D%3D&amp;btag=e00070000&amp;expire=1763004209&amp;l=2025111310232002E5437D242CEA8409F2&amp;ply_type=3&amp;policy=3&amp;signature=5d7a2dcdb692327c6fd0551bc181e0af&amp;tk=7571587458748974088</t>
  </si>
  <si>
    <t>https://v16-webapp-prime.tiktok.com/video/tos/useast2a/tos-useast2a-ve-0068c001/oc8ksrFACQCQNfgFNZMeSQEZ2IIK6UrAKWeEZi/?a=1988&amp;bti=ODszNWYuMDE6&amp;ch=0&amp;cr=3&amp;dr=0&amp;lr=all&amp;cd=0%7C0%7C0%7C&amp;cv=1&amp;br=1562&amp;bt=781&amp;cs=0&amp;ds=3&amp;ft=-Csk_mrMPD12NsDh5d-UxSc2hY6e3wv25DcAp&amp;mime_type=video_mp4&amp;qs=0&amp;rc=Zmc5NjRkPDZlNWc0aTZnZUBpM3lsZWs5cmo4NDMzNzgzM0AtYWE2YWMyXjUxLV5iNl8tYSNjYy9oMmRrL2phLS1kLzZzcw%3D%3D&amp;btag=e00090000&amp;expire=1764728579&amp;l=2025120110213238A64472738F9C5726DD&amp;ply_type=2&amp;policy=2&amp;signature=33ae12acb080664441e11f0b385549e9&amp;tk=tt_chain_token</t>
  </si>
  <si>
    <t>https://p77-sign-va.tiktokcdn.com/tos-maliva-avt-0068/8ac245882c4451a34baec8ff13abd309~tplv-tiktokx-cropcenter:1080:1080.jpeg?dr=14579&amp;refresh_token=a66a81c9&amp;x-expires=1763172000&amp;x-signature=NGCrr0RSwN%2F0bM0UuQElC8zdvrc%3D&amp;t=4d5b0474&amp;ps=13740610&amp;shp=a5d48078&amp;shcp=81f88b70&amp;idc=my</t>
  </si>
  <si>
    <t>https://webapp-va.tiktok.com/5093bcd93dc2f70c01017e141af02f10/6917e421/kmoat/mps/logo/v3/r/p/v09044g40000d0gb7knog65m85ko965g/2e44e14979d645cf8e1e0dd050b56ca9/441db6277b285aefc18ae2fef1b6d5fb/mp4/main.mp4?a=1988&amp;bti=ODszNWYuMDE6&amp;ch=0&amp;cr=3&amp;dr=0&amp;lr=all&amp;cd=0%7C0%7C0%7C&amp;cv=1&amp;br=0&amp;bt=0&amp;cs=0&amp;ds=3&amp;ft=bLZkJmrMPD12N9Yopd-Ux315hY6e3wv25dcAp&amp;mime_type=video_mp4&amp;qs=0&amp;rc=cnF8b2hsc2d3SkBwaHIxaDFybndmPGY4MzNnaGhpODk8PDQ3aEBpajlyOHA5cm5lMzMzNzczM0BjRl5Nc3FePmJKYSNvYF90aHFmOiNeM18yYS0uNWAxYTQxYjEvYSMyNmg1MmRrNGRhLS1kMTZzcw%3D%3D&amp;btag=e000b0000&amp;definition=720p&amp;du=9&amp;item_id=7503194684878015750&amp;l=2025111310232002E5437D242CEA8409F2&amp;logo_type=tiktok_creator&amp;ply_type=2&amp;policy=eyJ2bSI6MiwiY2siOiJ0dF9jaGFpbl90b2tlbiJ9&amp;sign_params=item_id%2Cuser_text&amp;user_text=lizafixia</t>
  </si>
  <si>
    <t>https://p16-sign-va.tiktokcdn.com/tos-maliva-avt-0068/351617397cb25a2a8754aa256e7690b2~tplv-tiktokx-cropcenter:100:100.jpeg?dr=14579&amp;refresh_token=aee6df8a&amp;x-expires=1764727200&amp;x-signature=yw2519Sp51sjirOA0%2BlTRbjdXgQ%3D&amp;t=4d5b0474&amp;ps=13740610&amp;shp=a5d48078&amp;shcp=81f88b70&amp;idc=my</t>
  </si>
  <si>
    <t>https://www.tiktok.com/@lizafixia/video/7503194684878015750</t>
  </si>
  <si>
    <t>autismcore,autismoadulto,tdahadulto,audhd,deficiencia</t>
  </si>
  <si>
    <t>https://v16-webapp-prime.tiktok.com/video/tos/useast2a/tos-useast2a-v-27dcd7/osJBCFBeA7PfF4oGRmH7CIJFXAIUIA6vDsg8EQ/?a=1988&amp;bti=ODszNWYuMDE6&amp;ch=0&amp;cr=0&amp;dr=0&amp;er=0&amp;lr=default&amp;cd=0%7C0%7C0%7C0&amp;br=250&amp;bt=125&amp;ds=5&amp;ft=GNDpcInz7ThHzKvPXq8Zmo&amp;mime_type=audio_mpeg&amp;qs=13&amp;rc=M3h5cXY5cjZmdDMzNzU8M0BpM3h5cXY5cjZmdDMzNzU8M0AvbmIuMmRzLmVgLS1kMTZzYSMvbmIuMmRzLmVgLS1kMTZzcw%3D%3D&amp;btag=e00050000&amp;expire=1764559332&amp;l=2025120110210247DE29902DF1415935A0&amp;ply_type=3&amp;policy=3&amp;signature=36ca2a204dd42eec124d210dcfe85c37&amp;tk=7571587458748974088</t>
  </si>
  <si>
    <t>autismoadulto,tdahadulto,audhd,deficiencia</t>
  </si>
  <si>
    <t>7351051822020316421</t>
  </si>
  <si>
    <t>userdijliadejaneto</t>
  </si>
  <si>
    <t>Díjlia</t>
  </si>
  <si>
    <t>https://p16-sign-va.tiktokcdn.com/tos-maliva-avt-0068/6c8d29584e7f140a58a16665171f685c~tplv-tiktokx-cropcenter:100:100.jpeg?dr=14579&amp;refresh_token=cce88fdd&amp;x-expires=1763172000&amp;x-signature=qLjWJdJ5uSOmpADpkX3W0tMHVww%3D&amp;t=4d5b0474&amp;ps=13740610&amp;shp=a5d48078&amp;shcp=81f88b70&amp;idc=my</t>
  </si>
  <si>
    <t>7351051837275605766</t>
  </si>
  <si>
    <t>https://v16-webapp-prime.tiktok.com/video/tos/useast2a/tos-useast2a-v-27dcd7/oIE6gAJDmBX2ExiFEAACXCI2UBkIfBfQQJIWA3/?a=1988&amp;bti=ODszNWYuMDE6&amp;ch=0&amp;cr=0&amp;dr=0&amp;er=0&amp;lr=default&amp;cd=0%7C0%7C0%7C0&amp;br=250&amp;bt=125&amp;ds=5&amp;ft=GNDpcInz7ThzK-UPXq8Zmo&amp;mime_type=audio_mpeg&amp;qs=13&amp;rc=MzU8bHU5cmc1cjMzNzU8M0BpMzU8bHU5cmc1cjMzNzU8M0AuLy9hMmRzcS9gLS1kMTZzYSMuLy9hMmRzcS9gLS1kMTZzcw%3D%3D&amp;btag=e00050000&amp;expire=1763004224&amp;l=20251113102236D675DBC36011DA84E058&amp;ply_type=3&amp;policy=3&amp;signature=6d1a85060f1636a90fe13095c820ea21&amp;tk=7571587458748974088</t>
  </si>
  <si>
    <t>https://p77-sign-va.tiktokcdn.com/tos-maliva-avt-0068/351617397cb25a2a8754aa256e7690b2~tplv-tiktokx-cropcenter:1080:1080.jpeg?dr=14579&amp;refresh_token=a00df101&amp;x-expires=1764727200&amp;x-signature=nl6LcutM2NFiUL717hwHtVzY21w%3D&amp;t=4d5b0474&amp;ps=13740610&amp;shp=a5d48078&amp;shcp=81f88b70&amp;idc=my</t>
  </si>
  <si>
    <t>https://v16-webapp-prime.tiktok.com/video/tos/useast2a/tos-useast2a-ve-0068c001/ocyexgSDNCwvFZ9FEGtX3AQ5ICpifR2gAjIJem/?a=1988&amp;bti=ODszNWYuMDE6&amp;ch=0&amp;cr=3&amp;dr=0&amp;lr=all&amp;cd=0%7C0%7C0%7C&amp;cv=1&amp;br=776&amp;bt=388&amp;cs=0&amp;ds=6&amp;ft=-Csk_mrMPD12N7Dh5d-UxII2hY6e3wv252cAp&amp;mime_type=video_mp4&amp;qs=5&amp;rc=ODQzNmllaGQ3ZzM4ZTQ8OEBpajVtO3E5cjxldDMzNzczM0A0MS1jLjM1Xi4xLTYtMl9gYSNwcS9yMmRrc2VgLS1kMTZzcw%3D%3D&amp;btag=e00090000&amp;expire=1764728533&amp;l=2025120110210247DE29902DF1415935A0&amp;ply_type=2&amp;policy=2&amp;signature=00e4768b33f4bd45f260f73ea700d4dd&amp;tk=tt_chain_token</t>
  </si>
  <si>
    <t>https://p77-sign-va.tiktokcdn.com/tos-maliva-avt-0068/6c8d29584e7f140a58a16665171f685c~tplv-tiktokx-cropcenter:1080:1080.jpeg?dr=14579&amp;refresh_token=e2461349&amp;x-expires=1763172000&amp;x-signature=j4BBV5McPQMpi3geCuHtgQJ6Sp0%3D&amp;t=4d5b0474&amp;ps=13740610&amp;shp=a5d48078&amp;shcp=81f88b70&amp;idc=my</t>
  </si>
  <si>
    <t>https://v16-webapp-prime.tiktok.com/video/tos/maliva/tos-maliva-ve-0068c801-us/okYEQ6FDG1Jaf7JIBgDAI6BvRimQXBwEICESfV/?a=1988&amp;bti=ODszNWYuMDE6&amp;ch=0&amp;cr=3&amp;dr=0&amp;lr=all&amp;cd=0%7C0%7C0%7C&amp;cv=1&amp;br=976&amp;bt=488&amp;cs=0&amp;ds=3&amp;ft=-Csk_mrMPD12NDhopd-Ux2.2GY6e3wv25rcAp&amp;mime_type=video_mp4&amp;qs=0&amp;rc=ZjM2NmQ6ZWU2Ozw6OjRmNEBpanc3cHE5cjk1cjMzNzczM0BjNmBgYC5hXzExXjIvYDIuYSNyMWlsMmRrcS9gLS1kMTZzcw%3D%3D&amp;btag=e00090000&amp;expire=1763173424&amp;l=20251113102236D675DBC36011DA84E058&amp;ply_type=2&amp;policy=2&amp;signature=90b6b694b7b16d7d81cd47fa36fd6696&amp;tk=tt_chain_token</t>
  </si>
  <si>
    <t>7437660820085034295</t>
  </si>
  <si>
    <t>O sofrimento que um TDAH enfrenta ❤️‍🩹 . . . . . . . Com voz de: Yuri Lima - TDAH Descomplicado   #tdahta #tdahadulto #tdah #tdahdescomplicado</t>
  </si>
  <si>
    <t>7437660859000425272</t>
  </si>
  <si>
    <t>https://v16-webapp-prime.tiktok.com/video/tos/useast2a/tos-useast2a-v-27dcd7/och3VgQNfCEtjCAAABJnZSBd4iBJiUA35fAE99/?a=1988&amp;bti=ODszNWYuMDE6&amp;ch=0&amp;cr=0&amp;dr=0&amp;er=0&amp;lr=default&amp;cd=0%7C0%7C0%7C0&amp;br=250&amp;bt=125&amp;ds=5&amp;ft=GNDpcInz7Th8zKvPXq8Zmo&amp;mime_type=audio_mpeg&amp;qs=13&amp;rc=ajM6cHc5cmR4djMzNzU8M0BpajM6cHc5cmR4djMzNzU8M0BiY2BwMmRzL29gLS1kMTZzYSNiY2BwMmRzL29gLS1kMTZzcw%3D%3D&amp;btag=e00050000&amp;expire=1764559308&amp;l=202512011020485614ECD0EEDB8C5FDDDB&amp;ply_type=3&amp;policy=3&amp;signature=a1d5477d026c456672126aeb3e6d4814&amp;tk=7571587458748974088</t>
  </si>
  <si>
    <t>https://www.tiktok.com/@userdijliadejaneto/video/7351051822020316421</t>
  </si>
  <si>
    <t>7550439692097916166</t>
  </si>
  <si>
    <t xml:space="preserve">A dicção de pessoas com TDAH pode ser um pouco prejudicada, é normal, e tem muito a ver com o pensamento acelerado na qual a fala acaba não acompanhando, dentre outros fatores. 😅 Nesse caso, o ideal seria um acompanhamento com uma fonoaudióloga e psicólogo.  #psicologia #tdah #tdahadulto </t>
  </si>
  <si>
    <t>7550439789544786744</t>
  </si>
  <si>
    <t>https://v16-webapp-prime.tiktok.com/video/tos/useast2a/tos-useast2a-v-27dcd7/ocvImNa6vAQ0CUSA7iDaRRjlLiAAMBQiEEcA6/?a=1988&amp;bti=ODszNWYuMDE6&amp;ch=0&amp;cr=0&amp;dr=0&amp;er=0&amp;lr=default&amp;cd=0%7C0%7C0%7C0&amp;br=250&amp;bt=125&amp;ds=5&amp;ft=GNDpcInz7ThN9-UPXq8Zmo&amp;mime_type=audio_mpeg&amp;qs=13&amp;rc=M3RkN245cjM7NjMzNzU8M0BpM3RkN245cjM7NjMzNzU8M0BiYWNhMmRrbjFhLS1kMTZzYSNiYWNhMmRrbjFhLS1kMTZzcw%3D%3D&amp;btag=e00050000&amp;expire=1763004325&amp;l=20251113102410CE8B814C77F7637842AC&amp;ply_type=3&amp;policy=3&amp;signature=73735c0a0efd372a41364281dbea6afa&amp;tk=7571587458748974088</t>
  </si>
  <si>
    <t>https://v16-webapp-prime.tiktok.com/video/tos/alisg/tos-alisg-pve-0037c001/ocNYQYCOCgaInAjUJEPWfgRAfU4DbFjEeSRn0I/?a=1988&amp;bti=ODszNWYuMDE6&amp;ch=0&amp;cr=3&amp;dr=0&amp;lr=all&amp;cd=0%7C0%7C0%7C&amp;cv=1&amp;br=1200&amp;bt=600&amp;cs=0&amp;ds=3&amp;ft=-Csk_mrMPD12NxDh5d-UxIS5hY6e3wv25ycAp&amp;mime_type=video_mp4&amp;qs=0&amp;rc=NDUzODtnOzU2ZDs7ZGQ2NEBpMzs7ZWs5cjh4djMzNzczM0BfYy42YDEuNTIxLi1gMi8yYSNpZTBnMmQ0L29gLS1kMTZzcw%3D%3D&amp;btag=e00090000&amp;expire=1764728508&amp;l=202512011020485614ECD0EEDB8C5FDDDB&amp;ply_type=2&amp;policy=2&amp;signature=bcea9a85b23c5a110139880c0747f1fa&amp;tk=tt_chain_token</t>
  </si>
  <si>
    <t>https://www.tiktok.com/@lorenatdahta/video/7437660820085034295</t>
  </si>
  <si>
    <t>https://v16-webapp-prime.tiktok.com/video/tos/useast2a/tos-useast2a-pve-0068/o0I3IgggA83EoQR0REkiiZVZIAnfzHvItoBjCN/?a=1988&amp;bti=ODszNWYuMDE6&amp;ch=0&amp;cr=3&amp;dr=0&amp;lr=all&amp;cd=0%7C0%7C0%7C&amp;cv=1&amp;br=1710&amp;bt=855&amp;cs=0&amp;ds=3&amp;ft=I~da4oKyD12Nv5A0i.IxRIk_glBF-UjNSbopiX&amp;mime_type=video_mp4&amp;qs=0&amp;rc=ZDw2ZTVkNTg8ZDVpODxlNUBpajs0c3Y5cmo7NjMzNzczM0A1LzMvLS0vXy0xNjExMTYtYSM1X3AzMmRjbTFhLS1kMTZzcw%3D%3D&amp;btag=e00090000&amp;expire=1763173525&amp;l=20251113102410CE8B814C77F7637842AC&amp;ply_type=2&amp;policy=2&amp;signature=7d3ac65a386ffadaed614702608f46c4&amp;tk=tt_chain_token</t>
  </si>
  <si>
    <t>tdahta,tdahadulto,tdah,tdahdescomplicado</t>
  </si>
  <si>
    <t>7526191272176913669</t>
  </si>
  <si>
    <t>Remédio para TDAH é ilusão!  #tdah #oqueetdah #sintomastdah #tdahadulto</t>
  </si>
  <si>
    <t>@Liberdade.mentall</t>
  </si>
  <si>
    <t>https://v16-webapp-prime.tiktok.com/video/tos/useast2a/tos-useast2a-ve-0068c001/o44CgOakZEATOJOjnmjJyfQdHoiz4ABx0INIki/?a=1988&amp;bti=ODszNWYuMDE6&amp;ch=0&amp;cr=3&amp;dr=0&amp;lr=all&amp;cd=0%7C0%7C0%7C&amp;cv=1&amp;br=866&amp;bt=433&amp;cs=0&amp;ds=3&amp;ft=-Csk_mrMPD12N7Dh5d-UxII2hY6e3wv252cAp&amp;mime_type=video_mp4&amp;qs=0&amp;rc=aTw7ZTNmPDk5aTNmNTxmN0BpamhwO205cmc5NDMzNzczM0BeYDBiLjNhX2MxL15fYy4yYSMwYm1wMmRjNm1hLS1kMTZzcw%3D%3D&amp;btag=e00098000&amp;expire=1764728644&amp;l=2025120110210247DE29902DF1415935A0&amp;ply_type=2&amp;policy=2&amp;signature=eaf9721adf8035cd7d873cbd58f723e5&amp;tk=tt_chain_token</t>
  </si>
  <si>
    <t>https://www.tiktok.com/@psi.walace/video/7550439692097916166</t>
  </si>
  <si>
    <t>7288723543515335942</t>
  </si>
  <si>
    <t>paulokagawa</t>
  </si>
  <si>
    <t>https://p77-sign-va.tiktokcdn.com/tos-maliva-avt-0068/23b777db124c1b95b2dc2d822ec8df52~tplv-tiktokx-cropcenter:100:100.jpeg?dr=14579&amp;refresh_token=4983de01&amp;x-expires=1763172000&amp;x-signature=Vgeog0EzgTcK0BAMlQCI3Zj%2B0XQ%3D&amp;t=4d5b0474&amp;ps=13740610&amp;shp=a5d48078&amp;shcp=81f88b70&amp;idc=my</t>
  </si>
  <si>
    <t>https://www.tiktok.com/@liberdade.mentall/video/7526191272176913669</t>
  </si>
  <si>
    <t>7565297789245099284</t>
  </si>
  <si>
    <t xml:space="preserve">Faaaaala, ser humano! Já parou para pensar nos sentimentos de uma criança com TDAH? 👧🏻🧒🏾 Esse corte é para todas as crianças que não conseguem expressar em palavras como se sentem, para todos os pais que são essenciais no potencial de seus filhos e para todos os adultos com TDAH que já foram essa criança! ❤️ Corre para assistir o EP completo com a incrível @paulafrati! tá imperdível!!!!!! #tdah #tdahinfantil #tdahadulto #neuropsicologia #criacaodefilhos #educacao #paulafrati </t>
  </si>
  <si>
    <t>https://p77-sign-va.tiktokcdn.com/tos-maliva-avt-0068/b65580219dd212688aa9c5305651ee47~tplv-tiktokx-cropcenter:100:100.jpeg?dr=14579&amp;refresh_token=15e2eec0&amp;x-expires=1764727200&amp;x-signature=S9%2BUHdJh1BBS9Rm8nEGMYLSM1%2BY%3D&amp;t=4d5b0474&amp;ps=13740610&amp;shp=a5d48078&amp;shcp=81f88b70&amp;idc=my</t>
  </si>
  <si>
    <t>7288723731252267781</t>
  </si>
  <si>
    <t>https://v16-webapp-prime.tiktok.com/video/tos/useast2a/tos-useast2a-v-27dcd7/oweiAneEOAeXC6gbogSmvSK6vAT1TEX1DEQCAA/?a=1988&amp;bti=ODszNWYuMDE6&amp;ch=0&amp;cr=0&amp;dr=0&amp;er=0&amp;lr=default&amp;cd=0%7C0%7C0%7C0&amp;br=250&amp;bt=125&amp;ds=5&amp;ft=GNDpcInz7ThbK-UPXq8Zmo&amp;mime_type=audio_mpeg&amp;qs=13&amp;rc=M3g0bzw6ZjtlbjMzNzU8M0BpM3g0bzw6ZjtlbjMzNzU8M0A0aXE1cjQwc2dgLS1kMTZzYSM0aXE1cjQwc2dgLS1kMTZzcw%3D%3D&amp;btag=e00050000&amp;expire=1763004224&amp;l=202511131022442EE54DE47B86CCA867A8&amp;ply_type=3&amp;policy=3&amp;signature=1c47f1f2b3d488b21d60574c2c7e755b&amp;tk=7571587458748974088</t>
  </si>
  <si>
    <t>#tdah #tdahadulto #inclusao #fy</t>
  </si>
  <si>
    <t>7565297832937147153</t>
  </si>
  <si>
    <t>https://v16-webapp-prime.tiktok.com/video/tos/alisg/tos-alisg-v-27dcd7/ogE4PPCBA9kDsl7YaatE1cAtxvATAWKiA4ViU/?a=1988&amp;bti=ODszNWYuMDE6&amp;ch=0&amp;cr=0&amp;dr=0&amp;er=0&amp;lr=default&amp;cd=0%7C0%7C0%7C0&amp;br=250&amp;bt=125&amp;ds=5&amp;ft=GNDpcInz7ThkPKvPXq8Zmo&amp;mime_type=audio_mpeg&amp;qs=13&amp;rc=M2Z5OnU5cm1vNjMzODU8NEBpM2Z5OnU5cm1vNjMzODU8NEBwZTIyMmQ0YHJhLS1kMS1zYSNwZTIyMmQ0YHJhLS1kMS1zcw%3D%3D&amp;btag=e00050000&amp;expire=1764559332&amp;l=2025120110204563AE4C62401D615C8166&amp;ply_type=3&amp;policy=3&amp;signature=bb2ad782eea6d64f1d0b79d02da847c1&amp;tk=7571587458748974088</t>
  </si>
  <si>
    <t>https://p16-sign-va.tiktokcdn.com/tos-maliva-avt-0068/23b777db124c1b95b2dc2d822ec8df52~tplv-tiktokx-cropcenter:1080:1080.jpeg?dr=14579&amp;refresh_token=5896c8d9&amp;x-expires=1763172000&amp;x-signature=mHCRw9D47Suyg0mnLspPds2uS9k%3D&amp;t=4d5b0474&amp;ps=13740610&amp;shp=a5d48078&amp;shcp=81f88b70&amp;idc=my</t>
  </si>
  <si>
    <t>https://v16-webapp-prime.tiktok.com/video/tos/useast2a/tos-useast2a-pve-0068/o4TAgCHXeqPgjagI4XfC4ANC2FSAJKRImagqfz/?a=1988&amp;bti=ODszNWYuMDE6&amp;ch=0&amp;cr=3&amp;dr=0&amp;lr=all&amp;cd=0%7C0%7C0%7C&amp;cv=1&amp;br=2248&amp;bt=1124&amp;cs=0&amp;ds=3&amp;ft=-Csk_mrMPD12Nzhopd-UxfeFaY6e3wv25HcAp&amp;mime_type=video_mp4&amp;qs=0&amp;rc=ZTY6aTY5Z2Y6Mzs6NTs7NkBpMzV0aTM6ZjhlbjMzNzczM0BgYS0vYzAyNWAxMC9jMl4zYSMxLnJpcjRfcmdgLS1kMTZzcw%3D%3D&amp;btag=e00090000&amp;expire=1763173424&amp;l=202511131022442EE54DE47B86CCA867A8&amp;ply_type=2&amp;policy=2&amp;signature=2b4f5785ec369b56c6271495c31266e3&amp;tk=tt_chain_token</t>
  </si>
  <si>
    <t>https://v16-webapp-prime.tiktok.com/video/tos/alisg/tos-alisg-pve-0037c001/o4lLxEPinWBFICzXAaQ9AZqvVlA9iEV1IQYvB/?a=1988&amp;bti=ODszNWYuMDE6&amp;ch=0&amp;cr=3&amp;dr=0&amp;lr=all&amp;cd=0%7C0%7C0%7C&amp;cv=1&amp;br=2242&amp;bt=1121&amp;cs=0&amp;ds=3&amp;ft=-Csk_mrMPD12Nqdh5d-UxgS5hY6e3wv25icAp&amp;mime_type=video_mp4&amp;qs=0&amp;rc=PGhoN2ZnaTRmO2dkOmQ5aEBpM2t4M205cjhvNjMzODczNEAuYi0tY2JfXl4xMmNeMTQvYSM1aWktMmRrYHJhLS1kMTFzcw%3D%3D&amp;btag=e00090000&amp;expire=1764728532&amp;l=2025120110204563AE4C62401D615C8166&amp;ply_type=2&amp;policy=2&amp;signature=78531949067c4ea1d55b6ae3225433fe&amp;tk=tt_chain_token</t>
  </si>
  <si>
    <t>https://www.tiktok.com/@paulokagawa/video/7288723543515335942</t>
  </si>
  <si>
    <t>tdah,tdahinfantil,tdahadulto,neuropsicologia,criacaodefilhos,educacao,paulafrati</t>
  </si>
  <si>
    <t>https://www.tiktok.com/@dulcivaldejesussantos/video/7565297789245099284</t>
  </si>
  <si>
    <t>7353806763524738309</t>
  </si>
  <si>
    <t xml:space="preserve">A melhor maneira de descrever como é ser TDAH, para alguém que não têm TDAH! 🤯 . . . . . . . #tdahta #tdahadulto  #tdahrelato #tdah  #adhdexperience #tdahtiktok </t>
  </si>
  <si>
    <t>7353806788242098950</t>
  </si>
  <si>
    <t>https://v16-webapp-prime.tiktok.com/video/tos/useast2a/tos-useast2a-v-27dcd7/osAVefNAGIAF6bdCJeLAkimnaEecYAFIIoAvQN/?a=1988&amp;bti=ODszNWYuMDE6&amp;ch=0&amp;cr=0&amp;dr=0&amp;er=0&amp;lr=default&amp;cd=0%7C0%7C0%7C0&amp;br=250&amp;bt=125&amp;ds=5&amp;ft=GNDpcInz7Tht9-UPXq8Zmo&amp;mime_type=audio_mpeg&amp;qs=13&amp;rc=amdvNXE5cm55cjMzNzU8M0BpamdvNXE5cm55cjMzNzU8M0BicnI1MmRzZDNgLS1kMTZzYSNicnI1MmRzZDNgLS1kMTZzcw%3D%3D&amp;btag=e00050000&amp;expire=1763004343&amp;l=20251113102438711CFC3830D7669110B2&amp;ply_type=3&amp;policy=3&amp;signature=9693398b9b5ab98f3b0ce914720095b0&amp;tk=7571587458748974088</t>
  </si>
  <si>
    <t>tdah,tdahadulto,inclusao,fy</t>
  </si>
  <si>
    <t>7491860058838404407</t>
  </si>
  <si>
    <t>curiosos_epicos</t>
  </si>
  <si>
    <t>Curiosos Épicos</t>
  </si>
  <si>
    <t>https://p77-sign-va.tiktokcdn.com/tos-maliva-avt-0068/ca391b0efaba2677f1bf5fc8b151dfa6~tplv-tiktokx-cropcenter:100:100.jpeg?dr=14579&amp;refresh_token=270dfdb0&amp;x-expires=1764727200&amp;x-signature=ZccR%2B8ZEaMPInv4lZEIqevcDxi8%3D&amp;t=4d5b0474&amp;ps=13740610&amp;shp=a5d48078&amp;shcp=81f88b70&amp;idc=my</t>
  </si>
  <si>
    <t>https://v16-webapp-prime.tiktok.com/video/tos/maliva/tos-maliva-ve-0068c801-us/owHUQKFBjaSWtbqbCgDAIgGlj3MgeCAIUfETfR/?a=1988&amp;bti=ODszNWYuMDE6&amp;ch=0&amp;cr=3&amp;dr=0&amp;lr=all&amp;cd=0%7C0%7C0%7C&amp;cv=1&amp;br=2558&amp;bt=1279&amp;cs=0&amp;ds=3&amp;ft=I~da4oKyD12NvnA0i.IxRTF_blBF-UjNSaopiX&amp;mime_type=video_mp4&amp;qs=0&amp;rc=NTVnaTs5aTs0OmllaWRmOkBpamc5dWw5cjh5cjMzNzczM0BeLmJjLWFjXzAxYDM1X2AvYSNmaDZxMmRrZDNgLS1kMTZzcw%3D%3D&amp;btag=e00090000&amp;expire=1763173543&amp;l=20251113102438711CFC3830D7669110B2&amp;ply_type=2&amp;policy=2&amp;signature=8256cb305593aaede55a9f7f92cb9bde&amp;tk=tt_chain_token</t>
  </si>
  <si>
    <t>Você sabia que pessoas com TDAH podem ser assim!? #fatospsicológicos #tdah #ansiedade #saudemental</t>
  </si>
  <si>
    <t>7491860136821590839</t>
  </si>
  <si>
    <t>https://v16-webapp-prime.tiktok.com/video/tos/useast2a/tos-useast2a-v-27dcd7/oUPXI42oEBiHjgFBObZCfiy0eCSpNM4gTGeO5Q/?a=1988&amp;bti=ODszNWYuMDE6&amp;ch=0&amp;cr=0&amp;dr=0&amp;er=0&amp;lr=default&amp;cd=0%7C0%7C0%7C0&amp;br=250&amp;bt=125&amp;ft=GNDpcInz7ThHzKvPXq8Zmo&amp;mime_type=audio_mpeg&amp;qs=6&amp;rc=OzY4NDloaGU8NDo5Ozw5ZkBpM3B0aG45cjk5eTMzNzU8M0A0LzAuYjMzNTIxMjY0MS4yYSM0NC5kMmRzcnBgLS1kMTZzcw%3D%3D&amp;btag=e00090000&amp;expire=1764559332&amp;l=2025120110210247DE29902DF1415935A0&amp;ply_type=3&amp;policy=3&amp;signature=cac13d49752148ae20b0c330b4392cda&amp;tk=7571587458748974088</t>
  </si>
  <si>
    <t>https://www.tiktok.com/@lorenatdahta/video/7353806763524738309</t>
  </si>
  <si>
    <t>tdahta,tdahadulto,tdahrelato,tdah,adhdexperience,tdahtiktok</t>
  </si>
  <si>
    <t>7354920364830543110</t>
  </si>
  <si>
    <t>O TDAH possui uma autocobrança muito maior que os demais! 😓 . . . . . #tdahta #tdahadulto #autocobrança  #tdahdescomplicado  #adhdtiktok</t>
  </si>
  <si>
    <t>https://p16-sign-va.tiktokcdn.com/tos-maliva-avt-0068/ca391b0efaba2677f1bf5fc8b151dfa6~tplv-tiktokx-cropcenter:1080:1080.jpeg?dr=14579&amp;refresh_token=3ae484d9&amp;x-expires=1764727200&amp;x-signature=6jDPQv3op7uOP7e5tkqoMOnusMU%3D&amp;t=4d5b0474&amp;ps=13740610&amp;shp=a5d48078&amp;shcp=81f88b70&amp;idc=my</t>
  </si>
  <si>
    <t>Solas</t>
  </si>
  <si>
    <t>7163411454199072769</t>
  </si>
  <si>
    <t>https://sf16-ies-music-sg.tiktokcdn.com/obj/tos-alisg-ve-2774/ogQTodBEZGnaCxnjueDfbZhAszGtiDrgQyYcBU</t>
  </si>
  <si>
    <t>https://p77-sg.tiktokcdn.com/aweme/720x720/tos-alisg-v-2774/oQT5CBt4oWEAsqsCWOwTEVfhY1A6AyxZzCANA6.jpeg</t>
  </si>
  <si>
    <t>https://v16-webapp-prime.tiktok.com/video/tos/useast2a/tos-useast2a-ve-0068c002/ocNwPwg8eAQCb2HegGjP7mC23ICSLIFUeNJIwp/?a=1988&amp;bti=ODszNWYuMDE6&amp;ch=0&amp;cr=3&amp;dr=0&amp;lr=all&amp;cd=0%7C0%7C0%7C&amp;cv=1&amp;br=1048&amp;bt=524&amp;cs=0&amp;ds=6&amp;ft=-Csk_mrMPD12N7Dh5d-UxII2hY6e3wv252cAp&amp;mime_type=video_mp4&amp;qs=5&amp;rc=OjM5OTk7ODpnZDdmOTxkNUBpanJ0cXQ5cms5eTMzNzczM0AvM14wMDUuXy0xMy5eMS8uYSNhaGBjMmRzcXBgLS1kMTZzcw%3D%3D&amp;btag=e00090000&amp;expire=1764728533&amp;l=2025120110210247DE29902DF1415935A0&amp;ply_type=2&amp;policy=2&amp;signature=b900421d4cb0f5efba40b68cd01a42b1&amp;tk=tt_chain_token</t>
  </si>
  <si>
    <t>Gibran Alcocer</t>
  </si>
  <si>
    <t>https://v16-webapp-prime.tiktok.com/video/tos/maliva/tos-maliva-ve-0068c801-us/osbPZUITZIHESsihMQEikVEFRzEQHA5mBBU7F/?a=1988&amp;bti=ODszNWYuMDE6&amp;ch=0&amp;cr=3&amp;dr=0&amp;lr=all&amp;cd=0%7C0%7C0%7C&amp;cv=1&amp;br=1698&amp;bt=849&amp;cs=0&amp;ds=3&amp;ft=I~da4oKyD12NvyA0i.IxRhq_glBF-UjNSmopiX&amp;mime_type=video_mp4&amp;qs=0&amp;rc=Zzs7ZTNmNGc8ODMzO2Y6O0BpM29qPHM5cjp4cjMzNzczM0AtYC0wNWAuNTMxMi81LWFfYSNnXi5eMmQ0bDVgLS1kMTZzcw%3D%3D&amp;btag=e00088000&amp;expire=1763173503&amp;l=202511131024200DA040BB1F5C349EC2B1&amp;ply_type=2&amp;policy=2&amp;signature=d667832045cc6673c47a88e166deda81&amp;tk=tt_chain_token</t>
  </si>
  <si>
    <t>https://www.tiktok.com/@lorenatdahta/video/7354920364830543110</t>
  </si>
  <si>
    <t>https://www.tiktok.com/@curiosos_epicos/video/7491860058838404407</t>
  </si>
  <si>
    <t>tdahta,tdahadulto,autocobrança,tdahdescomplicado,adhdtiktok</t>
  </si>
  <si>
    <t>fatospsicológicos,tdah,ansiedade,saudemental</t>
  </si>
  <si>
    <t>7554116158828367116</t>
  </si>
  <si>
    <t>ehojeopodcast</t>
  </si>
  <si>
    <t>https://p16-sign-va.tiktokcdn.com/tos-maliva-avt-0068/fc822da0031351a616d344731ca8fb72~tplv-tiktokx-cropcenter:100:100.jpeg?dr=14579&amp;refresh_token=531696fa&amp;x-expires=1763172000&amp;x-signature=TtpOK14XGbW3KfNn%2BWGmJMYv2Cs%3D&amp;t=4d5b0474&amp;ps=13740610&amp;shp=a5d48078&amp;shcp=81f88b70&amp;idc=my</t>
  </si>
  <si>
    <t>7393866319092845829</t>
  </si>
  <si>
    <t>#tdah #tdahadulto #tdahtiktok #terapeuta  @Claudia Leitte @Poddelas</t>
  </si>
  <si>
    <t>7393866311654083333</t>
  </si>
  <si>
    <t>https://v16-webapp-prime.tiktok.com/video/tos/useast2a/tos-useast2a-v-27dcd7/o4AfEFpWCIrJeDkFI4lBHTAUEkEUnmZJQAB4Im/?a=1988&amp;bti=ODszNWYuMDE6&amp;ch=0&amp;cr=0&amp;dr=0&amp;er=0&amp;lr=default&amp;cd=0%7C0%7C0%7C0&amp;br=250&amp;bt=125&amp;ds=5&amp;ft=GNDpcInz7ThmPKvPXq8Zmo&amp;mime_type=audio_mpeg&amp;qs=13&amp;rc=MzU8dmw5cms3dDMzNzU8M0BpMzU8dmw5cms3dDMzNzU8M0ByX20xMmRzaGJgLS1kMTZzYSNyX20xMmRzaGJgLS1kMTZzcw%3D%3D&amp;btag=e00048000&amp;expire=1764559260&amp;l=20251201102018B39B5434B49F795A75FD&amp;ply_type=3&amp;policy=3&amp;signature=ac049b4fd5fb7d7caabfa0858e76769b&amp;tk=7571587458748974088</t>
  </si>
  <si>
    <t>O que é TDAH? Yuri Maia explica de forma simples! No corte de hoje do É Hoje o Podcast, recebemos Yuri Maia, criador do TDH Descomplicado, que traz uma visão clara e objetiva sobre o Transtorno de Déficit de Atenção com Hiperatividade (TDAH). Quer entender de vez o que é TDAH, seus principais sinais e como lidar no dia a dia? Então esse corte é pra você!  #TDAH #DéficitDeAtenção #TDHDescomplicado #YuriMaia #SaúdeMental #Neurodiversidade #PodcastBrasil #PodcastDeEntrevista #EHojepodcast #CortesPodcast #CortesDoPodcast  #ConversaBoa #Aprendizado #Informação #ConteúdoDeValor #ReelsBrasil</t>
  </si>
  <si>
    <t>7554116198695242508</t>
  </si>
  <si>
    <t>https://v16-webapp-prime.tiktok.com/video/tos/useast2a/tos-useast2a-v-27dcd7/o0e30rlQzXgkqEWREVAxTOnXO8ef3GoSCMECgg/?a=1988&amp;bti=ODszNWYuMDE6&amp;ch=0&amp;cr=0&amp;dr=0&amp;er=0&amp;lr=default&amp;cd=0%7C0%7C0%7C0&amp;br=250&amp;bt=125&amp;ft=GNDpcInz7ThyY-UPXq8Zmo&amp;mime_type=audio_mpeg&amp;qs=6&amp;rc=O2U4O2RlOmQ2OzQ8N2k0OUBpajxxcHk5cmRzNjMzNzU8M0A1M18tXjQvXl8xYy8yMS9gYSMtZGNmMmRzbV5hLS1kMTZzcw%3D%3D&amp;btag=e00090000&amp;expire=1763004484&amp;l=2025111310264583C2663DA446357263D7&amp;ply_type=3&amp;policy=3&amp;signature=e6cb517139ff2ebda8f718450133959f&amp;tk=7571587458748974088</t>
  </si>
  <si>
    <t>https://v16-webapp-prime.tiktok.com/video/tos/alisg/tos-alisg-pve-0037c001/owiDmBI8ngDSQSAuQnfEBnV50JFlRnyEyJP9fO/?a=1988&amp;bti=ODszNWYuMDE6&amp;ch=0&amp;cr=3&amp;dr=0&amp;lr=all&amp;cd=0%7C0%7C0%7C&amp;cv=1&amp;br=1616&amp;bt=808&amp;cs=0&amp;ds=3&amp;ft=I~da4oKyD12Nvu.WS.IxRntNWlBF-UjNSMopiX&amp;mime_type=video_mp4&amp;qs=0&amp;rc=aDloNDU8ZDc1Njo1M2k2N0BpM3M3ZHg5cnU2dDMzNzczM0AuXjZeMF8vXjUxYDRjYTM2YSNhZmljMmRrZ2JgLS1kMTZzcw%3D%3D&amp;btag=e00088000&amp;expire=1764728460&amp;l=20251201102018B39B5434B49F795A75FD&amp;ply_type=2&amp;policy=2&amp;signature=4958f64aaa8d74cc46facdb625187ab0&amp;tk=tt_chain_token</t>
  </si>
  <si>
    <t>https://p16-sign-va.tiktokcdn.com/tos-maliva-avt-0068/fc822da0031351a616d344731ca8fb72~tplv-tiktokx-cropcenter:1080:1080.jpeg?dr=14579&amp;refresh_token=1ec6b640&amp;x-expires=1763172000&amp;x-signature=Ul5vMmvNxARbjjD3BmH8p2KxLNY%3D&amp;t=4d5b0474&amp;ps=13740610&amp;shp=a5d48078&amp;shcp=81f88b70&amp;idc=my</t>
  </si>
  <si>
    <t>https://v16-webapp-prime.tiktok.com/video/tos/useast2a/tos-useast2a-pve-0068/okhqGePlIIeSReCRFARgLCpXgujzAI2QdCDnks/?a=1988&amp;bti=ODszNWYuMDE6&amp;ch=0&amp;cr=3&amp;dr=0&amp;lr=all&amp;cd=0%7C0%7C0%7C&amp;cv=1&amp;br=2026&amp;bt=1013&amp;cs=0&amp;ds=3&amp;ft=-Csk_mrMPD12Nw_opd-UxfeFaY6e3wv25HcAp&amp;mime_type=video_mp4&amp;qs=0&amp;rc=aGU0ZzdkaTNlOzxnOjxkOUBpMzc3cG05cmZzNjMzNzczM0A0XmJiNjItNTExMDI1YTYyYSNeb2dsMmRrbF5hLS1kMTZzcw%3D%3D&amp;btag=e00090000&amp;expire=1763173684&amp;l=2025111310264583C2663DA446357263D7&amp;ply_type=2&amp;policy=2&amp;signature=0410d86984a73026914a87905490ac82&amp;tk=tt_chain_token</t>
  </si>
  <si>
    <t>https://www.tiktok.com/@claralisle/video/7393866319092845829</t>
  </si>
  <si>
    <t>7506464590264356127</t>
  </si>
  <si>
    <t>https://p16-sign-va.tiktokcdn.com/tos-maliva-avt-0068/da7a6883faf98893a78013cae3307500~tplv-tiktokx-cropcenter:100:100.jpeg?dr=14579&amp;refresh_token=acbbbb94&amp;x-expires=1764727200&amp;x-signature=wfo9pt8lqcqDyV9TwU%2Fq%2BM7LKNE%3D&amp;t=4d5b0474&amp;ps=13740610&amp;shp=a5d48078&amp;shcp=81f88b70&amp;idc=my</t>
  </si>
  <si>
    <t>https://www.tiktok.com/@ehojeopodcast/video/7554116158828367116</t>
  </si>
  <si>
    <t xml:space="preserve">Você sabia que o TDAH pode influenciar no jeito que a pessoa reage em conflitos? No vídeo de hoje, explico por que quem tem TDAH pode parecer “briguento” — e como isso está ligado ao funcionamento do cérebro. Entender o TDAH é o primeiro passo para acolher, tratar e transformar reações impulsivas em respostas mais saudáveis. #TDAH #Neurodivergente #SaúdeMental #tdahadulto </t>
  </si>
  <si>
    <t>TDAH gosta 
de uma briga? Rafael Fabri
Psiquiatra</t>
  </si>
  <si>
    <t>tdah,déficitdeatenção,tdhdescomplicado,yurimaia,saúdemental,neurodiversidade,podcastbrasil,podcastdeentrevista,ehojepodcast,cortespodcast,cortesdopodcast,conversaboa,aprendizado,informação,conteúdodevalor,reelsbrasil</t>
  </si>
  <si>
    <t>vlog, chill out, calm daily life(1370843)</t>
  </si>
  <si>
    <t>7179679214566639618</t>
  </si>
  <si>
    <t>https://sf16-ies-music-sg.tiktokcdn.com/obj/tos-alisg-ve-2774/oIpptDjDZQ5bfgq6WgQ1RUUoICojyEnsrtDBeB</t>
  </si>
  <si>
    <t>7508469883844267295</t>
  </si>
  <si>
    <t>https://p16-sign-va.tiktokcdn.com/tos-maliva-avt-0068/da7a6883faf98893a78013cae3307500~tplv-tiktokx-cropcenter:100:100.jpeg?dr=14579&amp;refresh_token=d2290616&amp;x-expires=1763172000&amp;x-signature=OocrvfHSr0UUdKI16QVG4hpAmb4%3D&amp;t=4d5b0474&amp;ps=13740610&amp;shp=a5d48078&amp;shcp=81f88b70&amp;idc=my</t>
  </si>
  <si>
    <t>https://p77-sg.tiktokcdn.com/aweme/720x720/tos-alisg-v-2774/55bd140de38546eeb87ad7b20bdc00d0.jpeg</t>
  </si>
  <si>
    <t xml:space="preserve">Algumas coisas que o TDAH pode fazer. Lembrando que não são todas as pessoas que tem TDAH que farão isso, cada pessoa é única e tem suas características! #saudemental #fyp #tdah #tdahadulto #tdahinfantil </t>
  </si>
  <si>
    <t>Coisas que (quase)
todo TDAH faz! 
Caracteristicas TDAH</t>
  </si>
  <si>
    <t>SUNNY HOOD STUDIO</t>
  </si>
  <si>
    <t>Sunny Day</t>
  </si>
  <si>
    <t>6773851609840486402</t>
  </si>
  <si>
    <t>https://v16-webapp-prime.tiktok.com/video/tos/maliva/tos-maliva-ve-0068c799-us/ocBszq0YEAtFaIiCkfIUCg2iIhB9iAiMQvAGi0/?a=1988&amp;bti=ODszNWYuMDE6&amp;ch=0&amp;cr=3&amp;dr=0&amp;lr=all&amp;cd=0%7C0%7C0%7C&amp;cv=1&amp;br=1522&amp;bt=761&amp;cs=0&amp;ds=3&amp;ft=-Csk_mrMPD12N_gh5d-UxHv2hY6e3wv25zcAp&amp;mime_type=video_mp4&amp;qs=0&amp;rc=Zjw2ZzU6ZDo3aTdpaTNkaEBpajVkbXA5cmY4MzMzaTczNEA2NTYwYmBeNi8xYS9iYjJiYSNybzBrMmRjLmphLS1kMTJzcw%3D%3D&amp;btag=e00090000&amp;expire=1764728835&amp;l=20251201102601F3A130A9AE577B60291D&amp;ply_type=2&amp;policy=2&amp;signature=8fe5662f8f3f8edb889d0a3caabc8d42&amp;tk=tt_chain_token</t>
  </si>
  <si>
    <t>https://sf16-ies-music-sg.tiktokcdn.com/obj/tos-alisg-ve-2774/d7703cfad6a64a69ac41157e713b4bbf</t>
  </si>
  <si>
    <t>https://p16-sg.tiktokcdn.com/aweme/720x720/tos-alisg-v-2774/owJLxaAF8KFVA7Mf1HhGjwIAeWmeYjSAEAQIGe.jpeg</t>
  </si>
  <si>
    <t>Ted Fresco</t>
  </si>
  <si>
    <t>https://v16-webapp-prime.tiktok.com/video/tos/maliva/tos-maliva-ve-0068c799-us/ocfKoGLQUTLuI2beIAGm7qQe4xjXZAm0IIyCgj/?a=1988&amp;bti=ODszNWYuMDE6&amp;ch=0&amp;cr=3&amp;dr=0&amp;lr=all&amp;cd=0%7C0%7C0%7C&amp;cv=1&amp;br=3234&amp;bt=1617&amp;cs=0&amp;ds=3&amp;ft=-Csk_mrMPD12Nycopd-UxG4vXY6e3wv25McAp&amp;mime_type=video_mp4&amp;qs=0&amp;rc=ZGg5ZmU7Z2Q8aTY7NDZmNEBpM3lsZWs5cnVxMzMzaTczNEBfMDYzYF5jXjExMl5hNjFfYSNpX2tlMmRjL21hLS1kMTJzcw%3D%3D&amp;btag=e00088000&amp;expire=1763173505&amp;l=20251113102415EC11E565E652E77F00C9&amp;ply_type=2&amp;policy=2&amp;signature=3eb14ff78cfdede105f5835700050705&amp;tk=tt_chain_token</t>
  </si>
  <si>
    <t>https://www.tiktok.com/@opsiquiatrasincero/video/7506464590264356127</t>
  </si>
  <si>
    <t>tdah,neurodivergente,saúdemental,tdahadulto</t>
  </si>
  <si>
    <t>7565511003958512916</t>
  </si>
  <si>
    <t>curta 
comente</t>
  </si>
  <si>
    <t>7565511025416620818</t>
  </si>
  <si>
    <t>https://v16-webapp-prime.tiktok.com/video/tos/alisg/tos-alisg-v-27dcd7/ogHIoA0uEFEZnfAAIT1Dg5cMhbGAgpReYDzfCD/?a=1988&amp;bti=ODszNWYuMDE6&amp;ch=0&amp;cr=0&amp;dr=0&amp;er=0&amp;lr=default&amp;cd=0%7C0%7C0%7C0&amp;br=250&amp;bt=125&amp;ds=5&amp;ft=GNDpcInz7ThpzKvPXq8Zmo&amp;mime_type=audio_mpeg&amp;qs=13&amp;rc=amdyaG45cmg0NjMzODU8NEBpamdyaG45cmg0NjMzODU8NEBvYGFqMmRjZHNhLS1kMS1zYSNvYGFqMmRjZHNhLS1kMS1zcw%3D%3D&amp;btag=e00050000&amp;expire=1764559385&amp;l=2025120110213056C909F1BE127E576E48&amp;ply_type=3&amp;policy=3&amp;signature=52fd74ad972f4febe2c261b7f62085c1&amp;tk=7571587458748974088</t>
  </si>
  <si>
    <t>https://www.tiktok.com/@opsiquiatrasincero/video/7508469883844267295</t>
  </si>
  <si>
    <t>saudemental,fyp,tdah,tdahadulto,tdahinfantil</t>
  </si>
  <si>
    <t>https://v16-webapp-prime.tiktok.com/video/tos/alisg/tos-alisg-pve-0037c001/oUUSogXajPGRSlZeF6FEAeDPRfAGAQPIQkfaQC/?a=1988&amp;bti=ODszNWYuMDE6&amp;ch=0&amp;cr=3&amp;dr=0&amp;lr=all&amp;cd=0%7C0%7C0%7C&amp;cv=1&amp;br=1992&amp;bt=996&amp;cs=0&amp;ds=3&amp;ft=-Csk_mrMPD12NgDh5d-UxgS5hY6e3wv25-cAp&amp;mime_type=video_mp4&amp;qs=0&amp;rc=NDlmNzs5ZzU7Mzw2aTU4NEBpamxsNXc5cjY0NjMzODczNEAtYDMzLzFhNjUxMmM0MDZfYSNqbmU2MmRzY3NhLS1kMTFzcw%3D%3D&amp;btag=e00090000&amp;expire=1764728585&amp;l=2025120110213056C909F1BE127E576E48&amp;ply_type=2&amp;policy=2&amp;signature=3f2cd664d68ac666db4327208eb56fc1&amp;tk=tt_chain_token</t>
  </si>
  <si>
    <t>https://v16-webapp-prime.tiktok.com/video/tos/useast2a/tos-useast2a-ve-0068c003/okeBK3tzEQ0fQgISQhfLIIBGCIbk8IjwHiSAgC/?a=1988&amp;bti=ODszNWYuMDE6&amp;ch=0&amp;cr=3&amp;dr=0&amp;lr=all&amp;cd=0%7C0%7C0%7C&amp;cv=1&amp;br=1866&amp;bt=933&amp;cs=0&amp;ds=3&amp;ft=-Csk_mrMPD12NE.opd-UxG4vXY6e3wv25McAp&amp;mime_type=video_mp4&amp;qs=0&amp;rc=ZjY8ODszaWk5ODs8Ozo5OkBpM3U0NnI5cnI1NDMzNzczM0A1YV4yYjVjNjUxYWEvNS4xYSNtczZlMmQ0LnBhLS1kMTZzcw%3D%3D&amp;btag=e00090000&amp;expire=1763173656&amp;l=20251113102536F89EBD83B531C49CD72A&amp;ply_type=2&amp;policy=2&amp;signature=4a1810f1f690ef5632bf17fe7b1b6597&amp;tk=tt_chain_token</t>
  </si>
  <si>
    <t>https://www.tiktok.com/@dulcivaldejesussantos/video/7565511003958512916</t>
  </si>
  <si>
    <t>7511337228283514118</t>
  </si>
  <si>
    <t>Pessoas com TDAH são extremamente inteligentes. Mas a frustração vem quando tentamos nos encaixar num padrão que não foi feito pra gente. A gente aprende diferente. Pensa fora da curva. Mas insiste em se medir com a régua dos outros. E aí, quando não alcança o “normal”, se sente burro. Inadequado. Menos. Mas a verdade é: o problema nunca foi a sua inteligência. Foi só a comparação errada. #tdah #tdahadulto #comportamento #terapia #psicologia #curiosidade #psicoterapia #neurociência #foco #distraidosvenceremos</t>
  </si>
  <si>
    <t>7511337343153474360</t>
  </si>
  <si>
    <t>https://v16-webapp-prime.tiktok.com/video/tos/useast2a/tos-useast2a-v-27dcd7/ooT9DDQPfCQnzGYigDJo9YBqoEBJFUfDWaCYvg/?a=1988&amp;bti=ODszNWYuMDE6&amp;ch=0&amp;cr=0&amp;dr=0&amp;er=0&amp;lr=default&amp;cd=0%7C0%7C0%7C0&amp;br=250&amp;bt=125&amp;ft=GNDpcInz7ThA9-UPXq8Zmo&amp;mime_type=audio_mpeg&amp;qs=6&amp;rc=ZzU1M2g2Zjw5aGU3ODppOEBpajQ5cWo5cjN0MzMzNzU8M0AvYDIyYzZhX2MxLWMtX15eYSNuMGkyMmRzMHJhLS1kMTZzcw%3D%3D&amp;btag=e00090000&amp;expire=1763004387&amp;l=20251113102449DDADD1FB7AF14A841409&amp;ply_type=3&amp;policy=3&amp;signature=a64af732e41d1bb2a2ea76859ce03d83&amp;tk=7571587458748974088</t>
  </si>
  <si>
    <t>7217830554513771782</t>
  </si>
  <si>
    <t xml:space="preserve">A dependência química pode atingir uma em cada cinco pessoas com TDAH, por falta de informação e na tentativa de tentar aliviar os sintomas do transtorno. O melhor tratamento do TDAH em relação a vícios, é o tratamento PREVENTIVO, o conhecimento e informação, SALVAM! #OQueÉTDAH #dependenciaquimica #tdah #tdahevicios </t>
  </si>
  <si>
    <t xml:space="preserve">TDAH E DEPENDÊNCIA
            QUÍMICA </t>
  </si>
  <si>
    <t>7217830575662189317</t>
  </si>
  <si>
    <t>https://v16-webapp-prime.tiktok.com/video/tos/useast2a/tos-useast2a-v-27dcd7/aa581cd425744818bbca0ff9f08f5bc2/?a=1988&amp;bti=ODszNWYuMDE6&amp;ch=0&amp;cr=0&amp;dr=0&amp;er=0&amp;lr=default&amp;cd=0%7C0%7C0%7C0&amp;br=250&amp;bt=125&amp;ds=5&amp;ft=GNDpcInz7ThzgKvPXq8Zmo&amp;mime_type=audio_mpeg&amp;qs=13&amp;rc=M3hxdmk6ZmZoajMzNzU8M0BpM3hxdmk6ZmZoajMzNzU8M0BzNnBycjRfMmlgLS1kMTZzYSNzNnBycjRfMmlgLS1kMTZzcw%3D%3D&amp;btag=e00050000&amp;expire=1764559482&amp;l=2025120110233960BDF2AFAD3CC4F063FC&amp;ply_type=3&amp;policy=3&amp;signature=79069ace31a72612883875aa6e983fe3&amp;tk=7571587458748974088</t>
  </si>
  <si>
    <t>https://v16-webapp-prime.tiktok.com/video/tos/useast2a/tos-useast2a-pve-0068/okABQZh9jfoEfBPHkQDayIKlJPoRECFQrmQEoM/?a=1988&amp;bti=ODszNWYuMDE6&amp;ch=0&amp;cr=3&amp;dr=0&amp;lr=all&amp;cd=0%7C0%7C0%7C&amp;cv=1&amp;br=1288&amp;bt=644&amp;cs=0&amp;ds=3&amp;ft=I~da4oKyD12NvgA0i.IxRMb_glBF-UjNSaopiX&amp;mime_type=video_mp4&amp;qs=0&amp;rc=MzxpPGhnNTU0PDo2ZTw7ZkBpMzQ2bWw5cjV0MzMzNzczM0A1MDRiNjVjXjQxMy5hL2EtYSNoMi9jMmRrLnJhLS1kMTZzcw%3D%3D&amp;btag=e00090000&amp;expire=1763173587&amp;l=20251113102449DDADD1FB7AF14A841409&amp;ply_type=2&amp;policy=2&amp;signature=600ba5b25ac3d06e6a463b0769a9689d&amp;tk=tt_chain_token</t>
  </si>
  <si>
    <t>https://v16-webapp-prime.tiktok.com/video/tos/maliva/tos-maliva-ve-0068c801-us/o4bIZzj5I2nVPVfDUx8e9QaYCUNLogCfblgSdA/?a=1988&amp;bti=ODszNWYuMDE6&amp;ch=0&amp;cr=3&amp;dr=0&amp;lr=all&amp;cd=0%7C0%7C0%7C&amp;cv=1&amp;br=1756&amp;bt=878&amp;cs=0&amp;ds=3&amp;ft=-Csk_mrMPD12NDZh5d-UxSI5SY6e3wv25NcAp&amp;mime_type=video_mp4&amp;qs=0&amp;rc=PDc4NGRnZzxlNmY0aTo2OEBpM2x5PGk6ZmlnajMzNzczM0AxMmBhMS0xX2IxLjE0YS80YSNpZ2BrcjRfc2lgLS1kMTZzcw%3D%3D&amp;btag=e00090000&amp;expire=1764728682&amp;l=2025120110233960BDF2AFAD3CC4F063FC&amp;ply_type=2&amp;policy=2&amp;signature=73bad29ae9756d92949df8c2a28a5eda&amp;tk=tt_chain_token</t>
  </si>
  <si>
    <t>https://www.tiktok.com/@psi.jonathanorlandi/video/7511337228283514118</t>
  </si>
  <si>
    <t>7345987860761201926</t>
  </si>
  <si>
    <t>O TDAH já acorda cansado. #tdah #tdahadulto #sono #dormir #saudavel #saude #bemestar</t>
  </si>
  <si>
    <t>https://p77-sg.tiktokcdn.com/aweme/720x720/tos-alisg-v-2774/43faa110cb7545508bcb8448e005da2d.jpeg</t>
  </si>
  <si>
    <t>https://www.tiktok.com/@lorenatdahta/video/7217830554513771782</t>
  </si>
  <si>
    <t>oqueétdah,dependenciaquimica,tdah,tdahevicios</t>
  </si>
  <si>
    <t>https://v16-webapp-prime.tiktok.com/video/tos/alisg/tos-alisg-pve-0037c001/oEdMeIQ8vAIwcfQ9QBRloGBJYiBJiErkwiFEEz/?a=1988&amp;bti=ODszNWYuMDE6&amp;ch=0&amp;cr=3&amp;dr=0&amp;lr=all&amp;cd=0%7C0%7C0%7C&amp;cv=1&amp;br=1354&amp;bt=677&amp;cs=0&amp;ds=3&amp;ft=-Csk_mrMPD12Nyhopd-UxFN2aY6e3wv25ycAp&amp;mime_type=video_mp4&amp;qs=0&amp;rc=ZTQ8Zzk7ZDQzZ2Q4PDY8OEBpajtwZG05cng1cTMzNzczM0AwMjFiXmMyXjYxLmIyNjIxYSMxNTBsMmRrc21gLS1kMTZzcw%3D%3D&amp;btag=e00090000&amp;expire=1763173392&amp;l=2025111310220790E74D25ACF9796D8D06&amp;ply_type=2&amp;policy=2&amp;signature=7fbe96581453f39b706f5997d921be09&amp;tk=tt_chain_token</t>
  </si>
  <si>
    <t>7563801967756168469</t>
  </si>
  <si>
    <t>#TDAH #tdahadulto #inclusao #fy</t>
  </si>
  <si>
    <t>7563802019992865553</t>
  </si>
  <si>
    <t>https://v16-webapp-prime.tiktok.com/video/tos/alisg/tos-alisg-v-27dcd7/oUfdA47HARshIAEsCa1FSoeDCWAUeITwXigEAD/?a=1988&amp;bti=ODszNWYuMDE6&amp;ch=0&amp;cr=0&amp;dr=0&amp;er=0&amp;lr=default&amp;cd=0%7C0%7C0%7C0&amp;br=250&amp;bt=125&amp;ds=5&amp;ft=GNDpcInz7ThuPKvPXq8Zmo&amp;mime_type=audio_mpeg&amp;qs=13&amp;rc=M3Zvb2s5cnEzNjMzODU8NEBpM3Zvb2s5cnEzNjMzODU8NEAyaWUxMmRjX3BhLS1kMS1zYSMyaWUxMmRjX3BhLS1kMS1zcw%3D%3D&amp;btag=e00050000&amp;expire=1764559330&amp;l=20251201102046E8B89E886773854715A1&amp;ply_type=3&amp;policy=3&amp;signature=f40307f43ec487b706f5a0d8ac1a0fd5&amp;tk=7571587458748974088</t>
  </si>
  <si>
    <t>https://www.tiktok.com/@saude_e_bemestar__/video/7345987860761201926</t>
  </si>
  <si>
    <t>tdah,tdahadulto,sono,dormir,saudavel,saude,bemestar</t>
  </si>
  <si>
    <t>https://v16-webapp-prime.tiktok.com/video/tos/alisg/tos-alisg-pve-0037c001/o8yWQouRqDA8CwNOnAF2DjRgHIgAWCfeIbfkwE/?a=1988&amp;bti=ODszNWYuMDE6&amp;ch=0&amp;cr=3&amp;dr=0&amp;lr=all&amp;cd=0%7C0%7C0%7C&amp;cv=1&amp;br=1318&amp;bt=659&amp;cs=0&amp;ds=2&amp;ft=I~da4oKyD12Nvb.WS.IxRnTNWlBF-UjNS3opiX&amp;mime_type=video_mp4&amp;qs=0&amp;rc=Omg8aGZnODM3Z2Y8ZTVkaUBpamVxaHU5cmQzNjMzODczNEAxL2NfNDYxXjIxNmJfMy80YSNfLS4xMmRrX3BhLS1kMTFzcw%3D%3D&amp;btag=e00090000&amp;expire=1764728530&amp;l=20251201102046E8B89E886773854715A1&amp;ply_type=2&amp;policy=2&amp;signature=9726c440bab391f6e5832292f2a1275d&amp;tk=tt_chain_token</t>
  </si>
  <si>
    <t>https://v16-webapp-prime.tiktok.com/video/tos/useast2a/tos-useast2a-v-27dcd7/och3VgQNfCEtjCAAABJnZSBd4iBJiUA35fAE99/?a=1988&amp;bti=ODszNWYuMDE6&amp;ch=0&amp;cr=0&amp;dr=0&amp;er=0&amp;lr=default&amp;cd=0%7C0%7C0%7C0&amp;br=250&amp;bt=125&amp;ds=5&amp;ft=GNDpcInz7ThPV-UPXq8Zmo&amp;mime_type=audio_mpeg&amp;qs=13&amp;rc=ajM6cHc5cmR4djMzNzU8M0BpajM6cHc5cmR4djMzNzU8M0BiY2BwMmRzL29gLS1kMTZzYSNiY2BwMmRzL29gLS1kMTZzcw%3D%3D&amp;btag=e00050000&amp;expire=1763004242&amp;l=202511131023026989DBCE704A6574DC2E&amp;ply_type=3&amp;policy=3&amp;signature=900d34f9565558879c45641f2126672b&amp;tk=7571587458748974088</t>
  </si>
  <si>
    <t>https://www.tiktok.com/@dulcivaldejesussantos/video/7563801967756168469</t>
  </si>
  <si>
    <t>https://v16-webapp-prime.tiktok.com/video/tos/useast2a/tos-useast2a-ve-0068c003/oIfzA3oEiFTiI04AVoHImqmDIhsaBgQxCP5Eok/?a=1988&amp;bti=ODszNWYuMDE6&amp;ch=0&amp;cr=3&amp;dr=0&amp;lr=all&amp;cd=0%7C0%7C0%7C&amp;cv=1&amp;br=1106&amp;bt=553&amp;cs=0&amp;ds=3&amp;ft=-Csk_mrMPD12NdYopd-UxMTFGY6e3wv25LcAp&amp;mime_type=video_mp4&amp;qs=0&amp;rc=ZGczNjs7ZjU8aGg3ZDo6ZkBpMzs7ZWs5cjh4djMzNzczM0BjXmEvM2NgXmExYjFhMS9jYSNpZTBnMmQ0L29gLS1kMTZzcw%3D%3D&amp;btag=e00090000&amp;expire=1763173442&amp;l=202511131023026989DBCE704A6574DC2E&amp;ply_type=2&amp;policy=2&amp;signature=38ca10460f651d6bfb4d0fb157670ea8&amp;tk=tt_chain_token</t>
  </si>
  <si>
    <t>7563423456189025557</t>
  </si>
  <si>
    <t>7563423530373614353</t>
  </si>
  <si>
    <t>https://v16-webapp-prime.tiktok.com/video/tos/alisg/tos-alisg-v-27dcd7/o8AYDTAKugP1rEaDltECa2iABaAHXlaUioPA1/?a=1988&amp;bti=ODszNWYuMDE6&amp;ch=0&amp;cr=0&amp;dr=0&amp;er=0&amp;lr=default&amp;cd=0%7C0%7C0%7C0&amp;br=250&amp;bt=125&amp;ds=5&amp;ft=GNDpcInz7Th4zKvPXq8Zmo&amp;mime_type=audio_mpeg&amp;qs=13&amp;rc=anQ1b285cjtkNjMzODU8NEBpanQ1b285cjtkNjMzODU8NEBmcHBuMmQ0b29hLS1kMS1zYSNmcHBuMmQ0b29hLS1kMS1zcw%3D%3D&amp;btag=e00050000&amp;expire=1764559331&amp;l=20251201102104F69A53E45B65A94E5B1C&amp;ply_type=3&amp;policy=3&amp;signature=085a7db74b580cb709ea37493279fbc9&amp;tk=7571587458748974088</t>
  </si>
  <si>
    <t>https://p16-sign-va.tiktokcdn.com/tos-maliva-avt-0068/b65580219dd212688aa9c5305651ee47~tplv-tiktokx-cropcenter:1080:1080.jpeg?dr=14579&amp;refresh_token=3163266f&amp;x-expires=1764727200&amp;x-signature=ClKzrdbOpB%2BCrvfBAEQQWYtuWa8%3D&amp;t=4d5b0474&amp;ps=13740610&amp;shp=a5d48078&amp;shcp=81f88b70&amp;idc=my</t>
  </si>
  <si>
    <t>https://v16-webapp-prime.tiktok.com/video/tos/useast2a/tos-useast2a-v-2370-euttp/o0VAjGfE2gd2Mj5eZEENTbEoAYEOFcoADeAe47/?a=1988&amp;bti=ODszNWYuMDE6&amp;ch=0&amp;cr=0&amp;dr=0&amp;er=0&amp;lr=default&amp;cd=0%7C0%7C0%7C0&amp;br=250&amp;bt=125&amp;ds=5&amp;ft=GNDpcInz7ThiV-UPXq8Zmo&amp;mime_type=audio_mpeg&amp;qs=13&amp;rc=ajZrcHg5cnJ4cjMzZjU8M0BpajZrcHg5cnJ4cjMzZjU8M0BwazBgMmRzM3FgLS1kMWNzYSNwazBgMmRzM3FgLS1kMWNzcw%3D%3D&amp;btag=e00058000&amp;expire=1763004488&amp;l=2025111310235634FE9FF2AA2A079ADB1D&amp;ply_type=3&amp;policy=3&amp;signature=5a1b25db527e8813b1047639569ca417&amp;tk=7571587458748974088</t>
  </si>
  <si>
    <t>https://v16-webapp-prime.tiktok.com/video/tos/alisg/tos-alisg-pve-0037c001/okr7GeDpIIroR0WBCARALCItgWjVAOmUfDftSQ/?a=1988&amp;bti=ODszNWYuMDE6&amp;ch=0&amp;cr=3&amp;dr=0&amp;lr=all&amp;cd=0%7C0%7C0%7C&amp;cv=1&amp;br=2724&amp;bt=1362&amp;cs=0&amp;ds=3&amp;ft=-Csk_mrMPD12NyDh5d-UxO72hY6e3wv257cAp&amp;mime_type=video_mp4&amp;qs=0&amp;rc=MzRkPDw0Z2llNDlmOjRoOUBpajNsO2o5cndkNjMzODczNEAxNmNjMzFhNjAxYi5iYmBjYSNeZ2RsMmQ0bm9hLS1kMTFzcw%3D%3D&amp;btag=e00090000&amp;expire=1764728532&amp;l=20251201102104F69A53E45B65A94E5B1C&amp;ply_type=2&amp;policy=2&amp;signature=83274d6b15906544353394aa0e57838b&amp;tk=tt_chain_token</t>
  </si>
  <si>
    <t>https://p19-common-sign-useastred.tiktokcdn-eu.com/tos-useast2a-avt-0068-euttp/aef08c932f06f3dfcbe7cd92188a70ad~tplv-tiktokx-cropcenter:1080:1080.jpeg?dr=14579&amp;refresh_token=627d8a72&amp;x-expires=1763172000&amp;x-signature=ZQdP%2FP9noPRlAH6cw5YlQJLKyU4%3D&amp;t=4d5b0474&amp;ps=13740610&amp;shp=a5d48078&amp;shcp=81f88b70&amp;idc=my</t>
  </si>
  <si>
    <t>https://www.tiktok.com/@dulcivaldejesussantos/video/7563423456189025557</t>
  </si>
  <si>
    <t>https://v16-webapp-prime.tiktok.com/video/tos/useast2a/tos-useast2a-ve-0068c001/o44CgOakZEATOJOjnmjJyfQdHoiz4ABx0INIki/?a=1988&amp;bti=ODszNWYuMDE6&amp;ch=0&amp;cr=3&amp;dr=0&amp;lr=all&amp;cd=0%7C0%7C0%7C&amp;cv=1&amp;br=866&amp;bt=433&amp;cs=0&amp;ds=3&amp;ft=-Csk_mrMPD12N3Yopd-Ux24FaY6e3wv25WcAp&amp;mime_type=video_mp4&amp;qs=0&amp;rc=aTw7ZTNmPDk5aTNmNTxmN0BpamhwO205cmc5NDMzNzczM0BeYDBiLjNhX2MxL15fYy4yYSMwYm1wMmRjNm1hLS1kMTZzcw%3D%3D&amp;btag=e00098000&amp;expire=1763173617&amp;l=2025111310235634FE9FF2AA2A079ADB1D&amp;ply_type=2&amp;policy=2&amp;signature=7dae5d12e58f72150dcd49c08b605d1b&amp;tk=tt_chain_token</t>
  </si>
  <si>
    <t>7470322687919934775</t>
  </si>
  <si>
    <t xml:space="preserve">TDAH e "Explosões de Raiva" 🤯 . . . 🧠 Pessoas com TDAH podem apresentar problemas desproporcionais em relação aos sentimentos de raiva, irritabilidade e também, no gerenciamento das demais emoções, o que está relacionado às dificuldades gerais de autorregulação.  📊 Cerca de 70% dos adultos com TDAH, sofrem com problemas relacionados a Desregulação  Emocional. Picos de irritabilidade, oscilações e tendo dificuldade para reconhecer e regular seus sentimentos e emoções, de forma devida.  😓 Além disso, também tendem a não reconhecer devidamente, as emoções de outras pessoas, até que sejam apontadas e sentem suas próprias emoções de forma muito intensa.  Referência:  Nigg, J. (2024). ADHD Rage and Anger Issues: New Insights into Emotional Dysregulation and Treatment Considerations. Revista ADDitude. ADHD Rage and Anger Issues: Emotional Dysreguation, DMDD &amp; Bipolar Disorder.  #tdahta #tdahadulto #regulaçãoemocional #adhdrage </t>
  </si>
  <si>
    <t>7470322721445563191</t>
  </si>
  <si>
    <t>https://v16-webapp-prime.tiktok.com/video/tos/useast2a/tos-useast2a-v-27dcd7/o4TqeAAMPKC92zLvC8XQgXMtoVETezAQQb8fS9/?a=1988&amp;bti=ODszNWYuMDE6&amp;ch=0&amp;cr=0&amp;dr=0&amp;er=0&amp;lr=default&amp;cd=0%7C0%7C0%7C0&amp;br=250&amp;bt=125&amp;ds=5&amp;ft=GNDpcInz7Th4zKvPXq8Zmo&amp;mime_type=audio_mpeg&amp;qs=13&amp;rc=anY4cHk5cnd4eDMzNzU8M0BpanY4cHk5cnd4eDMzNzU8M0Btc2dlMmRraWlgLS1kMTZzYSNtc2dlMmRraWlgLS1kMTZzcw%3D%3D&amp;btag=e00050000&amp;expire=1764559330&amp;l=20251201102104F69A53E45B65A94E5B1C&amp;ply_type=3&amp;policy=3&amp;signature=4cc0fc6eb28ac525b5b4b956e901f1a6&amp;tk=7571587458748974088</t>
  </si>
  <si>
    <t>7278465152897322246</t>
  </si>
  <si>
    <t>psicologiaemcortes</t>
  </si>
  <si>
    <t>Psicologia em Cortes</t>
  </si>
  <si>
    <t>https://p16-sign-va.tiktokcdn.com/tos-maliva-avt-0068/653ecd097a40a9bcfe371c2a0424bd79~tplv-tiktokx-cropcenter:100:100.jpeg?dr=14579&amp;refresh_token=110d9eb9&amp;x-expires=1763172000&amp;x-signature=KtNPjl5cFdOOOa4KErphKToGqI8%3D&amp;t=4d5b0474&amp;ps=13740610&amp;shp=a5d48078&amp;shcp=81f88b70&amp;idc=my</t>
  </si>
  <si>
    <t>https://v16-webapp-prime.tiktok.com/video/tos/useast2a/tos-useast2a-ve-0068c004/ogqXt7gVeAg0vUVfAGjPohC01ICSLIey19nRRl/?a=1988&amp;bti=ODszNWYuMDE6&amp;ch=0&amp;cr=3&amp;dr=0&amp;lr=all&amp;cd=0%7C0%7C0%7C&amp;cv=1&amp;br=2448&amp;bt=1224&amp;cs=0&amp;ds=3&amp;ft=-Csk_mrMPD12NyDh5d-UxO72hY6e3wv257cAp&amp;mime_type=video_mp4&amp;qs=0&amp;rc=NzVnOmhnZWc4ZWVkOWlpZkBpamhkcHM5cjh4eDMzNzczM0A2YWIvXmM0NmAxYGAtNl4tYSNybWViMmRraWlgLS1kMTZzcw%3D%3D&amp;btag=e00090000&amp;expire=1764728530&amp;l=20251201102104F69A53E45B65A94E5B1C&amp;ply_type=2&amp;policy=2&amp;signature=34d285a6cc7d31a96b374009c312e37b&amp;tk=tt_chain_token</t>
  </si>
  <si>
    <t>Primeiro passo pro tratamento do TDAH 🤯✨ #pensamentos #pisicologia #cerebro #tdah #viraliza #saudemental</t>
  </si>
  <si>
    <t>Primeiro passo pro
tratamento do TDAH</t>
  </si>
  <si>
    <t>7278465196427168518</t>
  </si>
  <si>
    <t>https://v16-webapp-prime.tiktok.com/video/tos/useast2a/tos-useast2a-v-27dcd7/oQA7TSv2zEAYBCBbBmfAkLEFwAtCyAgEhMo9Kg/?a=1988&amp;bti=ODszNWYuMDE6&amp;ch=0&amp;cr=0&amp;dr=0&amp;er=0&amp;lr=default&amp;cd=0%7C0%7C0%7C0&amp;br=250&amp;bt=125&amp;ds=5&amp;ft=GNDpcInz7ThVY-UPXq8Zmo&amp;mime_type=audio_mpeg&amp;qs=13&amp;rc=ampoaTQ6ZjU3bjMzNzU8M0BpampoaTQ6ZjU3bjMzNzU8M0AtYWNvcjRvby5gLS1kMTZzYSMtYWNvcjRvby5gLS1kMTZzcw%3D%3D&amp;btag=e00050000&amp;expire=1763004461&amp;l=202511131026378F10DAFBB0AF239B249B&amp;ply_type=3&amp;policy=3&amp;signature=91144d1728f7fb3223ae1460752608b2&amp;tk=7571587458748974088</t>
  </si>
  <si>
    <t>https://www.tiktok.com/@lorenatdahta/video/7470322687919934775</t>
  </si>
  <si>
    <t>tdahta,tdahadulto,regulaçãoemocional,adhdrage</t>
  </si>
  <si>
    <t>7302166305682033925</t>
  </si>
  <si>
    <t>https://p77-sign-va.tiktokcdn.com/tos-maliva-avt-0068/653ecd097a40a9bcfe371c2a0424bd79~tplv-tiktokx-cropcenter:1080:1080.jpeg?dr=14579&amp;refresh_token=98a46e7b&amp;x-expires=1763172000&amp;x-signature=o4nVKagKL2C2lLVoPrHobsBxhRU%3D&amp;t=4d5b0474&amp;ps=13740610&amp;shp=a5d48078&amp;shcp=81f88b70&amp;idc=my</t>
  </si>
  <si>
    <t>a bagunça não é só na cabeça de quem tem tdah e na vida inteira #procrastinacao #tdahadulto #tdahinfantil #tdah</t>
  </si>
  <si>
    <t xml:space="preserve">o quarto de um adolescente com Tdah e que procrastina muito 
procrastinação </t>
  </si>
  <si>
    <t>Love Of My Life</t>
  </si>
  <si>
    <t>7010743408968861697</t>
  </si>
  <si>
    <t>https://p16-sign-sg.tiktokcdn.com/tos-alisg-v-2774/oI3aPeADVFvKFCgAwOldzsAAgEIwfDrDI2eB3g~720x720.jpeg?lk3s=08d74b56&amp;x-expires=1764577548&amp;x-signature=msb1dzL2kaEOxMFAj8noY7PMCVE%3D</t>
  </si>
  <si>
    <t>https://v16-webapp-prime.tiktok.com/video/tos/alisg/tos-alisg-pve-0037c001/oYJBA8cAOkVnVuEZQIYRU0byEXBe8lDlQIREfH/?a=1988&amp;bti=ODszNWYuMDE6&amp;ch=0&amp;cr=3&amp;dr=0&amp;lr=all&amp;cd=0%7C0%7C0%7C&amp;cv=1&amp;br=2038&amp;bt=1019&amp;cs=0&amp;ds=3&amp;ft=-Csk_mrMPD12NY_opd-Uxz42hY6e3wv25ycAp&amp;mime_type=video_mp4&amp;qs=0&amp;rc=OTM6ODs4ZjM7OzY0OGRkNkBpanFlbTU6Zmc3bjMzNzczM0A0My1hLWIxNi0xNmEzLmNgYSM1cmVfcjQwbS5gLS1kMTZzcw%3D%3D&amp;btag=e00090000&amp;expire=1763173661&amp;l=202511131026378F10DAFBB0AF239B249B&amp;ply_type=2&amp;policy=2&amp;signature=2d2fd0df9e572556494eb99cecd40774&amp;tk=tt_chain_token</t>
  </si>
  <si>
    <t>Metrow Ar</t>
  </si>
  <si>
    <t>https://v16-webapp-prime.tiktok.com/video/tos/useast2a/tos-useast2a-pve-0068/ooUc5B9DWV3qX9UZRDESbAigZPQEIvc0PiQMB/?a=1988&amp;bti=ODszNWYuMDE6&amp;ch=0&amp;cr=3&amp;dr=0&amp;lr=all&amp;cd=0%7C0%7C0%7C&amp;cv=1&amp;br=902&amp;bt=451&amp;cs=0&amp;ds=6&amp;ft=-Csk_mrMPD12NDgh5d-UxgR2SY6e3wv251cAp&amp;mime_type=video_mp4&amp;qs=5&amp;rc=ZGVnN2ZpZ2Q2ZzU5ZDplOkBpajY8d245cnY6bzMzNzczM0BeNTZgNF5eXmIxNjFeNWE2YSM0YnFyMmQ0bl9gLS1kMTZzcw%3D%3D&amp;btag=e00090000&amp;expire=1764728815&amp;l=20251201102548E15D7702DE8EFF4EC930&amp;ply_type=2&amp;policy=2&amp;signature=eedafce427581d5eb4126abac3c9464f&amp;tk=tt_chain_token</t>
  </si>
  <si>
    <t>https://www.tiktok.com/@psicologiaemcortes/video/7278465152897322246</t>
  </si>
  <si>
    <t>https://www.tiktok.com/@marilialanoa/video/7302166305682033925</t>
  </si>
  <si>
    <t>pensamentos,pisicologia,cerebro,tdah,viraliza,saudemental</t>
  </si>
  <si>
    <t>7522608262601067781</t>
  </si>
  <si>
    <t xml:space="preserve">Muitas pessoas com TDAH tendem a ter uma noção espacial um pouco prejudicada, o que gera esse tipo de situação no dia a dia, mas não é por mal…😅 #psicologia #tdah #tdahadulto </t>
  </si>
  <si>
    <t>procrastinacao,tdahadulto,tdahinfantil,tdah</t>
  </si>
  <si>
    <t>https://v16-webapp-prime.tiktok.com/video/tos/useast2a/tos-useast2a-ve-0068c003/okaBQ8dfllOoFBAsIpItRrEDQEAEJqQfHqZ1Ey/?a=1988&amp;bti=ODszNWYuMDE6&amp;ch=0&amp;cr=3&amp;dr=0&amp;lr=all&amp;cd=0%7C0%7C0%7C&amp;cv=1&amp;br=3176&amp;bt=1588&amp;cs=0&amp;ds=3&amp;ft=-Csk_mrMPD12Nn.opd-UxJTFGY6e3wv25bcAp&amp;mime_type=video_mp4&amp;qs=0&amp;rc=Zmk6aTdkZDRlZGQ7Ojg8Z0BpajdleXA5cnF0NDMzNzczM0AyXjQzLjBfNWIxMjRgXmAxYSNqbHEuMmRjaGZhLS1kMTZzcw%3D%3D&amp;btag=e00090000&amp;expire=1763173630&amp;l=2025111310254344385823DD6566920070&amp;ply_type=2&amp;policy=2&amp;signature=a9beda0b2453cbefaf0699cc1c35d75c&amp;tk=tt_chain_token</t>
  </si>
  <si>
    <t>7223570097980329221</t>
  </si>
  <si>
    <t>TDAH pode ter sintomas depressivos? #draanabeatriz #tdah #saudemental #mente</t>
  </si>
  <si>
    <t>Aesthetic</t>
  </si>
  <si>
    <t>7072513628145977346</t>
  </si>
  <si>
    <t>https://sf16-ies-music-sg.tiktokcdn.com/obj/tos-alisg-ve-2774/oUNeBfzfaiygM4IrCOMAiC17IRzyFjNa9DI1Fs</t>
  </si>
  <si>
    <t>https://p16-sg.tiktokcdn.com/aweme/720x720/tos-alisg-v-2774/oARoug5lACAgAZ0UgEFQNrQD7fGfvnaEBtBA1E.jpeg</t>
  </si>
  <si>
    <t>https://www.tiktok.com/@psi.walace/video/7522608262601067781</t>
  </si>
  <si>
    <t>Tollan Kim</t>
  </si>
  <si>
    <t>https://v16-webapp-prime.tiktok.com/video/tos/maliva/tos-maliva-ve-0068c801-us/oYzIR0VAnIRsOfXXAaegJgRnoBbxkIBQDcQlEP/?a=1988&amp;bti=ODszNWYuMDE6&amp;ch=0&amp;cr=3&amp;dr=0&amp;lr=all&amp;cd=0%7C0%7C0%7C&amp;cv=1&amp;br=2668&amp;bt=1334&amp;cs=0&amp;ds=3&amp;ft=-Csk_mrMPD12Nqdh5d-UxgS5hY6e3wv25icAp&amp;mime_type=video_mp4&amp;qs=0&amp;rc=Zzw5MzVoZ2VmZztoNzpkaUBpam5qN2U6ZnNuajMzNzczM0AuLzZfLi9fXzYxNi5hL2EwYSMwbmhkcjRvX3NgLS1kMTZzcw%3D%3D&amp;btag=e000b8000&amp;expire=1764728472&amp;l=2025120110204563AE4C62401D615C8166&amp;ply_type=2&amp;policy=2&amp;signature=656c7d93b253cc3dc8a1537d078eb857&amp;tk=tt_chain_token</t>
  </si>
  <si>
    <t>https://www.tiktok.com/@draanabeatriz11/video/7223570097980329221</t>
  </si>
  <si>
    <t>7371972956039187717</t>
  </si>
  <si>
    <t>SE IDENTIFICOU? #tdah #hiperatividade #saudemental #psicologoonline #psicoterapia #emocoes #viralizou #fyp #foryou #foryoupage</t>
  </si>
  <si>
    <t>7371972985188076294</t>
  </si>
  <si>
    <t>https://v16-webapp-prime.tiktok.com/video/tos/useast2a/tos-useast2a-v-27dcd7/ogg0zgE4EABCoMBxEOBKAnuOVkimEJOiKAAwfA/?a=1988&amp;bti=ODszNWYuMDE6&amp;ch=0&amp;cr=0&amp;dr=0&amp;er=0&amp;lr=default&amp;cd=0%7C0%7C0%7C0&amp;br=250&amp;bt=125&amp;ds=5&amp;ft=GNDpcInz7Th_9-UPXq8Zmo&amp;mime_type=audio_mpeg&amp;qs=13&amp;rc=amhqZXI5cnI7czMzNzU8M0BpamhqZXI5cnI7czMzNzU8M0BeMWVsMmRzMTRgLS1kMTZzYSNeMWVsMmRzMTRgLS1kMTZzcw%3D%3D&amp;btag=e00050000&amp;expire=1763004324&amp;l=202511131024200DA040BB1F5C349EC2B1&amp;ply_type=3&amp;policy=3&amp;signature=06efe9308795e03958ed85bd843b9550&amp;tk=7571587458748974088</t>
  </si>
  <si>
    <t>draanabeatriz,tdah,saudemental,mente</t>
  </si>
  <si>
    <t>7520030098746019077</t>
  </si>
  <si>
    <t>ziifrancoterapeuta</t>
  </si>
  <si>
    <t>zii</t>
  </si>
  <si>
    <t>https://p16-sign-va.tiktokcdn.com/tos-maliva-avt-0068/5e4b6fbbbca28a7cdbec97908b69569b~tplv-tiktokx-cropcenter:100:100.jpeg?dr=14579&amp;refresh_token=ba30fb8c&amp;x-expires=1764727200&amp;x-signature=yCYIc94Ak3CAwa1vasGesZmOdP4%3D&amp;t=4d5b0474&amp;ps=13740610&amp;shp=a5d48078&amp;shcp=81f88b70&amp;idc=my</t>
  </si>
  <si>
    <t>#saudemental #tdah #tdahadulto #tdahtiktok</t>
  </si>
  <si>
    <t>Principais sintomas do TDAH em mulheres  Dificuldade de manter o foco em longas conversas e leituras  Desatenção (Mais comum que a hiperatividade ) Desorganização  Bagunça constante no ambiente de trabalho,casa ou na mente  Ansiedade e/ou depressão associadas  Muitas mulheres com TDAH são diagnosticadas inicialmente com transtorno de ansiedade ou depressão pois os sintomas se sobrepõem  Baixa autoestima  Histórico de autocrítica,insegurança e comparação  As vezes confundido com produtividade,mas isso ocorre  às custas de outras áreas da vida que ficam desassistidas  Hiperfoco  Instabilidade emocional  Reações emocionais consideradas pelos outros como exageradas, mas muito reais  para você  Afastamento  Se isolar por dias ,semanas… sem conseguir responder mensagens </t>
  </si>
  <si>
    <t>Only Love Can Hurt Like This (feat. Teddy Swims) (Remix)</t>
  </si>
  <si>
    <t>7143642978576238594</t>
  </si>
  <si>
    <t>https://sf16-ies-music-sg.tiktokcdn.com/obj/tos-alisg-ve-2774/e9b69e08e3344dd48eca1929a79145ce</t>
  </si>
  <si>
    <t>https://v16-webapp-prime.tiktok.com/video/tos/useast2a/tos-useast2a-pve-0068/oUAgdLmlPn9YGB0OjekCQfICgSITCijIeMvNQK/?a=1988&amp;bti=ODszNWYuMDE6&amp;ch=0&amp;cr=3&amp;dr=0&amp;lr=all&amp;cd=0%7C0%7C0%7C&amp;cv=1&amp;br=1890&amp;bt=945&amp;cs=0&amp;ds=3&amp;ft=I~da4oKyD12NvyA0i.IxRhq_glBF-UjNSmopiX&amp;mime_type=video_mp4&amp;qs=0&amp;rc=OWRoNWhmOzQzaDppaWU6OUBpamlncGo5cnY7czMzNzczM0AuYzJfYTNjX2IxMmNhLS4uYSMvZzVrMmRrMDRgLS1kMTZzcw%3D%3D&amp;btag=e00090000&amp;expire=1763173524&amp;l=202511131024200DA040BB1F5C349EC2B1&amp;ply_type=2&amp;policy=2&amp;signature=035fe4242940142a6f4650a394ab19f7&amp;tk=tt_chain_token</t>
  </si>
  <si>
    <t>https://p16-sg.tiktokcdn.com/aweme/720x720/tos-alisg-v-2774/c6fd1194f5304814b164220c4ddec0d4.jpeg</t>
  </si>
  <si>
    <t>Paloma Faith</t>
  </si>
  <si>
    <t>https://v16-webapp-prime.tiktok.com/video/tos/useast2a/tos-useast2a-ve-0068c003/o8gZY9E2iUYFBogSv6hCiQKLSc5yAEqIQaBCy/?a=1988&amp;bti=ODszNWYuMDE6&amp;ch=0&amp;cr=3&amp;dr=0&amp;lr=all&amp;cd=0%7C0%7C0%7C&amp;cv=1&amp;br=618&amp;bt=309&amp;cs=0&amp;ds=6&amp;ft=ytpHh9DfxxOusd.YtDKt8lcLVWOuRx_HFKKMNOWCuJETJDz7T&amp;mime_type=video_mp4&amp;qs=5&amp;rc=Z2loNzVmOmk5PGg0ODtoOkBpMzM6aWw5cmQ7NDMzNzczM0AyXzUuLS8zNjUxLzQuYC00YSNoaV8yMmRrMmJhLS1kMTZzcw%3D%3D&amp;btag=e00090000&amp;expire=1764728481&amp;l=202512011020211DC26370CAB01566B5CA&amp;ply_type=2&amp;policy=2&amp;signature=03a96bca850b864079d2db8cb8309faf&amp;tk=tt_chain_token</t>
  </si>
  <si>
    <t>https://www.tiktok.com/@igorpsicologo/video/7371972956039187717</t>
  </si>
  <si>
    <t>tdah,hiperatividade,saudemental,psicologoonline,psicoterapia,emocoes,viralizou,fyp,foryou,foryoupage</t>
  </si>
  <si>
    <t>7502596247262399799</t>
  </si>
  <si>
    <t>seuneyzinho</t>
  </si>
  <si>
    <t>https://p77-sign-va.tiktokcdn.com/tos-maliva-avt-0068/8ea8087edb8a916268bd5c36a3bc49d1~tplv-tiktokx-cropcenter:100:100.jpeg?dr=14579&amp;refresh_token=69a132c6&amp;x-expires=1763172000&amp;x-signature=rZtGIHU4W9t3NYs6ywNkFpFZU0w%3D&amp;t=4d5b0474&amp;ps=13740610&amp;shp=a5d48078&amp;shcp=81f88b70&amp;idc=my</t>
  </si>
  <si>
    <t>https://www.tiktok.com/@ziifrancoterapeuta/video/7520030098746019077</t>
  </si>
  <si>
    <t>📝 O QUE EU GOSTARIA DE TER OUVIDO NO DIA DO MEU DIAGNÓSTICO DE TDAH No dia em que ouvi “você tem TDAH”, tanta coisa passou pela minha cabeça. Medo, alívio, confusão. Eu precisava de alguém que dissesse que a jornada seria difícil, sim, mas também libertadora. Que haveria dias de dúvida, mas também de autodescoberta. Gostaria de ter ouvido que TDAH não é sentença e, sim, convite: convite para se conhecer, testar estratégias, encontrar aliados e transformar diferenças em potência. Hoje, se você se sente perdido, quero te dizer: você não está só. Descobrir que existe um nome para o que você sente é apenas o começo da jornada. O medo, a recusa, a dúvida — tudo faz parte. O mais importante é lembrar: aceitar sua neurodiversidade é libertador. Seu cérebro pode ser seu aliado, não inimigo. Aceite-se, teste, ajuste. Orgulhe-se das vitórias, aprenda com as quedas. Com o tempo, você vai perceber que o maior tesouro do caminho é a autocompreensão e o poder de ajudar outros a vencerem seus próprios desafios. 💙✨ Se essa carta fala com você, compartilhe ou marque alguém! #TDAH #Neurodiversidade #SaúdeMentalImporta #Autoconhecimento #InspiraçãoReal #MinhaJornada #MindfulnessNaPrática #DiárioDeTDAH #TransformeSuaVida #ComunidadeTDAH</t>
  </si>
  <si>
    <t>7502596539888110341</t>
  </si>
  <si>
    <t>saudemental,tdah,tdahadulto,tdahtiktok</t>
  </si>
  <si>
    <t>https://v16-webapp-prime.tiktok.com/video/tos/useast2a/tos-useast2a-v-27dcd7/okfnf5GvILSeIOJe0AIIAJhAKikteN39AK6AAK/?a=1988&amp;bti=ODszNWYuMDE6&amp;ch=0&amp;cr=0&amp;dr=0&amp;er=0&amp;lr=default&amp;cd=0%7C0%7C0%7C0&amp;br=250&amp;bt=125&amp;ds=5&amp;ft=GNDpcInz7ThEY-UPXq8Zmo&amp;mime_type=audio_mpeg&amp;qs=13&amp;rc=Mzhpc3I5cm88MzMzNzU8M0BpMzhpc3I5cm88MzMzNzU8M0BhNF9rMmRzNGNhLS1kMTZzYSNhNF9rMmRzNGNhLS1kMTZzcw%3D%3D&amp;btag=e00060000&amp;expire=1763004912&amp;l=202511131026218DEF8CE7185C8F9E5844&amp;ply_type=3&amp;policy=3&amp;signature=c32416510431f5252e3cbef2350b7023&amp;tk=7571587458748974088</t>
  </si>
  <si>
    <t>7279073957595237637</t>
  </si>
  <si>
    <t>tdah na fase adulta exaustão do cérebro #ansiedadenãoéfrescura #tdahadulto #tdahadulto #tda</t>
  </si>
  <si>
    <t>7279073978755320582</t>
  </si>
  <si>
    <t>https://v16-webapp-prime.tiktok.com/video/tos/useast2a/tos-useast2a-v-27dcd7/oYzzEzNuAKpjyfAKgJAABdkqhgEgdEJoENAArO/?a=1988&amp;bti=ODszNWYuMDE6&amp;ch=0&amp;cr=0&amp;dr=0&amp;er=0&amp;lr=default&amp;cd=0%7C0%7C0%7C0&amp;br=250&amp;bt=125&amp;ds=5&amp;ft=GNDpcInz7ThszKvPXq8Zmo&amp;mime_type=audio_mpeg&amp;qs=13&amp;rc=Mzw7bDM6Zmg6bjMzNzU8M0BpMzw7bDM6Zmg6bjMzNzU8M0BpbzZtcjRnYi9gLS1kMTZzYSNpbzZtcjRnYi9gLS1kMTZzcw%3D%3D&amp;btag=e00050000&amp;expire=1764559347&amp;l=20251201102055111140D50F38376E882B&amp;ply_type=3&amp;policy=3&amp;signature=c7b5f1a819c0f07528b296883892f667&amp;tk=7571587458748974088</t>
  </si>
  <si>
    <t>https://p77-sign-va.tiktokcdn.com/tos-maliva-avt-0068/8ea8087edb8a916268bd5c36a3bc49d1~tplv-tiktokx-cropcenter:1080:1080.jpeg?dr=14579&amp;refresh_token=762c4b98&amp;x-expires=1763172000&amp;x-signature=QnNJrO6QNm0yPidDK2fBdLPf2Uc%3D&amp;t=4d5b0474&amp;ps=13740610&amp;shp=a5d48078&amp;shcp=81f88b70&amp;idc=my</t>
  </si>
  <si>
    <t>https://v16-webapp-prime.tiktok.com/video/tos/maliva/tos-maliva-ve-68c800-us/oUIEEQghId0gAMzytfYxNMtwEtCCyhGokMj0AV/?a=1988&amp;bti=ODszNWYuMDE6&amp;ch=0&amp;cr=3&amp;dr=0&amp;lr=all&amp;cd=0%7C0%7C0%7C&amp;cv=1&amp;br=1164&amp;bt=582&amp;cs=0&amp;ds=3&amp;ft=-Csk_mrMPD12NbDh5d-UxPR2SY6e3wv25IcAp&amp;mime_type=video_mp4&amp;qs=0&amp;rc=aGkzZTM6OjgzZThkNWczNUBpM2ZqdjU6ZnM6bjMzNzczM0BiXi8vYzM2XzUxMi02YzUwYSMvbDNqcjQwYS9gLS1kMTZzcw%3D%3D&amp;btag=e00090000&amp;expire=1764728547&amp;l=20251201102055111140D50F38376E882B&amp;ply_type=2&amp;policy=2&amp;signature=9b0c44a0bf28d618ab2c305b241b91f4&amp;tk=tt_chain_token</t>
  </si>
  <si>
    <t>https://v16-webapp-prime.tiktok.com/video/tos/useast2a/tos-useast2a-ve-0068c002/oETbheLjGCgQLWIIj9ILSYQsPCSInk8gfSjfPA/?a=1988&amp;bti=ODszNWYuMDE6&amp;ch=0&amp;cr=3&amp;dr=0&amp;lr=all&amp;cd=0%7C0%7C0%7C&amp;cv=1&amp;br=1282&amp;bt=641&amp;cs=0&amp;ds=3&amp;ft=-Csk_mrMPD12NH_opd-UxDTFGY6e3wv25ocAp&amp;mime_type=video_mp4&amp;qs=0&amp;rc=ZTs7OjxkO2hoNmZnNDgzO0BpMzhrdnk5cnY8MzMzNzczM0AyMzVfNWNfXmMxYTYwMTViYSNtcGBtMmRjMGNhLS1kMTZzcw%3D%3D&amp;btag=e000a0000&amp;expire=1763174112&amp;l=202511131026218DEF8CE7185C8F9E5844&amp;ply_type=2&amp;policy=2&amp;signature=e8e7819089f3efa0b76db1d20bf2d8f9&amp;tk=tt_chain_token</t>
  </si>
  <si>
    <t>https://www.tiktok.com/@marilialanoa/video/7279073957595237637</t>
  </si>
  <si>
    <t>ansiedadenãoéfrescura,tdahadulto,tdahadulto,tda</t>
  </si>
  <si>
    <t>ansiedadenãoéfrescura,tdahadulto,tda</t>
  </si>
  <si>
    <t>https://www.tiktok.com/@seuneyzinho/video/7502596247262399799</t>
  </si>
  <si>
    <t>7302247328797232390</t>
  </si>
  <si>
    <t>clarisepazterapeuta</t>
  </si>
  <si>
    <t>https://p16-sign-va.tiktokcdn.com/tos-maliva-avt-0068/ab033d4596f3637580b65cdd22747b8f~tplv-tiktokx-cropcenter:100:100.jpeg?dr=14579&amp;refresh_token=10b6fc38&amp;x-expires=1764727200&amp;x-signature=uQ7cvJM0tyWKwtOV7pDsajdtSbc%3D&amp;t=4d5b0474&amp;ps=13740610&amp;shp=a5d48078&amp;shcp=81f88b70&amp;idc=my</t>
  </si>
  <si>
    <t>tdah,neurodiversidade,saúdementalimporta,autoconhecimento,inspiraçãoreal,minhajornada,mindfulnessnaprática,diáriodetdah,transformesuavida,comunidadetdah</t>
  </si>
  <si>
    <t>https://v16-webapp-prime.tiktok.com/video/tos/useast2a/tos-useast2a-v-27dcd7/oEn0Jn2voQJCUnBq9BmFe0oEYKDgckCltQf5GC/?a=1988&amp;bti=ODszNWYuMDE6&amp;ch=0&amp;cr=0&amp;dr=0&amp;er=0&amp;lr=default&amp;cd=0%7C0%7C0%7C0&amp;br=250&amp;bt=125&amp;ft=GNDpcInz7Th8Y-UPXq8Zmo&amp;mime_type=audio_mpeg&amp;qs=6&amp;rc=ZmY0OWg6NztoODY1ZjlpOkBpam1vM285cmU6NTMzNzU8M0A1XjJfMS01Nl4xMF9fNV8vYSNxMjU0MmRjaGFhLS1kMTZzcw%3D%3D&amp;btag=e00090000&amp;expire=1763004453&amp;l=20251113102607CD4452BD4E07158E0822&amp;ply_type=3&amp;policy=3&amp;signature=268b9fff8b277903874fa7e3b153fcda&amp;tk=7571587458748974088</t>
  </si>
  <si>
    <t>#tdah #rejeicao #abandono #terapiaemocional</t>
  </si>
  <si>
    <t>7302247336129202949</t>
  </si>
  <si>
    <t>https://v16-webapp-prime.tiktok.com/video/tos/useast2a/tos-useast2a-v-27dcd7/owAeZLayEpgTDGMlIelCRvACCbIorKfSgACtI2/?a=1988&amp;bti=ODszNWYuMDE6&amp;ch=0&amp;cr=0&amp;dr=0&amp;er=0&amp;lr=default&amp;cd=0%7C0%7C0%7C0&amp;br=250&amp;bt=125&amp;ds=5&amp;ft=GNDpcInz7ThCPKvPXq8Zmo&amp;mime_type=audio_mpeg&amp;qs=13&amp;rc=ajw1eW05cmxmbzMzNzU8M0Bpajw1eW05cmxmbzMzNzU8M0BjZGAyMmQ0al9gLS1kMTZzYSNjZGAyMmQ0al9gLS1kMTZzcw%3D%3D&amp;btag=e00078000&amp;expire=1764559261&amp;l=20251201102042908EBE054CA4706238E0&amp;ply_type=3&amp;policy=3&amp;signature=57ddfba1d1831363d6c1e00bfeca7af2&amp;tk=7571587458748974088</t>
  </si>
  <si>
    <t>https://v16-webapp-prime.tiktok.com/video/tos/useast2a/tos-useast2a-ve-0068c003/oEfE0vSABgBEwhQxqGDZJoIjmQInzeVonFgC89/?a=1988&amp;bti=ODszNWYuMDE6&amp;ch=0&amp;cr=3&amp;dr=0&amp;lr=all&amp;cd=0%7C0%7C0%7C&amp;cv=1&amp;br=836&amp;bt=418&amp;cs=0&amp;ds=3&amp;ft=-Csk_mrMPD12Nx_opd-Ux7o2aY6e3wv25zcAp&amp;mime_type=video_mp4&amp;qs=0&amp;rc=ZDU3NTs8ZWRkZWRmNzc3ZUBpM2Y8aW85cm46NTMzNzgzM0A1NmBhNi4yXjMxYS5fYS9fYSNsLmhgMmRrZ2FhLS1kLzZzcw%3D%3D&amp;btag=e00090000&amp;expire=1763173653&amp;l=20251113102607CD4452BD4E07158E0822&amp;ply_type=2&amp;policy=2&amp;signature=80ff926eb064dc4ce0b3abe8abf78194&amp;tk=tt_chain_token</t>
  </si>
  <si>
    <t>https://p16-sign-va.tiktokcdn.com/tos-maliva-avt-0068/ab033d4596f3637580b65cdd22747b8f~tplv-tiktokx-cropcenter:1080:1080.jpeg?dr=14579&amp;refresh_token=c656b1cd&amp;x-expires=1764727200&amp;x-signature=CrlodQQAcHxpW5KCMUBYTi64opo%3D&amp;t=4d5b0474&amp;ps=13740610&amp;shp=a5d48078&amp;shcp=81f88b70&amp;idc=my</t>
  </si>
  <si>
    <t>https://v16-webapp-prime.tiktok.com/video/tos/useast2a/tos-useast2a-pve-0068/ogiAEckISCz2dBBMgzoiMq0kIfyKyQiAjEWyWA/?a=1988&amp;bti=ODszNWYuMDE6&amp;ch=0&amp;cr=3&amp;dr=0&amp;lr=all&amp;cd=0%7C0%7C0%7C&amp;cv=1&amp;br=272&amp;bt=136&amp;cs=0&amp;ds=6&amp;ft=-Csk_mrMPD12NKdh5d-Uxs12aY6e3wv252cAp&amp;mime_type=video_mp4&amp;qs=5&amp;rc=aDNoOWg4OTtmOzRkZGk7NUBpM2Y7cmw5cjtmbzMzNzczM0AyXmFiNDUyNjMxYy9fYWJeYSNibG1iMmRjal9gLS1kMTZzcw%3D%3D&amp;btag=e000b8000&amp;expire=1764728461&amp;l=20251201102042908EBE054CA4706238E0&amp;ply_type=2&amp;policy=2&amp;signature=163f9db53736e1be1d28108b2d94b59b&amp;tk=tt_chain_token</t>
  </si>
  <si>
    <t>https://www.tiktok.com/@clarisepazterapeuta/video/7302247328797232390</t>
  </si>
  <si>
    <t>7528914894612221190</t>
  </si>
  <si>
    <t>luciane.martins.t</t>
  </si>
  <si>
    <t>Luciane Martins Terapeuta</t>
  </si>
  <si>
    <t>https://p16-sign-va.tiktokcdn.com/tos-maliva-avt-0068/2e8d5e10cae0d02e2bdbb7855e8a62ae~tplv-tiktokx-cropcenter:100:100.jpeg?dr=14579&amp;refresh_token=513bf895&amp;x-expires=1763172000&amp;x-signature=nXoIsLaaE1zipDmOEiypdTYiS%2FQ%3D&amp;t=4d5b0474&amp;ps=13740610&amp;shp=a5d48078&amp;shcp=81f88b70&amp;idc=my</t>
  </si>
  <si>
    <t>tdah,rejeicao,abandono,terapiaemocional</t>
  </si>
  <si>
    <t>7396104682726329605</t>
  </si>
  <si>
    <t>É o que eu chamo de "loop infinito do TDAH" 🫠_____________________________E por aí? Essa relação com a rotina, confere também? 🧐💬_____________________________#tdahta #tdahhumor  #tdahadulto #tdahtiktok</t>
  </si>
  <si>
    <t>7396104685193988870</t>
  </si>
  <si>
    <t>https://v16-webapp-prime.tiktok.com/video/tos/useast2a/tos-useast2a-v-27dcd7/owpCxBEDgnDAJwQ34kAtF2kBf3JACmEUPREMfO/?a=1988&amp;bti=ODszNWYuMDE6&amp;ch=0&amp;cr=0&amp;dr=0&amp;er=0&amp;lr=default&amp;cd=0%7C0%7C0%7C0&amp;br=252&amp;bt=126&amp;ds=5&amp;ft=GNDpcInz7ThmPKvPXq8Zmo&amp;mime_type=audio_mpeg&amp;qs=13&amp;rc=anE5OnU5cjY2dDMzNzU8M0BpanE5OnU5cjY2dDMzNzU8M0Bsb25tMmQ0cGZgLS1kMTZzYSNsb25tMmQ0cGZgLS1kMTZzcw%3D%3D&amp;btag=e00078000&amp;expire=1764559238&amp;l=20251201102018B39B5434B49F795A75FD&amp;ply_type=3&amp;policy=3&amp;signature=e12889bb6950cc4bd083773be0794825&amp;tk=7571587458748974088</t>
  </si>
  <si>
    <t xml:space="preserve">🧠 Neurodivergente quando vai cozinhar A necessidade de lavar as mãos ou os dedos frequentemente ao tocar em alimentos pode estar associada a fatores sensoriais, rigidez cognitiva ou necessidade de controle. 👋🏻 Hipersensibilidade tátil – Certos alimentos, como os pegajosos, oleosos ou farináceos, podem causar grande desconforto na pele, levando à necessidade imediata de lavar as mãos para aliviar essa sensação desagradável. 🧩 Rigidez cognitiva e necessidade de controle – Lavar as mãos entre cada etapa do preparo pode se tornar um ritual essencial, trazendo uma sensação de organização e previsibilidade. Isso ajuda a reduzir a ansiedade e aumenta o senso de controle sobre a atividade. 💧 Comportamento auto-regulador – Para algumas pessoas, lavar as mãos repetidamente funciona como um estímulo repetitivo (stimming), ajudando na regulação emocional. O simples ato de sentir a água correndo e esfregar os dedos pode trazer alívio e uma sensação de ordem mental. ✨ Deixa um comentário se isso acontece com você também! #neurodivergente #autismoadulto #tdahadulto #toc #transtornodoprocessamentosensorial #ansiedade </t>
  </si>
  <si>
    <t>7528914892771248952</t>
  </si>
  <si>
    <t>https://v16-webapp-prime.tiktok.com/video/tos/useast2a/tos-useast2a-v-27dcd7/ocHqIWFfAFkf67R4FADJIhegmlhAKEDQACEuf1/?a=1988&amp;bti=ODszNWYuMDE6&amp;ch=0&amp;cr=0&amp;dr=0&amp;er=0&amp;lr=default&amp;cd=0%7C0%7C0%7C0&amp;br=250&amp;bt=125&amp;ds=5&amp;ft=GNDpcInz7ThbK-UPXq8Zmo&amp;mime_type=audio_mpeg&amp;qs=13&amp;rc=and3O2o5cmk0NDMzNzU8M0Bpand3O2o5cmk0NDMzNzU8M0BpXmo2MmRzNXJhLS1kMTZzYSNpXmo2MmRzNXJhLS1kMTZzcw%3D%3D&amp;btag=e00078000&amp;expire=1763004181&amp;l=202511131022442EE54DE47B86CCA867A8&amp;ply_type=3&amp;policy=3&amp;signature=21c57e38b6a1941de7dc555cd16bdf2f&amp;tk=7571587458748974088</t>
  </si>
  <si>
    <t>https://p16-sign-va.tiktokcdn.com/tos-maliva-avt-0068/2e8d5e10cae0d02e2bdbb7855e8a62ae~tplv-tiktokx-cropcenter:1080:1080.jpeg?dr=14579&amp;refresh_token=85433e22&amp;x-expires=1763172000&amp;x-signature=b3lSWsVGQCV%2BHNZZ3IkWUJa56mk%3D&amp;t=4d5b0474&amp;ps=13740610&amp;shp=a5d48078&amp;shcp=81f88b70&amp;idc=my</t>
  </si>
  <si>
    <t>https://v16-webapp-prime.tiktok.com/video/tos/useast2a/tos-useast2a-pve-0068/o0SCSqAAMHjDxf0NQCCjoffvI4CFBAENgIpERr/?a=1988&amp;bti=ODszNWYuMDE6&amp;ch=0&amp;cr=3&amp;dr=0&amp;lr=all&amp;cd=0%7C0%7C0%7C&amp;br=1354&amp;bt=677&amp;cs=0&amp;ds=3&amp;ft=I~da4oKyD12Nvu.WS.IxRntNWlBF-UjNSMopiX&amp;mime_type=video_mp4&amp;qs=0&amp;rc=M2Y7NDM1Mzg7ODY7OmUzM0BpanJnanQ5cnk2dDMzNzczM0BjNTFiMl8vXjMxYS4zXjE1YSNoMDFjMmRzb2ZgLS1kMTZzcw%3D%3D&amp;btag=e000b8000&amp;expire=1764728438&amp;l=20251201102018B39B5434B49F795A75FD&amp;ply_type=2&amp;policy=2&amp;signature=e36f27f080dc08cc8c205af486d94747&amp;tk=tt_chain_token</t>
  </si>
  <si>
    <t>https://v16-webapp-prime.tiktok.com/video/tos/useast2a/tos-useast2a-pve-0068/owxE8AbKBSQLmEEQdfFfCCgxsFNXQeIdjBD8IH/?a=1988&amp;bti=ODszNWYuMDE6&amp;ch=0&amp;cr=3&amp;dr=0&amp;lr=all&amp;cd=0%7C0%7C0%7C&amp;cv=1&amp;br=1318&amp;bt=659&amp;cs=0&amp;ds=3&amp;ft=-Csk_mrMPD12Nzhopd-UxfeFaY6e3wv25HcAp&amp;mime_type=video_mp4&amp;qs=0&amp;rc=cnF8b2hsc2d3SkBwaHIxaDFybndmNjc6ZGY6N2hpO2QzNzVkPEBpM3BmaHg5cjQ0NDMzNzczM0BjRl5Nc3FePmJKYSNvYF90aHFmOiNiLmAzLS9hXzIxYl4wYzY2YSNjbzM0MmRzNXJhLS1kMTZzcw%3D%3D&amp;btag=e000b8000&amp;expire=1763173381&amp;l=202511131022442EE54DE47B86CCA867A8&amp;ply_type=2&amp;policy=2&amp;signature=4ab1eee5cebae574162afdea2ceebc47&amp;tk=tt_chain_token</t>
  </si>
  <si>
    <t>https://www.tiktok.com/@lorenatdahta/video/7396104682726329605</t>
  </si>
  <si>
    <t>tdahta,tdahhumor,tdahadulto,tdahtiktok</t>
  </si>
  <si>
    <t>7447282791315721477</t>
  </si>
  <si>
    <t>psiqviva</t>
  </si>
  <si>
    <t>Psiquêviva</t>
  </si>
  <si>
    <t>https://p77-sign-va.tiktokcdn.com/tos-maliva-avt-0068/6ef179c2b7509aa593d24920992f7fa9~tplv-tiktokx-cropcenter:100:100.jpeg?dr=14579&amp;refresh_token=cdd4f7e8&amp;x-expires=1764727200&amp;x-signature=sJAAql3lAFeARYoTCeQ%2FwSLNN4Q%3D&amp;t=4d5b0474&amp;ps=13740610&amp;shp=a5d48078&amp;shcp=81f88b70&amp;idc=my</t>
  </si>
  <si>
    <t>https://www.tiktok.com/@luciane.martins.t/video/7528914894612221190</t>
  </si>
  <si>
    <t>neurodivergente,autismoadulto,tdahadulto,toc,transtornodoprocessamentosensorial,ansiedade</t>
  </si>
  <si>
    <t xml:space="preserve">E aí, fique por dentro desse conhecimento! #tdahadulto #tdahtiktok #tdahinfantil #tdah </t>
  </si>
  <si>
    <t>7457158230075116806</t>
  </si>
  <si>
    <t>Dramatic</t>
  </si>
  <si>
    <t>7309015696613459970</t>
  </si>
  <si>
    <t>https://sf16-ies-music-sg.tiktokcdn.com/obj/tos-alisg-ve-2774/osIWuiyQ2AtRAHBiMfjUIoLwip1jPtxSbRvBs6</t>
  </si>
  <si>
    <t xml:space="preserve">Cinco sintomas mais comuns do TDAH adulto 🔸 5º lugar - Sono nas horas mais importantes (86%) Precisa ir à academia? Estudar? É incrível como o sono aparece justamente quando algo importante precisa ser feito. 🔸 4º lugar - Ignorar manuais de instrução (89%) Por que seguir o manual se dá pra tentar e errar? Montar coisas sem ler as instruções é clássico entre os TDAHs adultos. 🔸 3º lugar - Ler sem reter informações (91%) Você lê um capítulo inteiro, mas depois precisa voltar 20 páginas porque não faz ideia do que acabou de ler. 🔸 2º lugar - Procrastinar até o último segundo (94%) Deixar tudo pra última hora é quase uma marca registrada. Parece que só a pressão faz as coisas acontecerem. 🔸 1º lugar - Facilidade em se distrair (96%) Tudo o que não é emergencial parece que simplesmente desaparece da nossa lista de prioridades enquanto a mente viaja para longe. E você, TDAH, se identificou com algum desses sintomas? Conta aqui nos comentários! Tchau, tchau, Distraídos venceremos! 🌟 Referência: Barkley, R. A., &amp; Benton, C. M. (2023). Vencendo o TDAH adulto: Transtorno de déficit de atenção e hiperatividade (2ª ed., pp. 261-262). #tdah #curiosidades #psicologia #comportamentos #distraidosvenceremos #foryou #comportamentohumano </t>
  </si>
  <si>
    <t>7457158255757527814</t>
  </si>
  <si>
    <t>https://v16-webapp-prime.tiktok.com/video/tos/useast2a/tos-useast2a-v-27dcd7/oUIA6ONoXCSAlgTj1tIEDFECXSDRpfAPxfSzfS/?a=1988&amp;bti=ODszNWYuMDE6&amp;ch=0&amp;cr=0&amp;dr=0&amp;er=0&amp;lr=default&amp;cd=0%7C0%7C0%7C0&amp;br=250&amp;bt=125&amp;ds=5&amp;ft=GNDpcInz7ThNV-UPXq8Zmo&amp;mime_type=audio_mpeg&amp;qs=13&amp;rc=am50ZnQ5cnZsdzMzNzU8M0Bpam50ZnQ5cnZsdzMzNzU8M0BoYWJwMmRzX3JgLS1kMTZzYSNoYWJwMmRzX3JgLS1kMTZzcw%3D%3D&amp;btag=e00050000&amp;expire=1763004280&amp;l=20251113102306B19E1F5BC676BF8CC05E&amp;ply_type=3&amp;policy=3&amp;signature=01b45437c46560eee50269f00f55dd39&amp;tk=7571587458748974088</t>
  </si>
  <si>
    <t>https://p16-sg.tiktokcdn.com/aweme/720x720/tos-alisg-v-2774/oEEDUsAyVwCm2iDH7PCB3wAWozAfB6lA2EAdiU.jpeg</t>
  </si>
  <si>
    <t>Big Dreams</t>
  </si>
  <si>
    <t>https://v16-webapp-prime.tiktok.com/video/tos/useast2a/tos-useast2a-pve-0068/okeX1ec1BOOZQgIgERKLcIQGCsfStIja7VSAEC/?a=1988&amp;bti=ODszNWYuMDE6&amp;ch=0&amp;cr=3&amp;dr=0&amp;lr=all&amp;cd=0%7C0%7C0%7C&amp;cv=1&amp;br=254&amp;bt=127&amp;cs=0&amp;ds=3&amp;ft=I~da4oKyD12Nvz.WS.IxRjkNWlBF-UjNSRopiX&amp;mime_type=video_mp4&amp;qs=0&amp;rc=cnF8b2hsc2d3SkBwaHIxaDFybndmNzNmZDdlPDtkaTczZWRkM0Bpamlram85cnQzdzMzNzczM0BjRl5Nc3FePmJKYSNvYF90aHFmOiNiXjI2MWItNjYxMDZgYTFiYSMxMnBfMmRzcmFgLS1kMTZzcw%3D%3D&amp;btag=e000b0000&amp;expire=1764728434&amp;l=202512011020239FD63C9B4E4C976A9E36&amp;ply_type=2&amp;policy=2&amp;signature=8bd9b093964fb7cce09a9c2cd13e5abd&amp;tk=tt_chain_token</t>
  </si>
  <si>
    <t>https://v16-webapp-prime.tiktok.com/video/tos/useast2a/tos-useast2a-ve-0068c001/oIJoQfr0DCZOFz0In9EKSqIDfCSEeOTgtGjBXA/?a=1988&amp;bti=ODszNWYuMDE6&amp;ch=0&amp;cr=3&amp;dr=0&amp;lr=all&amp;cd=0%7C0%7C0%7C&amp;cv=1&amp;br=1692&amp;bt=846&amp;cs=0&amp;ds=3&amp;ft=-Csk_mrMPD12NOYopd-Uxtv5GY6e3wv252cAp&amp;mime_type=video_mp4&amp;qs=0&amp;rc=OzxoNTM3OzszODc8OmdkaUBpM2VrZ3A5cnNsdzMzNzczM0BjLTNiYjYtNV4xLWI0M2FfYSM0NDNzMmRzX3JgLS1kMTZzcw%3D%3D&amp;btag=e00090000&amp;expire=1763173480&amp;l=20251113102306B19E1F5BC676BF8CC05E&amp;ply_type=2&amp;policy=2&amp;signature=2a2aa2c23568586d5a58d73051e7f681&amp;tk=tt_chain_token</t>
  </si>
  <si>
    <t>https://www.tiktok.com/@psiqviva/video/7447282791315721477</t>
  </si>
  <si>
    <t>https://www.tiktok.com/@psi.jonathanorlandi/video/7457158230075116806</t>
  </si>
  <si>
    <t>tdahadulto,tdahtiktok,tdahinfantil,tdah</t>
  </si>
  <si>
    <t>7522212054481030406</t>
  </si>
  <si>
    <t>lute_contra_depressao</t>
  </si>
  <si>
    <t>Papo Reto com Netto ✔️</t>
  </si>
  <si>
    <t>https://p77-sign-va.tiktokcdn.com/tos-maliva-avt-0068/7d1de8375d99029c00fedd01d7903cdd~tplv-tiktokx-cropcenter:100:100.jpeg?dr=14579&amp;refresh_token=426af72e&amp;x-expires=1764727200&amp;x-signature=QDYvnNuT1DpyME2xRSktTjEALmE%3D&amp;t=4d5b0474&amp;ps=13740610&amp;shp=a5d48078&amp;shcp=81f88b70&amp;idc=my</t>
  </si>
  <si>
    <t>tdah,curiosidades,psicologia,comportamentos,distraidosvenceremos,foryou,comportamentohumano</t>
  </si>
  <si>
    <t xml:space="preserve">TDAH pode ser um super poder pela criatividade, energia e pensamento rápido, mas também pode ser uma super maldição quando traz impulsividade, dificuldade de foco e sofrimento diário. O equilíbrio depende de autoconhecimento, apoio e estratégias certas para transformar o caos em força. #tdah #tdahadulto  #reflexão #ansiedade </t>
  </si>
  <si>
    <t>https://v16-webapp-prime.tiktok.com/video/tos/useast2a/tos-useast2a-v-27dcd7/a3f8acf9599a425293ebf4c845dbb91b/?a=1988&amp;bti=ODszNWYuMDE6&amp;ch=0&amp;cr=0&amp;dr=0&amp;er=0&amp;lr=default&amp;cd=0%7C0%7C0%7C0&amp;br=250&amp;bt=125&amp;ds=5&amp;ft=GNDpcInz7ThEY-UPXq8Zmo&amp;mime_type=audio_mpeg&amp;qs=13&amp;rc=ajp2eTk6ZjxwajMzNzU8M0Bpajp2eTk6ZjxwajMzNzU8M0BgLW9tcjQwM3BgLS1kMTZzYSNgLW9tcjQwM3BgLS1kMTZzcw%3D%3D&amp;btag=e00050000&amp;expire=1763004443&amp;l=202511131026218DEF8CE7185C8F9E5844&amp;ply_type=3&amp;policy=3&amp;signature=bb8fb63764cae0749e34ecb369122312&amp;tk=7571587458748974088</t>
  </si>
  <si>
    <t>https://p77-sg.tiktokcdn.com/aweme/720x720/tos-alisg-v-2774/o4A8EiGS96Y7r6BApURZj7WAA3NPCh7FAEiPY.jpeg</t>
  </si>
  <si>
    <t>https://v16-webapp-prime.tiktok.com/video/tos/useast2a/tos-useast2a-ve-0068c004/oQRnoBaGSUA2BiJQRiCV549IxEkBvBRAdQSJE/?a=1988&amp;bti=ODszNWYuMDE6&amp;ch=0&amp;cr=3&amp;dr=0&amp;lr=all&amp;cd=0%7C0%7C0%7C&amp;cv=1&amp;br=412&amp;bt=206&amp;cs=0&amp;ds=6&amp;ft=-Csk_mrMPD12NgDh5d-UxgS5hY6e3wv25-cAp&amp;mime_type=video_mp4&amp;qs=5&amp;rc=NThnaDdmOmQ2ZWg8ZDc0aEBpam86N2s5cnA3NDMzNzczM0A0Li4tNi0zXjMxNDZjMy8xYSMxbmYtMmRrMmZhLS1kMTZzcw%3D%3D&amp;btag=e00090000&amp;expire=1764728554&amp;l=2025120110213056C909F1BE127E576E48&amp;ply_type=2&amp;policy=2&amp;signature=0a64175273078e7fd6606b7dd050fe27&amp;tk=tt_chain_token</t>
  </si>
  <si>
    <t>https://v16-webapp-prime.tiktok.com/video/tos/alisg/tos-alisg-pve-0037c001/ocX0U0DRgBQk4hObie8JDf7vE8LKzEAZnBWRA1/?a=1988&amp;bti=ODszNWYuMDE6&amp;ch=0&amp;cr=3&amp;dr=0&amp;lr=all&amp;cd=0%7C0%7C0%7C&amp;cv=1&amp;br=1458&amp;bt=729&amp;cs=0&amp;ds=3&amp;ft=-Csk_mrMPD12NH_opd-UxDTFGY6e3wv25ocAp&amp;mime_type=video_mp4&amp;qs=0&amp;rc=ODc3N2U8NzY8Ojc5PDlpM0Bpam9kOWc6ZnhwajMzNzczM0A1YTBjMDUwNmIxYmMuXmE0YSMtazFfcjQwMnBgLS1kMTZzcw%3D%3D&amp;btag=e00090000&amp;expire=1763173643&amp;l=202511131026218DEF8CE7185C8F9E5844&amp;ply_type=2&amp;policy=2&amp;signature=43f2890b55d686ecd535a44efe4ec7d3&amp;tk=tt_chain_token</t>
  </si>
  <si>
    <t>https://www.tiktok.com/@lute_contra_depressao/video/7522212054481030406</t>
  </si>
  <si>
    <t>tdah,tdahadulto,reflexão,ansiedade</t>
  </si>
  <si>
    <t>7554867213556043064</t>
  </si>
  <si>
    <t>natan.ferreira.de</t>
  </si>
  <si>
    <t>Natan Brito</t>
  </si>
  <si>
    <t>https://p16-sign-sg.tiktokcdn.com/tos-alisg-avt-0068/0d277ede36dc77af748b34535b8adf71~tplv-tiktokx-cropcenter:100:100.jpeg?dr=14579&amp;refresh_token=e3f217a0&amp;x-expires=1764727200&amp;x-signature=Vt1Wsgx59xe41Ttc2YuLaUZoiMI%3D&amp;t=4d5b0474&amp;ps=13740610&amp;shp=a5d48078&amp;shcp=81f88b70&amp;idc=my</t>
  </si>
  <si>
    <t>https://v16-webapp-prime.tiktok.com/video/tos/alisg/tos-alisg-v-27dcd7/okIEB6krIerogYFCDLbDfD0TqvEFQdeAB4QSMS/?a=1988&amp;bti=ODszNWYuMDE6&amp;ch=0&amp;cr=0&amp;dr=0&amp;er=0&amp;lr=default&amp;cd=0%7C0%7C0%7C0&amp;br=250&amp;bt=125&amp;ft=GNDpcInz7ThOD-UPXq8Zmo&amp;mime_type=audio_mpeg&amp;qs=6&amp;rc=NzwzOjs7OTxpPDNkOTczaEBpMzY5N285cmV4NzMzODU8NEBjXjAxLWIzNjIxYy5eNGMyYSNuNWRzMmRzaTJhLS1kMS1zcw%3D%3D&amp;btag=e00090000&amp;expire=1763004432&amp;l=20251113102536F89EBD83B531C49CD72A&amp;ply_type=3&amp;policy=3&amp;signature=d0660294a751a1a5495363e6e34effcd&amp;tk=7571587458748974088</t>
  </si>
  <si>
    <t>#tdah #reflexao #meditacao #motivação</t>
  </si>
  <si>
    <t>7554867536192899896</t>
  </si>
  <si>
    <t>https://v16-webapp-prime.tiktok.com/video/tos/useast2a/tos-useast2a-v-27dcd7/oARsGRbjIAIuCI1oI9AweCEaATL33SeeJgkG9I/?a=1988&amp;bti=ODszNWYuMDE6&amp;ch=0&amp;cr=0&amp;dr=0&amp;er=0&amp;lr=default&amp;cd=0%7C0%7C0%7C0&amp;br=250&amp;bt=125&amp;ds=5&amp;ft=GNDpcInz7ThdPKvPXq8Zmo&amp;mime_type=audio_mpeg&amp;qs=13&amp;rc=amc7cW45cmk3NjMzNzU8M0Bpamc7cW45cmk3NjMzNzU8M0BvNW5iMmRrY2BhLS1kMTZzYSNvNW5iMmRrY2BhLS1kMTZzcw%3D%3D&amp;btag=e00050000&amp;expire=1764559282&amp;l=202512011020239FD63C9B4E4C976A9DFE&amp;ply_type=3&amp;policy=3&amp;signature=c6de1536a7ec6de0340f5bcf5fd3f09f&amp;tk=7571587458748974088</t>
  </si>
  <si>
    <t>https://v16-webapp-prime.tiktok.com/video/tos/alisg/tos-alisg-pve-0037/oMIrooSAeewSs7WXDDQiYFFQTNgCsAfhE1E88X/?a=1988&amp;bti=ODszNWYuMDE6&amp;ch=0&amp;cr=3&amp;dr=0&amp;lr=all&amp;cd=0%7C0%7C0%7C&amp;cv=1&amp;br=1198&amp;bt=599&amp;cs=0&amp;ds=3&amp;ft=-Csk_mrMPD12NE.opd-UxG4vXY6e3wv25McAp&amp;mime_type=video_mp4&amp;qs=0&amp;rc=OGg8NDtlNDo7OzdnZGk6ZUBpamZzcWo5cmh4NzMzODgzNEA2MmIwNjUwNTExLzBjNDUzYSMyL2ZoMmRzaDJhLS1kLzFzcw%3D%3D&amp;btag=e00090000&amp;expire=1763173632&amp;l=20251113102536F89EBD83B531C49CD72A&amp;ply_type=2&amp;policy=2&amp;signature=8648f15e0d704a1ffacaf10695c0f6a5&amp;tk=tt_chain_token</t>
  </si>
  <si>
    <t>https://p16-sign-sg.tiktokcdn.com/tos-alisg-avt-0068/0d277ede36dc77af748b34535b8adf71~tplv-tiktokx-cropcenter:1080:1080.jpeg?dr=14579&amp;refresh_token=9b0c3982&amp;x-expires=1764727200&amp;x-signature=uwl6JOKxlLJz3DhbaA2Py%2FPTgu8%3D&amp;t=4d5b0474&amp;ps=13740610&amp;shp=a5d48078&amp;shcp=81f88b70&amp;idc=my</t>
  </si>
  <si>
    <t>https://v16-webapp-prime.tiktok.com/video/tos/alisg/tos-alisg-ve-37c813-sg/oEBrARd2tFfUIEEaQoEDo8fEIBV9QdWzBJY3oR/?a=1988&amp;bti=ODszNWYuMDE6&amp;ch=0&amp;cr=3&amp;dr=0&amp;lr=all&amp;cd=0%7C0%7C0%7C&amp;cv=1&amp;br=226&amp;bt=113&amp;cs=0&amp;ds=3&amp;ft=-Csk_mrMPD12NLdh5d-Uxbt2hY6e3wv25HcAp&amp;mime_type=video_mp4&amp;qs=0&amp;rc=M2c1ZzNnOzNmODVnNDQ5aEBpM2hnOW45cnc3NjMzNzczM0A1MjYvYGM2XmAxMV4uNDNfYSNlNWEvMmRzYmBhLS1kMTZzcw%3D%3D&amp;btag=e00090000&amp;expire=1764728482&amp;l=202512011020239FD63C9B4E4C976A9DFE&amp;ply_type=2&amp;policy=2&amp;signature=7f4dfe7a50c8ca887ac63feedc5074f7&amp;tk=tt_chain_token</t>
  </si>
  <si>
    <t>7437280880579661112</t>
  </si>
  <si>
    <t>A mente do TDAH sempre a milhão  #TDAH #comunidade #SaúdeMental #Autocuidado #Juntos</t>
  </si>
  <si>
    <t>7437280936482540344</t>
  </si>
  <si>
    <t>https://v16-webapp-prime.tiktok.com/video/tos/useast2a/tos-useast2a-v-27dcd7/oMEhe7ASEEVGE4ACQhOo2D6CbEFeSrAfgEBFAT/?a=1988&amp;bti=ODszNWYuMDE6&amp;ch=0&amp;cr=0&amp;dr=0&amp;er=0&amp;lr=default&amp;cd=0%7C0%7C0%7C0&amp;br=250&amp;bt=125&amp;ds=5&amp;ft=GNDpcInz7ThRK-UPXq8Zmo&amp;mime_type=audio_mpeg&amp;qs=13&amp;rc=M290aXc5cjs7djMzNzU8M0BpM290aXc5cjs7djMzNzU8M0A2amRkMmRjY29gLS1kMTZzYSM2amRkMmRjY29gLS1kMTZzcw%3D%3D&amp;btag=e00050000&amp;expire=1763004213&amp;l=202511131022245A53A91EDE77CC8B0DB4&amp;ply_type=3&amp;policy=3&amp;signature=6f27b56953e08af419b07caad240131f&amp;tk=7571587458748974088</t>
  </si>
  <si>
    <t>https://www.tiktok.com/@natan.ferreira.de/video/7554867213556043064</t>
  </si>
  <si>
    <t>tdah,reflexao,meditacao,motivação</t>
  </si>
  <si>
    <t>https://v16-webapp-prime.tiktok.com/video/tos/maliva/tos-maliva-ve-68c800-us/o8gBzBAQkpiDuEyzE8Q6RsYsZ2IPEUH6ahiSE/?a=1988&amp;bti=ODszNWYuMDE6&amp;ch=0&amp;cr=3&amp;dr=0&amp;lr=all&amp;cd=0%7C0%7C0%7C&amp;cv=1&amp;br=868&amp;bt=434&amp;cs=0&amp;ds=3&amp;ft=-Csk_mrMPD12NXhopd-UxB6vSY6e3wv25rcAp&amp;mime_type=video_mp4&amp;qs=0&amp;rc=PGRlOWY5Zjk6NzhlPGc6NEBpM2Y3Zmw5cms7djMzNzczM0BeYjReY2JjXy4xYV5hMV9gYSNmNnEvMmQ0Ym9gLS1kMTZzcw%3D%3D&amp;btag=e00090000&amp;expire=1763173413&amp;l=202511131022245A53A91EDE77CC8B0DB4&amp;ply_type=2&amp;policy=2&amp;signature=0f1a0fc7b1a091c3bb76e32029d0384c&amp;tk=tt_chain_token</t>
  </si>
  <si>
    <t>7572759827672239381</t>
  </si>
  <si>
    <t>#tdah #inclusao #tdahadulto #fy</t>
  </si>
  <si>
    <t xml:space="preserve">siga-nos 
comente 
compartilhar </t>
  </si>
  <si>
    <t>7572759887130675975</t>
  </si>
  <si>
    <t>https://v16-webapp-prime.tiktok.com/video/tos/alisg/tos-alisg-v-27dcd7/oAUFQIeMB4rxeB2OgivPC8QXuiFnBpBUny9J7X/?a=1988&amp;bti=ODszNWYuMDE6&amp;ch=0&amp;cr=0&amp;dr=0&amp;er=0&amp;lr=default&amp;cd=0%7C0%7C0%7C0&amp;br=250&amp;bt=125&amp;ft=GNDpcInz7Th0zKvPXq8Zmo&amp;mime_type=audio_mpeg&amp;qs=6&amp;rc=NzQ0NjxnOGc2NDQ4ZGhmN0Bpamg1c2w5cnh3NzMzODU8NEAzNC0xYTNjNl4xNGNfMGEtYSNycHMvMmRrZV9hLS1kMS1zcw%3D%3D&amp;btag=e00090000&amp;expire=1764559382&amp;l=2025120110213238A64472738F9C5726DD&amp;ply_type=3&amp;policy=3&amp;signature=ec2beb157b8361415ff94ec432dea570&amp;tk=7571587458748974088</t>
  </si>
  <si>
    <t>https://www.tiktok.com/@tdahempalavra/video/7437280880579661112</t>
  </si>
  <si>
    <t>https://v16-webapp-prime.tiktok.com/video/tos/alisg/tos-alisg-pve-0037c001/osEB0iQ2zFlfCAplScYAX45AiEqQX3LIJwPiI2/?a=1988&amp;bti=ODszNWYuMDE6&amp;ch=0&amp;cr=3&amp;dr=0&amp;lr=all&amp;cd=0%7C0%7C0%7C&amp;br=2180&amp;bt=1090&amp;cs=0&amp;ds=3&amp;ft=-Csk_mrMPD12NsDh5d-UxSc2hY6e3wv25DcAp&amp;mime_type=video_mp4&amp;qs=0&amp;rc=N2k3NTw0OjtpNjdkPGYzZ0BpanFxbHA5cjh3NzMzODczNEBfLzBiYDRhXjExMTJeNC0uYSNoZTVmMmQ0ZV9hLS1kMTFzcw%3D%3D&amp;btag=e00090000&amp;expire=1764728582&amp;l=2025120110213238A64472738F9C5726DD&amp;ply_type=2&amp;policy=2&amp;signature=c5d2226481ce4efc07a67e2bf85d15a8&amp;tk=tt_chain_token</t>
  </si>
  <si>
    <t>tdah,comunidade,saúdemental,autocuidado,juntos</t>
  </si>
  <si>
    <t>https://p77-sign-va.tiktokcdn.com/tos-maliva-avt-0068/b65580219dd212688aa9c5305651ee47~tplv-tiktokx-cropcenter:100:100.jpeg?dr=14579&amp;refresh_token=45e413c6&amp;x-expires=1763172000&amp;x-signature=KCpt%2BDj%2Bfn31W8EH9IjcPLbgtjc%3D&amp;t=4d5b0474&amp;ps=13740610&amp;shp=a5d48078&amp;shcp=81f88b70&amp;idc=my</t>
  </si>
  <si>
    <t>https://v16-webapp-prime.tiktok.com/video/tos/alisg/tos-alisg-v-27dcd7/ogE4PPCBA9kDsl7YaatE1cAtxvATAWKiA4ViU/?a=1988&amp;bti=ODszNWYuMDE6&amp;ch=0&amp;cr=0&amp;dr=0&amp;er=0&amp;lr=default&amp;cd=0%7C0%7C0%7C0&amp;br=250&amp;bt=125&amp;ds=5&amp;ft=GNDpcInz7ThN9-UPXq8Zmo&amp;mime_type=audio_mpeg&amp;qs=13&amp;rc=M2Z5OnU5cm1vNjMzODU8NEBpM2Z5OnU5cm1vNjMzODU8NEBwZTIyMmQ0YHJhLS1kMS1zYSNwZTIyMmQ0YHJhLS1kMS1zcw%3D%3D&amp;btag=e00050000&amp;expire=1763004337&amp;l=20251113102410CE8B814C77F7637842AC&amp;ply_type=3&amp;policy=3&amp;signature=07c4bfe89b6e30670e8dab564c1dfece&amp;tk=7571587458748974088</t>
  </si>
  <si>
    <t>https://www.tiktok.com/@dulcivaldejesussantos/video/7572759827672239381</t>
  </si>
  <si>
    <t>tdah,inclusao,tdahadulto,fy</t>
  </si>
  <si>
    <t>https://p16-sign-va.tiktokcdn.com/tos-maliva-avt-0068/ebc42eb348fcf29a09bcbf1c40faef80~tplv-tiktokx-cropcenter:100:100.jpeg?dr=14579&amp;refresh_token=874285da&amp;x-expires=1764727200&amp;x-signature=KqwndfhqcA8WaJcIHV8sy1waMLM%3D&amp;t=4d5b0474&amp;ps=13740610&amp;shp=a5d48078&amp;shcp=81f88b70&amp;idc=my</t>
  </si>
  <si>
    <t>https://p77-sign-va.tiktokcdn.com/tos-maliva-avt-0068/b65580219dd212688aa9c5305651ee47~tplv-tiktokx-cropcenter:1080:1080.jpeg?dr=14579&amp;refresh_token=9bbb6515&amp;x-expires=1763172000&amp;x-signature=2qI%2Fzfdzeuu4ERcvrj042dDT4uU%3D&amp;t=4d5b0474&amp;ps=13740610&amp;shp=a5d48078&amp;shcp=81f88b70&amp;idc=my</t>
  </si>
  <si>
    <t>https://v16-webapp-prime.tiktok.com/video/tos/useast2a/tos-useast2a-v-27dcd7/87db1e09e5454cbaae27f5060782636d/?a=1988&amp;bti=ODszNWYuMDE6&amp;ch=0&amp;cr=0&amp;dr=0&amp;er=0&amp;lr=default&amp;cd=0%7C0%7C0%7C0&amp;br=250&amp;bt=125&amp;ds=5&amp;ft=GNDpcInz7ThmPKvPXq8Zmo&amp;mime_type=audio_mpeg&amp;qs=13&amp;rc=M2dlOzY6ZmZpajMzNzU8M0BpM2dlOzY6ZmZpajMzNzU8M0AyNHFhcjRvYGdgLS1kMTZzYSMyNHFhcjRvYGdgLS1kMTZzcw%3D%3D&amp;btag=e00078000&amp;expire=1764559240&amp;l=20251201102018B39B5434B49F795A75FD&amp;ply_type=3&amp;policy=3&amp;signature=42a79f64d539b90c77c7b2cecca248f4&amp;tk=7571587458748974088</t>
  </si>
  <si>
    <t>https://v16-webapp-prime.tiktok.com/video/tos/alisg/tos-alisg-pve-0037c001/o4lLxEPinWBFICzXAaQ9AZqvVlA9iEV1IQYvB/?a=1988&amp;bti=ODszNWYuMDE6&amp;ch=0&amp;cr=3&amp;dr=0&amp;lr=all&amp;cd=0%7C0%7C0%7C&amp;cv=1&amp;br=2242&amp;bt=1121&amp;cs=0&amp;ds=3&amp;ft=I~da4oKyD12Nv5A0i.IxRIk_glBF-UjNSbopiX&amp;mime_type=video_mp4&amp;qs=0&amp;rc=PGhoN2ZnaTRmO2dkOmQ5aEBpM2t4M205cjhvNjMzODczNEAuYi0tY2JfXl4xMmNeMTQvYSM1aWktMmRrYHJhLS1kMTFzcw%3D%3D&amp;btag=e00090000&amp;expire=1763173537&amp;l=20251113102410CE8B814C77F7637842AC&amp;ply_type=2&amp;policy=2&amp;signature=5754c7017e147a7d99483fde2ce9caf8&amp;tk=tt_chain_token</t>
  </si>
  <si>
    <t>https://p16-sign-va.tiktokcdn.com/tos-maliva-avt-0068/ebc42eb348fcf29a09bcbf1c40faef80~tplv-tiktokx-cropcenter:1080:1080.jpeg?dr=14579&amp;refresh_token=da718dc3&amp;x-expires=1764727200&amp;x-signature=idHE7IQWzL4DE2KOvOUyTQ92c2U%3D&amp;t=4d5b0474&amp;ps=13740610&amp;shp=a5d48078&amp;shcp=81f88b70&amp;idc=my</t>
  </si>
  <si>
    <t>https://v16-webapp-prime.tiktok.com/video/tos/useast2a/tos-useast2a-pve-0068/oYAhk9kjIPHCk5EArmUzNgdIsTAfMc3oDkIyUp/?a=1988&amp;bti=ODszNWYuMDE6&amp;ch=0&amp;cr=3&amp;dr=0&amp;lr=all&amp;cd=0%7C0%7C0%7C&amp;cv=1&amp;br=540&amp;bt=270&amp;cs=0&amp;ds=6&amp;ft=I~da4oKyD12Nvu.WS.IxRntNWlBF-UjNSMopiX&amp;mime_type=video_mp4&amp;qs=5&amp;rc=aTY8PDlkZzozOzs2OzVpaEBpamVsdDo6ZjxpajMzNzczM0A1YDAtM2NhNjMxNl9eLzY0YSNiNmA0cjRnYGdgLS1kMTZzcw%3D%3D&amp;btag=e000b8000&amp;expire=1764728440&amp;l=20251201102018B39B5434B49F795A75FD&amp;ply_type=2&amp;policy=2&amp;signature=5a6dae3aca7be043f17a7a4bf7c33f36&amp;tk=tt_chain_token</t>
  </si>
  <si>
    <t>https://p16-sign-va.tiktokcdn.com/tos-maliva-avt-0068/ca391b0efaba2677f1bf5fc8b151dfa6~tplv-tiktokx-cropcenter:100:100.jpeg?dr=14579&amp;refresh_token=c57812a5&amp;x-expires=1763172000&amp;x-signature=HAsWbG1YTg07EFICM1LwVK6aDL0%3D&amp;t=4d5b0474&amp;ps=13740610&amp;shp=a5d48078&amp;shcp=81f88b70&amp;idc=my</t>
  </si>
  <si>
    <t>https://v16-webapp-prime.tiktok.com/video/tos/useast2a/tos-useast2a-v-27dcd7/oUPXI42oEBiHjgFBObZCfiy0eCSpNM4gTGeO5Q/?a=1988&amp;bti=ODszNWYuMDE6&amp;ch=0&amp;cr=0&amp;dr=0&amp;er=0&amp;lr=default&amp;cd=0%7C0%7C0%7C0&amp;br=250&amp;bt=125&amp;ft=GNDpcInz7Tht9-UPXq8Zmo&amp;mime_type=audio_mpeg&amp;qs=6&amp;rc=OzY4NDloaGU8NDo5Ozw5ZkBpM3B0aG45cjk5eTMzNzU8M0A0LzAuYjMzNTIxMjY0MS4yYSM0NC5kMmRzcnBgLS1kMTZzcw%3D%3D&amp;btag=e00090000&amp;expire=1763004348&amp;l=20251113102438711CFC3830D7669110B2&amp;ply_type=3&amp;policy=3&amp;signature=7544cfe0ef03c295161b63cf86205c87&amp;tk=7571587458748974088</t>
  </si>
  <si>
    <t>7127297775670250757</t>
  </si>
  <si>
    <t>https://p16-sign-va.tiktokcdn.com/tos-maliva-avt-0068/72466cc9d5b9a27930c91e8fb7677589~tplv-tiktokx-cropcenter:100:100.jpeg?dr=14579&amp;refresh_token=b237c687&amp;x-expires=1764727200&amp;x-signature=ScrWLEHr0FjIiW%2BvFjGOyF42nU8%3D&amp;t=4d5b0474&amp;ps=13740610&amp;shp=a5d48078&amp;shcp=81f88b70&amp;idc=my</t>
  </si>
  <si>
    <t>Você também é assim? Conta para mim nos comentários! #tdah #tda #dda #tdahadultos #tdahadulto</t>
  </si>
  <si>
    <t>TDAH sente saudade?</t>
  </si>
  <si>
    <t>https://p77-sign-va.tiktokcdn.com/tos-maliva-avt-0068/ca391b0efaba2677f1bf5fc8b151dfa6~tplv-tiktokx-cropcenter:1080:1080.jpeg?dr=14579&amp;refresh_token=b00aaac9&amp;x-expires=1763172000&amp;x-signature=FvR8fGROY9BnKSrL7rSyQvjWyF8%3D&amp;t=4d5b0474&amp;ps=13740610&amp;shp=a5d48078&amp;shcp=81f88b70&amp;idc=my</t>
  </si>
  <si>
    <t>7127297779470912262</t>
  </si>
  <si>
    <t>https://v16-webapp-prime.tiktok.com/video/tos/useast2a/tos-useast2a-v-27dcd7/5898511c395f41dd9ecb9236b5d71af2/?a=1988&amp;bti=ODszNWYuMDE6&amp;ch=0&amp;cr=0&amp;dr=0&amp;er=0&amp;lr=default&amp;cd=0%7C0%7C0%7C0&amp;br=200&amp;bt=100&amp;ds=5&amp;ft=GNDpcInz7Th8zKvPXq8Zmo&amp;mime_type=video_mp4&amp;qs=13&amp;rc=ajo6MzY6ZjhtZTMzNzU8M0Bpajo6MzY6ZjhtZTMzNzU8M0BebDZmcjQwc2hgLS1kMTZzYSNebDZmcjQwc2hgLS1kMTZzcw%3D%3D&amp;btag=e00050000&amp;expire=1764559324&amp;l=202512011020485614ECD0EEDB8C5FDDDB&amp;ply_type=3&amp;policy=3&amp;signature=343199070523d393e7387b9e6e37cae4&amp;tk=7571587458748974088</t>
  </si>
  <si>
    <t>https://v16-webapp-prime.tiktok.com/video/tos/useast2a/tos-useast2a-ve-0068c004/osePfg2NYA7pgjGNgQL283SGPe7wUmNICICvwI/?a=1988&amp;bti=ODszNWYuMDE6&amp;ch=0&amp;cr=3&amp;dr=0&amp;lr=all&amp;cd=0%7C0%7C0%7C&amp;cv=1&amp;br=2878&amp;bt=1439&amp;cs=0&amp;ds=3&amp;ft=I~da4oKyD12NvnA0i.IxRTF_blBF-UjNSaopiX&amp;mime_type=video_mp4&amp;qs=0&amp;rc=NTdnNWY1OGdpOzdmZjtpZEBpanJ0cXQ5cms5eTMzNzczM0AtNF5eMmEvNS0xMjQyNV9gYSNhaGBjMmRzcXBgLS1kMTZzcw%3D%3D&amp;btag=e00090000&amp;expire=1763173548&amp;l=20251113102438711CFC3830D7669110B2&amp;ply_type=2&amp;policy=2&amp;signature=ffc1eda95517de161b43703cf2a40ed8&amp;tk=tt_chain_token</t>
  </si>
  <si>
    <t>https://p16-sign-va.tiktokcdn.com/tos-maliva-avt-0068/72466cc9d5b9a27930c91e8fb7677589~tplv-tiktokx-cropcenter:1080:1080.jpeg?dr=14579&amp;refresh_token=dab6cdb5&amp;x-expires=1764727200&amp;x-signature=G3N4KyBpphmXlonUIEO9Wei6zyQ%3D&amp;t=4d5b0474&amp;ps=13740610&amp;shp=a5d48078&amp;shcp=81f88b70&amp;idc=my</t>
  </si>
  <si>
    <t>https://v16-webapp-prime.tiktok.com/video/tos/useast2a/tos-useast2a-ve-0068c004/bae2ed7673e04148b88aaa6a3a0154d6/?a=1988&amp;bti=ODszNWYuMDE6&amp;ch=0&amp;cr=3&amp;dr=0&amp;lr=all&amp;cd=0%7C0%7C0%7C&amp;cv=1&amp;br=1836&amp;bt=918&amp;cs=0&amp;ds=3&amp;ft=-Csk_mrMPD12NxDh5d-UxIS5hY6e3wv25ycAp&amp;mime_type=video_mp4&amp;qs=0&amp;rc=NmdnOTk1NDQ8ZThnMzY1PEBpM285Zmk6ZndtZTMzNzczM0BgL2FjMS5fNjUxYjYtYS4vYSMtMmhmcjRfcmhgLS1kMTZzcw%3D%3D&amp;btag=e00090000&amp;expire=1764728524&amp;l=202512011020485614ECD0EEDB8C5FDDDB&amp;ply_type=2&amp;policy=2&amp;signature=54b926d03ac92e1ebdce2818f6c69e96&amp;tk=tt_chain_token</t>
  </si>
  <si>
    <t>7259462091919183109</t>
  </si>
  <si>
    <t>😰 Isso desgasta o TDAH. O tempo todo você precisa de motivação, e é difícil de conseguir. Você também se sente assim? @Feras Cast  #tdah #tda #dda #tdahadultos #tdahadulto</t>
  </si>
  <si>
    <t>7259462149835770630</t>
  </si>
  <si>
    <t>https://v16-webapp-prime.tiktok.com/video/tos/useast2a/tos-useast2a-v-27dcd7/oMmrgg5NzAk6Gm8eFePJwSf4meSAyEVQtZH32D/?a=1988&amp;bti=ODszNWYuMDE6&amp;ch=0&amp;cr=0&amp;dr=0&amp;er=0&amp;lr=default&amp;cd=0%7C0%7C0%7C0&amp;br=250&amp;bt=125&amp;ft=GNDpcInz7ThaV-UPXq8Zmo&amp;mime_type=audio_mpeg&amp;qs=6&amp;rc=aTRlNjtmZmY5ZzZnPDM4OEBpM3Nxcmk6ZnFmbDMzNzU8M0A0MjQtLzQvNi8xMC4vLjI0YSNoaS4wcjRfaHNgLS1kMTZzcw%3D%3D&amp;btag=e00090000&amp;expire=1763004286&amp;l=20251113102343D1A0044B947998B9C2A2&amp;ply_type=3&amp;policy=3&amp;signature=6fd0fefda13b0e89fdc31c06f89087a5&amp;tk=7571587458748974088</t>
  </si>
  <si>
    <t>https://www.tiktok.com/@brunolnunes/video/7127297775670250757</t>
  </si>
  <si>
    <t>https://v16-webapp-prime.tiktok.com/video/tos/alisg/tos-alisg-pve-0037c001/oAJRQg5fVIPn4eQAR4sA2eHaSREHGAfFkF6ZNE/?a=1988&amp;bti=ODszNWYuMDE6&amp;ch=0&amp;cr=3&amp;dr=0&amp;lr=all&amp;cd=0%7C0%7C0%7C&amp;cv=1&amp;br=1394&amp;bt=697&amp;cs=0&amp;ds=3&amp;ft=-Csk_mrMPD12N8Yopd-UxfeFaY6e3wv25HcAp&amp;mime_type=video_mp4&amp;qs=0&amp;rc=OTg8NjpnZGRkZjc6ZWlpZ0BpM293ZWk6ZmlmbDMzNzczM0BeMC0tYl9fXmMxLmEwL2ItYSNwLW9ncjQwaHNgLS1kMTZzcw%3D%3D&amp;btag=e00090000&amp;expire=1763173486&amp;l=20251113102343D1A0044B947998B9C2A2&amp;ply_type=2&amp;policy=2&amp;signature=7fa7751f43f121d93975df513028ee24&amp;tk=tt_chain_token</t>
  </si>
  <si>
    <t>https://p16-sign-va.tiktokcdn.com/tos-maliva-avt-0068/9990f37f58e531c49fc9931b44c233e0~tplv-tiktokx-cropcenter:100:100.jpeg?dr=14579&amp;refresh_token=3348ba58&amp;x-expires=1764727200&amp;x-signature=EIhcJtIvFB3M%2B0S54ulQIXo9aX4%3D&amp;t=4d5b0474&amp;ps=13740610&amp;shp=a5d48078&amp;shcp=81f88b70&amp;idc=my</t>
  </si>
  <si>
    <t>https://www.tiktok.com/@brunolnunes/video/7259462091919183109</t>
  </si>
  <si>
    <t>https://p77-sg.tiktokcdn.com/aweme/720x720/tos-alisg-v-2774/oAqAEjVDgb9ZCEfunAEAqpFPtqBOQifJBrAPDA.jpeg</t>
  </si>
  <si>
    <t>https://v16-webapp-prime.tiktok.com/video/tos/useast2a/tos-useast2a-v-27dcd7/osAMA1feTPIuDSCRCeGsRSLOAlc2gEbEcpcAEo/?a=1988&amp;bti=ODszNWYuMDE6&amp;ch=0&amp;cr=0&amp;dr=0&amp;er=0&amp;lr=default&amp;cd=0%7C0%7C0%7C0&amp;br=250&amp;bt=125&amp;ds=5&amp;ft=GNDpcInz7ThVY-UPXq8Zmo&amp;mime_type=audio_mpeg&amp;qs=13&amp;rc=ajl2anA5cnA6eTMzNzU8M0Bpajl2anA5cnA6eTMzNzU8M0BjZS5vMmRrMWpgLS1kMTZzYSNjZS5vMmRrMWpgLS1kMTZzcw%3D%3D&amp;btag=e00050000&amp;expire=1763004490&amp;l=202511131026378F10DAFBB0AF239B249B&amp;ply_type=3&amp;policy=3&amp;signature=8151ea3900a5513d2065ffe22d0a5f50&amp;tk=7571587458748974088</t>
  </si>
  <si>
    <t>https://v16-webapp-prime.tiktok.com/video/tos/useast2a/tos-useast2a-ve-0068c004/ocGCBf1JCikkEzQd6QzoiA8XIBI6A1cN8gjEjh/?a=1988&amp;bti=ODszNWYuMDE6&amp;ch=0&amp;cr=3&amp;dr=0&amp;lr=all&amp;cd=0%7C0%7C0%7C&amp;cv=1&amp;br=1848&amp;bt=924&amp;cs=0&amp;ds=3&amp;ft=I~da4oKyD12Nvl.WS.IxR51NWlBF-UjNSMopiX&amp;mime_type=video_mp4&amp;qs=0&amp;rc=MzU1Njc0ZWc7N2hmPGhkPEBpandnaW85cjducjMzNzczM0BhYGMxYTAzNS8xLTZjMDYtYSMzbDFxMmRzM19gLS1kMTZzcw%3D%3D&amp;btag=e00088000&amp;expire=1764728456&amp;l=2025120110201396469B6E0854EC6377C0&amp;ply_type=2&amp;policy=2&amp;signature=5d837614b682883e43e87045d940a1a8&amp;tk=tt_chain_token</t>
  </si>
  <si>
    <t>https://v16-webapp-prime.tiktok.com/video/tos/useast2a/tos-useast2a-pve-0068/oQweCOeGSIuRjrPIVcJaz2eOsCoAxIQBLQHdEg/?a=1988&amp;bti=ODszNWYuMDE6&amp;ch=0&amp;cr=3&amp;dr=0&amp;lr=all&amp;cd=0%7C0%7C0%7C&amp;cv=1&amp;br=1246&amp;bt=623&amp;cs=0&amp;ds=3&amp;ft=-Csk_mrMPD12NY_opd-Uxz42hY6e3wv25ycAp&amp;mime_type=video_mp4&amp;qs=0&amp;rc=NGQ4ZWUzZWRlaWc2Mzw4NEBpM3h3cXU5cjY6eTMzNzczM0AvLjIzXmAvNTExLmBfMTYwYSNhX2xmMmRrMWpgLS1kMTZzcw%3D%3D&amp;btag=e00090000&amp;expire=1763173690&amp;l=202511131026378F10DAFBB0AF239B249B&amp;ply_type=2&amp;policy=2&amp;signature=be938821218283cd2648433ff33f7e30&amp;tk=tt_chain_token</t>
  </si>
  <si>
    <t>https://p77-sign-va.tiktokcdn.com/tos-maliva-avt-0068/9b657748b0b2620f98810c4ee65b50e4~tplv-tiktokx-cropcenter:100:100.jpeg?dr=14579&amp;refresh_token=fed1e43b&amp;x-expires=1764727200&amp;x-signature=WZulY1XqMxZSzv7qh3X4oyw59RY%3D&amp;t=4d5b0474&amp;ps=13740610&amp;shp=a5d48078&amp;shcp=81f88b70&amp;idc=my</t>
  </si>
  <si>
    <t>https://v16-webapp-prime.tiktok.com/video/tos/useast2a/tos-useast2a-v-27dcd7/okfcKM5EAzJwAEqEsBFlC3DDQ5JRABwkfN3Usl/?a=1988&amp;bti=ODszNWYuMDE6&amp;ch=0&amp;cr=0&amp;dr=0&amp;er=0&amp;lr=default&amp;cd=0%7C0%7C0%7C0&amp;br=250&amp;bt=125&amp;ds=5&amp;ft=GNDpcInz7ThuPKvPXq8Zmo&amp;mime_type=audio_mpeg&amp;qs=13&amp;rc=ank0OWw5cmxncTMzNzU8M0Bpank0OWw5cmxncTMzNzU8M0BwYGNnMmRrcGJgLS1kMTZzYSNwYGNnMmRrcGJgLS1kMTZzcw%3D%3D&amp;btag=e00048000&amp;expire=1764559280&amp;l=20251201102046E8B89E886773854715A1&amp;ply_type=3&amp;policy=3&amp;signature=621b201cb279901354c887d10e66feb0&amp;tk=7571587458748974088</t>
  </si>
  <si>
    <t>7237922527778000134</t>
  </si>
  <si>
    <t>natgarcianeuro</t>
  </si>
  <si>
    <t>Natalia Garcia</t>
  </si>
  <si>
    <t>https://p16-sign-va.tiktokcdn.com/tos-maliva-avt-0068/b5b8616e7ad0f537b77f3f29a3b4aad1~tplv-tiktokx-cropcenter:100:100.jpeg?dr=14579&amp;refresh_token=95481c76&amp;x-expires=1763172000&amp;x-signature=uOqgGtqqZnmNWA4Y6cPz1mIiH0g%3D&amp;t=4d5b0474&amp;ps=13740610&amp;shp=a5d48078&amp;shcp=81f88b70&amp;idc=my</t>
  </si>
  <si>
    <t>Siga: @neuropsicopedagogiaaa  #tdah #adhd #neuroscience #neurodivergent #tdahadulto #neuropsicopedagogia</t>
  </si>
  <si>
    <t>Coisas que só quem é TDAH vai entender @neuropsicopedagogiaaa
Só quem é tdah vai entender</t>
  </si>
  <si>
    <t>Fern</t>
  </si>
  <si>
    <t>7161466944980256769</t>
  </si>
  <si>
    <t>https://sf16-ies-music-sg.tiktokcdn.com/obj/tos-alisg-ve-2774/owydIViGoyoP6udKAMBBMGBysxzwoAsWaVi0fR</t>
  </si>
  <si>
    <t>https://p16-sign-va.tiktokcdn.com/tos-maliva-avt-0068/9b657748b0b2620f98810c4ee65b50e4~tplv-tiktokx-cropcenter:1080:1080.jpeg?dr=14579&amp;refresh_token=398b220a&amp;x-expires=1764727200&amp;x-signature=cRMdX8muJmRWC7Rr9aCzF1s2YJQ%3D&amp;t=4d5b0474&amp;ps=13740610&amp;shp=a5d48078&amp;shcp=81f88b70&amp;idc=my</t>
  </si>
  <si>
    <t>https://p77-sg.tiktokcdn.com/aweme/720x720/tos-alisg-v-2774/oUA7EiLHwAYxr9BA3U7aJhWAA1lnAPdQAEivz.jpeg</t>
  </si>
  <si>
    <t>aleksiah</t>
  </si>
  <si>
    <t>https://v16-webapp-prime.tiktok.com/video/tos/alisg/tos-alisg-pve-0037c001/oAHcJQhInxkQkBHzQDbQA5gWWe7uRkBEeTSRDW/?a=1988&amp;bti=ODszNWYuMDE6&amp;ch=0&amp;cr=3&amp;dr=0&amp;lr=all&amp;cd=0%7C0%7C0%7C&amp;cv=1&amp;br=2270&amp;bt=1135&amp;cs=0&amp;ds=3&amp;ft=-Csk_mrMPD12N8Yopd-UxfeFaY6e3wv25HcAp&amp;mime_type=video_mp4&amp;qs=0&amp;rc=aDg5OTdmNTc0M2k4ZDhkZ0BpanM1dzw6Zjs3azMzNzczM0AyYzI1MDNiX2IxYS8vXl5gYSNoam9ycjRfNW1gLS1kMTZzcw%3D%3D&amp;btag=e00088000&amp;expire=1763173482&amp;l=20251113102343D1A0044B947998B9C2A2&amp;ply_type=2&amp;policy=2&amp;signature=d3fafc2dc568474fdd644605d60eba04&amp;tk=tt_chain_token</t>
  </si>
  <si>
    <t>https://v16-webapp-prime.tiktok.com/video/tos/useast2a/tos-useast2a-pve-0068/ogAB433DQiEljiscoZBsUSPdUE7dQzhKBiQIR/?a=1988&amp;bti=ODszNWYuMDE6&amp;ch=0&amp;cr=3&amp;dr=0&amp;lr=all&amp;cd=0%7C0%7C0%7C&amp;cv=1&amp;br=1444&amp;bt=722&amp;cs=0&amp;ds=6&amp;ft=I~da4oKyD12Nvb.WS.IxRnTNWlBF-UjNS3opiX&amp;mime_type=video_mp4&amp;qs=5&amp;rc=OjVpaTc5ZTZlZDU8M2U0aEBpamo5ZXU5cjtncTMzNzczM0BfYGI1Li5hXjIxMC0yMmFeYSNvLy9qMmQ0b2JgLS1kMTZzcw%3D%3D&amp;btag=e00088000&amp;expire=1764728480&amp;l=20251201102046E8B89E886773854715A1&amp;ply_type=2&amp;policy=2&amp;signature=aa6c58fe205906ac6c559a5593488dbf&amp;tk=tt_chain_token</t>
  </si>
  <si>
    <t>https://www.tiktok.com/@natgarcianeuro/video/7237922527778000134</t>
  </si>
  <si>
    <t>tdah,adhd,neuroscience,neurodivergent,tdahadulto,neuropsicopedagogia</t>
  </si>
  <si>
    <t>7506905886867115269</t>
  </si>
  <si>
    <t>eu_lidando_com_td</t>
  </si>
  <si>
    <t>Eu_lidando_com_tdah</t>
  </si>
  <si>
    <t>https://p77-sign-va.tiktokcdn.com/tos-maliva-avt-0068/a4192a1c951aa0f10f1994fa288f119b~tplv-tiktokx-cropcenter:100:100.jpeg?dr=14579&amp;refresh_token=882e0d6e&amp;x-expires=1763172000&amp;x-signature=nsM9CX9prHdUdf5ZnXDLbRdvD3I%3D&amp;t=4d5b0474&amp;ps=13740610&amp;shp=a5d48078&amp;shcp=81f88b70&amp;idc=my</t>
  </si>
  <si>
    <t>https://p77-sign-sg.tiktokcdn.com/tos-alisg-avt-0068/9832aa685b2cfe94db09e06f702f0a77~tplv-tiktokx-cropcenter:100:100.jpeg?dr=14579&amp;refresh_token=116394dd&amp;x-expires=1764727200&amp;x-signature=DzuYo5SgEqSX3O7NQ22TILsaPZ4%3D&amp;t=4d5b0474&amp;ps=13740610&amp;shp=a5d48078&amp;shcp=81f88b70&amp;idc=my</t>
  </si>
  <si>
    <t>Como é sofrer com TDHA! #tdah #empatia #tdahadulto #tik_tok #comoacabarcomotdah #tda #autoestima #sintomas #tdahtiktok #sintomasdeansiedad</t>
  </si>
  <si>
    <t>7506905885383314182</t>
  </si>
  <si>
    <t>https://v16-webapp-prime.tiktok.com/video/tos/useast2a/tos-useast2a-v-27dcd7/o4iElAEtwApFAvBkAofgigBkAGEtyAnUgvF04K/?a=1988&amp;bti=ODszNWYuMDE6&amp;ch=0&amp;cr=0&amp;dr=0&amp;er=0&amp;lr=default&amp;cd=0%7C0%7C0%7C0&amp;br=250&amp;bt=125&amp;ds=5&amp;ft=GNDpcInz7Tht9-UPXq8Zmo&amp;mime_type=audio_mpeg&amp;qs=13&amp;rc=M2dwNGo5cmR4MzMzNzU8M0BpM2dwNGo5cmR4MzMzNzU8M0BkNmBkMmRjM2phLS1kMTZzYSNkNmBkMmRjM2phLS1kMTZzcw%3D%3D&amp;btag=e00050000&amp;expire=1763004370&amp;l=20251113102438711CFC3830D7669110B2&amp;ply_type=3&amp;policy=3&amp;signature=ab05dbd841a7cdf29d4d8078daa1fd40&amp;tk=7571587458748974088</t>
  </si>
  <si>
    <t>https://v16-webapp-prime.tiktok.com/video/tos/useast2a/tos-useast2a-v-27dcd7/ooMAS8s5FCyQnELTyCwQIwSAA9oHgfeHq8fGIM/?a=1988&amp;bti=ODszNWYuMDE6&amp;ch=0&amp;cr=0&amp;dr=0&amp;er=0&amp;lr=default&amp;cd=0%7C0%7C0%7C0&amp;br=250&amp;bt=125&amp;ds=5&amp;ft=GNDpcInz7ThoPKvPXq8Zmo&amp;mime_type=audio_mpeg&amp;qs=13&amp;rc=amY6N3Y5cjNtczMzNzU8M0BpamY6N3Y5cjNtczMzNzU8M0BlbGRrMmRrc3FgLS1kMTZzYSNlbGRrMmRrc3FgLS1kMTZzcw%3D%3D&amp;btag=e00048000&amp;expire=1764559241&amp;l=202512011020068133AB7BCB086C5F4CDC&amp;ply_type=3&amp;policy=3&amp;signature=aa24d384ba57fab66b3fc8a57d797522&amp;tk=7571587458748974088</t>
  </si>
  <si>
    <t>https://p16-sign-va.tiktokcdn.com/tos-maliva-avt-0068/a4192a1c951aa0f10f1994fa288f119b~tplv-tiktokx-cropcenter:1080:1080.jpeg?dr=14579&amp;refresh_token=c21d5cf4&amp;x-expires=1763172000&amp;x-signature=03NIXqJvVJ8eB2XkYBDc4kJRfhI%3D&amp;t=4d5b0474&amp;ps=13740610&amp;shp=a5d48078&amp;shcp=81f88b70&amp;idc=my</t>
  </si>
  <si>
    <t>https://v16-webapp-prime.tiktok.com/video/tos/alisg/tos-alisg-ve-37c813-sg/oUyFIkRnsBAEElJ8uvi6gI0Q4CVoFASFEYfEui/?a=1988&amp;bti=ODszNWYuMDE6&amp;ch=0&amp;cr=3&amp;dr=0&amp;lr=all&amp;cd=0%7C0%7C0%7C&amp;cv=1&amp;br=1696&amp;bt=848&amp;cs=0&amp;ds=3&amp;ft=I~da4oKyD12NvnA0i.IxRTF_blBF-UjNSaopiX&amp;mime_type=video_mp4&amp;qs=0&amp;rc=OzM1ZWVmaWkzNThnaWY3PEBpajg0c3Q5cnB4MzMzNzczM0AzNDZgNS1hXmAxLzZfNmFeYSM1Xl9nMmRjMmphLS1kMTZzcw%3D%3D&amp;btag=e00090000&amp;expire=1763173572&amp;l=20251113102438711CFC3830D7669110B2&amp;ply_type=2&amp;policy=2&amp;signature=948948aeafed5f819057264a743c62d3&amp;tk=tt_chain_token</t>
  </si>
  <si>
    <t>https://v16-webapp-prime.tiktok.com/video/tos/alisg/tos-alisg-pve-0037c001/oQ2DigAimIcxjIQop8CPu9EZImhhBfdAk7wzwo/?a=1988&amp;bti=ODszNWYuMDE6&amp;ch=0&amp;cr=3&amp;dr=0&amp;lr=all&amp;cd=0%7C0%7C0%7C&amp;cv=1&amp;br=1468&amp;bt=734&amp;cs=0&amp;ds=3&amp;ft=-Csk_mrMPD12Nudh5d-Uxs12aY6e3wv252cAp&amp;mime_type=video_mp4&amp;qs=0&amp;rc=N2Q7NWk4Z2RlOGY5OTw6NkBpM2h0dms5cmptczMzNzczM0AwXl80Mi9gNjIxNDI0Ly01YSNnYTNoMmRzcXFgLS1kMTZzcw%3D%3D&amp;btag=e00088000&amp;expire=1764728441&amp;l=202512011020068133AB7BCB086C5F4CDC&amp;ply_type=2&amp;policy=2&amp;signature=12b040221cea617e821c9fd739148d1e&amp;tk=tt_chain_token</t>
  </si>
  <si>
    <t>https://www.tiktok.com/@eu_lidando_com_td/video/7506905886867115269</t>
  </si>
  <si>
    <t>tdah,empatia,tdahadulto,tik_tok,comoacabarcomotdah,tda,autoestima,sintomas,tdahtiktok,sintomasdeansiedad</t>
  </si>
  <si>
    <t>7515186422962261254</t>
  </si>
  <si>
    <t xml:space="preserve">Se você tem pelo menos 3 desses 4 sinais, já é uma boa ideia ficar de olho nisso! Inclusive eu sou psicólogo e posso te ajudar com isso, é só acessar o link na bio e agendar uma sessão. #psicologia #tdah #tdahadulto </t>
  </si>
  <si>
    <t>https://v16-webapp-prime.tiktok.com/video/tos/useast2a/tos-useast2a-ve-0068c001/ogXgQuBoBQQIXyR4MEfMfgGAWYZDSF240JpnVE/?a=1988&amp;bti=ODszNWYuMDE6&amp;ch=0&amp;cr=3&amp;dr=0&amp;lr=all&amp;cd=0%7C0%7C0%7C&amp;cv=1&amp;br=1380&amp;bt=690&amp;cs=0&amp;ds=3&amp;ft=I~da4oKyD12NvuA0i.IxREJNglBF-UjNSmopiX&amp;mime_type=video_mp4&amp;qs=0&amp;rc=aTRkaDplOTo6Omk8ZGRoN0BpMzZldnU5cjluNDMzNzczM0AuLTYzNGE0Xy4xNGFhNDE2YSNiNi4yMmQ0cDJhLS1kMTZzcw%3D%3D&amp;btag=e00090000&amp;expire=1763173546&amp;l=202511131024337F554789EF0D09A1F8EB&amp;ply_type=2&amp;policy=2&amp;signature=d978861f7c3192f26806a64b962359d3&amp;tk=tt_chain_token</t>
  </si>
  <si>
    <t>https://v16-webapp-prime.tiktok.com/video/tos/useast2a/tos-useast2a-v-27dcd7/ooAUAe4eGCDMLAjo7xIWVKIf8CSIs2xg50TAvE/?a=1988&amp;bti=ODszNWYuMDE6&amp;ch=0&amp;cr=0&amp;dr=0&amp;er=0&amp;lr=default&amp;cd=0%7C0%7C0%7C0&amp;br=250&amp;bt=125&amp;ds=5&amp;ft=GNDpcInz7ThVPKvPXq8Zmo&amp;mime_type=audio_mpeg&amp;qs=13&amp;rc=anY6bXg5cnlkczMzNzU8M0BpanY6bXg5cnlkczMzNzU8M0BhZW5hMmRjb3BgLS1kMTZzYSNhZW5hMmRjb3BgLS1kMTZzcw%3D%3D&amp;btag=e00048000&amp;expire=1764559255&amp;l=2025120110201396469B6E0854EC6377C0&amp;ply_type=3&amp;policy=3&amp;signature=b2220468fc4449680de6f65814bf93c5&amp;tk=7571587458748974088</t>
  </si>
  <si>
    <t>https://www.tiktok.com/@psi.walace/video/7515186422962261254</t>
  </si>
  <si>
    <t>https://v16-webapp-prime.tiktok.com/video/tos/useast2a/tos-useast2a-ve-0068c002/ooEBMeQ6qseKICIRTdzCCqKAilSg4vCIigfijr/?a=1988&amp;bti=ODszNWYuMDE6&amp;ch=0&amp;cr=3&amp;dr=0&amp;lr=all&amp;cd=0%7C0%7C0%7C&amp;br=848&amp;bt=424&amp;cs=0&amp;ds=3&amp;ft=I~da4oKyD12Nvl.WS.IxR51NWlBF-UjNSMopiX&amp;mime_type=video_mp4&amp;qs=0&amp;rc=N2RpOjY1NzM4ZTZkM2U4OUBpM2lscnQ5cnlkczMzNzczM0AzXy5iMi4yX2ExXl5hMl8zYSMxaWk1MmRjbXBgLS1kMTZzcw%3D%3D&amp;btag=e00088000&amp;expire=1764728455&amp;l=2025120110201396469B6E0854EC6377C0&amp;ply_type=2&amp;policy=2&amp;signature=fcc391121ed763341c24b142b9407b48&amp;tk=tt_chain_token</t>
  </si>
  <si>
    <t>https://v16-webapp-prime.tiktok.com/video/tos/useast2a/tos-useast2a-pve-0068/oQaUHUiD7Qtr9NBAiSnFX4aB3BBQSExvwIEW9/?a=1988&amp;bti=ODszNWYuMDE6&amp;ch=0&amp;cr=3&amp;dr=0&amp;lr=all&amp;cd=0%7C0%7C0%7C&amp;cv=1&amp;br=1092&amp;bt=546&amp;cs=0&amp;ds=3&amp;ft=-Csk_mrMPD12N9Yopd-Ux315hY6e3wv25dcAp&amp;mime_type=video_mp4&amp;qs=0&amp;rc=O2loaTVpNTZnaTo1aDk1ZkBpM2w4d3c5cjRmNDMzNzczM0AwNTFeYDYxX2MxNmM2Ll4tYSNeYHJyMmRrbmFhLS1kMTZzcw%3D%3D&amp;btag=e00090000&amp;expire=1763173514&amp;l=2025111310232002E5437D242CEA8409F2&amp;ply_type=2&amp;policy=2&amp;signature=2f30d581c0feb7a096b48d8c220bca0b&amp;tk=tt_chain_token</t>
  </si>
  <si>
    <t>7340441057693486342</t>
  </si>
  <si>
    <t>7547121453150276870</t>
  </si>
  <si>
    <t>psicocortes.oficial</t>
  </si>
  <si>
    <t>Psico Cortes</t>
  </si>
  <si>
    <t>https://p16-sign-va.tiktokcdn.com/tos-maliva-avt-0068/7e51024795cd2e5d9b52a9c5adf0f343~tplv-tiktokx-cropcenter:100:100.jpeg?dr=14579&amp;refresh_token=87dfdba0&amp;x-expires=1764727200&amp;x-signature=%2Fq5h%2FG3wLYJXwXdwgb5%2BubbYruA%3D&amp;t=4d5b0474&amp;ps=13740610&amp;shp=a5d48078&amp;shcp=81f88b70&amp;idc=my</t>
  </si>
  <si>
    <t xml:space="preserve">Meu maior "traço tóxico" sendo TDAH... 🧐 . . . Faz sentido pra você também, TDAH? 💬 . . . ⚠️ Esse vídeo retrata uma experiência pessoal minha, como pessoa neurodivergente, e não deve ser entendido como regra ou sintoma universal do TDAH. Cada vivência é única, e essa é a minha forma de compartilhar a realidade que vivo! #tdahta #tdahadulto #tdahrelatos #compartilhandoexperiencia #tdah  </t>
  </si>
  <si>
    <t>7547121691734903557</t>
  </si>
  <si>
    <t>https://v16-webapp-prime.tiktok.com/video/tos/useast2a/tos-useast2a-v-27dcd7/oQeiM9YwAJAmAmviAELBewkGnele9xYIFQEC8E/?a=1988&amp;bti=ODszNWYuMDE6&amp;ch=0&amp;cr=0&amp;dr=0&amp;er=0&amp;lr=default&amp;cd=0%7C0%7C0%7C0&amp;br=250&amp;bt=125&amp;ds=5&amp;ft=GNDpcInz7ThA9-UPXq8Zmo&amp;mime_type=audio_mpeg&amp;qs=13&amp;rc=ang0bnM5cjdmNTMzNzU8M0Bpang0bnM5cjdmNTMzNzU8M0AtcWtrMmRzM3JhLS1kMTZzYSMtcWtrMmRzM3JhLS1kMTZzcw%3D%3D&amp;btag=e00050000&amp;expire=1763004366&amp;l=20251113102449DDADD1FB7AF14A841409&amp;ply_type=3&amp;policy=3&amp;signature=ef362519f34d45d432075702b25951f9&amp;tk=7571587458748974088</t>
  </si>
  <si>
    <t>Todo Tdah tem uma inquietude dentro dele.. 🧠🤯 #cerebro #psicologia #fyp #viral #evolução</t>
  </si>
  <si>
    <t xml:space="preserve">
       TDAH       
</t>
  </si>
  <si>
    <t>https://v16-webapp-prime.tiktok.com/video/tos/maliva/tos-maliva-ve-0068c801-us/okS5hvA8eAgAeetuAGMuRMJMeIKILijZMesRky/?a=1988&amp;bti=ODszNWYuMDE6&amp;ch=0&amp;cr=3&amp;dr=0&amp;lr=all&amp;cd=0%7C0%7C0%7C&amp;cv=1&amp;br=2534&amp;bt=1267&amp;cs=0&amp;ds=3&amp;ft=-Csk_mrMPD12N7Dh5d-UxII2hY6e3wv252cAp&amp;mime_type=video_mp4&amp;qs=0&amp;rc=ZzlnN2g5aDRlPDRkMzs2M0BpanVsa3Y5cm46cTMzNzczM0A1YS5jMjIyNjAxNWMxMDBgYSNtYC9lMmQ0a2NgLS1kMTZzcw%3D%3D&amp;btag=e00090000&amp;expire=1764728534&amp;l=2025120110210247DE29902DF1415935A0&amp;ply_type=2&amp;policy=2&amp;signature=2d3335cd8821efa0776da16b602581fa&amp;tk=tt_chain_token</t>
  </si>
  <si>
    <t>https://v16-webapp-prime.tiktok.com/video/tos/useast2a/tos-useast2a-ve-0068c002/ocChvgagi1FeJB05EeLIAVGtReAGBiuIQXeJkY/?a=1988&amp;bti=ODszNWYuMDE6&amp;ch=0&amp;cr=3&amp;dr=0&amp;lr=all&amp;cd=0%7C0%7C0%7C&amp;cv=1&amp;br=2852&amp;bt=1426&amp;cs=0&amp;ds=3&amp;ft=I~da4oKyD12NvgA0i.IxRMb_glBF-UjNSaopiX&amp;mime_type=video_mp4&amp;qs=0&amp;rc=OGk1aDtpO2Q3OjQ1OWk6OkBpMzM7cnk5cmdmNTMzNzczM0AyLS4vNmJfNTQxXl40Xy1hYSNsNl8yMmRrMnJhLS1kMTZzcw%3D%3D&amp;btag=e00090000&amp;expire=1763173566&amp;l=20251113102449DDADD1FB7AF14A841409&amp;ply_type=2&amp;policy=2&amp;signature=010f1dbd8691c80979fbcd9572cd5a03&amp;tk=tt_chain_token</t>
  </si>
  <si>
    <t>https://www.tiktok.com/@psicocortes.oficial/video/7340441057693486342</t>
  </si>
  <si>
    <t>https://www.tiktok.com/@lorenatdahta/video/7547121453150276870</t>
  </si>
  <si>
    <t>cerebro,psicologia,fyp,viral,evolução</t>
  </si>
  <si>
    <t>tdahta,tdahadulto,tdahrelatos,compartilhandoexperiencia,tdah</t>
  </si>
  <si>
    <t>https://p77-sign-va.tiktokcdn.com/tos-maliva-avt-0068/0c857903b1d71ebd63a58d7ad9b30044~tplv-tiktokx-cropcenter:100:100.jpeg?dr=14579&amp;refresh_token=f2ca17db&amp;x-expires=1764727200&amp;x-signature=jMPE8zks6Apag7zG6sgBp4rRnpU%3D&amp;t=4d5b0474&amp;ps=13740610&amp;shp=a5d48078&amp;shcp=81f88b70&amp;idc=my</t>
  </si>
  <si>
    <t>https://v16-webapp-prime.tiktok.com/video/tos/alisg/tos-alisg-v-27dcd7/ooErdAToIDEfeIAUASAAbuxbgCFfq7FDOcOq0t/?a=1988&amp;bti=ODszNWYuMDE6&amp;ch=0&amp;cr=0&amp;dr=0&amp;er=0&amp;lr=default&amp;cd=0%7C0%7C0%7C0&amp;br=250&amp;bt=125&amp;ds=5&amp;ft=GNDpcInz7ThX9-UPXq8Zmo&amp;mime_type=audio_mpeg&amp;qs=13&amp;rc=am90ZXA5cnQ6NzMzODU8NEBpam90ZXA5cnQ6NzMzODU8NEBfb2FwMmRrYzJhLS1kMS1zYSNfb2FwMmRrYzJhLS1kMS1zcw%3D%3D&amp;btag=e00050000&amp;expire=1763004349&amp;l=20251113102424EE0F9FCD2CC2B68BE0E2&amp;ply_type=3&amp;policy=3&amp;signature=906df53c596aeeef39d55cb5ca63cd9c&amp;tk=7571587458748974088</t>
  </si>
  <si>
    <t>https://v16-webapp-prime.tiktok.com/video/tos/useast2a/tos-useast2a-v-27dcd7/ooXyyUidMQSd9FBAiSKlJRZxqlpOaM9vSIC2F/?a=1988&amp;bti=ODszNWYuMDE6&amp;ch=0&amp;cr=0&amp;dr=0&amp;er=0&amp;lr=default&amp;cd=0%7C0%7C0%7C0&amp;br=250&amp;bt=125&amp;ft=GNDpcInz7Th8zKvPXq8Zmo&amp;mime_type=audio_mpeg&amp;qs=6&amp;rc=N2lkZzg2OTc5ZztoZmdnNUBpM3RxdHc5cmtuczMzNzU8M0BfMWBhLjU1NWAxLS8uMi9iYSNtYGsvMmRrX19gLS1kMTZzcw%3D%3D&amp;btag=e00090000&amp;expire=1764559308&amp;l=202512011020485614ECD0EEDB8C5FDDDB&amp;ply_type=3&amp;policy=3&amp;signature=5e9851f3c4410c273975dda6a39cee80&amp;tk=7571587458748974088</t>
  </si>
  <si>
    <t>https://v16-webapp-prime.tiktok.com/video/tos/alisg/tos-alisg-pve-0037c001/ogYSe4M3gWA9RwCFwAQ4N3IhDtOl8jepSufgA4/?a=1988&amp;bti=ODszNWYuMDE6&amp;ch=0&amp;cr=3&amp;dr=0&amp;lr=all&amp;cd=0%7C0%7C0%7C&amp;cv=1&amp;br=1606&amp;bt=803&amp;cs=0&amp;ds=3&amp;ft=-Csk_mrMPD12N-copd-Ux7~2bY6e3wv25bcAp&amp;mime_type=video_mp4&amp;qs=0&amp;rc=Ozo2Zzs4OTQ0ZGg3Z2g2NEBpM2h4a285cmg6NzMzODczNEBfMzUvM2NfNTExLmAyYjZfYSMzNmJpMmRzYzJhLS1kMWBzcw%3D%3D&amp;btag=e00090000&amp;expire=1763173549&amp;l=20251113102424EE0F9FCD2CC2B68BE0E2&amp;ply_type=2&amp;policy=2&amp;signature=4ce103e1c70e60299dff808a1be62f49&amp;tk=tt_chain_token</t>
  </si>
  <si>
    <t>7544146048311168312</t>
  </si>
  <si>
    <t>aprendendocomotdah</t>
  </si>
  <si>
    <t>Desvendando o TDAH</t>
  </si>
  <si>
    <t>7384983966324903173</t>
  </si>
  <si>
    <t>https://p77-sign-va.tiktokcdn.com/tos-maliva-avt-0068/2b7e609cb0681a46ab556279eb956133~tplv-tiktokx-cropcenter:100:100.jpeg?dr=14579&amp;refresh_token=ff302aa4&amp;x-expires=1763172000&amp;x-signature=zcU3AIvIB9u20DU5x6221%2FCaCuc%3D&amp;t=4d5b0474&amp;ps=13740610&amp;shp=a5d48078&amp;shcp=81f88b70&amp;idc=my</t>
  </si>
  <si>
    <t>Para de lidar com isso sozinho e ja pega seu presente na bio🤣🤣🤣 #tdah #tdahadulto #tdahtiktok #tdahmemes #terapeuta</t>
  </si>
  <si>
    <t>7384983993362434822</t>
  </si>
  <si>
    <t>https://v16-webapp-prime.tiktok.com/video/tos/useast2a/tos-useast2a-v-27dcd7/ogMAS285TCpELEFTeC8EE9PAAfoFgSfBgvuDEh/?a=1988&amp;bti=ODszNWYuMDE6&amp;ch=0&amp;cr=0&amp;dr=0&amp;er=0&amp;lr=default&amp;cd=0%7C0%7C0%7C0&amp;br=250&amp;bt=125&amp;ds=5&amp;ft=GNDpcInz7ThUPKvPXq8Zmo&amp;mime_type=audio_mpeg&amp;qs=13&amp;rc=ajxxa3g5cm5lczMzNzU8M0Bpajxxa3g5cm5lczMzNzU8M0BkbS1wMmRza3JgLS1kMTZzYSNkbS1wMmRza3JgLS1kMTZzcw%3D%3D&amp;btag=e00048000&amp;expire=1764559249&amp;l=202512011020200FFD70C70F6D756DA043&amp;ply_type=3&amp;policy=3&amp;signature=9e81de7cbdabd6bd870cd2e29ea6c517&amp;tk=7571587458748974088</t>
  </si>
  <si>
    <t>O TDAH vai muito além de “esquecimento” ou “agitação”. É um jeito único de ver e viver o mundo. 🌍✨ 👉 Descubra mais no link da bio! #ConvivendoComTDAH #TDAHemAdultos #Psicologia #SaudeDaMente #Autoconhecimento</t>
  </si>
  <si>
    <t>7544146050794883846</t>
  </si>
  <si>
    <t>https://v16-webapp-prime.tiktok.com/video/tos/useast2a/tos-useast2a-v-27dcd7/oAEiwFE8CiO6QSSIAMAIoUjbCHBVxiAayLlPA/?a=1988&amp;bti=ODszNWYuMDE6&amp;ch=0&amp;cr=0&amp;dr=0&amp;er=0&amp;lr=default&amp;cd=0%7C0%7C0%7C0&amp;br=250&amp;bt=125&amp;ds=5&amp;ft=GNDpcInz7ThNV-UPXq8Zmo&amp;mime_type=audio_mpeg&amp;qs=13&amp;rc=MzU0dnY5cnQ2NTMzNzU8M0BpMzU0dnY5cnQ2NTMzNzU8M0A2a2EvMmQ0Lm1hLS1kMTZzYSM2a2EvMmQ0Lm1hLS1kMTZzcw%3D%3D&amp;btag=e00078000&amp;expire=1763004212&amp;l=20251113102306B19E1F5BC676BF8CC05E&amp;ply_type=3&amp;policy=3&amp;signature=5c8126f94d5e5b9bfb263f166692c62b&amp;tk=7571587458748974088</t>
  </si>
  <si>
    <t>https://v16-webapp-prime.tiktok.com/video/tos/useast2a/tos-useast2a-ve-0068c002/owFtfHZMfAPaCqqgE3wLbjdCSo5fITYiIc0gQD/?a=1988&amp;bti=ODszNWYuMDE6&amp;ch=0&amp;cr=3&amp;dr=0&amp;lr=all&amp;cd=0%7C0%7C0%7C&amp;cv=1&amp;br=2092&amp;bt=1046&amp;cs=0&amp;ds=3&amp;ft=I~da4oKyD12Nvi.WS.IxR51NWlBF-UjNSMopiX&amp;mime_type=video_mp4&amp;qs=0&amp;rc=Ojk7MzdoNTM6NTY6OWU0aEBpM29qOXU5cnRlczMzNzczM0BfNjM1NjZjX2MxXjQzMzBfYSNhbi5rMmRranJgLS1kMTZzcw%3D%3D&amp;btag=e000b8000&amp;expire=1764728449&amp;l=202512011020200FFD70C70F6D756DA043&amp;ply_type=2&amp;policy=2&amp;signature=fbfbf96a72edb680500b2bbd4596d396&amp;tk=tt_chain_token</t>
  </si>
  <si>
    <t>https://p16-sign-va.tiktokcdn.com/tos-maliva-avt-0068/2b7e609cb0681a46ab556279eb956133~tplv-tiktokx-cropcenter:1080:1080.jpeg?dr=14579&amp;refresh_token=6547c633&amp;x-expires=1763172000&amp;x-signature=cLvdWi4O6MVSqlw87QoCbX9Lfhs%3D&amp;t=4d5b0474&amp;ps=13740610&amp;shp=a5d48078&amp;shcp=81f88b70&amp;idc=my</t>
  </si>
  <si>
    <t>https://v16-webapp-prime.tiktok.com/video/tos/useast2a/tos-useast2a-pve-0068/oQiyRHhiD5IzQEDIVAi0APKBoDkECgWKfRWCj3/?a=1988&amp;bti=ODszNWYuMDE6&amp;ch=0&amp;cr=3&amp;dr=0&amp;lr=all&amp;cd=0%7C0%7C0%7C&amp;cv=1&amp;br=1268&amp;bt=634&amp;cs=0&amp;ds=3&amp;ft=-Csk_mrMPD12NOYopd-Uxtv5GY6e3wv252cAp&amp;mime_type=video_mp4&amp;qs=0&amp;rc=O2Y4ZDk6OTk0Njc8OmU5O0BpajVoeHE5cjs2NTMzNzczM0AvMzMxNV8uNS8xX2I1LTMuYSMuNGIwMmRzLm1hLS1kMTZzcw%3D%3D&amp;btag=e000b8000&amp;expire=1763173412&amp;l=20251113102306B19E1F5BC676BF8CC05E&amp;ply_type=2&amp;policy=2&amp;signature=ae0fe96c1c846d89655e1baf3aeee06b&amp;tk=tt_chain_token</t>
  </si>
  <si>
    <t>https://www.tiktok.com/@claralisle/video/7384983966324903173</t>
  </si>
  <si>
    <t>tdah,tdahadulto,tdahtiktok,tdahmemes,terapeuta</t>
  </si>
  <si>
    <t>https://p16-sign-va.tiktokcdn.com/tos-maliva-avt-0068/2812903061ac3d553750149b334f78a1~tplv-tiktokx-cropcenter:100:100.jpeg?dr=14579&amp;refresh_token=077fe051&amp;x-expires=1764727200&amp;x-signature=McZRpW9GUGYO%2F3HFl9fK2hOqguQ%3D&amp;t=4d5b0474&amp;ps=13740610&amp;shp=a5d48078&amp;shcp=81f88b70&amp;idc=my</t>
  </si>
  <si>
    <t>https://www.tiktok.com/@aprendendocomotdah/video/7544146048311168312</t>
  </si>
  <si>
    <t>convivendocomtdah,tdahemadultos,psicologia,saudedamente,autoconhecimento</t>
  </si>
  <si>
    <t>7364188586348088582</t>
  </si>
  <si>
    <t xml:space="preserve">O TDAH pode fazer você se sentir mais cansado? 🧐  . . . 🧠 Existe uma ligação comum entre Transtorno de Déficit de atenção e Hiperatividade (TDAH) e fadiga/cansaço.  🔎 Embora o motivo exato dessa conexão seja desconhecido, as pessoas com TDAH geralmente experenciam uma exaustão mental e até física, que quase sempre os leva ao esgotamento.  Você também pode ler mais sobre: https://www.verywellhealth.com/adhd-fatigue-8407263#:~:text=Can%20ADHD%20Make%20You%20Feel,tiredness%20and%20long%2Dterm%20fatigue. #tdahta #tdah #cansaço #tdahadulto  #adhdtiktok  #brunonunes </t>
  </si>
  <si>
    <t>https://v16-webapp-prime.tiktok.com/video/tos/alisg/tos-alisg-v-27dcd7/9daa3ecee66e471ab79c9529d474b7a5/?a=1988&amp;bti=ODszNWYuMDE6&amp;ch=0&amp;cr=0&amp;dr=0&amp;er=0&amp;lr=default&amp;cd=0%7C0%7C0%7C0&amp;br=252&amp;bt=126&amp;ds=5&amp;ft=GNDpcInz7ThVPKvPXq8Zmo&amp;mime_type=audio_mp4&amp;qs=13&amp;rc=anhuZ202ODY2NDMzODU8M0BpanhuZ202ODY2NDMzODU8M0BnMHJtMTRycHJgLS1kMTRzYSNnMHJtMTRycHJgLS1kMTRzcw%3D%3D&amp;btag=e00050000&amp;expire=1764559305&amp;l=2025120110201396469B6E0854EC6377C0&amp;ply_type=3&amp;policy=3&amp;signature=6f4db892c0e4a88693dd3ad4f55ece59&amp;tk=7571587458748974088</t>
  </si>
  <si>
    <t>7364188607339383557</t>
  </si>
  <si>
    <t>https://v16-webapp-prime.tiktok.com/video/tos/useast2a/tos-useast2a-v-27dcd7/o0EBzGA3OKEWKADwmm1g5TABiAkoyXAE6ofiE2/?a=1988&amp;bti=ODszNWYuMDE6&amp;ch=0&amp;cr=0&amp;dr=0&amp;er=0&amp;lr=default&amp;cd=0%7C0%7C0%7C0&amp;br=250&amp;bt=125&amp;ds=5&amp;ft=GNDpcInz7Tht9-UPXq8Zmo&amp;mime_type=audio_mpeg&amp;qs=13&amp;rc=anE8aHE5cjVncjMzNzU8M0BpanE8aHE5cjVncjMzNzU8M0AuM2VsMmRjaW1gLS1kMTZzYSMuM2VsMmRjaW1gLS1kMTZzcw%3D%3D&amp;btag=e00050000&amp;expire=1763004347&amp;l=20251113102438711CFC3830D7669110B2&amp;ply_type=3&amp;policy=3&amp;signature=cfcaa16e9c222f7d487a466065fc568a&amp;tk=7571587458748974088</t>
  </si>
  <si>
    <t>https://v16-webapp-prime.tiktok.com/video/tos/maliva/tos-maliva-ve-0068c801-us/oc2ETEsDQKIBmmKFfjmRBQA0IwyeqMEXt8EUEJ/?a=1988&amp;bti=ODszNWYuMDE6&amp;ch=0&amp;cr=3&amp;dr=0&amp;lr=all&amp;cd=0%7C0%7C0%7C&amp;cv=1&amp;br=2026&amp;bt=1013&amp;cs=0&amp;ds=3&amp;ft=I~da4oKyD12NvnA0i.IxRTF_blBF-UjNSaopiX&amp;mime_type=video_mp4&amp;qs=0&amp;rc=OzM1OzM3ZTRlOWc8M2Y0N0BpM2RyOnQ5cmlncjMzNzczM0BhNTMwLV8yXmAxMzZiNTIwYSNqaGhgMmQ0Z21gLS1kMTZzcw%3D%3D&amp;btag=e00090000&amp;expire=1763173547&amp;l=20251113102438711CFC3830D7669110B2&amp;ply_type=2&amp;policy=2&amp;signature=52704ff186333f8905a3d59b09c26d29&amp;tk=tt_chain_token</t>
  </si>
  <si>
    <t>https://p16-sign-sg.tiktokcdn.com/tos-alisg-avt-0068/d313dc76b863f4309ac7cf1c4c6c2d84~tplv-tiktokx-cropcenter:1080:1080.jpeg?dr=14579&amp;refresh_token=28df5814&amp;x-expires=1764727200&amp;x-signature=YtSEtwkouMI1dZ5ZSFrvqY1W71Y%3D&amp;t=4d5b0474&amp;ps=13740610&amp;shp=a5d48078&amp;shcp=81f88b70&amp;idc=my</t>
  </si>
  <si>
    <t>https://v16-webapp-prime.tiktok.com/video/tos/useast2a/tos-useast2a-pve-0068/ooAnws9gHAt1QREOQIFhzgJDEfD5fQXEBEBTNE/?a=1988&amp;bti=ODszNWYuMDE6&amp;ch=0&amp;cr=3&amp;dr=0&amp;lr=all&amp;cd=0%7C0%7C0%7C&amp;cv=1&amp;br=2030&amp;bt=1015&amp;cs=0&amp;ds=3&amp;ft=I~da4oKyD12Nvl.WS.IxR51NWlBF-UjNSMopiX&amp;mime_type=video_mp4&amp;qs=0&amp;rc=Zjw2M2k3OWlmOTZpOmdkOEBpanM0M3Q5cmtxeTMzNzczM0A0YmFeLS5jX14xLWAuNDE2YSNkc2JkMmQ0cjNgLS1kMTZzcw%3D%3D&amp;btag=e00090000&amp;expire=1764728476&amp;l=2025120110201396469B6E0854EC6377C0&amp;ply_type=2&amp;policy=2&amp;signature=d596796fe76ed6bccb7bea66dd037aae&amp;tk=tt_chain_token</t>
  </si>
  <si>
    <t>https://www.tiktok.com/@lorenatdahta/video/7364188586348088582</t>
  </si>
  <si>
    <t>tdahta,tdah,cansaço,tdahadulto,adhdtiktok,brunonunes</t>
  </si>
  <si>
    <t>https://v16-webapp-prime.tiktok.com/video/tos/alisg/tos-alisg-v-27dcd7/oo17IAAajHGWMMCfF5FEAyDJQfJmNnAIIrfKAe/?a=1988&amp;bti=ODszNWYuMDE6&amp;ch=0&amp;cr=0&amp;dr=0&amp;er=0&amp;lr=default&amp;cd=0%7C0%7C0%7C0&amp;br=250&amp;bt=125&amp;ds=5&amp;ft=GNDpcInz7Thm9-UPXq8Zmo&amp;mime_type=audio_mpeg&amp;qs=13&amp;rc=ajk3eHY5cjV4NjMzODU8NEBpajk3eHY5cjV4NjMzODU8NEAzXmhuMmRjbXNhLS1kMS1zYSMzXmhuMmRjbXNhLS1kMS1zcw%3D%3D&amp;btag=e00050000&amp;expire=1763004401&amp;l=202511131024337F554789EF0D09A1F8EB&amp;ply_type=3&amp;policy=3&amp;signature=991ae88c6f2dc25e60e68b44d4a32f0e&amp;tk=7571587458748974088</t>
  </si>
  <si>
    <t>https://v16-webapp-prime.tiktok.com/video/tos/alisg/tos-alisg-pve-0037c001/ooxddMfApZX6M0R8iApfxgHU2fNCfAHfQixLBl/?a=1988&amp;bti=ODszNWYuMDE6&amp;ch=0&amp;cr=3&amp;dr=0&amp;lr=all&amp;cd=0%7C0%7C0%7C&amp;cv=1&amp;br=1432&amp;bt=716&amp;cs=0&amp;ds=3&amp;ft=I~da4oKyD12NvuA0i.IxREJNglBF-UjNSmopiX&amp;mime_type=video_mp4&amp;qs=0&amp;rc=ZzY7aWhoaWQ0OWRpNDs1OEBpanBydXc5cnR4NjMzODczNEAxL2AyNC5eNWAxYTA1XjQwYSMzZGUyMmQ0a3NhLS1kMWBzcw%3D%3D&amp;btag=e00090000&amp;expire=1763173601&amp;l=202511131024337F554789EF0D09A1F8EB&amp;ply_type=2&amp;policy=2&amp;signature=63bd046722619f89670b72aed79ed17e&amp;tk=tt_chain_token</t>
  </si>
  <si>
    <t>https://p16-sign-va.tiktokcdn.com/tos-maliva-avt-0068/13a628e0ffd8c13e59721b894863e44e~tplv-tiktokx-cropcenter:100:100.jpeg?dr=14579&amp;refresh_token=9b946d69&amp;x-expires=1764727200&amp;x-signature=i8rn3BLE8WdMKQwsUv0v78zP6jY%3D&amp;t=4d5b0474&amp;ps=13740610&amp;shp=a5d48078&amp;shcp=81f88b70&amp;idc=my</t>
  </si>
  <si>
    <t>https://v16-webapp-prime.tiktok.com/video/tos/useast2a/tos-useast2a-v-27dcd7/owewJDOaoEJAUABnPB8F8D8EEiDAiECyhQfky0/?a=1988&amp;bti=ODszNWYuMDE6&amp;ch=0&amp;cr=0&amp;dr=0&amp;er=0&amp;lr=default&amp;cd=0%7C0%7C0%7C0&amp;br=250&amp;bt=125&amp;ds=5&amp;ft=GNDpcInz7ThjFKvPXq8Zmo&amp;mime_type=audio_mpeg&amp;qs=13&amp;rc=M3g4cG05cjs2NjMzNzU8M0BpM3g4cG05cjs2NjMzNzU8M0A0ZmZsMmRjcmxhLS1kMTZzYSM0ZmZsMmRjcmxhLS1kMTZzcw%3D%3D&amp;btag=e00050000&amp;expire=1764559390&amp;l=2025120110215532A809179141715F3748&amp;ply_type=3&amp;policy=3&amp;signature=caf597f74465e485f669d3e31a82a2b0&amp;tk=7571587458748974088</t>
  </si>
  <si>
    <t>7256404761765891334</t>
  </si>
  <si>
    <t>6 características do TDAH adulto! Agende a sua consulta no link da BIO. #psicotok #tiktokbrasil #psicologiacomhumor #psicologia #tdahtiktokt #tiktokpromote #relacionamento #curiosidades #humornotiktok #aprendernotiktok #saudemental #tdahadulto #fy #viral #tdah #tdahcheck #tdahmemes #viraltiktok #terapia</t>
  </si>
  <si>
    <t>6 caracteristicas do TDAH adulto</t>
  </si>
  <si>
    <t>7256404857264212741</t>
  </si>
  <si>
    <t>https://v16-webapp-prime.tiktok.com/video/tos/useast2a/tos-useast2a-v-27dcd7/oAFISI2HgEuZCteiT52f9JPCfAZJ0HoU4A3OAn/?a=1988&amp;bti=ODszNWYuMDE6&amp;ch=0&amp;cr=0&amp;dr=0&amp;er=0&amp;lr=default&amp;cd=0%7C0%7C0%7C0&amp;br=250&amp;bt=125&amp;ds=5&amp;ft=GNDpcInz7Th29-UPXq8Zmo&amp;mime_type=audio_mpeg&amp;qs=13&amp;rc=M2tocWk6Zmt4bDMzNzU8M0BpM2tocWk6Zmt4bDMzNzU8M0BhaHNpcjRvb21gLS1kMTZzYSNhaHNpcjRvb21gLS1kMTZzcw%3D%3D&amp;btag=e00050000&amp;expire=1763004384&amp;l=20251113102443BFAC5C39F8934C8F8E6A&amp;ply_type=3&amp;policy=3&amp;signature=25355594408c02b4655a3f416e34d4bb&amp;tk=7571587458748974088</t>
  </si>
  <si>
    <t>https://p16-sign-va.tiktokcdn.com/tos-maliva-avt-0068/13a628e0ffd8c13e59721b894863e44e~tplv-tiktokx-cropcenter:1080:1080.jpeg?dr=14579&amp;refresh_token=b115c4c5&amp;x-expires=1764727200&amp;x-signature=Qh7mfqvMKxnYDhCmglOAaVSqz10%3D&amp;t=4d5b0474&amp;ps=13740610&amp;shp=a5d48078&amp;shcp=81f88b70&amp;idc=my</t>
  </si>
  <si>
    <t>https://v16-webapp-prime.tiktok.com/video/tos/useast2a/tos-useast2a-ve-0068c004/ooGQDEJvwfoA0UIcrCEtBF8ERBJDHQ3JdIfniC/?a=1988&amp;bti=ODszNWYuMDE6&amp;ch=0&amp;cr=3&amp;dr=0&amp;lr=all&amp;cd=0%7C0%7C0%7C&amp;cv=1&amp;br=2010&amp;bt=1005&amp;cs=0&amp;ds=3&amp;ft=-Csk_mrMPD12NSBh5d-Uxs12aY6e3wv252cAp&amp;mime_type=video_mp4&amp;qs=0&amp;rc=PGVmNDs8aWU1NDM3OmU2OEBpMzVwdHk5cnU2NjMzNzczM0AwXmAtMjMvNWMxXmIwMV5gYSNuMW8wMmRzb2xhLS1kMTZzcw%3D%3D&amp;btag=e00090000&amp;expire=1764728590&amp;l=2025120110215532A809179141715F3748&amp;ply_type=2&amp;policy=2&amp;signature=50160dce912e03eafa63f3c00c875281&amp;tk=tt_chain_token</t>
  </si>
  <si>
    <t>https://v16-webapp-prime.tiktok.com/video/tos/maliva/tos-maliva-ve-0068c801-us/ocWzQSUqznAe2wlcqeeGCjJgNIigAC1Zo9bLnD/?a=1988&amp;bti=ODszNWYuMDE6&amp;ch=0&amp;cr=3&amp;dr=0&amp;lr=all&amp;cd=0%7C0%7C0%7C&amp;cv=1&amp;br=3048&amp;bt=1524&amp;cs=0&amp;ds=3&amp;ft=I~da4oKyD12NvOA0i.IxRehNblBF-UjNSMopiX&amp;mime_type=video_mp4&amp;qs=0&amp;rc=Mzc0NzwzZmc3Mzo6ZzgzOEBpMzN1cDY6ZnZ4bDMzNzczM0BgNGAvYzZfXjUxMWNhMy0tYSMyLzBecjRvbW1gLS1kMTZzcw%3D%3D&amp;btag=e00090000&amp;expire=1763173584&amp;l=20251113102443BFAC5C39F8934C8F8E6A&amp;ply_type=2&amp;policy=2&amp;signature=cee079277fb58380cd2f88d88718ce3a&amp;tk=tt_chain_token</t>
  </si>
  <si>
    <t>https://www.tiktok.com/@psi.jonathanorlandi/video/7256404761765891334</t>
  </si>
  <si>
    <t>7445454647654894853</t>
  </si>
  <si>
    <t>terapiadafe</t>
  </si>
  <si>
    <t>Fernanda Fernandes</t>
  </si>
  <si>
    <t>psicotok,tiktokbrasil,psicologiacomhumor,psicologia,tdahtiktokt,tiktokpromote,relacionamento,curiosidades,humornotiktok,aprendernotiktok,saudemental,tdahadulto,fy,viral,tdah,tdahcheck,tdahmemes,viraltiktok,terapia</t>
  </si>
  <si>
    <t>https://p77-sign-va.tiktokcdn.com/tos-maliva-avt-0068/377405ce9a41275b9b6f008b78c94af6~tplv-tiktokx-cropcenter:100:100.jpeg?dr=14579&amp;refresh_token=9dc10a02&amp;x-expires=1764727200&amp;x-signature=%2BepRexYRWTlx62HNBYxLPMocheM%3D&amp;t=4d5b0474&amp;ps=13740610&amp;shp=a5d48078&amp;shcp=81f88b70&amp;idc=my</t>
  </si>
  <si>
    <t>psicotok,tiktokbrasil,psicologiacomhumor,psicologia,tdahtiktokt,TikTokPromote,relacionamento,curiosidades,humornotiktok,aprendernotiktok,saudemental,tdahadulto,fy,viral,tdah,tdahcheck,tdahmemes,viraltiktok,terapia</t>
  </si>
  <si>
    <t>7512252412501986565</t>
  </si>
  <si>
    <t>#tdah #transtornodedeficitdeatencaoehiperatividade #transtornoneurodivergente #neurodivergencias #neurodivergente #paiatipico #maeatipica #criancaatipica ##ebooktdah #neurodivergenciaeopapo</t>
  </si>
  <si>
    <t>Relatos do TDAH</t>
  </si>
  <si>
    <t>7512252405003488006</t>
  </si>
  <si>
    <t>https://v16-webapp-prime.tiktok.com/video/tos/useast2a/tos-useast2a-v-27dcd7/o8AShKB5XAEuci3AEUcM8UlEzC4BqQABDiAva/?a=1988&amp;bti=ODszNWYuMDE6&amp;ch=0&amp;cr=0&amp;dr=0&amp;er=0&amp;lr=default&amp;cd=0%7C0%7C0%7C0&amp;br=250&amp;bt=125&amp;ds=5&amp;ft=GNDpcInz7ThVY-UPXq8Zmo&amp;mime_type=audio_mpeg&amp;qs=13&amp;rc=M248NnE5cm1oNDMzNzU8M0BpM248NnE5cm1oNDMzNzU8M0BrbC5pMmRrMC1hLS1kMTZzYSNrbC5pMmRrMC1hLS1kMTZzcw%3D%3D&amp;btag=e00050000&amp;expire=1763004545&amp;l=202511131026378F10DAFBB0AF239B249B&amp;ply_type=3&amp;policy=3&amp;signature=f6881e3a0646d4dfffc2a9a552f1fb8d&amp;tk=7571587458748974088</t>
  </si>
  <si>
    <t>Como é amar alguém com tdah? #tdahamor #tdahadulto #tdahdescomplicado  #tdah #relacionamento</t>
  </si>
  <si>
    <t>COMO É AMAR ALGUÉM COM TDAH ??</t>
  </si>
  <si>
    <t>Save ME - piano</t>
  </si>
  <si>
    <t>7061927414242265089</t>
  </si>
  <si>
    <t>https://sf16-ies-music-sg.tiktokcdn.com/obj/tos-alisg-ve-2774/oE1sOf1XBAYzikOWLBiTK5IBAAoMV2rw3qsBYB</t>
  </si>
  <si>
    <t>https://v16-webapp-prime.tiktok.com/video/tos/useast2a/tos-useast2a-ve-0068c002/owwjNgICfVZegBS9IXFTwGgQGeAaLCgRMCXQcI/?a=1988&amp;bti=ODszNWYuMDE6&amp;ch=0&amp;cr=3&amp;dr=0&amp;lr=all&amp;cd=0%7C0%7C0%7C&amp;cv=1&amp;br=1184&amp;bt=592&amp;cs=0&amp;ds=3&amp;ft=-Csk_mrMPD12NY_opd-Uxz42hY6e3wv25ycAp&amp;mime_type=video_mp4&amp;qs=0&amp;rc=ZzVpNzlpOjM4ZDszZTk2ZUBpMzt4OG05cmRoNDMzNzczM0BeMWMvMV8wXi4xYi1gNTRiYSNwYGNfMmRjLi1hLS1kMTZzcw%3D%3D&amp;btag=e00090000&amp;expire=1763173745&amp;l=202511131026378F10DAFBB0AF239B249B&amp;ply_type=2&amp;policy=2&amp;signature=ccda71bbefebb30c4edbdfcdca207825&amp;tk=tt_chain_token</t>
  </si>
  <si>
    <t>https://p16-sg.tiktokcdn.com/aweme/720x720/tos-alisg-v-2774/oEDGFkOTrgAivyTAMWA0ZBA0BZEEE5YAAAViU.jpeg</t>
  </si>
  <si>
    <t>Piano Echoes</t>
  </si>
  <si>
    <t>https://v16-webapp-prime.tiktok.com/video/tos/useast2a/tos-useast2a-pve-0068/oYu10tJiaUkSZBcsbTQUOqNKIQdgTEERABPik/?a=1988&amp;bti=ODszNWYuMDE6&amp;ch=0&amp;cr=3&amp;dr=0&amp;lr=all&amp;cd=0%7C0%7C0%7C&amp;cv=1&amp;br=2986&amp;bt=1493&amp;cs=0&amp;ds=3&amp;ft=-Csk_mrMPD12NxDh5d-UxIS5hY6e3wv25ycAp&amp;mime_type=video_mp4&amp;qs=0&amp;rc=NzM0N2ZkMzxlaTk2ZTU0NUBpM2RrN245cjxzdzMzNzczM0A2NDQyYjIwNWMxY14xMDRgYSNeaW9kMmQ0LzZgLS1kMTZzcw%3D%3D&amp;btag=e00088000&amp;expire=1764728506&amp;l=202512011020485614ECD0EEDB8C5FDDDB&amp;ply_type=2&amp;policy=2&amp;signature=1b6e3f30e75d57abfe80e5f2e1bf5ebe&amp;tk=tt_chain_token</t>
  </si>
  <si>
    <t>https://www.tiktok.com/@neurodivergenciaeopapo/video/7512252412501986565</t>
  </si>
  <si>
    <t>https://www.tiktok.com/@terapiadafe/video/7445454647654894853</t>
  </si>
  <si>
    <t>tdah,transtornodedeficitdeatencaoehiperatividade,transtornoneurodivergente,neurodivergencias,neurodivergente,paiatipico,maeatipica,criancaatipica,ebooktdah,neurodivergenciaeopapo</t>
  </si>
  <si>
    <t>7568559455319772437</t>
  </si>
  <si>
    <t>labirintodamente6</t>
  </si>
  <si>
    <t>LabirintodaMente</t>
  </si>
  <si>
    <t>tdahamor,tdahadulto,tdahdescomplicado,tdah,relacionamento</t>
  </si>
  <si>
    <t>https://p77-sign-va.tiktokcdn.com/tos-maliva-avt-0068/3f2851fddee89c918e3a69c28ed31a70~tplv-tiktokx-cropcenter:100:100.jpeg?dr=14579&amp;refresh_token=5a01d0b9&amp;x-expires=1763172000&amp;x-signature=0JtC5O7oz8Jh7Fe5hGit4CEt3E8%3D&amp;t=4d5b0474&amp;ps=13740610&amp;shp=a5d48078&amp;shcp=81f88b70&amp;idc=my</t>
  </si>
  <si>
    <t>#tdah ##vida #disfunção #desregulacionemocional #tdahemadultos</t>
  </si>
  <si>
    <t>7568559509003389703</t>
  </si>
  <si>
    <t>https://v16-webapp-prime.tiktok.com/video/tos/alisg/tos-alisg-v-27dcd7/okMKnfHIGwnEBKAEAkziBkAo7AhiEyyN0yZNAA/?a=1988&amp;bti=ODszNWYuMDE6&amp;ch=0&amp;cr=0&amp;dr=0&amp;er=0&amp;lr=default&amp;cd=0%7C0%7C0%7C0&amp;br=250&amp;bt=125&amp;ds=5&amp;ft=GNDpcInz7Tht9-UPXq8Zmo&amp;mime_type=audio_mpeg&amp;qs=13&amp;rc=amxqbW05cmxoNzMzODU8NEBpamxqbW05cmxoNzMzODU8NEBnYWAzMmRjbTFhLS1kMS1zYSNnYWAzMmRjbTFhLS1kMS1zcw%3D%3D&amp;btag=e00048000&amp;expire=1763004326&amp;l=20251113102438711CFC3830D7669110B2&amp;ply_type=3&amp;policy=3&amp;signature=3a1c22703093da01d7d44cb994b7fa12&amp;tk=7571587458748974088</t>
  </si>
  <si>
    <t>https://v16-webapp-prime.tiktok.com/video/tos/useast2a/tos-useast2a-ve-0068c001/oY8SlQ2JPU3DksrizEqB6IBPiZQwAo7jE2IIH/?a=1988&amp;bti=ODszNWYuMDE6&amp;ch=0&amp;cr=3&amp;dr=0&amp;lr=all&amp;cd=0%7C0%7C0%7C&amp;br=1514&amp;bt=757&amp;cs=0&amp;ds=3&amp;ft=I~da4oKyD12Nvl.WS.IxR51NWlBF-UjNSMopiX&amp;mime_type=video_mp4&amp;qs=0&amp;rc=OTQ0OTw1NDY7O2RnNzVoaUBpM2p5NXU5cmVsdDMzNzczM0BgNWBfYDA2X2MxMGNhMGEvYSNmYS1xMmQ0XzRgLS1kMTZzcw%3D%3D&amp;btag=e00088000&amp;expire=1764728455&amp;l=2025120110201396469B6E0854EC6377C0&amp;ply_type=2&amp;policy=2&amp;signature=a6db89f5cb0d80151d98663097ef1e26&amp;tk=tt_chain_token</t>
  </si>
  <si>
    <t>https://p16-sign-va.tiktokcdn.com/tos-maliva-avt-0068/3f2851fddee89c918e3a69c28ed31a70~tplv-tiktokx-cropcenter:1080:1080.jpeg?dr=14579&amp;refresh_token=4e4277be&amp;x-expires=1763172000&amp;x-signature=Fjnw59Za8XnmzVxU52skMf7AueI%3D&amp;t=4d5b0474&amp;ps=13740610&amp;shp=a5d48078&amp;shcp=81f88b70&amp;idc=my</t>
  </si>
  <si>
    <t>7542641406720953605</t>
  </si>
  <si>
    <t>#saudemental #tdah #psicologia #psicologoonline #psicoterapia</t>
  </si>
  <si>
    <t>de um ADULTO COM TDAH 4 Manias “ESTRANHAS”
 1- REPETIR A MESMA MÚSICA 
várias vezes… 2- PARAR EM ALGUM “CÔMODO” e
não saber o que foi fazer lá! 3- Ficar com a “ABA” do email 
aberta , por horas, e não ler… 4- REORGANIZAR algo do nada
em momentos inusitados </t>
  </si>
  <si>
    <t>7542641597114256184</t>
  </si>
  <si>
    <t>https://v16-webapp-prime.tiktok.com/video/tos/useast2a/tos-useast2a-v-27dcd7/oMo0fzQgSdELgIbYKbTozWeRAEGeCCAQcAmRJz/?a=1988&amp;bti=ODszNWYuMDE6&amp;ch=0&amp;cr=0&amp;dr=0&amp;er=0&amp;lr=default&amp;cd=0%7C0%7C0%7C0&amp;br=250&amp;bt=125&amp;ds=5&amp;ft=GNDpcInz7Th6zKvPXq8Zmo&amp;mime_type=audio_mpeg&amp;qs=13&amp;rc=M2RuOHY5cjlnNTMzNzU8M0BpM2RuOHY5cjlnNTMzNzU8M0AxYjBtMmRjZWphLS1kMTZzYSMxYjBtMmRjZWphLS1kMTZzcw%3D%3D&amp;btag=e00050000&amp;expire=1764559369&amp;l=202512011021446E702D323C03BE6BD085&amp;ply_type=3&amp;policy=3&amp;signature=29dce7a76201c5f829a56f44a69732c2&amp;tk=7571587458748974088</t>
  </si>
  <si>
    <t>https://v16-webapp-prime.tiktok.com/video/tos/alisg/tos-alisg-pve-0037c001/oE6Dz7gaQEBUbbKBOepERD8BCIyncDBfgA7FwR/?a=1988&amp;bti=ODszNWYuMDE6&amp;ch=0&amp;cr=3&amp;dr=0&amp;lr=all&amp;cd=0%7C0%7C0%7C&amp;cv=1&amp;br=1680&amp;bt=840&amp;cs=0&amp;ds=3&amp;ft=I~da4oKyD12NvnA0i.IxRTF_blBF-UjNSaopiX&amp;mime_type=video_mp4&amp;qs=0&amp;rc=Ozw7ODM4Mzs3PGUzODpmNkBpajM7dnc5cmpoNzMzODczNEAzLTZhYS81NS4xLzRiMi5gYSNqMHFyMmRzbTFhLS1kMWBzcw%3D%3D&amp;btag=e00088000&amp;expire=1763173526&amp;l=20251113102438711CFC3830D7669110B2&amp;ply_type=2&amp;policy=2&amp;signature=f368a6f09f39d194e8fbc980eef6e4d9&amp;tk=tt_chain_token</t>
  </si>
  <si>
    <t>https://www.tiktok.com/@labirintodamente6/video/7568559455319772437</t>
  </si>
  <si>
    <t>tdah,vida,disfunção,desregulacionemocional,tdahemadultos</t>
  </si>
  <si>
    <t>7310617433704828165</t>
  </si>
  <si>
    <t>tato_psi</t>
  </si>
  <si>
    <t>Tato_Psi.</t>
  </si>
  <si>
    <t>https://p77-sign-va.tiktokcdn.com/tos-maliva-avt-0068/fb5fde959395361e8b8f07b2112710ac~tplv-tiktokx-cropcenter:100:100.jpeg?dr=14579&amp;refresh_token=71b8b35e&amp;x-expires=1763172000&amp;x-signature=IvX5eFdVLQdXqa34U00vJl6EJWw%3D&amp;t=4d5b0474&amp;ps=13740610&amp;shp=a5d48078&amp;shcp=81f88b70&amp;idc=my</t>
  </si>
  <si>
    <t>#tdah #atencao #defctintelectual #personalidade #psicologia #transtorno #saudemental</t>
  </si>
  <si>
    <t>Easy on Me (Cover)</t>
  </si>
  <si>
    <t>7179523019042375681</t>
  </si>
  <si>
    <t>https://p16-sign-sg.tiktokcdn.com/tos-alisg-v-2774/owHAAChfCQBziAB0EIEss5xBwiIWoPAXUUSWEA~720x720.jpeg?lk3s=08d74b56&amp;x-expires=1763022156&amp;x-signature=brJjc6Vzd%2FjL8zs1X5A0JhjOohU%3D</t>
  </si>
  <si>
    <t>Liandari</t>
  </si>
  <si>
    <t>https://v16-webapp-prime.tiktok.com/video/tos/useast2a/tos-useast2a-ve-0068c004/o0FfJVhE171gR2tGieIgfaAkXDA4eTopVj0Q9Y/?a=1988&amp;bti=ODszNWYuMDE6&amp;ch=0&amp;cr=3&amp;dr=0&amp;lr=all&amp;cd=0%7C0%7C0%7C&amp;cv=1&amp;br=616&amp;bt=308&amp;cs=0&amp;ds=3&amp;ft=-Csk_mrMPD12NDhopd-Ux2.2GY6e3wv25rcAp&amp;mime_type=video_mp4&amp;qs=0&amp;rc=ZTw4ZTw5ZWY2NTc3aTc7ZkBpanllb3A5cm87bzMzNzczM0A0MjA2XmJeXi8xMDA2YTE1YSNrcnNlMmQ0Ym5gLS1kMTZzcw%3D%3D&amp;btag=e00090000&amp;expire=1763173480&amp;l=20251113102236D675DBC36011DA84E058&amp;ply_type=2&amp;policy=2&amp;signature=06292f4c7ebbe6dac9e3316aa1a3fa25&amp;tk=tt_chain_token</t>
  </si>
  <si>
    <t>https://v16-webapp-prime.tiktok.com/video/tos/useast2a/tos-useast2a-ve-0068c004/o86sYz8iIBOScQaIAIyc9EjYP2iBE9pXQEKmU/?a=1988&amp;bti=ODszNWYuMDE6&amp;ch=0&amp;cr=3&amp;dr=0&amp;lr=all&amp;cd=0%7C0%7C0%7C&amp;cv=1&amp;br=2060&amp;bt=1030&amp;cs=0&amp;ds=3&amp;ft=-Csk_mrMPD12NVDh5d-UxIS5hY6e3wv25ocAp&amp;mime_type=video_mp4&amp;qs=0&amp;rc=NDg5ZzRmaWhnZTtkZjxlZ0BpanZvOXc5cnFnNTMzNzczM0A0YGE2X14yNS8xMjQzMjUzYSNlbTRiMmQ0ZGphLS1kMTZzcw%3D%3D&amp;btag=e00090000&amp;expire=1764728569&amp;l=202512011021446E702D323C03BE6BD085&amp;ply_type=2&amp;policy=2&amp;signature=a0b1307aaa611766731b817189621f56&amp;tk=tt_chain_token</t>
  </si>
  <si>
    <t>https://www.tiktok.com/@tato_psi/video/7310617433704828165</t>
  </si>
  <si>
    <t>tdah,atencao,defctintelectual,personalidade,psicologia,transtorno,saudemental</t>
  </si>
  <si>
    <t>https://www.tiktok.com/@igorpsicologo/video/7542641406720953605</t>
  </si>
  <si>
    <t>saudemental,tdah,psicologia,psicologoonline,psicoterapia</t>
  </si>
  <si>
    <t>https://sf19-ies-music-sg.tiktokcdn.com/obj/tos-alisg-ve-2774/okVWvCe1wQOmrEMln7FfBBgUwAQXFyIOZ1Dutn</t>
  </si>
  <si>
    <t>https://p16-sign-sg.tiktokcdn.com/tos-alisg-avt-0068/5f966eb2bae4fc1e800f80743e1e9be0~tplv-tiktokx-cropcenter:100:100.jpeg?dr=14579&amp;refresh_token=fce4c19b&amp;x-expires=1764727200&amp;x-signature=0uOKyDW8velp0N600B2V2LvA%2FD8%3D&amp;t=4d5b0474&amp;ps=13740610&amp;shp=a5d48078&amp;shcp=81f88b70&amp;idc=my</t>
  </si>
  <si>
    <t>https://p77-sg.tiktokcdn.com/aweme/720x720/tos-alisg-v-2774/o8AGkAMAIOLAQrLAXeuKFAAeFVdmFf1veQGpi9.jpeg</t>
  </si>
  <si>
    <t>https://v16-webapp-prime.tiktok.com/video/tos/useast2a/tos-useast2a-v-27dcd7/oEiAEkjfxAvEZHKEBKY0tAiQBASBXDogBR6PGA/?a=1988&amp;bti=ODszNWYuMDE6&amp;ch=0&amp;cr=0&amp;dr=0&amp;er=0&amp;lr=default&amp;cd=0%7C0%7C0%7C0&amp;br=250&amp;bt=125&amp;ds=5&amp;ft=GNDpcInz7ThkPKvPXq8Zmo&amp;mime_type=audio_mpeg&amp;qs=13&amp;rc=amk4b3Q5cjM1NjMzNzU8M0Bpamk4b3Q5cjM1NjMzNzU8M0AtMG9qMmRzZDBhLS1kMTZzYSMtMG9qMmRzZDBhLS1kMTZzcw%3D%3D&amp;btag=e00048000&amp;expire=1764559293&amp;l=2025120110204563AE4C62401D615C8166&amp;ply_type=3&amp;policy=3&amp;signature=a3ab33ef5d469c8eefd347662084a633&amp;tk=7571587458748974088</t>
  </si>
  <si>
    <t>https://v16-webapp-prime.tiktok.com/video/tos/useast2a/tos-useast2a-pve-0068/o8AEef2TxQxRDRKEQboEATBJbB0FIdO0nssAnn/?a=1988&amp;bti=ODszNWYuMDE6&amp;ch=0&amp;cr=3&amp;dr=0&amp;lr=all&amp;cd=0%7C0%7C0%7C&amp;cv=1&amp;br=2488&amp;bt=1244&amp;cs=0&amp;ds=3&amp;ft=-Csk_mrMPD12Nyhopd-UxFN2aY6e3wv25ycAp&amp;mime_type=video_mp4&amp;qs=0&amp;rc=aDg4MzQ5NzllNDM6NTozZEBpM3BxOW45cjdweTMzNzczM0AyL2E1M2JhNV4xNC1iY2AvYSNjZWUtMmRzajZgLS1kMTZzcw%3D%3D&amp;btag=e00090000&amp;expire=1763173397&amp;l=2025111310220790E74D25ACF9796D8D06&amp;ply_type=2&amp;policy=2&amp;signature=d95edd348c0d91c4748cddbc28dcc7d9&amp;tk=tt_chain_token</t>
  </si>
  <si>
    <t>https://p16-sign-sg.tiktokcdn.com/tos-alisg-avt-0068/5f966eb2bae4fc1e800f80743e1e9be0~tplv-tiktokx-cropcenter:1080:1080.jpeg?dr=14579&amp;refresh_token=3350b872&amp;x-expires=1764727200&amp;x-signature=uNmyQCsydpzyoQYPeaPw8kAtQ%2BQ%3D&amp;t=4d5b0474&amp;ps=13740610&amp;shp=a5d48078&amp;shcp=81f88b70&amp;idc=my</t>
  </si>
  <si>
    <t>7345277213412953350</t>
  </si>
  <si>
    <t xml:space="preserve">5 coisas que todo TDAH precisa saber, para viver melhor! 🧐 . . . . O vídeo traz apenas algumas dicas simples, mas que para um neurodivergente, pode fazer toda a diferença. 🫂💛 #tdahta #tdahadulto  #tdahdicas #tdahestrategias  #neurodivergente #tdah  #saudemental </t>
  </si>
  <si>
    <t>https://v16-webapp-prime.tiktok.com/video/tos/useast2a/tos-useast2a-ve-0068c004/oULTUzSiavyEpBR5D2nmNAELG3MQIQYkBRiV1/?a=1988&amp;bti=ODszNWYuMDE6&amp;ch=0&amp;cr=3&amp;dr=0&amp;lr=all&amp;cd=0%7C0%7C0%7C&amp;cv=1&amp;br=1246&amp;bt=623&amp;cs=0&amp;ds=3&amp;ft=-Csk_mrMPD12Nqdh5d-UxgS5hY6e3wv25icAp&amp;mime_type=video_mp4&amp;qs=0&amp;rc=NzszZjk3M2ZkaWY7NzQ2OUBpamVpbnE5cnA1NjMzNzczM0AtNDBhXl8uXl8xMzMvNTYyYSNeZl4yMmRrYzBhLS1kMTZzcw%3D%3D&amp;btag=e00088000&amp;expire=1764728493&amp;l=2025120110204563AE4C62401D615C8166&amp;ply_type=2&amp;policy=2&amp;signature=ab63cfc7766e2b1a168bf79f1074cc7c&amp;tk=tt_chain_token</t>
  </si>
  <si>
    <t>7345277264776727302</t>
  </si>
  <si>
    <t>https://v16-webapp-prime.tiktok.com/video/tos/useast2a/tos-useast2a-v-27dcd7/owvwQ7DAAElAFD7roJfBJXFgs6VWq6UDCEBeaE/?a=1988&amp;bti=ODszNWYuMDE6&amp;ch=0&amp;cr=0&amp;dr=0&amp;er=0&amp;lr=default&amp;cd=0%7C0%7C0%7C0&amp;br=250&amp;bt=125&amp;ds=5&amp;ft=GNDpcInz7ThA9-UPXq8Zmo&amp;mime_type=audio_mpeg&amp;qs=13&amp;rc=M2Q6eHc5cmt0cTMzNzU8M0BpM2Q6eHc5cmt0cTMzNzU8M0Bzby0yMmRjaWtgLS1kMTZzYSNzby0yMmRjaWtgLS1kMTZzcw%3D%3D&amp;btag=e00050000&amp;expire=1763004371&amp;l=20251113102449DDADD1FB7AF14A841409&amp;ply_type=3&amp;policy=3&amp;signature=a37bc1ea366d1a966bed2da66705ba31&amp;tk=7571587458748974088</t>
  </si>
  <si>
    <t>https://v16-webapp-prime.tiktok.com/video/tos/maliva/tos-maliva-ve-0068c801-us/oAvyw1IXCEB9EvJihqiqqIpvgCLPEoA6ePQkaA/?a=1988&amp;bti=ODszNWYuMDE6&amp;ch=0&amp;cr=3&amp;dr=0&amp;lr=all&amp;cd=0%7C0%7C0%7C&amp;cv=1&amp;br=2356&amp;bt=1178&amp;cs=0&amp;ds=3&amp;ft=I~da4oKyD12NvgA0i.IxRMb_glBF-UjNSaopiX&amp;mime_type=video_mp4&amp;qs=0&amp;rc=NDQ4OzxpNjRpaWY1NWkzZEBpM2ltNnQ5cmR0cTMzNzczM0BfM2NfXjEtNWAxXzEuMzEuYSMuXmxhMmRraWtgLS1kMTZzcw%3D%3D&amp;btag=e00090000&amp;expire=1763173570&amp;l=20251113102449DDADD1FB7AF14A841409&amp;ply_type=2&amp;policy=2&amp;signature=9785b1e1d4f4b08aa4b78ff3c7c1d556&amp;tk=tt_chain_token</t>
  </si>
  <si>
    <t>https://p77-sign-va.tiktokcdn.com/tos-maliva-avt-0068/72466cc9d5b9a27930c91e8fb7677589~tplv-tiktokx-cropcenter:100:100.jpeg?dr=14579&amp;refresh_token=3e917014&amp;x-expires=1764727200&amp;x-signature=cr%2F%2BCAsNUopn7lel%2F5%2Bomc6IPmo%3D&amp;t=4d5b0474&amp;ps=13740610&amp;shp=a5d48078&amp;shcp=81f88b70&amp;idc=my</t>
  </si>
  <si>
    <t>https://www.tiktok.com/@lorenatdahta/video/7345277213412953350</t>
  </si>
  <si>
    <t>tdahta,tdahadulto,tdahdicas,tdahestrategias,neurodivergente,tdah,saudemental</t>
  </si>
  <si>
    <t>7343418810621267205</t>
  </si>
  <si>
    <t>8 coisas que você precisa saber sobre o TDAH 🧐 . . . . . . #tdahta #tdahrelato #tdah #tdahadulto #tdahcuriosidades</t>
  </si>
  <si>
    <t>https://v16-webapp-prime.tiktok.com/video/tos/useast2a/tos-useast2a-v-27dcd7/cc4227a515e44fa39b39e2dacf6ec5f9/?a=1988&amp;bti=ODszNWYuMDE6&amp;ch=0&amp;cr=0&amp;dr=0&amp;er=0&amp;lr=default&amp;cd=0%7C0%7C0%7C0&amp;br=216&amp;bt=108&amp;ds=5&amp;ft=GNDpcInz7ThRPKvPXq8Zmo&amp;mime_type=video_mp4&amp;qs=13&amp;rc=M2c8Ozo6ZjpzZzMzNzU8M0BpM2c8Ozo6ZjpzZzMzNzU8M0AuYW42cjRnM3FgLS1kMTZzYSMuYW42cjRnM3FgLS1kMTZzcw%3D%3D&amp;btag=e00050000&amp;expire=1764559303&amp;l=202512011020161DC26370CAB01566B4BC&amp;ply_type=3&amp;policy=3&amp;signature=e6642930ac0b5f24fc97caeeb307ed49&amp;tk=7571587458748974088</t>
  </si>
  <si>
    <t>7343418819896544006</t>
  </si>
  <si>
    <t>https://v16-webapp-prime.tiktok.com/video/tos/useast2a/tos-useast2a-v-27dcd7/ogC6DfsJUEbJIRIhoAlQFBwSIeJRCAoOHBKAaZ/?a=1988&amp;bti=ODszNWYuMDE6&amp;ch=0&amp;cr=0&amp;dr=0&amp;er=0&amp;lr=default&amp;cd=0%7C0%7C0%7C0&amp;br=250&amp;bt=125&amp;ds=5&amp;ft=GNDpcInz7Th_9-UPXq8Zmo&amp;mime_type=audio_mpeg&amp;qs=13&amp;rc=ampvOXA5cjVrcTMzNzU8M0BpampvOXA5cjVrcTMzNzU8M0BnNS5eMmRjLmhgLS1kMTZzYSNnNS5eMmRjLmhgLS1kMTZzcw%3D%3D&amp;btag=e00050000&amp;expire=1763004343&amp;l=202511131024200DA040BB1F5C349EC2B1&amp;ply_type=3&amp;policy=3&amp;signature=31d2e0e62475aad1f9b37b3a121bd37d&amp;tk=7571587458748974088</t>
  </si>
  <si>
    <t>https://p77-sign-va.tiktokcdn.com/tos-maliva-avt-0068/72466cc9d5b9a27930c91e8fb7677589~tplv-tiktokx-cropcenter:1080:1080.jpeg?dr=14579&amp;refresh_token=7bfbfafa&amp;x-expires=1764727200&amp;x-signature=Cp1VdnmySkXd%2Fim0au%2FHuuWiblQ%3D&amp;t=4d5b0474&amp;ps=13740610&amp;shp=a5d48078&amp;shcp=81f88b70&amp;idc=my</t>
  </si>
  <si>
    <t>https://v16-webapp-prime.tiktok.com/video/tos/maliva/tos-maliva-ve-0068c801-us/oEsLPBgIJLiIgrcfCo1p8kyLE7IO9AcIiEUAQT/?a=1988&amp;bti=ODszNWYuMDE6&amp;ch=0&amp;cr=3&amp;dr=0&amp;lr=all&amp;cd=0%7C0%7C0%7C&amp;cv=1&amp;br=2234&amp;bt=1117&amp;cs=0&amp;ds=3&amp;ft=I~da4oKyD12NvyA0i.IxRhq_glBF-UjNSmopiX&amp;mime_type=video_mp4&amp;qs=0&amp;rc=ODppN2RpZmU4NWk0Njk7ZEBpamZqeW85cmhrcTMzNzczM0AwLTA0XjAzXzAxNDYuYl81YSMxcS8yMmRjLWhgLS1kMTZzcw%3D%3D&amp;btag=e00090000&amp;expire=1763173543&amp;l=202511131024200DA040BB1F5C349EC2B1&amp;ply_type=2&amp;policy=2&amp;signature=390fa3bdb9692fcf674f86d759b7918e&amp;tk=tt_chain_token</t>
  </si>
  <si>
    <t>https://v16-webapp-prime.tiktok.com/video/tos/maliva/tos-maliva-ve-0068c801-us/o4KenbAzIDzSozkyhgGgeC17Q7j5AeBgxCFLB3/?a=1988&amp;bti=ODszNWYuMDE6&amp;ch=0&amp;cr=3&amp;dr=0&amp;lr=all&amp;cd=0%7C0%7C0%7C&amp;cv=1&amp;br=1120&amp;bt=560&amp;cs=0&amp;ds=3&amp;ft=-Csk_mrMPD12NXdh5d-Uxe42hY6e3wv25XcAp&amp;mime_type=video_mp4&amp;qs=0&amp;rc=NTplaTg0OWk7OTk6Zmc3OUBpM3M1aDM6ZmZzZzMzNzczM0AtLmA0LTQ1Xi8xMGAxMGAzYSM1Lmg1cjRvMnFgLS1kMTZzcw%3D%3D&amp;btag=e00090000&amp;expire=1764728503&amp;l=202512011020161DC26370CAB01566B4BC&amp;ply_type=2&amp;policy=2&amp;signature=5e874818f6186ecb91f164ddab9d9bba&amp;tk=tt_chain_token</t>
  </si>
  <si>
    <t>https://www.tiktok.com/@lorenatdahta/video/7343418810621267205</t>
  </si>
  <si>
    <t>tdahta,tdahrelato,tdah,tdahadulto,tdahcuriosidades</t>
  </si>
  <si>
    <t>7476262086847302917</t>
  </si>
  <si>
    <t>#tdah #saudemental #psicologiapsicoterapia #psicologoonline #viralizou #fyp #fyp #foryoupage</t>
  </si>
  <si>
    <t>4 “GAFES” comuns de um TDAH ADULTO  1- RIR em momentos 
inapropriados  2- COMENTÁRIOS INAPROPRIADOS 
“Sem noção” 3- PERDER A NOÇÃO DO TEMPO
chegando sempre atrasado  4- ESQUECER O NOME da 
Pessoa que acabou de conhecer </t>
  </si>
  <si>
    <t>7476262116241591045</t>
  </si>
  <si>
    <t>https://v16-webapp-prime.tiktok.com/video/tos/useast2a/tos-useast2a-v-27dcd7/oEDEKA6riiBR14AoEE4BkmrnIoBAJyzB3gjfAM/?a=1988&amp;bti=ODszNWYuMDE6&amp;ch=0&amp;cr=0&amp;dr=0&amp;er=0&amp;lr=default&amp;cd=0%7C0%7C0%7C0&amp;br=250&amp;bt=125&amp;ds=5&amp;ft=GNDpcInz7ThVY-UPXq8Zmo&amp;mime_type=audio_mpeg&amp;qs=13&amp;rc=ajtocmw5cm1qeTMzNzU8M0Bpajtocmw5cm1qeTMzNzU8M0BpY3E1MmRjNi1gLS1kMTZzYSNpY3E1MmRjNi1gLS1kMTZzcw%3D%3D&amp;btag=e00050000&amp;expire=1763004466&amp;l=202511131026378F10DAFBB0AF239B249B&amp;ply_type=3&amp;policy=3&amp;signature=dce620055ca96a4de4361be88819ffe0&amp;tk=7571587458748974088</t>
  </si>
  <si>
    <t>7554729625075666188</t>
  </si>
  <si>
    <t>psipatricialeopoldino</t>
  </si>
  <si>
    <t>Psicóloga Patrícia | TDAH</t>
  </si>
  <si>
    <t>https://p77-sign-va.tiktokcdn.com/tos-maliva-avt-0068/a642898c7aad0559d0845f99a13b3685~tplv-tiktokx-cropcenter:100:100.jpeg?dr=14579&amp;refresh_token=f5e4b620&amp;x-expires=1764727200&amp;x-signature=L6SeBTvggNmON53M8HxGznmhz%2BA%3D&amp;t=4d5b0474&amp;ps=13740610&amp;shp=a5d48078&amp;shcp=81f88b70&amp;idc=my</t>
  </si>
  <si>
    <t>https://v16-webapp-prime.tiktok.com/video/tos/useast2a/tos-useast2a-ve-0068c004/oIB5LUiNXQEE1DBAiSH8AIZQ5BbQnEbvrIEIu/?a=1988&amp;bti=ODszNWYuMDE6&amp;ch=0&amp;cr=3&amp;dr=0&amp;lr=all&amp;cd=0%7C0%7C0%7C&amp;cv=1&amp;br=2662&amp;bt=1331&amp;cs=0&amp;ds=3&amp;ft=-Csk_mrMPD12NY_opd-Uxz42hY6e3wv25ycAp&amp;mime_type=video_mp4&amp;qs=0&amp;rc=ZWU7ZDg4NDdlZDk2aTVpZUBpajpmaG85cmpqeTMzNzczM0BiXy4tMV4yX14xMy8vXzQzYSNwZV9rMmRrMy1gLS1kMTZzcw%3D%3D&amp;btag=e00090000&amp;expire=1763173666&amp;l=202511131026378F10DAFBB0AF239B249B&amp;ply_type=2&amp;policy=2&amp;signature=7c8a9be6bc2cc16a8f9da0692fd91cfd&amp;tk=tt_chain_token</t>
  </si>
  <si>
    <t xml:space="preserve">Você já percebeu que o mesmo comportamento pode ter significados diferentes, dependendo de como o cérebro funciona? ➡️ No TEA (Transtorno do Espectro Autista) a rotina é essencial, interações sociais podem ser desgastantes e a espontaneidade nem sempre é confortável. ➡️ No TDAH (Transtorno de Déficit de Atenção e Hiperatividade) esquecimentos são frequentes, a distração aparece fácil e as decisões muitas vezes saem no impulso. ➡️ Quem tem TEA + TDAH precisa de rotina, mas não consegue mantê-la. Busca conexão, mas se esgota nesse processo. Isso não é frescura, preguiça ou desorganização. São expressões de neurodivergências que pedem compreensão e respeito. Lembre-se: este conteúdo é informativo e não substitui avaliação profissional. 👉 E você, se identifica mais com qual : TEA, TDAH ou os dois juntos? #creatorsearchinsight #tdahadulto #autismo  @🧠 Psicóloga Patrícia | TDAH  @🧠 Psicóloga Patrícia | TDAH </t>
  </si>
  <si>
    <t>TEA TDAH TEA +
TDAH</t>
  </si>
  <si>
    <t>7554729640259046156</t>
  </si>
  <si>
    <t>https://v16-webapp-prime.tiktok.com/video/tos/useast2a/tos-useast2a-v-27dcd7/oQJu1TsJ7EqjUyWBEo8QqqDfFbfACBpADEoXAv/?a=1988&amp;bti=ODszNWYuMDE6&amp;ch=0&amp;cr=0&amp;dr=0&amp;er=0&amp;lr=default&amp;cd=0%7C0%7C0%7C0&amp;br=250&amp;bt=125&amp;ds=5&amp;ft=GNDpcInz7ThkFKvPXq8Zmo&amp;mime_type=audio_mpeg&amp;qs=13&amp;rc=anVoOHk5cjl2NjMzNzU8M0BpanVoOHk5cjl2NjMzNzU8M0A2cWhpMmRzaV9hLS1kMTZzYSM2cWhpMmRzaV9hLS1kMTZzcw%3D%3D&amp;btag=e00050000&amp;expire=1764559460&amp;l=20251201102252D5AB29E5B8D21E61139C&amp;ply_type=3&amp;policy=3&amp;signature=1d03108c9dc565d3bef3b5ef7cf42ba9&amp;tk=7571587458748974088</t>
  </si>
  <si>
    <t>https://www.tiktok.com/@igorpsicologo/video/7476262086847302917</t>
  </si>
  <si>
    <t>tdah,saudemental,psicologiapsicoterapia,psicologoonline,viralizou,fyp,fyp,foryoupage</t>
  </si>
  <si>
    <t>tdah,saudemental,psicologiapsicoterapia,psicologoonline,viralizou,fyp,foryoupage</t>
  </si>
  <si>
    <t>https://p16-sign-va.tiktokcdn.com/tos-maliva-avt-0068/b65580219dd212688aa9c5305651ee47~tplv-tiktokx-cropcenter:100:100.jpeg?dr=14579&amp;refresh_token=e9ce48ec&amp;x-expires=1763172000&amp;x-signature=81zBjkEKwGxjAMZ9HD4oBz%2FZx%2Fs%3D&amp;t=4d5b0474&amp;ps=13740610&amp;shp=a5d48078&amp;shcp=81f88b70&amp;idc=my</t>
  </si>
  <si>
    <t>https://p16-sign-va.tiktokcdn.com/tos-maliva-avt-0068/a642898c7aad0559d0845f99a13b3685~tplv-tiktokx-cropcenter:1080:1080.jpeg?dr=14579&amp;refresh_token=4207d495&amp;x-expires=1764727200&amp;x-signature=14cPrPDJ%2Bs4dTAyJ6bECN0c%2BCng%3D&amp;t=4d5b0474&amp;ps=13740610&amp;shp=a5d48078&amp;shcp=81f88b70&amp;idc=my</t>
  </si>
  <si>
    <t>https://v16-webapp-prime.tiktok.com/video/tos/alisg/tos-alisg-v-27dcd7/ogHIoA0uEFEZnfAAIT1Dg5cMhbGAgpReYDzfCD/?a=1988&amp;bti=ODszNWYuMDE6&amp;ch=0&amp;cr=0&amp;dr=0&amp;er=0&amp;lr=default&amp;cd=0%7C0%7C0%7C0&amp;br=250&amp;bt=125&amp;ds=5&amp;ft=GNDpcInz7Th_9-UPXq8Zmo&amp;mime_type=audio_mpeg&amp;qs=13&amp;rc=amdyaG45cmg0NjMzODU8NEBpamdyaG45cmg0NjMzODU8NEBvYGFqMmRjZHNhLS1kMS1zYSNvYGFqMmRjZHNhLS1kMS1zcw%3D%3D&amp;btag=e00050000&amp;expire=1763004356&amp;l=202511131024200DA040BB1F5C349EC2B1&amp;ply_type=3&amp;policy=3&amp;signature=d571f520b4085dae271010d72b58965a&amp;tk=7571587458748974088</t>
  </si>
  <si>
    <t>https://v16-webapp-prime.tiktok.com/video/tos/useast2a/tos-useast2a-ve-0068c002/oEOCHVGgLZLzrlvSMjYGACFI8fgQISgegR5lfI/?a=1988&amp;bti=ODszNWYuMDE6&amp;ch=0&amp;cr=3&amp;dr=0&amp;lr=all&amp;cd=0%7C0%7C0%7C&amp;cv=1&amp;br=2356&amp;bt=1178&amp;cs=0&amp;ds=3&amp;ft=-Csk_mrMPD12NqBh5d-Uxe42hY6e3wv25XcAp&amp;mime_type=video_mp4&amp;qs=0&amp;rc=ZDY2Nzo8ZzY0OWc6NzhlNkBpajgzN3k5cnh2NjMzNzczM0A2NS4yMy4xXjExXzZeXzQxYSNlMmpzMmRjZV9hLS1kMTZzcw%3D%3D&amp;btag=e00090000&amp;expire=1764728660&amp;l=20251201102252D5AB29E5B8D21E61139C&amp;ply_type=2&amp;policy=2&amp;signature=567ae0fddd63e766757495159d80c1d1&amp;tk=tt_chain_token</t>
  </si>
  <si>
    <t>https://v16-webapp-prime.tiktok.com/video/tos/alisg/tos-alisg-pve-0037c001/oUUSogXajPGRSlZeF6FEAeDPRfAGAQPIQkfaQC/?a=1988&amp;bti=ODszNWYuMDE6&amp;ch=0&amp;cr=3&amp;dr=0&amp;lr=all&amp;cd=0%7C0%7C0%7C&amp;cv=1&amp;br=1992&amp;bt=996&amp;cs=0&amp;ds=3&amp;ft=I~da4oKyD12NvyA0i.IxRhq_glBF-UjNSmopiX&amp;mime_type=video_mp4&amp;qs=0&amp;rc=NDlmNzs5ZzU7Mzw2aTU4NEBpamxsNXc5cjY0NjMzODczNEAtYDMzLzFhNjUxMmM0MDZfYSNqbmU2MmRzY3NhLS1kMTFzcw%3D%3D&amp;btag=e00090000&amp;expire=1763173556&amp;l=202511131024200DA040BB1F5C349EC2B1&amp;ply_type=2&amp;policy=2&amp;signature=0aed01b9389b1fe14594a2acc1ddcefc&amp;tk=tt_chain_token</t>
  </si>
  <si>
    <t>https://www.tiktok.com/@psipatricialeopoldino/video/7554729625075666188</t>
  </si>
  <si>
    <t>creatorsearchinsight,tdahadulto,autismo,@🧠 Psicóloga Patrícia | TDAH,@🧠 Psicóloga Patrícia | TDAH</t>
  </si>
  <si>
    <t>creatorsearchinsight,tdahadulto,autismo</t>
  </si>
  <si>
    <t>https://v16-webapp-prime.tiktok.com/video/tos/useast2a/tos-useast2a-v-27dcd7-aiso/c8799908b3964df4829a60ae1812af2a/?a=1988&amp;bti=ODszNWYuMDE6&amp;ch=0&amp;cr=0&amp;dr=0&amp;er=0&amp;lr=default&amp;cd=0%7C0%7C0%7C0&amp;br=212&amp;bt=106&amp;ds=5&amp;ft=GNDpcInz7ThzpKvPXq8Zmo&amp;mime_type=video_mp4&amp;qs=13&amp;rc=M29yZDc6ZnBqZzMzZjU8M0BpM29yZDc6ZnBqZzMzZjU8M0BrZ2o0cjRfMG5gLS1kMWNzYSNrZ2o0cjRfMG5gLS1kMWNzcw%3D%3D&amp;btag=e00050000&amp;expire=1764559633&amp;l=20251201102548E15D7702DE8EFF4EC930&amp;ply_type=3&amp;policy=3&amp;signature=16f5617ee56e3ed73087824aae226b1e&amp;tk=7571587458748974088</t>
  </si>
  <si>
    <t>7203546019907259654</t>
  </si>
  <si>
    <t>curiosidadesdiarias.ia</t>
  </si>
  <si>
    <t>Curiosidades com IA</t>
  </si>
  <si>
    <t>https://p16-sign-va.tiktokcdn.com/tos-maliva-avt-0068/5cd04065c5b84a93bc1c8c2205a3a307~tplv-tiktokx-cropcenter:100:100.jpeg?dr=14579&amp;refresh_token=62a13806&amp;x-expires=1763172000&amp;x-signature=za5Fv0gZFDFA5tjcZcEawmXl5VM%3D&amp;t=4d5b0474&amp;ps=13740610&amp;shp=a5d48078&amp;shcp=81f88b70&amp;idc=my</t>
  </si>
  <si>
    <t>Me siga pra mais conteúdos com imagens geradas por inteligência artificial! 10 sinais de autismo em adultos #autismo #medicina #psiquiatra #psicologia #depressão #ansiedade #viralbrasil</t>
  </si>
  <si>
    <t>10 SINAIS DE 
AUTISMO EM ADULTOS</t>
  </si>
  <si>
    <t>Scary stories, horror footage, halloween sati</t>
  </si>
  <si>
    <t>6817197475397388290</t>
  </si>
  <si>
    <t>https://sf16-ies-music-sg.tiktokcdn.com/obj/tos-alisg-ve-2774/63d1174ec53a45d0a27644a41cc0ff58</t>
  </si>
  <si>
    <t>https://v16-webapp-prime.tiktok.com/video/tos/useast2a/tos-useast2a-pve-0037c001-aiso/oAb82OfrQj3SQQDWAAv8EEMnB3KedoRqFnPAgD/?a=1988&amp;bti=ODszNWYuMDE6&amp;ch=0&amp;cr=3&amp;dr=0&amp;lr=all&amp;cd=0%7C0%7C0%7C&amp;cv=1&amp;br=1036&amp;bt=518&amp;cs=0&amp;ds=3&amp;ft=-Csk_mrMPD12NDgh5d-UxgR2SY6e3wv251cAp&amp;mime_type=video_mp4&amp;qs=0&amp;rc=NTM8OWY3MzdmZmY6Mzk6OUBpam0zbTw6ZnlqZzMzZjczM0BfM2AvLS82XjAxM2IvLjBjYSNra2JscjQwL25gLS1kMWNzcw%3D%3D&amp;btag=e00090000&amp;expire=1764728833&amp;l=20251201102548E15D7702DE8EFF4EC930&amp;ply_type=2&amp;policy=2&amp;signature=5206648acbdeaa9331c435e44ee884f7&amp;tk=tt_chain_token</t>
  </si>
  <si>
    <t>https://p16-sg.tiktokcdn.com/aweme/720x720/tos-alisg-v-2774/96e8017c3bef4b26aceee9fdc56d0135.jpeg</t>
  </si>
  <si>
    <t>RYOpianoforte</t>
  </si>
  <si>
    <t>https://v16-webapp-prime.tiktok.com/video/tos/useast2a/tos-useast2a-ve-0068c004/o4AjCeDfNayVVwSiIFK2RdghnbAe8CAPTCZHCR/?a=1988&amp;bti=ODszNWYuMDE6&amp;ch=0&amp;cr=3&amp;dr=0&amp;lr=all&amp;cd=0%7C0%7C0%7C&amp;cv=1&amp;br=1294&amp;bt=647&amp;cs=0&amp;ds=3&amp;ft=-Csk_mrMPD12N9Yopd-Ux315hY6e3wv25dcAp&amp;mime_type=video_mp4&amp;qs=0&amp;rc=aDs4Nmk6NDs8PDgzZDw6PEBpM21nOzM6Zmc1aTMzNzczM0A1Y18zLi5fNS8xXmMzLS81YSNsNl5qcjRnMnBgLS1kMTZzcw%3D%3D&amp;btag=e00090000&amp;expire=1763173483&amp;l=2025111310232002E5437D242CEA8409F2&amp;ply_type=2&amp;policy=2&amp;signature=e726eb08dc38b9c87639bed3d042c664&amp;tk=tt_chain_token</t>
  </si>
  <si>
    <t>https://www.tiktok.com/@curiosidadesdiarias.ia/video/7203546019907259654</t>
  </si>
  <si>
    <t>autismo,medicina,psiquiatra,psicologia,depressão,ansiedade,viralbrasil</t>
  </si>
  <si>
    <t>7276825993392786694</t>
  </si>
  <si>
    <t>‼️TDAH x AUTOESTIMA‼️ O TDAH é um transtorno neuropsiquiátrico que afeta a capacidade de uma pessoa prestar atenção, controlar impulsos e regular seu nível de atividade. Isso pode levar a dificuldades acadêmicas, no trabalho e nas relações sociais. Aqui está como o TDAH pode impactar a autoestima: 1️⃣ Fracasso percebido: Pessoas com TDAH podem enfrentar dificuldades em tarefas cotidianas e muitas vezes percebem que estão falhando em comparação com os outros. Isso pode minar sua autoestima. 2️⃣ Críticas externas: Críticas constantes de familiares, professores ou colegas devido ao comportamento associado ao TDAH, como distração ou impulsividade, podem prejudicar a autoestima. 3️⃣ Autocrítica: Indivíduos com TDAH podem desenvolver uma autocrítica severa devido às suas lutas. Isso pode prejudicar sua autoimagem. 4️⃣ Sentimento de inadequação: Sentir-se desajeitado ou desorganizado devido ao TDAH pode levar a sentimentos de inadequação, o que afeta a autoestima. É importante lembrar que a autoestima pode ser trabalhada e melhorada com o tratamento adequado para o TDAH, que pode incluir terapia comportamental, medicação e estratégias de gerenciamento. O apoio emocional também desempenha um papel fundamental na construção da autoestima de pessoas com TDAH. #tdah #tdahadulto #ansiedade #depressao #autoestima #psicologia #psiquiatria #saudemental</t>
  </si>
  <si>
    <t>TDAH x 
AUTOESTIMA @tdahpragentegrande
TDAH x 
Autoestima</t>
  </si>
  <si>
    <t>Boundless Worship</t>
  </si>
  <si>
    <t>7231997808928032770</t>
  </si>
  <si>
    <t>https://v16-webapp-prime.tiktok.com/video/tos/useast2a/tos-useast2a-v-27dcd7/o4XIq2QflEA8WAimCgAsICIpfVUAqBBJ7D4JFF/?a=1988&amp;bti=ODszNWYuMDE6&amp;ch=0&amp;cr=0&amp;dr=0&amp;er=0&amp;lr=default&amp;cd=0%7C0%7C0%7C0&amp;br=250&amp;bt=125&amp;ds=5&amp;ft=GNDpcInz7ThDgKvPXq8Zmo&amp;mime_type=audio_mpeg&amp;qs=13&amp;rc=M3dlbnY5cm87cjMzNzU8M0BpM3dlbnY5cm87cjMzNzU8M0Bsal4yMmRzXl5gLS1kMTZzYSNsal4yMmRzXl5gLS1kMTZzcw%3D%3D&amp;btag=e00050000&amp;expire=1764559467&amp;l=20251201102322C8514DE7730851EF645E&amp;ply_type=3&amp;policy=3&amp;signature=c60f34b56d60236929ddbe91a6c7b6c5&amp;tk=7571587458748974088</t>
  </si>
  <si>
    <t>https://sf16-ies-music-sg.tiktokcdn.com/obj/tos-alisg-ve-2774/oMYPkImADMYxCQUm8JLX5ARiBLYHar16iBvWx</t>
  </si>
  <si>
    <t>https://p16-sg.tiktokcdn.com/aweme/720x720/tos-alisg-v-2774/oYHMADhIgAFdBaDftgrjLQoIsFZSsCeZEIpBAa.jpeg</t>
  </si>
  <si>
    <t>Josué Novais Piano Worship</t>
  </si>
  <si>
    <t>https://v16-webapp-prime.tiktok.com/video/tos/maliva/tos-maliva-ve-0068c801-us/ooblQS6XpnAsefQqwH85CjJg3IngrCdfIIbt4D/?a=1988&amp;bti=ODszNWYuMDE6&amp;ch=0&amp;cr=3&amp;dr=0&amp;lr=all&amp;cd=0%7C0%7C0%7C&amp;cv=1&amp;br=1654&amp;bt=827&amp;cs=0&amp;ds=3&amp;ft=I~da4oKyD12NvuA0i.IxREJNglBF-UjNSmopiX&amp;mime_type=video_mp4&amp;qs=0&amp;rc=ZTk7N2Y5Z2U6ZTNkPDloZUBpam9reWg6ZnQ6bTMzNzczM0AyMV40Yi42NjQxNDQ2XjVhYSNyNHBecjRfZnJgLS1kMTZzcw%3D%3D&amp;btag=e00090000&amp;expire=1763173557&amp;l=202511131024337F554789EF0D09A1F8EB&amp;ply_type=2&amp;policy=2&amp;signature=babe2dec58556537d020f36800c79f78&amp;tk=tt_chain_token</t>
  </si>
  <si>
    <t>https://v16-webapp-prime.tiktok.com/video/tos/useast2a/tos-useast2a-ve-0068c002/ok7plIQFfAQxfSAlgDRmjrBuCEBJFEN9UIHI9n/?a=1988&amp;bti=ODszNWYuMDE6&amp;ch=0&amp;cr=3&amp;dr=0&amp;lr=all&amp;cd=0%7C0%7C0%7C&amp;cv=1&amp;br=912&amp;bt=456&amp;cs=0&amp;ds=6&amp;ft=-Csk_mrMPD12N.Zh5d-UxxG2aY6e3wv25UcAp&amp;mime_type=video_mp4&amp;qs=5&amp;rc=NGk0aDhmZTNpOWc0MzplNUBpajdxN205cjw7cjMzNzczM0A1LzA1MTJjNmIxNjAxYzAzYSNfcWNpMmRjNl5gLS1kMTZzcw%3D%3D&amp;btag=e00090000&amp;expire=1764728667&amp;l=20251201102322C8514DE7730851EF645E&amp;ply_type=2&amp;policy=2&amp;signature=8883d4fdcae51a1e471ca3628bfe7c66&amp;tk=tt_chain_token</t>
  </si>
  <si>
    <t>https://www.tiktok.com/@veigasaymon/video/7276825993392786694</t>
  </si>
  <si>
    <t>tdah,tdahadulto,ansiedade,depressao,autoestima,psicologia,psiquiatria,saudemental</t>
  </si>
  <si>
    <t>7241960772794895621</t>
  </si>
  <si>
    <t>👨🏻‍⚖️ Quando as pessoas não entendem isso, ficam um julgando o TDAH moralmente. E muitas vezes a própria pessoa que tem TDAH julga a si mesma. Você já recebeu julgamentos por isso ou costuma julgar a si mesmo? @ISTO NÃO É PODCAST  #tdah #tda #dda #tdahadultos #tdahadulto</t>
  </si>
  <si>
    <t>7241960803511388933</t>
  </si>
  <si>
    <t>https://v16-webapp-prime.tiktok.com/video/tos/useast2a/tos-useast2a-v-27dcd7/1377a05523d9478ca0c21d1c85ac5346/?a=1988&amp;bti=ODszNWYuMDE6&amp;ch=0&amp;cr=0&amp;dr=0&amp;er=0&amp;lr=default&amp;cd=0%7C0%7C0%7C0&amp;br=250&amp;bt=125&amp;ds=5&amp;ft=GNDpcInz7Th49-UPXq8Zmo&amp;mime_type=audio_mpeg&amp;qs=13&amp;rc=am01NWk6Znk8bDMzNzU8M0Bpam01NWk6Znk8bDMzNzU8M0BoMHNhcjRnbS1gLS1kMTZzYSNoMHNhcjRnbS1gLS1kMTZzcw%3D%3D&amp;btag=e00050000&amp;expire=1763004345&amp;l=20251113102415EC11E565E652E77F00C9&amp;ply_type=3&amp;policy=3&amp;signature=a7d5c1384ed0f67d93602734e435ec07&amp;tk=7571587458748974088</t>
  </si>
  <si>
    <t>https://p16-sign-va.tiktokcdn.com/tos-maliva-avt-0068/65652208aa86d43bb56c554bee9f3cfb~tplv-tiktokx-cropcenter:100:100.jpeg?dr=14579&amp;refresh_token=5d5396ac&amp;x-expires=1764727200&amp;x-signature=bDy%2F9%2BgTfr%2BQJuGROWGMydz76mU%3D&amp;t=4d5b0474&amp;ps=13740610&amp;shp=a5d48078&amp;shcp=81f88b70&amp;idc=my</t>
  </si>
  <si>
    <t>https://v16-webapp-prime.tiktok.com/video/tos/maliva/tos-maliva-ve-0068c801-us/ogORAAztJJQnfDUkKgebBBQKLn3MzYIJRInTEj/?a=1988&amp;bti=ODszNWYuMDE6&amp;ch=0&amp;cr=3&amp;dr=0&amp;lr=all&amp;cd=0%7C0%7C0%7C&amp;cv=1&amp;br=1502&amp;bt=751&amp;cs=0&amp;ds=3&amp;ft=-Csk_mrMPD12Nycopd-UxG4vXY6e3wv25McAp&amp;mime_type=video_mp4&amp;qs=0&amp;rc=NmY2MzdoODY5aTQ4aDZoNUBpM2V5PDw6ZnI8bDMzNzczM0AvL2AyNF80XjUxLzQuLV8yYSNgM29mcjRvbS1gLS1kMTZzcw%3D%3D&amp;btag=e00090000&amp;expire=1763173545&amp;l=20251113102415EC11E565E652E77F00C9&amp;ply_type=2&amp;policy=2&amp;signature=0f6272f301a81ee62bee70e11c250d5d&amp;tk=tt_chain_token</t>
  </si>
  <si>
    <t>https://v16-webapp-prime.tiktok.com/video/tos/useast2a/tos-useast2a-ve-0068c004/o8PQxIBAX2QEbmNBdUQESiS58cjuHZZEnI2Ai/?a=1988&amp;bti=ODszNWYuMDE6&amp;ch=0&amp;cr=3&amp;dr=0&amp;lr=all&amp;cd=0%7C0%7C0%7C&amp;cv=1&amp;br=1194&amp;bt=597&amp;cs=0&amp;ds=3&amp;ft=-Csk_mrMPD12N6Dh5d-Uxq42hY6e3wv25IcAp&amp;mime_type=video_mp4&amp;qs=0&amp;rc=OzU4OWVmNzpnZmU3ZjxpNUBpamhqcHA5cnFudzMzNzczM0BhMDFfNDFjNmAxYmJgLTZjYSNnY2NwMmQ0ZGVgLS1kMTZzcw%3D%3D&amp;btag=e00090000&amp;expire=1764728555&amp;l=202512011021342A4EB9620CED315EA2E7&amp;ply_type=2&amp;policy=2&amp;signature=bd0b852458507760ca2435e08378a9c9&amp;tk=tt_chain_token</t>
  </si>
  <si>
    <t>https://www.tiktok.com/@brunolnunes/video/7241960772794895621</t>
  </si>
  <si>
    <t>https://v16-webapp-prime.tiktok.com/video/tos/useast2a/tos-useast2a-v-27dcd7/ogPASIjrSCpIfEFTlC6IVZIAAYoYg3fFFmeDE6/?a=1988&amp;bti=ODszNWYuMDE6&amp;ch=0&amp;cr=0&amp;dr=0&amp;er=0&amp;lr=default&amp;cd=0%7C0%7C0%7C0&amp;br=250&amp;bt=125&amp;ds=5&amp;ft=GNDpcInz7ThaK-UPXq8Zmo&amp;mime_type=audio_mpeg&amp;qs=13&amp;rc=am5rdGw5cjd5eDMzNzU8M0Bpam5rdGw5cjd5eDMzNzU8M0BybmluMmRrZ2xgLS1kMTZzYSNybmluMmRrZ2xgLS1kMTZzcw%3D%3D&amp;btag=e00050000&amp;expire=1763004219&amp;l=202511131022406C90E0DA9AAAC98C2302&amp;ply_type=3&amp;policy=3&amp;signature=7394a43bc37f888d7509bf00447d2d28&amp;tk=7571587458748974088</t>
  </si>
  <si>
    <t>https://p77-sign-sg.tiktokcdn.com/tos-alisg-avt-0068/a922d44f129753f3f4657ae1aab09386~tplv-tiktokx-cropcenter:100:100.jpeg?dr=14579&amp;refresh_token=4432e3b7&amp;x-expires=1764727200&amp;x-signature=eQmmyEmebq4nyd8MuxeK1qxKIB4%3D&amp;t=4d5b0474&amp;ps=13740610&amp;shp=a5d48078&amp;shcp=81f88b70&amp;idc=my</t>
  </si>
  <si>
    <t>https://v16-webapp-prime.tiktok.com/video/tos/useast2a/tos-useast2a-ve-0068c002/oIlYDf3rIENSEVDUAQPgFCVyIrjfALofqCdId0/?a=1988&amp;bti=ODszNWYuMDE6&amp;ch=0&amp;cr=3&amp;dr=0&amp;lr=all&amp;cd=0%7C0%7C0%7C&amp;cv=1&amp;br=2236&amp;bt=1118&amp;cs=0&amp;ds=3&amp;ft=-Csk_mrMPD12N8hopd-Ux~v2bY6e3wv251cAp&amp;mime_type=video_mp4&amp;qs=0&amp;rc=aDo4OWg8ZTg2Zjw4OWlkaEBpamR1NXU5cnR5eDMzNzczM0BhYC9hMWBeNi8xMTMtMF4zYSNjNWlkMmRzZmxgLS1kMTZzcw%3D%3D&amp;btag=e00090000&amp;expire=1763173419&amp;l=202511131022406C90E0DA9AAAC98C2302&amp;ply_type=2&amp;policy=2&amp;signature=6ce112f5685610add40fa120962d479a&amp;tk=tt_chain_token</t>
  </si>
  <si>
    <t>https://v16-webapp-prime.tiktok.com/video/tos/alisg/tos-alisg-v-27dcd7/oADQaALEmIGS1dAJfWAAeMIekJIqmniGAAfpTF/?a=1988&amp;bti=ODszNWYuMDE6&amp;ch=0&amp;cr=0&amp;dr=0&amp;er=0&amp;lr=default&amp;cd=0%7C0%7C0%7C0&amp;br=250&amp;bt=125&amp;ds=5&amp;ft=GNDpcInz7ThbzKvPXq8Zmo&amp;mime_type=audio_mpeg&amp;qs=13&amp;rc=am03a3E5cnhkNzMzODU8NEBpam03a3E5cnhkNzMzODU8NEAybmZjMmRrYy9hLS1kMS1zYSMybmZjMmRrYy9hLS1kMS1zcw%3D%3D&amp;btag=e00050000&amp;expire=1764559385&amp;l=20251201102139650E38823033055E6EEC&amp;ply_type=3&amp;policy=3&amp;signature=27e0f9db1defa96eb2ec46d9123e4d43&amp;tk=7571587458748974088</t>
  </si>
  <si>
    <t>https://p16-sign-sg.tiktokcdn.com/tos-alisg-avt-0068/a922d44f129753f3f4657ae1aab09386~tplv-tiktokx-cropcenter:1080:1080.jpeg?dr=14579&amp;refresh_token=fe8e6d0b&amp;x-expires=1764727200&amp;x-signature=ojt4SOW1P9EZB%2FM0G0rPYeAf9OI%3D&amp;t=4d5b0474&amp;ps=13740610&amp;shp=a5d48078&amp;shcp=81f88b70&amp;idc=my</t>
  </si>
  <si>
    <t>7412817886198205702</t>
  </si>
  <si>
    <t xml:space="preserve">O TDAH vai muito além do que você vê! ❤️‍🩹 _________________________  🤨 Mas, o que é a "HABITAT"?  É muito mais que uma comunidade! Criada por TDAHs, especialmente para TDAHs.  _________________________  🫂 Trazendo tudo que um dia eu busquei e não encontrei assim que recebi meu diagnóstico. E por isso, prometi a mim mesma, que um dia eu faria diferença na vida de outros TDAHs. Eis que esse momento chegou!  _________________________  👩🏻‍🚀 Mentorias Semanais Ao vivo, Aulas de Apoio, Descontos em Especialistas, Grupo no Whats, Direcionamento... Tudo que você precisa para desenvolver a melhor versão de si mesmo, TDAH!  _________________________  🔗 Junte-se a nós no meu link da bio! 💛  #tdahta #tdahadulto #comunidadetdah #adhdcommunity #tdahapoio </t>
  </si>
  <si>
    <t>Another Love (Instrumental Version)</t>
  </si>
  <si>
    <t>6835018678338062338</t>
  </si>
  <si>
    <t>https://sf16-ies-music-sg.tiktokcdn.com/obj/tos-alisg-ve-2774/okb1iABidIR10sOwhgWmiCMN9boOBfdAoTbywx</t>
  </si>
  <si>
    <t>https://v16-webapp-prime.tiktok.com/video/tos/alisg/tos-alisg-pve-0037c001/oogiYcViavKEQBqzN2nTSAEVExQQIAS4B3iV7/?a=1988&amp;bti=ODszNWYuMDE6&amp;ch=0&amp;cr=3&amp;dr=0&amp;lr=all&amp;cd=0%7C0%7C0%7C&amp;cv=1&amp;br=2530&amp;bt=1265&amp;cs=0&amp;ds=3&amp;ft=-Csk_mrMPD12NzDh5d-UxKyFaY6e3wv257cAp&amp;mime_type=video_mp4&amp;qs=0&amp;rc=NTdoOTk0aDdlZzxmOTg2O0Bpam9lZGs5cnBkNzMzODczNEAxMy5gM2M1NWIxLmM1MGFhYSNeM2hkMmRrYy9hLS1kMTFzcw%3D%3D&amp;btag=e00090000&amp;expire=1764728585&amp;l=20251201102139650E38823033055E6EEC&amp;ply_type=2&amp;policy=2&amp;signature=5ca40e20fa978da658266e7b76624825&amp;tk=tt_chain_token</t>
  </si>
  <si>
    <t>https://p77-sg.tiktokcdn.com/aweme/720x720/tos-alisg-v-2774/o87RxCrEaQAVLEElAMFfBBgSKoZAEeEiZADxtV.jpeg</t>
  </si>
  <si>
    <t>Pop Dash Music</t>
  </si>
  <si>
    <t>https://v16-webapp-prime.tiktok.com/video/tos/alisg/tos-alisg-pve-0037c001/owJDoN4cEnfgIDFQmCZAkD5f429RBKE3FQBgQ7/?a=1988&amp;bti=ODszNWYuMDE6&amp;ch=0&amp;cr=3&amp;dr=0&amp;lr=all&amp;cd=0%7C0%7C0%7C&amp;cv=1&amp;br=1562&amp;bt=781&amp;cs=0&amp;ds=3&amp;ft=-Csk_mrMPD12NE.opd-UxG4vXY6e3wv25McAp&amp;mime_type=video_mp4&amp;qs=0&amp;rc=NmdoZTxkNGdoZztmN2ZlZEBpM2Y8NXg5cjVzdTMzNzczM0BgLTYzXjNeXy4xLTE0LTQuYSNuby9yMmRrb2NgLS1kMTZzcw%3D%3D&amp;btag=e00090000&amp;expire=1763173603&amp;l=20251113102536F89EBD83B531C49CD72A&amp;ply_type=2&amp;policy=2&amp;signature=8f86a12069117f0575e6df1dc44b5644&amp;tk=tt_chain_token</t>
  </si>
  <si>
    <t>https://www.tiktok.com/@lorenatdahta/video/7412817886198205702</t>
  </si>
  <si>
    <t>tdahta,tdahadulto,comunidadetdah,adhdcommunity,tdahapoio</t>
  </si>
  <si>
    <t>https://v16-webapp-prime.tiktok.com/video/tos/useast2a/tos-useast2a-v-27dcd7/o0EUjFofyBAKBiDvEfh4AJAQE7I0O4pLjDDCJM/?a=1988&amp;bti=ODszNWYuMDE6&amp;ch=0&amp;cr=0&amp;dr=0&amp;er=0&amp;lr=default&amp;cd=0%7C0%7C0%7C0&amp;br=250&amp;bt=125&amp;ds=5&amp;ft=GNDpcInz7ThvFKvPXq8Zmo&amp;mime_type=audio_mpeg&amp;qs=13&amp;rc=M2Rkd245cmxsNjMzNzU8M0BpM2Rkd245cmxsNjMzNzU8M0A0MzFzMmRzLmVhLS1kMTZzYSM0MzFzMmRzLmVhLS1kMTZzcw%3D%3D&amp;btag=e00050000&amp;expire=1764559430&amp;l=2025120110220104295D62D2C47867A675&amp;ply_type=3&amp;policy=3&amp;signature=cabb4304fb584c0fe740381aa076dfc7&amp;tk=7571587458748974088</t>
  </si>
  <si>
    <t>7495529064619429126</t>
  </si>
  <si>
    <t>coringafrasesia</t>
  </si>
  <si>
    <t>Coringa🃏</t>
  </si>
  <si>
    <t>https://p16-sign-va.tiktokcdn.com/tos-maliva-avt-0068/0cb45cf7466f595eb7489f64464112ee~tplv-tiktokx-cropcenter:100:100.jpeg?dr=14579&amp;refresh_token=e8827f1f&amp;x-expires=1763172000&amp;x-signature=LxhsgOj1Xjj%2FW92qHLJlTltxH%2BI%3D&amp;t=4d5b0474&amp;ps=13740610&amp;shp=a5d48078&amp;shcp=81f88b70&amp;idc=my</t>
  </si>
  <si>
    <t xml:space="preserve">🧠 E ai, quem se identificou? . O TDAH no adulto apresenta alguns sinais muito comuns que podem atrapalhar em seu dia a dia. É COMPREENSÍVEL o quanto deve ser difícil lidar com esses sintomas, justamente quando envolve pessoas e projetos. . CALMA! não vai ser este simples vídeo que vai DIAGNOSTICAR com esse tipo de transtorno. EXISTE TODO UM PROCESSO para se ter um diagnóstico. .  A SUA AJUDA ESTÁ NO LINK NO PERFIL! . #emocoes #saudemental #tdha #psicologoonline #autoconhecimento #psicoterapia #hiperatividade #viralizou #pisico </t>
  </si>
  <si>
    <t>Einaudi: Experience</t>
  </si>
  <si>
    <t>6749405407854200834</t>
  </si>
  <si>
    <t>https://sf16-ies-music-sg.tiktokcdn.com/obj/tos-alisg-ve-2774/oQPMCodrI3vLR5fF2AiQaKXIz3gYGDd0ae8Yeg</t>
  </si>
  <si>
    <t>https://v16-webapp-prime.tiktok.com/video/tos/useast2a/tos-useast2a-ve-0068c002/oowDFBzlwEg9ETajIQQcEf4pJR4GoEAEkBfRQ5/?a=1988&amp;bti=ODszNWYuMDE6&amp;ch=0&amp;cr=3&amp;dr=0&amp;lr=all&amp;cd=0%7C0%7C0%7C&amp;cv=1&amp;br=2538&amp;bt=1269&amp;cs=0&amp;ds=3&amp;ft=-Csk_mrMPD12NOBh5d-Uxbt2hY6e3wv25HcAp&amp;mime_type=video_mp4&amp;qs=0&amp;rc=ZWdoOmdmZGk2ZTg0ZjtoM0BpMzc6O2o5cmRqNjMzNzczM0AuLmFgYjNeNWExMmNiMS9fYSNwcmc2MmRjYWVhLS1kMTZzcw%3D%3D&amp;btag=e00090000&amp;expire=1764728631&amp;l=2025120110220104295D62D2C47867A675&amp;ply_type=2&amp;policy=2&amp;signature=3f13c1de87ec6d67d9a4253f93dd1257&amp;tk=tt_chain_token</t>
  </si>
  <si>
    <t>https://p77-sg.tiktokcdn.com/aweme/720x720/tos-alisg-v-2774/oM2CAM3ICAXPDPl8aAnoegMvfBzeaFIOQI2CAJ.jpeg</t>
  </si>
  <si>
    <t>Ludovico Einaudi &amp; Daniel Hope &amp; I Virtuosi Italiani</t>
  </si>
  <si>
    <t>https://v16-webapp-prime.tiktok.com/video/tos/alisg/tos-alisg-ve-37c813-sg/oMEKIJXfXAmQ7OERqeBodgFdgrrDj4QBAOpwKB/?a=1988&amp;bti=ODszNWYuMDE6&amp;ch=0&amp;cr=3&amp;dr=0&amp;lr=all&amp;cd=0%7C0%7C0%7C&amp;cv=1&amp;br=1708&amp;bt=854&amp;cs=0&amp;ds=3&amp;ft=I~da4oKyD12NvOA0i.IxRehNblBF-UjNSMopiX&amp;mime_type=video_mp4&amp;qs=0&amp;rc=ZmY0ZWg3OzY6NTdmNWQ2PEBpM21wZm45cnRxMzMzNzczM0BfMF5eLTZfNTQxYTM1MWMwYSM1YmNrMmRrYi9hLS1kMTZzcw%3D%3D&amp;btag=e00088000&amp;expire=1763173534&amp;l=20251113102443BFAC5C39F8934C8F8E6A&amp;ply_type=2&amp;policy=2&amp;signature=76791b8ab4854a5f719ac92867f11fe8&amp;tk=tt_chain_token</t>
  </si>
  <si>
    <t>https://www.tiktok.com/@coringafrasesia/video/7495529064619429126</t>
  </si>
  <si>
    <t>https://p16-sign-va.tiktokcdn.com/tos-maliva-avt-0068/18079c46c06ed7b354e537e2c8d28c00~tplv-tiktokx-cropcenter:100:100.jpeg?dr=14579&amp;refresh_token=a1a0038b&amp;x-expires=1764727200&amp;x-signature=P2LzYNuV000X5B7ThdTkyeYwLxk%3D&amp;t=4d5b0474&amp;ps=13740610&amp;shp=a5d48078&amp;shcp=81f88b70&amp;idc=my</t>
  </si>
  <si>
    <t>emocoes,saudemental,tdha,psicologoonline,autoconhecimento,psicoterapia,hiperatividade,viralizou,pisico</t>
  </si>
  <si>
    <t>https://v16-webapp-prime.tiktok.com/video/tos/alisg/tos-alisg-v-27dcd7/oUfdA47HARshIAEsCa1FSoeDCWAUeITwXigEAD/?a=1988&amp;bti=ODszNWYuMDE6&amp;ch=0&amp;cr=0&amp;dr=0&amp;er=0&amp;lr=default&amp;cd=0%7C0%7C0%7C0&amp;br=250&amp;bt=125&amp;ds=5&amp;ft=GNDpcInz7ThaV-UPXq8Zmo&amp;mime_type=audio_mpeg&amp;qs=13&amp;rc=M3Zvb2s5cnEzNjMzODU8NEBpM3Zvb2s5cnEzNjMzODU8NEAyaWUxMmRjX3BhLS1kMS1zYSMyaWUxMmRjX3BhLS1kMS1zcw%3D%3D&amp;btag=e00050000&amp;expire=1763004308&amp;l=20251113102343D1A0044B947998B9C2A2&amp;ply_type=3&amp;policy=3&amp;signature=35cabdb118dc6a16f0c7b1b70ad29579&amp;tk=7571587458748974088</t>
  </si>
  <si>
    <t>https://v16-webapp-prime.tiktok.com/video/tos/useast2a/tos-useast2a-v-27dcd7/o8CABUomJEGAAJkE6ASfBFP0DDYbBjE20YeUlQ/?a=1988&amp;bti=ODszNWYuMDE6&amp;ch=0&amp;cr=0&amp;dr=0&amp;er=0&amp;lr=default&amp;cd=0%7C0%7C0%7C0&amp;br=250&amp;bt=125&amp;ds=5&amp;ft=GNDpcInz7ThvzKvPXq8Zmo&amp;mime_type=audio_mpeg&amp;qs=13&amp;rc=M248ZnU5cjQ2dTMzNzU8M0BpM248ZnU5cjQ2dTMzNzU8M0AtcWktMmRrcTZgLS1kMTZzYSMtcWktMmRrcTZgLS1kMTZzcw%3D%3D&amp;btag=e00050000&amp;expire=1764559348&amp;l=2025120110205711DA509A8B9B2F6AA181&amp;ply_type=3&amp;policy=3&amp;signature=2aa91c75073620232146d7140da8815e&amp;tk=7571587458748974088</t>
  </si>
  <si>
    <t>https://p16-sign-va.tiktokcdn.com/tos-maliva-avt-0068/b65580219dd212688aa9c5305651ee47~tplv-tiktokx-cropcenter:1080:1080.jpeg?dr=14579&amp;refresh_token=025361fd&amp;x-expires=1763172000&amp;x-signature=8AqsZ4oIvJ0vuASfc%2FfKVn89STg%3D&amp;t=4d5b0474&amp;ps=13740610&amp;shp=a5d48078&amp;shcp=81f88b70&amp;idc=my</t>
  </si>
  <si>
    <t>https://p77-sign-va.tiktokcdn.com/tos-maliva-avt-0068/18079c46c06ed7b354e537e2c8d28c00~tplv-tiktokx-cropcenter:1080:1080.jpeg?dr=14579&amp;refresh_token=75f5687a&amp;x-expires=1764727200&amp;x-signature=dKKOlDg5s4YiMnxi85nHUby7Rnc%3D&amp;t=4d5b0474&amp;ps=13740610&amp;shp=a5d48078&amp;shcp=81f88b70&amp;idc=my</t>
  </si>
  <si>
    <t>https://v16-webapp-prime.tiktok.com/video/tos/alisg/tos-alisg-pve-0037c001/oQf8oAViMujtACFaAQ85AwAKBXHBzRDIfZ5jeg/?a=1988&amp;bti=ODszNWYuMDE6&amp;ch=0&amp;cr=3&amp;dr=0&amp;lr=all&amp;cd=0%7C0%7C0%7C&amp;cv=1&amp;br=1238&amp;bt=619&amp;cs=0&amp;ds=2&amp;ft=-Csk_mrMPD12N8Yopd-UxfeFaY6e3wv25HcAp&amp;mime_type=video_mp4&amp;qs=0&amp;rc=ZTkzN2RmNzszODQ8ZDc8NUBpamVxaHU5cmQzNjMzODczNEAuMzY2NF8wXy4xLzM0MTVeYSNfLS4xMmRrX3BhLS1kMTFzcw%3D%3D&amp;btag=e00090000&amp;expire=1763173508&amp;l=20251113102343D1A0044B947998B9C2A2&amp;ply_type=2&amp;policy=2&amp;signature=7e458d61cb3e3d2f2b1eaa8a7b95bca3&amp;tk=tt_chain_token</t>
  </si>
  <si>
    <t>https://v16-webapp-prime.tiktok.com/video/tos/useast2a/tos-useast2a-ve-0068c002/oo9S2woafAIbs8XsQBIzWpA9aigkiCxhyRMEUz/?a=1988&amp;bti=ODszNWYuMDE6&amp;ch=0&amp;cr=3&amp;dr=0&amp;lr=all&amp;cd=0%7C0%7C0%7C&amp;cv=1&amp;br=2300&amp;bt=1150&amp;cs=0&amp;ds=3&amp;ft=-Csk_mrMPD12N5Dh5d-UxP12hY6e3wv25ocAp&amp;mime_type=video_mp4&amp;qs=0&amp;rc=ZWZmZzU7aDc6aTw1Nmc6OUBpampwOG05cnU2dTMzNzczM0AyX19jYi4yNjIxNV80LjFgYSNyMGttMmRjcDZgLS1kMTZzcw%3D%3D&amp;btag=e00090000&amp;expire=1764728548&amp;l=2025120110205711DA509A8B9B2F6AA181&amp;ply_type=2&amp;policy=2&amp;signature=355f3925be20e0a7a4972efc26cce545&amp;tk=tt_chain_token</t>
  </si>
  <si>
    <t>7455486279208160517</t>
  </si>
  <si>
    <t>#saudemental #tdah #psicologia #psicoterapia #emocoes #viralizou #fyp #foryou #foryoupage</t>
  </si>
  <si>
    <t>4 Atitudes de um TDAH ADULTO  que “ D3STRÓI” uma RELAÇÃO  1- DESINTERESSE MOMENTÂNEO 
em conversas 2- VAI FAZER PROMESSAS e não 
“CUMPRIR” 3- NO INÍCIO DA RELAÇÃO 
vai ser “INTENSO” e depois 
esfria… 4- Vai ser comum SAIR DE CASA ou fazer 
as coisas “SEM AVISAR”</t>
  </si>
  <si>
    <t>7455486309638769414</t>
  </si>
  <si>
    <t>https://v16-webapp-prime.tiktok.com/video/tos/useast2a/tos-useast2a-v-27dcd7/ocRPCEVQzEUTAASB0TA1yAviB3FcZlNViTSC3/?a=1988&amp;bti=ODszNWYuMDE6&amp;ch=0&amp;cr=0&amp;dr=0&amp;er=0&amp;lr=default&amp;cd=0%7C0%7C0%7C0&amp;br=250&amp;bt=125&amp;ds=5&amp;ft=GNDpcInz7ThOD-UPXq8Zmo&amp;mime_type=audio_mpeg&amp;qs=13&amp;rc=M21vam45cm9tdzMzNzU8M0BpM21vam45cm9tdzMzNzU8M0BtMWRtMmQ0Xm9gLS1kMTZzYSNtMWRtMmQ0Xm9gLS1kMTZzcw%3D%3D&amp;btag=e00050000&amp;expire=1763004397&amp;l=20251113102536F89EBD83B531C49CD72A&amp;ply_type=3&amp;policy=3&amp;signature=a28b538a40f5f19d340774c4fb905cb9&amp;tk=7571587458748974088</t>
  </si>
  <si>
    <t>https://p77-sign-va.tiktokcdn.com/tos-maliva-avt-0068/e36021fab1514000f0e38ef6e435b4da~tplv-tiktokx-cropcenter:100:100.jpeg?dr=14579&amp;refresh_token=0c4c4e5a&amp;x-expires=1764727200&amp;x-signature=7pBZTvUBfkrtT3stX8fI8eHHERw%3D&amp;t=4d5b0474&amp;ps=13740610&amp;shp=a5d48078&amp;shcp=81f88b70&amp;idc=my</t>
  </si>
  <si>
    <t>https://v16-webapp-prime.tiktok.com/video/tos/useast2a/tos-useast2a-pve-0068/oA0HCcoAUcEB3BQmJGzkjEi4SZia3V37IN0Qv/?a=1988&amp;bti=ODszNWYuMDE6&amp;ch=0&amp;cr=3&amp;dr=0&amp;lr=all&amp;cd=0%7C0%7C0%7C&amp;cv=1&amp;br=1870&amp;bt=935&amp;cs=0&amp;ds=3&amp;ft=-Csk_mrMPD12NE.opd-UxG4vXY6e3wv25McAp&amp;mime_type=video_mp4&amp;qs=0&amp;rc=ZTRpOGk3NDo3PDpoNWU1N0Bpajd3OHI5cjttdzMzNzczM0BhMDA2LTVjNjMxXy5eYjIzYSMwbWJuMmRrNG9gLS1kMTZzcw%3D%3D&amp;btag=e00090000&amp;expire=1763173597&amp;l=20251113102536F89EBD83B531C49CD72A&amp;ply_type=2&amp;policy=2&amp;signature=49e9e7d42cb987490ba630c648120df0&amp;tk=tt_chain_token</t>
  </si>
  <si>
    <t>https://v16-webapp-prime.tiktok.com/video/tos/useast2a/tos-useast2a-v-27dcd7/ooAS1rBzDAESRiy1L1VpyUlEHCtMUQACWiAPa/?a=1988&amp;bti=ODszNWYuMDE6&amp;ch=0&amp;cr=0&amp;dr=0&amp;er=0&amp;lr=default&amp;cd=0%7C0%7C0%7C0&amp;br=250&amp;bt=125&amp;ds=5&amp;ft=GNDpcInz7ThCPKvPXq8Zmo&amp;mime_type=audio_mpeg&amp;qs=13&amp;rc=M29nZGw5cjp1NTMzNzU8M0BpM29nZGw5cjp1NTMzNzU8M0A2X2FeMmQ0Xm5hLS1kMTZzYSM2X2FeMmQ0Xm5hLS1kMTZzcw%3D%3D&amp;btag=e00048000&amp;expire=1764559300&amp;l=20251201102042908EBE054CA4706238E0&amp;ply_type=3&amp;policy=3&amp;signature=acb55deec65bf66662f1b0d060fcf67e&amp;tk=7571587458748974088</t>
  </si>
  <si>
    <t>https://www.tiktok.com/@igorpsicologo/video/7455486279208160517</t>
  </si>
  <si>
    <t>https://p77-sign-va.tiktokcdn.com/tos-maliva-avt-0068/e36021fab1514000f0e38ef6e435b4da~tplv-tiktokx-cropcenter:1080:1080.jpeg?dr=14579&amp;refresh_token=bcfd20c8&amp;x-expires=1764727200&amp;x-signature=FkrJjUaS%2FCDE3TKYXs1AMUWVQ1o%3D&amp;t=4d5b0474&amp;ps=13740610&amp;shp=a5d48078&amp;shcp=81f88b70&amp;idc=my</t>
  </si>
  <si>
    <t>saudemental,tdah,psicologia,psicoterapia,emocoes,viralizou,fyp,foryou,foryoupage</t>
  </si>
  <si>
    <t>https://v16-webapp-prime.tiktok.com/video/tos/useast2a/tos-useast2a-v-27dcd7/o4TqeAAMPKC92zLvC8XQgXMtoVETezAQQb8fS9/?a=1988&amp;bti=ODszNWYuMDE6&amp;ch=0&amp;cr=0&amp;dr=0&amp;er=0&amp;lr=default&amp;cd=0%7C0%7C0%7C0&amp;br=250&amp;bt=125&amp;ds=5&amp;ft=GNDpcInz7ThOD-UPXq8Zmo&amp;mime_type=audio_mpeg&amp;qs=13&amp;rc=anY4cHk5cnd4eDMzNzU8M0BpanY4cHk5cnd4eDMzNzU8M0Btc2dlMmRraWlgLS1kMTZzYSNtc2dlMmRraWlgLS1kMTZzcw%3D%3D&amp;btag=e00050000&amp;expire=1763004403&amp;l=20251113102536F89EBD83B531C49CD72A&amp;ply_type=3&amp;policy=3&amp;signature=cf50892e377864b2b18c2cd098e9a287&amp;tk=7571587458748974088</t>
  </si>
  <si>
    <t>https://v16-webapp-prime.tiktok.com/video/tos/useast2a/tos-useast2a-ve-0068c001/ogf142RbGIGD01KlAaLgSDjJoCepRFCQIGgeIa/?a=1988&amp;bti=ODszNWYuMDE6&amp;ch=0&amp;cr=3&amp;dr=0&amp;lr=all&amp;cd=0%7C0%7C0%7C&amp;cv=1&amp;br=844&amp;bt=422&amp;cs=0&amp;ds=3&amp;ft=-Csk_mrMPD12NKdh5d-Uxs12aY6e3wv252cAp&amp;mime_type=video_mp4&amp;qs=0&amp;rc=MzZnZTpmNDU4aGY2aTQ6ZUBpM25kaWw5cjx1NTMzNzczM0AwYi9eMC0yXi0xLjYyMTUzYSNhbm9nMmQ0Nm5hLS1kMTZzcw%3D%3D&amp;btag=e00088000&amp;expire=1764728500&amp;l=20251201102042908EBE054CA4706238E0&amp;ply_type=2&amp;policy=2&amp;signature=534f2fbe526e1eeb132e42574e5ed13a&amp;tk=tt_chain_token</t>
  </si>
  <si>
    <t>https://v16-webapp-prime.tiktok.com/video/tos/useast2a/tos-useast2a-ve-0068c004/ogqXt7gVeAg0vUVfAGjPohC01ICSLIey19nRRl/?a=1988&amp;bti=ODszNWYuMDE6&amp;ch=0&amp;cr=3&amp;dr=0&amp;lr=all&amp;cd=0%7C0%7C0%7C&amp;cv=1&amp;br=2448&amp;bt=1224&amp;cs=0&amp;ds=3&amp;ft=-Csk_mrMPD12NE.opd-UxG4vXY6e3wv25McAp&amp;mime_type=video_mp4&amp;qs=0&amp;rc=NzVnOmhnZWc4ZWVkOWlpZkBpamhkcHM5cjh4eDMzNzczM0A2YWIvXmM0NmAxYGAtNl4tYSNybWViMmRraWlgLS1kMTZzcw%3D%3D&amp;btag=e00090000&amp;expire=1763173603&amp;l=20251113102536F89EBD83B531C49CD72A&amp;ply_type=2&amp;policy=2&amp;signature=df2c8a86d61f055fdf8cb11f1ec20c65&amp;tk=tt_chain_token</t>
  </si>
  <si>
    <t>https://v16-webapp-prime.tiktok.com/video/tos/useast2a/tos-useast2a-v-27dcd7/ooZjrAkB0Ac0QNuiiAAbPBEAKgt7fXnolEEcCk/?a=1988&amp;bti=ODszNWYuMDE6&amp;ch=0&amp;cr=0&amp;dr=0&amp;er=0&amp;lr=default&amp;cd=0%7C0%7C0%7C0&amp;br=250&amp;bt=125&amp;ds=5&amp;ft=GNDpcInz7Th0zKvPXq8Zmo&amp;mime_type=audio_mpeg&amp;qs=13&amp;rc=ampwPG45cmxxNTMzNzU8M0BpampwPG45cmxxNTMzNzU8M0BgcGEtMmRjMHFhLS1kMTZzYSNgcGEtMmRjMHFhLS1kMTZzcw%3D%3D&amp;btag=e00050000&amp;expire=1764559354&amp;l=2025120110213238A64472738F9C5726DD&amp;ply_type=3&amp;policy=3&amp;signature=f8f3221418c20b90aec879f58451d0ea&amp;tk=7571587458748974088</t>
  </si>
  <si>
    <t>7472915330604600631</t>
  </si>
  <si>
    <t>laradalmeidapsicologa</t>
  </si>
  <si>
    <t>Lara d Almeida Psicóloga</t>
  </si>
  <si>
    <t>https://p77-sign-va.tiktokcdn.com/tos-maliva-avt-0068/1f7f69a35f80647531597a72a07df16c~tplv-tiktokx-cropcenter:100:100.jpeg?dr=14579&amp;refresh_token=cb3d1cda&amp;x-expires=1763172000&amp;x-signature=GrcANy2Vqfmo4nAkVitga0dFMOU%3D&amp;t=4d5b0474&amp;ps=13740610&amp;shp=a5d48078&amp;shcp=81f88b70&amp;idc=my</t>
  </si>
  <si>
    <t>https://v16-webapp-prime.tiktok.com/video/tos/useast2a/tos-useast2a-ve-0068c003/oYuCG81ed2ARLCARQMFMj5LGgIRISfgqyedLIW/?a=1988&amp;bti=ODszNWYuMDE6&amp;ch=0&amp;cr=3&amp;dr=0&amp;lr=all&amp;cd=0%7C0%7C0%7C&amp;cv=1&amp;br=838&amp;bt=419&amp;cs=0&amp;ds=3&amp;ft=-Csk_mrMPD12NsDh5d-UxSc2hY6e3wv25DcAp&amp;mime_type=video_mp4&amp;qs=0&amp;rc=NWk6PGg3M2U3NGQ6NDhpM0BpMzh3ZG45cjlxNTMzNzczM0AzNTQ2MGM0X2AxMzBfMTQ2YSNncGliMmRrMHFhLS1kMTZzcw%3D%3D&amp;btag=e00090000&amp;expire=1764728554&amp;l=2025120110213238A64472738F9C5726DD&amp;ply_type=2&amp;policy=2&amp;signature=fd29493570219467fa1088d426fda76f&amp;tk=tt_chain_token</t>
  </si>
  <si>
    <t xml:space="preserve">Embora o TDAH não seja caracterizado por “crises” no tradicional (como crises epilépticas), muitas pessoas com TDAH relatam episódios de desregulação emocional intensa, impulsividade descontrolada e exaustão mental. Esses episódios podem  ocorrem devido a dificuldades na autorregulação e no gerenciamento de estímulos. A terapia será fundamental nesse processo. Estou com a agenda de atendimentos aberta. O link do WhatsApp está na minha bio. #tdahadulto #tdah </t>
  </si>
  <si>
    <t>7472915338508225335</t>
  </si>
  <si>
    <t>https://v16-webapp-prime.tiktok.com/video/tos/useast2a/tos-useast2a-v-27dcd7/okJBADnE10xDVB6IQwJPSfEyFUCJCAt3HMDfAE/?a=1988&amp;bti=ODszNWYuMDE6&amp;ch=0&amp;cr=0&amp;dr=0&amp;er=0&amp;lr=default&amp;cd=0%7C0%7C0%7C0&amp;br=250&amp;bt=125&amp;ds=5&amp;ft=GNDpcInz7ThX9-UPXq8Zmo&amp;mime_type=audio_mpeg&amp;qs=13&amp;rc=M2s7d3U5cnZseDMzNzU8M0BpM2s7d3U5cnZseDMzNzU8M0AzNDRzMmQ0Lm5gLS1kMTZzYSMzNDRzMmQ0Lm5gLS1kMTZzcw%3D%3D&amp;btag=e00050000&amp;expire=1763004346&amp;l=20251113102424EE0F9FCD2CC2B68BE0E2&amp;ply_type=3&amp;policy=3&amp;signature=745704b2a6ad5b8723d118d4bf18fd13&amp;tk=7571587458748974088</t>
  </si>
  <si>
    <t>https://p16-sign-va.tiktokcdn.com/tos-maliva-avt-0068/1f7f69a35f80647531597a72a07df16c~tplv-tiktokx-cropcenter:1080:1080.jpeg?dr=14579&amp;refresh_token=eb05a2e5&amp;x-expires=1763172000&amp;x-signature=gyF9qQ2x0%2BTdgfbXFbu4WgPy9SE%3D&amp;t=4d5b0474&amp;ps=13740610&amp;shp=a5d48078&amp;shcp=81f88b70&amp;idc=my</t>
  </si>
  <si>
    <t>https://p16-sign-va.tiktokcdn.com/tos-maliva-avt-0068/f33c918b025334118e01aa37b2cabd9d~tplv-tiktokx-cropcenter:100:100.jpeg?dr=14579&amp;refresh_token=18e5df8f&amp;x-expires=1764727200&amp;x-signature=u4qFNwrgZdPbKGwyTsug24bwrwg%3D&amp;t=4d5b0474&amp;ps=13740610&amp;shp=a5d48078&amp;shcp=81f88b70&amp;idc=my</t>
  </si>
  <si>
    <t>https://v16-webapp-prime.tiktok.com/video/tos/alisg/tos-alisg-ve-37c813-sg/oshEBt8JDIAS3TzoQeQBqfg6EQEt8BDFnQJRoF/?a=1988&amp;bti=ODszNWYuMDE6&amp;ch=0&amp;cr=3&amp;dr=0&amp;lr=all&amp;cd=0%7C0%7C0%7C&amp;cv=1&amp;br=1960&amp;bt=980&amp;cs=0&amp;ds=3&amp;ft=-Csk_mrMPD12N-copd-Ux7~2bY6e3wv25bcAp&amp;mime_type=video_mp4&amp;qs=0&amp;rc=PDY3ZDo6PGdnaDM3OTM7OEBpM3VsOHA5cnlseDMzNzczM0A1NjU0NS80XmIxXzNiMDUvYSNlZC1zMmQ0LW5gLS1kMTZzcw%3D%3D&amp;btag=e00090000&amp;expire=1763173547&amp;l=20251113102424EE0F9FCD2CC2B68BE0E2&amp;ply_type=2&amp;policy=2&amp;signature=d766e81c9b27568626e45c618278b2c0&amp;tk=tt_chain_token</t>
  </si>
  <si>
    <t>https://www.tiktok.com/@laradalmeidapsicologa/video/7472915330604600631</t>
  </si>
  <si>
    <t>tdahadulto,tdah</t>
  </si>
  <si>
    <t>https://v16-webapp-prime.tiktok.com/video/tos/useast2a/tos-useast2a-ve-0068c002/oIGTVoEEIBQop1zfsmFJMpTNHai9pEAjDBJRQf/?a=1988&amp;bti=ODszNWYuMDE6&amp;ch=0&amp;cr=3&amp;dr=0&amp;lr=all&amp;cd=0%7C0%7C0%7C&amp;cv=1&amp;br=1652&amp;bt=826&amp;cs=0&amp;ds=3&amp;ft=-Csk_mrMPD12NTDh5d-UxHX2hY6e3wv25McAp&amp;mime_type=video_mp4&amp;qs=0&amp;rc=ZWQ5ODkzZDRmNjc0aTRkZEBpam9udXk5cmQ8NjMzNzczM0AtXzIyL18wNmAxXy8zMjMtYSMwbjRlMmRjZTNhLS1kMTZzcw%3D%3D&amp;btag=e00090000&amp;expire=1764728513&amp;l=20251201102050B730D50024D84153D9E5&amp;ply_type=2&amp;policy=2&amp;signature=e2caeb2f011fc91df5a82f3151671399&amp;tk=tt_chain_token</t>
  </si>
  <si>
    <t>https://v16-webapp-prime.tiktok.com/video/tos/alisg/tos-alisg-v-27dcd7/o8AYDTAKugP1rEaDltECa2iABaAHXlaUioPA1/?a=1988&amp;bti=ODszNWYuMDE6&amp;ch=0&amp;cr=0&amp;dr=0&amp;er=0&amp;lr=default&amp;cd=0%7C0%7C0%7C0&amp;br=250&amp;bt=125&amp;ds=5&amp;ft=GNDpcInz7ThaV-UPXq8Zmo&amp;mime_type=audio_mpeg&amp;qs=13&amp;rc=anQ1b285cjtkNjMzODU8NEBpanQ1b285cjtkNjMzODU8NEBmcHBuMmQ0b29hLS1kMS1zYSNmcHBuMmQ0b29hLS1kMS1zcw%3D%3D&amp;btag=e00050000&amp;expire=1763004291&amp;l=20251113102343D1A0044B947998B9C2A2&amp;ply_type=3&amp;policy=3&amp;signature=22031e2acb0b82f73b14a36f6d4ddb00&amp;tk=7571587458748974088</t>
  </si>
  <si>
    <t>https://v16-webapp-prime.tiktok.com/video/tos/alisg/tos-alisg-pve-0037c001/okr7GeDpIIroR0WBCARALCItgWjVAOmUfDftSQ/?a=1988&amp;bti=ODszNWYuMDE6&amp;ch=0&amp;cr=3&amp;dr=0&amp;lr=all&amp;cd=0%7C0%7C0%7C&amp;cv=1&amp;br=2724&amp;bt=1362&amp;cs=0&amp;ds=3&amp;ft=-Csk_mrMPD12N8Yopd-UxfeFaY6e3wv25HcAp&amp;mime_type=video_mp4&amp;qs=0&amp;rc=MzRkPDw0Z2llNDlmOjRoOUBpajNsO2o5cndkNjMzODczNEAxNmNjMzFhNjAxYi5iYmBjYSNeZ2RsMmQ0bm9hLS1kMTFzcw%3D%3D&amp;btag=e00090000&amp;expire=1763173492&amp;l=20251113102343D1A0044B947998B9C2A2&amp;ply_type=2&amp;policy=2&amp;signature=7d2c225b276bdf2417d5dd0c85c66aed&amp;tk=tt_chain_token</t>
  </si>
  <si>
    <t>7192592805120822533</t>
  </si>
  <si>
    <t>https://p77-sign-va.tiktokcdn.com/tos-maliva-avt-0068/b5b8616e7ad0f537b77f3f29a3b4aad1~tplv-tiktokx-cropcenter:100:100.jpeg?dr=14579&amp;refresh_token=222652d6&amp;x-expires=1764727200&amp;x-signature=3tdE7jWdU9TY3VKEydHLd16o%2By8%3D&amp;t=4d5b0474&amp;ps=13740610&amp;shp=a5d48078&amp;shcp=81f88b70&amp;idc=my</t>
  </si>
  <si>
    <t xml:space="preserve">TDAH é Transtorno do Déficit de Atenção e Hiperatividade.  Se os sintomas te incomodam o ideal é buscar um especialista.  Para agendar comigo, basta clicsr no link que esta na bio.  #tdah #tdahadulto #neurodivergent #neuropsicopedagogia #psicopedagoga </t>
  </si>
  <si>
    <t>5 TAREFAS DIFÍCEIS  PARA PESSOA TDAH</t>
  </si>
  <si>
    <t>Shakira: Bzrp Music Sessions, Vol. 53/66</t>
  </si>
  <si>
    <t>7540685593357946168</t>
  </si>
  <si>
    <t>7187522835294881793</t>
  </si>
  <si>
    <t>https://sf16-ies-music-sg.tiktokcdn.com/obj/tos-alisg-ve-2774/ocYGgQdLwDNf1Feh2rXG50JKI4AuhDrQ4AeLme</t>
  </si>
  <si>
    <t>altashabilidades.sd</t>
  </si>
  <si>
    <t>AltasHabilidadesSuperdotacao</t>
  </si>
  <si>
    <t>https://p77-sign-va.tiktokcdn.com/tos-maliva-avt-0068/816fdb182b2b11ef50c6b62b3bd8796e~tplv-tiktokx-cropcenter:100:100.jpeg?dr=14579&amp;refresh_token=15a06b7d&amp;x-expires=1763172000&amp;x-signature=npGNKyiqnlrQRfbk0NQjAT5hC34%3D&amp;t=4d5b0474&amp;ps=13740610&amp;shp=a5d48078&amp;shcp=81f88b70&amp;idc=my</t>
  </si>
  <si>
    <t>https://p16-sg.tiktokcdn.com/aweme/720x720/tos-alisg-v-2774/o8aLnPIAo9FLAIMwAfzwlKe7ANGDDCAI9A0Seo.jpeg</t>
  </si>
  <si>
    <t>Bizarrap &amp; Shakira</t>
  </si>
  <si>
    <t>https://v16-webapp-prime.tiktok.com/video/tos/maliva/tos-maliva-ve-0068c801-us/oUpyVQkzxAOCHR4fhCuJYAIuCgZRN61o2IURDG/?a=1988&amp;bti=ODszNWYuMDE6&amp;ch=0&amp;cr=3&amp;dr=0&amp;lr=all&amp;cd=0%7C0%7C0%7C&amp;cv=1&amp;br=2962&amp;bt=1481&amp;cs=0&amp;ds=3&amp;ft=-Csk_mrMPD12N7Dh5d-UxII2hY6e3wv252cAp&amp;mime_type=video_mp4&amp;qs=0&amp;rc=PDxpOTZnZGUzOjc0M2ZlOUBpajo6ZzU6ZjZtaTMzNzczM0AuL2MzNjM1NTAxYzYzNmJiYSNoZGdrcjQwZjVgLS1kMTZzcw%3D%3D&amp;btag=e000b8000&amp;expire=1764728478&amp;l=2025120110210247DE29902DF1415935A0&amp;ply_type=2&amp;policy=2&amp;signature=3fb64dba95be205874c21fc75305d269&amp;tk=tt_chain_token</t>
  </si>
  <si>
    <t>PARTE 1 | TDAH com Altas Habilidades/ Superdotação. Por que esquece das coisas se ele é tão inteligente? #tdah #foryou #psicologia #neurodivergente #tdahadulto</t>
  </si>
  <si>
    <t>TDAH com
Altas Habilidades</t>
  </si>
  <si>
    <t>Cornfield Chase</t>
  </si>
  <si>
    <t>6893467202435942401</t>
  </si>
  <si>
    <t>https://sf16-ies-music-sg.tiktokcdn.com/obj/tos-alisg-ve-2774/5cd3b219beed473dbeff43b537e0bc4d</t>
  </si>
  <si>
    <t>https://p77-sg.tiktokcdn.com/aweme/720x720/tos-alisg-v-2774/66a26eccfd91446180f958f436900c7f.jpeg</t>
  </si>
  <si>
    <t>Hans Zimmer</t>
  </si>
  <si>
    <t>https://www.tiktok.com/@altashabilidades.sd/video/7540685593357946168</t>
  </si>
  <si>
    <t>https://www.tiktok.com/@natgarcianeuro/video/7192592805120822533</t>
  </si>
  <si>
    <t>tdah,foryou,psicologia,neurodivergente,tdahadulto</t>
  </si>
  <si>
    <t>7303495934254648581</t>
  </si>
  <si>
    <t>TDAH EXAUSTÃO MENTAL #tdah #pensamentorapido #tdahadulto #saudemental #maternidade ##borderline #autismo #tea #tdahmeninas #empatia</t>
  </si>
  <si>
    <t>tdah,tdahadulto,neurodivergent,neuropsicopedagogia,psicopedagoga</t>
  </si>
  <si>
    <t>7303495955792317190</t>
  </si>
  <si>
    <t>https://v16-webapp-prime.tiktok.com/video/tos/useast2a/tos-useast2a-v-27dcd7/oYffbOjCBABEA2QXmTDrJlEuWEAr6OJIzFDUB6/?a=1988&amp;bti=ODszNWYuMDE6&amp;ch=0&amp;cr=0&amp;dr=0&amp;er=0&amp;lr=default&amp;cd=0%7C0%7C0%7C0&amp;br=250&amp;bt=125&amp;ds=5&amp;ft=GNDpcInz7Th29-UPXq8Zmo&amp;mime_type=audio_mpeg&amp;qs=13&amp;rc=amV5eW05cnJtbzMzNzU8M0BpamV5eW05cnJtbzMzNzU8M0AuYV8yMmRzaWFgLS1kMTZzYSMuYV8yMmRzaWFgLS1kMTZzcw%3D%3D&amp;btag=e00050000&amp;expire=1763004353&amp;l=20251113102443BFAC5C39F8934C8F8E6A&amp;ply_type=3&amp;policy=3&amp;signature=621365a6ff796344cb3f9406392a2259&amp;tk=7571587458748974088</t>
  </si>
  <si>
    <t>7383485917660581126</t>
  </si>
  <si>
    <t xml:space="preserve">Como o TDAH pode ser na "intimidade"? 🧐  _________________________   ⚠️ Vale ressaltar que o vídeo retrata apenas uma possibilidade de comportamento dentro do transtorno e que não se trata de uma regra. Portanto, essa experiência pode variar bastante de pessoa para pessoa. _________________________   Voz de: @nagudayol #tdahta  #tdahrelacionamento  #tdahadulto  #intimidade #tdah </t>
  </si>
  <si>
    <t>You and Me</t>
  </si>
  <si>
    <t>6865439452517369857</t>
  </si>
  <si>
    <t>https://sf16-ies-music-sg.tiktokcdn.com/obj/tos-alisg-ve-2774/ocDJWQ0LMBGCyIEhkfZgt8jBPJHLYgfzQUCCFo</t>
  </si>
  <si>
    <t>https://p16-sg.tiktokcdn.com/aweme/720x720/tos-alisg-v-2774/ooKDWAgisoOfmqAj1wAGlEAEEBU0D6BcCsVAiA.jpeg</t>
  </si>
  <si>
    <t>https://v16-webapp-prime.tiktok.com/video/tos/useast2a/tos-useast2a-ve-0068c002/o8VrcQJDlBOkyJzFEHjzbAINEBfbfW6QJREuFU/?a=1988&amp;bti=ODszNWYuMDE6&amp;ch=0&amp;cr=3&amp;dr=0&amp;lr=all&amp;cd=0%7C0%7C0%7C&amp;cv=1&amp;br=1754&amp;bt=877&amp;cs=0&amp;ds=3&amp;ft=I~da4oKyD12NvOA0i.IxRehNblBF-UjNSMopiX&amp;mime_type=video_mp4&amp;qs=0&amp;rc=Nzs3aDU6NWZkaDVpZjlnaUBpamx5PGw5cm9tbzMzNzczM0AxL18uNGE1NmExLjAxNDJiYSNeNDQwMmQ0aWFgLS1kMTZzcw%3D%3D&amp;btag=e00090000&amp;expire=1763173553&amp;l=20251113102443BFAC5C39F8934C8F8E6A&amp;ply_type=2&amp;policy=2&amp;signature=f12dee3f06387824a71edb01cb53b961&amp;tk=tt_chain_token</t>
  </si>
  <si>
    <t>Eldar Kedem</t>
  </si>
  <si>
    <t>https://v16-webapp-prime.tiktok.com/video/tos/maliva/tos-maliva-ve-0068c801-us/oE8I0OiViHbNu3kYCcNsaJoIBfACigQabASz7E/?a=1988&amp;bti=ODszNWYuMDE6&amp;ch=0&amp;cr=3&amp;dr=0&amp;lr=all&amp;cd=0%7C0%7C0%7C&amp;cv=1&amp;br=1662&amp;bt=831&amp;cs=0&amp;ds=3&amp;ft=-Csk_mrMPD12NTDh5d-UxHX2hY6e3wv25McAp&amp;mime_type=video_mp4&amp;qs=0&amp;rc=PDdpOGg8aDY8PGk0NjppPEBpM3Q8cW45cnBwczMzNzczM0AxL2EtNF4xXzIxLjMyXjU1YSNyajFhMmRjYW9gLS1kMTZzcw%3D%3D&amp;btag=e00090000&amp;expire=1764728522&amp;l=20251201102050B730D50024D84153D9E5&amp;ply_type=2&amp;policy=2&amp;signature=e4682a2359c20eb0f1c86001c23ed8ec&amp;tk=tt_chain_token</t>
  </si>
  <si>
    <t>https://www.tiktok.com/@tdahvibe/video/7303495934254648581</t>
  </si>
  <si>
    <t>https://www.tiktok.com/@lorenatdahta/video/7383485917660581126</t>
  </si>
  <si>
    <t>tdah,pensamentorapido,tdahadulto,saudemental,maternidade,borderline,autismo,tea,tdahmeninas,empatia</t>
  </si>
  <si>
    <t>7569398945332464916</t>
  </si>
  <si>
    <t>https://p16-sign-va.tiktokcdn.com/tos-maliva-avt-0068/377405ce9a41275b9b6f008b78c94af6~tplv-tiktokx-cropcenter:100:100.jpeg?dr=14579&amp;refresh_token=50829d2c&amp;x-expires=1763172000&amp;x-signature=ydWQYLT4x%2BYCFKdIimBTTRzwZxs%3D&amp;t=4d5b0474&amp;ps=13740610&amp;shp=a5d48078&amp;shcp=81f88b70&amp;idc=my</t>
  </si>
  <si>
    <t>tdahta,tdahrelacionamento,tdahadulto,intimidade,tdah</t>
  </si>
  <si>
    <t>7576819490525203730</t>
  </si>
  <si>
    <t>de pessoas COM TDAH 4 “GESTOS FÍSICOS” 1- MORDER tampas de canetas 
ou objetos  2- FAZER CARETAS ou franzir 
 a testa 3- “RABISCAR” enquanto está
prestando atenção  4- ANDAR DE UM LADO PARA O OUTRO
quando estar ao telefone </t>
  </si>
  <si>
    <t>7576819506673224455</t>
  </si>
  <si>
    <t>https://v16-webapp-prime.tiktok.com/video/tos/alisg/tos-alisg-v-27dcd7/o4BMAIvIxffmiKifAAxmStAAIcfDAJMhMfCNOM/?a=1988&amp;bti=ODszNWYuMDE6&amp;ch=0&amp;cr=0&amp;dr=0&amp;er=0&amp;lr=default&amp;cd=0%7C0%7C0%7C0&amp;br=250&amp;bt=125&amp;ds=5&amp;ft=GNDpcInz7ThcFKvPXq8Zmo&amp;mime_type=audio_mpeg&amp;qs=13&amp;rc=aml5eHM5cmc3NzMzODU8NEBpaml5eHM5cmc3NzMzODU8NEBkMTBzMmRjXmdhLS1kMS1zYSNkMTBzMmRjXmdhLS1kMS1zcw%3D%3D&amp;btag=e00050000&amp;expire=1764559391&amp;l=2025120110220384643B3986DED954E961&amp;ply_type=3&amp;policy=3&amp;signature=81a913a584ecc50dc9e0dc76e3a6bb7d&amp;tk=7571587458748974088</t>
  </si>
  <si>
    <t>🧠 TDAH não é preguiça; é sobrecarga; ⚡ O cérebro trava porque está lutando contra o caos interno; 🧩 A saída não é motivação; é micromovimento; 🔥 Não precisa começar bem; só precisa começar! #TDAH #neurodivergente #tdahadulto #tiktok #deficitdeatencao</t>
  </si>
  <si>
    <t>COLAPSO INVISÍVEL 
DO TDAH </t>
  </si>
  <si>
    <t>7569398990644857621</t>
  </si>
  <si>
    <t>https://v16-webapp-prime.tiktok.com/video/tos/alisg/tos-alisg-v-27dcd7/oonAB9fBQEyjJOpU868yACjfLBECNiQAiAAkEg/?a=1988&amp;bti=ODszNWYuMDE6&amp;ch=0&amp;cr=0&amp;dr=0&amp;er=0&amp;lr=default&amp;cd=0%7C0%7C0%7C0&amp;br=250&amp;bt=125&amp;ds=5&amp;ft=GNDpcInz7Th49-UPXq8Zmo&amp;mime_type=audio_mpeg&amp;qs=13&amp;rc=MzZuM2w5cmx4NzMzODU8NEBpMzZuM2w5cmx4NzMzODU8NEBtcTRyMmRjZDJhLS1kMS1zYSNtcTRyMmRjZDJhLS1kMS1zcw%3D%3D&amp;btag=e00050000&amp;expire=1763004360&amp;l=20251113102415EC11E565E652E77F00C9&amp;ply_type=3&amp;policy=3&amp;signature=2d7cbc80b95fc3a41ad7483dbd00446f&amp;tk=7571587458748974088</t>
  </si>
  <si>
    <t>https://p77-sign-va.tiktokcdn.com/tos-maliva-avt-0068/13a628e0ffd8c13e59721b894863e44e~tplv-tiktokx-cropcenter:1080:1080.jpeg?dr=14579&amp;refresh_token=683dd05f&amp;x-expires=1764727200&amp;x-signature=%2F9zofA3vJc0L0LRQOiTd3HDsF8A%3D&amp;t=4d5b0474&amp;ps=13740610&amp;shp=a5d48078&amp;shcp=81f88b70&amp;idc=my</t>
  </si>
  <si>
    <t>https://p16-sign-va.tiktokcdn.com/tos-maliva-avt-0068/377405ce9a41275b9b6f008b78c94af6~tplv-tiktokx-cropcenter:1080:1080.jpeg?dr=14579&amp;refresh_token=47a1c46c&amp;x-expires=1763172000&amp;x-signature=y4BFpGqdpekK6k8NRec5wUnVIOY%3D&amp;t=4d5b0474&amp;ps=13740610&amp;shp=a5d48078&amp;shcp=81f88b70&amp;idc=my</t>
  </si>
  <si>
    <t>https://v16-webapp-prime.tiktok.com/video/tos/alisg/tos-alisg-pve-0037c001/ogCX4CIwq9AiYiyRglIh9kfmWIBiAAHEjQW04m/?a=1988&amp;bti=ODszNWYuMDE6&amp;ch=0&amp;cr=3&amp;dr=0&amp;lr=all&amp;cd=0%7C0%7C0%7C&amp;cv=1&amp;br=1782&amp;bt=891&amp;cs=0&amp;ds=3&amp;ft=I~da4oKyD12NvaMWS.IxRYjNWlBF-UjNSkopiX&amp;mime_type=video_mp4&amp;qs=0&amp;rc=Ozw3OGZmOWdmMzloM2hpNEBpMzR4PHc5cjQ3NzMzODczNEAwLWMtLjI1Xl4xMDI2NTAuYSNgNGZwMmRjNWdhLS1kMTFzcw%3D%3D&amp;btag=e00090000&amp;expire=1764728591&amp;l=2025120110220384643B3986DED954E961&amp;ply_type=2&amp;policy=2&amp;signature=1a1503e102f74ec5fc12864dfb46e1a3&amp;tk=tt_chain_token</t>
  </si>
  <si>
    <t>https://v16-webapp-prime.tiktok.com/video/tos/alisg/tos-alisg-pve-0037c001/oEICLSaIMD8PPAjeqiEAEFEDe6DqMFQlGfIXFS/?a=1988&amp;bti=ODszNWYuMDE6&amp;ch=0&amp;cr=3&amp;dr=0&amp;lr=all&amp;cd=0%7C0%7C0%7C&amp;cv=1&amp;br=2350&amp;bt=1175&amp;cs=0&amp;ds=3&amp;ft=-Csk_mrMPD12Nycopd-UxG4vXY6e3wv25McAp&amp;mime_type=video_mp4&amp;qs=0&amp;rc=NTNmZjU4OTVkOmU6ZjtkaEBpM2Y8cW85cjh4NzMzODczNUAtNTFfMTU2NS8xNWA1Y19gYSMxaGguMmRzYzJhLS1kMTZzcw%3D%3D&amp;btag=e00090000&amp;expire=1763173560&amp;l=20251113102415EC11E565E652E77F00C9&amp;ply_type=2&amp;policy=2&amp;signature=a28cdb861bfc6b149e9ec726491b9d9b&amp;tk=tt_chain_token</t>
  </si>
  <si>
    <t>https://www.tiktok.com/@igorpsicologo/video/7576819490525203730</t>
  </si>
  <si>
    <t>https://www.tiktok.com/@terapiadafe/video/7569398945332464916</t>
  </si>
  <si>
    <t>tdah,neurodivergente,tdahadulto,tiktok,deficitdeatencao</t>
  </si>
  <si>
    <t>7525803816566918406</t>
  </si>
  <si>
    <t>https://p16-sign-va.tiktokcdn.com/tos-maliva-avt-0068/fc1698d10dca32b79684fcca308c78cc~tplv-tiktokx-cropcenter:100:100.jpeg?dr=14579&amp;refresh_token=866fa9ea&amp;x-expires=1764727200&amp;x-signature=qpjl1%2Bt4vMIEwTmJJ5wdX%2FC1yLE%3D&amp;t=4d5b0474&amp;ps=13740610&amp;shp=a5d48078&amp;shcp=81f88b70&amp;idc=my</t>
  </si>
  <si>
    <t>Pessoas com TDAH são muitas vezes mal interpretadas. Nossas ações podem parecer desleixo, grosseria ou desinteresse — mas, na maioria das vezes, são totalmente sem querer. Falta de filtro, distração, impulsividade… não é descaso, é parte de como nosso cérebro funciona. #tdah #tdahadulto #comportamento #terapia #psicologia #curiosidade #psicoterapia #neurociência #foco #distraidosvenceremos</t>
  </si>
  <si>
    <t>7525803837518875398</t>
  </si>
  <si>
    <t>https://v16-webapp-prime.tiktok.com/video/tos/useast2a/tos-useast2a-v-27dcd7/o4UocgDEQBBECjsxfUCQYAuF0Qi6CsuaYeyJJD/?a=1988&amp;bti=ODszNWYuMDE6&amp;ch=0&amp;cr=0&amp;dr=0&amp;er=0&amp;lr=default&amp;cd=0%7C0%7C0%7C0&amp;br=250&amp;bt=125&amp;ft=GNDpcInz7Th8Y-UPXq8Zmo&amp;mime_type=audio_mpeg&amp;qs=6&amp;rc=OTpmaDxlOmVkNzo2NWU3N0BpM3E7bHA5cmhqNDMzNzU8M0BfMi1iYjYuXzYxMC0uMi4xYSNfMWdgMmRrYWxhLS1kMTZzcw%3D%3D&amp;btag=e00090000&amp;expire=1763004457&amp;l=20251113102607CD4452BD4E07158E0822&amp;ply_type=3&amp;policy=3&amp;signature=a59c648f8303a20e3e963c396893f13e&amp;tk=7571587458748974088</t>
  </si>
  <si>
    <t>https://v16-webapp-prime.tiktok.com/video/tos/useast2a/tos-useast2a-pve-0068/osii0QefQZygAWAT8gSQrgCDflS4CqMcIIg8jW/?a=1988&amp;bti=ODszNWYuMDE6&amp;ch=0&amp;cr=3&amp;dr=0&amp;lr=all&amp;cd=0%7C0%7C0%7C&amp;cv=1&amp;br=1712&amp;bt=856&amp;cs=0&amp;ds=3&amp;ft=-Csk_mrMPD12Nx_opd-Ux7o2aY6e3wv25zcAp&amp;mime_type=video_mp4&amp;qs=0&amp;rc=ZWk3NzY3ODs8Nzc3NGY2aEBpamU4eW05cjdqNDMzNzczM0BeLjYvMDE0NTIxNjQxMTRhYSNecG5nMmRrYWxhLS1kMTZzcw%3D%3D&amp;btag=e00090000&amp;expire=1763173657&amp;l=20251113102607CD4452BD4E07158E0822&amp;ply_type=2&amp;policy=2&amp;signature=dd1016a50ebd83febcccaa2a5ce1d098&amp;tk=tt_chain_token</t>
  </si>
  <si>
    <t>https://www.tiktok.com/@psi.jonathanorlandi/video/7525803816566918406</t>
  </si>
  <si>
    <t>https://v16-webapp-prime.tiktok.com/video/tos/useast2a/tos-useast2a-ve-0068c003/oMKvgSQMI48C2leBfRv9IyER9gW0fjAX5NCiLg/?a=1988&amp;bti=ODszNWYuMDE6&amp;ch=0&amp;cr=3&amp;dr=0&amp;lr=all&amp;cd=0%7C0%7C0%7C&amp;cv=1&amp;br=1634&amp;bt=817&amp;cs=0&amp;ds=3&amp;ft=-Csk_mrMPD12NSBh5d-Uxs12aY6e3wv252cAp&amp;mime_type=video_mp4&amp;qs=0&amp;rc=aDg7NTs1MzQ4ODY6ZDVpM0BpamZza245cnNxNTMzNzczM0BjY2MwLS0zXl4xYTRfMjJeYSNkb3NrMmRrb2thLS1kMTZzcw%3D%3D&amp;btag=e00098000&amp;expire=1764728756&amp;l=2025120110215532A809179141715F3748&amp;ply_type=2&amp;policy=2&amp;signature=ff00cd6c3e90e3d9b654c4cbc7b5de59&amp;tk=tt_chain_token</t>
  </si>
  <si>
    <t>7273934247239404806</t>
  </si>
  <si>
    <t>https://p77-sign-va.tiktokcdn.com/tos-maliva-avt-0068/b7841460d9b1783162ae78e8d2cf3a44~tplv-tiktokx-cropcenter:100:100.jpeg?dr=14579&amp;refresh_token=ac62f93d&amp;x-expires=1763172000&amp;x-signature=9E%2FVTB9GyWs5reFt5kfBnax4r2A%3D&amp;t=4d5b0474&amp;ps=13740610&amp;shp=a5d48078&amp;shcp=81f88b70&amp;idc=my</t>
  </si>
  <si>
    <t>Parte 2 | 15 sintomas mais comuns de tdah em adultos | Dra. Ana Beatriz Barbosa | Médica Psiquiatra | Comportamento Humano . . #foryou #tdahadultos #tdah #sintomas #afetividade #dopamina #desorganizacao #impaciencia #comportamentohumano #saudedamente</t>
  </si>
  <si>
    <t>7273934630469225221</t>
  </si>
  <si>
    <t>https://v16-webapp-prime.tiktok.com/video/tos/useast2a/tos-useast2a-v-27dcd7/oUBbFkRBhTphUVfJL0MQDTCJuNQNRvLy5jeIQz/?a=1988&amp;bti=ODszNWYuMDE6&amp;ch=0&amp;cr=0&amp;dr=0&amp;er=0&amp;lr=default&amp;cd=0%7C0%7C0%7C0&amp;br=250&amp;bt=125&amp;ft=GNDpcInz7ThSY-UPXq8Zmo&amp;mime_type=audio_mpeg&amp;qs=6&amp;rc=OzRoaWk3NzNmZTNpNzc6ZkBpam5zcGU6ZnE2bTMzNzU8M0BiNGM2XzYuNi0xMmIyX2FhYSM1NHFkcjRnNm1gLS1kMTZzcw%3D%3D&amp;btag=e000a0000&amp;expire=1763004761&amp;l=20251113102614E0AE0D1C94494C7B69A1&amp;ply_type=3&amp;policy=3&amp;signature=7754f4a92a35bd662f7e947aa34cbbc5&amp;tk=7571587458748974088</t>
  </si>
  <si>
    <t>https://p77-sign-va.tiktokcdn.com/tos-maliva-avt-0068/22f979861088a66f6a45140e21c5acd7~tplv-tiktokx-cropcenter:100:100.jpeg?dr=14579&amp;refresh_token=6e2f650b&amp;x-expires=1764727200&amp;x-signature=omSJNURzu5Sjv4hcLRsqCNlrcmQ%3D&amp;t=4d5b0474&amp;ps=13740610&amp;shp=a5d48078&amp;shcp=81f88b70&amp;idc=my</t>
  </si>
  <si>
    <t>https://p16-sign-va.tiktokcdn.com/tos-maliva-avt-0068/b7841460d9b1783162ae78e8d2cf3a44~tplv-tiktokx-cropcenter:1080:1080.jpeg?dr=14579&amp;refresh_token=cbf95f63&amp;x-expires=1763172000&amp;x-signature=0uX0HE10h%2FTiaWxoEOPChRe801c%3D&amp;t=4d5b0474&amp;ps=13740610&amp;shp=a5d48078&amp;shcp=81f88b70&amp;idc=my</t>
  </si>
  <si>
    <t>https://v16-webapp-prime.tiktok.com/video/tos/alisg/tos-alisg-pve-0037/o0b5LjdJ8BBeNimQhIAhbYAf3FOQ5kISnCV6D1/?a=1988&amp;bti=ODszNWYuMDE6&amp;ch=0&amp;cr=3&amp;dr=0&amp;lr=all&amp;cd=0%7C0%7C0%7C&amp;cv=1&amp;br=1856&amp;bt=928&amp;cs=0&amp;ds=3&amp;ft=-Csk_mrMPD12NF_opd-UxbX5bY6e3wv25zcAp&amp;mime_type=video_mp4&amp;qs=0&amp;rc=OWU1ZTM2NGY5Omk7aDZnaEBpanV0ZGc6Zjo2bTMzNzgzM0BfXzEvX2NgX18xXzRgM2FgYSNtLTVlcjRfNG1gLS1kLzZzcw%3D%3D&amp;btag=e000a0000&amp;expire=1763173961&amp;l=20251113102614E0AE0D1C94494C7B69A1&amp;ply_type=2&amp;policy=2&amp;signature=b451d37037b89190e9ff06bf4bd4bf25&amp;tk=tt_chain_token</t>
  </si>
  <si>
    <t>https://v16-webapp-prime.tiktok.com/video/tos/alisg/tos-alisg-pve-0037c001/o4BjAiq2j8ePuE4AgkDnRfb0RbsGgiqPBQ31pR/?a=1988&amp;bti=ODszNWYuMDE6&amp;ch=0&amp;cr=3&amp;dr=0&amp;lr=all&amp;cd=0%7C0%7C0%7C&amp;cv=1&amp;br=1556&amp;bt=778&amp;cs=0&amp;ds=3&amp;ft=I~da4oKyD12Nvc0WS.IxR-1NWlBF-UjNSCopiX&amp;mime_type=video_mp4&amp;qs=0&amp;rc=ZGRnZmU4OzpmaWllOzdnZEBpanRkcjc6ZmdybTMzODczNEAuMmEzYWI2NjIxNS8vMjJiYSNqaHNhcjRfZWFgLS1kMS1zcw%3D%3D&amp;btag=e00088000&amp;expire=1764728685&amp;l=20251201102405D0C711936A3878EFA1E3&amp;ply_type=2&amp;policy=2&amp;signature=dc7f5b304bd34dc7f3815ac9de8ceafc&amp;tk=tt_chain_token</t>
  </si>
  <si>
    <t>https://www.tiktok.com/@girodaengrenagem/video/7273934247239404806</t>
  </si>
  <si>
    <t>foryou,tdahadultos,tdah,sintomas,afetividade,dopamina,desorganizacao,impaciencia,comportamentohumano,saudedamente</t>
  </si>
  <si>
    <t>7278072370152115461</t>
  </si>
  <si>
    <t xml:space="preserve">A "Paralisia do TDAH", acontece quando as nossas mentes ficam tão sobrecarregadas de pensamentos, que estagnamos. Nos vemos entre uma lista esmagadora de coisas para fazer e ao mesmo tempo, não conseguimos sair do lugar. . Aqui vão algumas dicas, que podem te ajudar: 1- PEGUE PAPEL E CANETA: Embora pareça antiquado, o básico sempre funciona. Use a escrita para se organizar, assim, visualizando o que tem que ser feito, você enfrenta o caos e pode simplesmente tratar das tarefas, uma a uma.  . 2- ESTIPULE PAUSAS: Você não precisa simplesmente deixar o mundo de lado, para fazer alguma tarefa importante. Fazer pausas e intercalar com algo relaxante pra você, pode ser muito positivo para sua efetividade. O importante é definir o momento de voltar ao "trabalho" e cumprir com isso. . 3- APENAS FAÇA: Parece óbvio, mas para nós TDAHS, não é. O princípio básico dessa ideia, é que quanto mais rápido fizer uma tarefa, menos tempo terá para pensar demais, o que é sempre um gatilho perigoso para você paralisar e procrastinar. Use do impulso tão característico do TDAH a seu favor e "apenas faça".  . Algumas fontes legais a respeito: https://numo.so/pt/journal/adhd-paralysis https://www.ncbi.nlm.nih.gov/pmc/articles/PMC2958516/ #paralisiatdah #adhdparalysis #tdahestrategias #tdahta </t>
  </si>
  <si>
    <t>PARALISIA DO TDAH</t>
  </si>
  <si>
    <t>snowfall (Sped Up)</t>
  </si>
  <si>
    <t>7101770000054913025</t>
  </si>
  <si>
    <t>https://sf16-ies-music-sg.tiktokcdn.com/obj/tos-alisg-ve-2774/oIUE0Q88IekagoACzBEDfDozdfFFOgoA1J8SMT</t>
  </si>
  <si>
    <t>https://p77-sg.tiktokcdn.com/aweme/720x720/tos-alisg-v-2774/osBAEAU7AzBzqAAFGrvQiAAUiiaPFuY9DiQEW.jpeg</t>
  </si>
  <si>
    <t>7573115624205913351</t>
  </si>
  <si>
    <t>https://p77-sign-va.tiktokcdn.com/tos-maliva-avt-0068/13a628e0ffd8c13e59721b894863e44e~tplv-tiktokx-cropcenter:100:100.jpeg?dr=14579&amp;refresh_token=f65b1d30&amp;x-expires=1764727200&amp;x-signature=Pd2DjVDmslf2K%2FsB2czs%2FX%2BHArk%3D&amp;t=4d5b0474&amp;ps=13740610&amp;shp=a5d48078&amp;shcp=81f88b70&amp;idc=my</t>
  </si>
  <si>
    <t>Øneheart &amp; reidenshi</t>
  </si>
  <si>
    <t>https://v16-webapp-prime.tiktok.com/video/tos/alisg/tos-alisg-pve-0037c001/ocAgQmoWTSyENAQGMPzHXIuikgkIhOfoF9gCRw/?a=1988&amp;bti=ODszNWYuMDE6&amp;ch=0&amp;cr=3&amp;dr=0&amp;lr=all&amp;cd=0%7C0%7C0%7C&amp;cv=1&amp;br=1436&amp;bt=718&amp;cs=0&amp;ds=3&amp;ft=-Csk_mrMPD12Nlcopd-UxB6vSY6e3wv25rcAp&amp;mime_type=video_mp4&amp;qs=0&amp;rc=NjdoaDY2OTlnaDU0NGQ0aEBpajs0ZmY6ZnFobjMzNzczM0AyYl9gYDYxXy8xYzMxLS4tYSM1YzE2cjQwYi1gLS1kMTZzcw%3D%3D&amp;btag=e00090000&amp;expire=1763173510&amp;l=202511131024053FAEE14371AE44A729CC&amp;ply_type=2&amp;policy=2&amp;signature=4bf60159edcab7d16d784e7cee587323&amp;tk=tt_chain_token</t>
  </si>
  <si>
    <t>4 Sinais de “BIRRA” de um TDAH ADULTO  1- Ficar MUDO quando 
se frustra 2- CHORAR ou se irritar, do nada
por uma cobrança simples  3- Ficar “AGRESSIVO” quando não
consegue TERMINAR algo 4- RECUSAR TAREFAS simples
que não gera MOTIVAÇÃO </t>
  </si>
  <si>
    <t>7573115626936470288</t>
  </si>
  <si>
    <t>https://v16-webapp-prime.tiktok.com/video/tos/alisg/tos-alisg-v-27dcd7/oYAlkCvpacUI1EYRAAEAiZXg7AJyakFHABc2i/?a=1988&amp;bti=ODszNWYuMDE6&amp;ch=0&amp;cr=0&amp;dr=0&amp;er=0&amp;lr=default&amp;cd=0%7C0%7C0%7C0&amp;br=250&amp;bt=125&amp;ds=5&amp;ft=GNDpcInz7ThuzKvPXq8Zmo&amp;mime_type=audio_mpeg&amp;qs=13&amp;rc=am9oZHA5cjdrNzMzODU8NEBpam9oZHA5cjdrNzMzODU8NEBfLmNtMmRrbWBhLS1kMS1zYSNfLmNtMmRrbWBhLS1kMS1zcw%3D%3D&amp;btag=e00050000&amp;expire=1764559379&amp;l=202512011021508D2E02B19879BA6D89C0&amp;ply_type=3&amp;policy=3&amp;signature=ebc9ace69de6c2ee30968c774a22c6db&amp;tk=7571587458748974088</t>
  </si>
  <si>
    <t>https://www.tiktok.com/@lorenatdahta/video/7278072370152115461</t>
  </si>
  <si>
    <t>paralisiatdah,adhdparalysis,tdahestrategias,tdahta</t>
  </si>
  <si>
    <t>7292907251944213765</t>
  </si>
  <si>
    <t>memes_24hrs2</t>
  </si>
  <si>
    <t>Memes_avontade</t>
  </si>
  <si>
    <t>https://p77-sign-va.tiktokcdn.com/tos-maliva-avt-0068/bfb0ff9401f7301dddea9def63350d72~tplv-tiktokx-cropcenter:100:100.jpeg?dr=14579&amp;refresh_token=491e936e&amp;x-expires=1763172000&amp;x-signature=Jt5L1p3nTKdXQIdA%2Belz%2FrcqYb0%3D&amp;t=4d5b0474&amp;ps=13740610&amp;shp=a5d48078&amp;shcp=81f88b70&amp;idc=my</t>
  </si>
  <si>
    <t>https://v16-webapp-prime.tiktok.com/video/tos/alisg/tos-alisg-pve-0037c001/owvLzibEBAAZivNtrtEOsaYH77QRIJ5VvBTkK/?a=1988&amp;bti=ODszNWYuMDE6&amp;ch=0&amp;cr=3&amp;dr=0&amp;lr=all&amp;cd=0%7C0%7C0%7C&amp;cv=1&amp;br=2816&amp;bt=1408&amp;cs=0&amp;ds=3&amp;ft=-Csk_mrMPD12NGDh5d-UxSc2hY6e3wv25DcAp&amp;mime_type=video_mp4&amp;qs=0&amp;rc=aWQ2OGQ4Zzk7Zzk7ODZoPEBpamdoeHU5cmdrNzMzODczNEAvYF9eMGIwNjQxL2FfLjBfYSNpc25qMmRramBhLS1kMTFzcw%3D%3D&amp;btag=e00090000&amp;expire=1764728579&amp;l=202512011021508D2E02B19879BA6D89C0&amp;ply_type=2&amp;policy=2&amp;signature=100420986517e345c583d6b385269771&amp;tk=tt_chain_token</t>
  </si>
  <si>
    <t>😂😂😂#tdh #memes #alegria #viraltiktok #engraçado #cenas</t>
  </si>
  <si>
    <t>7292907265626098438</t>
  </si>
  <si>
    <t>https://v16-webapp-prime.tiktok.com/video/tos/useast2a/tos-useast2a-v-27dcd7/owKASfrSTCaIzELTrC1IeRNAAao7gBeBvkOGIY/?a=1988&amp;bti=ODszNWYuMDE6&amp;ch=0&amp;cr=0&amp;dr=0&amp;er=0&amp;lr=default&amp;cd=0%7C0%7C0%7C0&amp;br=250&amp;bt=125&amp;ds=5&amp;ft=GNDpcInz7ThA9-UPXq8Zmo&amp;mime_type=audio_mpeg&amp;qs=13&amp;rc=M2dxZXQ5cjVzbjMzNzU8M0BpM2dxZXQ5cjVzbjMzNzU8M0AzaW9uMmRjbW5gLS1kMTZzYSMzaW9uMmRjbW5gLS1kMTZzcw%3D%3D&amp;btag=e00048000&amp;expire=1763004319&amp;l=20251113102449DDADD1FB7AF14A841409&amp;ply_type=3&amp;policy=3&amp;signature=8061be4c88424042fb4f4ee5277690ab&amp;tk=7571587458748974088</t>
  </si>
  <si>
    <t>https://www.tiktok.com/@igorpsicologo/video/7573115624205913351</t>
  </si>
  <si>
    <t>7572132179518426376</t>
  </si>
  <si>
    <t>https://p16-sign-va.tiktokcdn.com/tos-maliva-avt-0068/431bee7578e519987635a70e5b8f7fb3~tplv-tiktokx-cropcenter:100:100.jpeg?dr=14579&amp;refresh_token=959d08f3&amp;x-expires=1764727200&amp;x-signature=%2B1QrUKRmZMzu6GKca%2FU2HoPUufE%3D&amp;t=4d5b0474&amp;ps=13740610&amp;shp=a5d48078&amp;shcp=81f88b70&amp;idc=my</t>
  </si>
  <si>
    <t>https://p77-sign-va.tiktokcdn.com/tos-maliva-avt-0068/bfb0ff9401f7301dddea9def63350d72~tplv-tiktokx-cropcenter:1080:1080.jpeg?dr=14579&amp;refresh_token=20aae998&amp;x-expires=1763172000&amp;x-signature=U%2FM6%2BZ8Wd1%2BPzwl7%2Fh0mDGAm4Tc%3D&amp;t=4d5b0474&amp;ps=13740610&amp;shp=a5d48078&amp;shcp=81f88b70&amp;idc=my</t>
  </si>
  <si>
    <t xml:space="preserve">Sem provas suficientes🤨 Leia abaixo⤵️ 🧬 Você sabia? O TDAH pode ser herdado geneticamente, ou seja, pode vir tanto da mãe, do pai, ou até de antepassados que também tinham traços do transtorno (mesmo sem diagnóstico). Por isso, não é raro encontrar mais de uma pessoa com TDAH na mesma família. 👀 #tdah #tdahadulto #psicologia #tdahmemes #creatorsearchinsights </t>
  </si>
  <si>
    <t>7572132197618223879</t>
  </si>
  <si>
    <t>https://v16-webapp-prime.tiktok.com/video/tos/alisg/tos-alisg-v-27dcd7/oUDQWenrZAemGPAIANZIJfFAPGVLIgIzkMhfAA/?a=1988&amp;bti=ODszNWYuMDE6&amp;ch=0&amp;cr=0&amp;dr=0&amp;er=0&amp;lr=default&amp;cd=0%7C0%7C0%7C0&amp;br=250&amp;bt=125&amp;ds=5&amp;ft=GNDpcInz7ThUPKvPXq8Zmo&amp;mime_type=audio_mpeg&amp;qs=13&amp;rc=ajl0eHA5cjpzNzMzODU8NEBpajl0eHA5cjpzNzMzODU8NEAybWBjMmRzcF5hLS1kMS1zYSMybWBjMmRzcF5hLS1kMS1zcw%3D%3D&amp;btag=e00078000&amp;expire=1764559234&amp;l=202512011020200FFD70C70F6D756DA043&amp;ply_type=3&amp;policy=3&amp;signature=e31e07c3ca124fe258b1dc590f2af000&amp;tk=7571587458748974088</t>
  </si>
  <si>
    <t>https://webapp-va.tiktok.com/64b7f882032e4d6282dbd91ee0175e45/6917e490/kmoat/mps/logo/v2/r/p/v09044g40000ckqpomvog65uks2fsb70/b262d8c1b2cc461db32918e94c39349e/50b829387a8f4def8041a6146baf1516/mp4/main.mp4?a=1988&amp;bti=ODszNWYuMDE6&amp;ch=0&amp;cr=3&amp;dr=0&amp;lr=all&amp;cd=0%7C0%7C0%7C&amp;cv=1&amp;br=0&amp;bt=0&amp;cs=0&amp;ds=3&amp;eid=1286&amp;ft=LrmaEoKyD12NvgA0i.IxRMb_glBF-UjNSaopiX&amp;mime_type=video_mp4&amp;qs=0&amp;rc=cnF8b2hsc2d3SkBwaHIxaDFybndmaDc8Zjw7PDZnOWY1NDs1NUBpM2Vpdng5cnBzbjMzNzczM0BjRl5Nc3FePmJKYSNvYF90aHFmOiM2MDAxYi4vXy4xYF9gYTNfYSM0cC9oMmRzbG5gLS1kMTZzcw%3D%3D&amp;btag=e00088000&amp;definition=720p&amp;du=30&amp;item_id=7292907251944213765&amp;l=20251113102449DDADD1FB7AF14A841409&amp;logo_type=tiktok_m&amp;ply_type=2&amp;policy=eyJ2bSI6MiwiY2siOiJ0dF9jaGFpbl90b2tlbiJ9&amp;user_text=memes_24hrs2</t>
  </si>
  <si>
    <t>https://p77-sign-va.tiktokcdn.com/tos-maliva-avt-0068/431bee7578e519987635a70e5b8f7fb3~tplv-tiktokx-cropcenter:1080:1080.jpeg?dr=14579&amp;refresh_token=4553ee2b&amp;x-expires=1764727200&amp;x-signature=8pmd4P8yOCuhzXXpaXJUy9t6ZBw%3D&amp;t=4d5b0474&amp;ps=13740610&amp;shp=a5d48078&amp;shcp=81f88b70&amp;idc=my</t>
  </si>
  <si>
    <t>https://v16-webapp-prime.tiktok.com/video/tos/alisg/tos-alisg-pve-0037c001/oojniQBSpEBVBvDVBfFEg2DzEFARTGWEI4fDcZ/?a=1988&amp;bti=ODszNWYuMDE6&amp;ch=0&amp;cr=3&amp;dr=0&amp;lr=all&amp;cd=0%7C0%7C0%7C&amp;cv=1&amp;br=1488&amp;bt=744&amp;cs=0&amp;ds=3&amp;ft=I~da4oKyD12Nvi.WS.IxR51NWlBF-UjNSMopiX&amp;mime_type=video_mp4&amp;qs=0&amp;rc=aGhmODo1PGhlOWdnZTw4Z0BpM2lmO3k5cmZzNzMzODczNEAtLjEvNF5jNTYxNGBfYC4tYSM2NGxwMmRzb15hLS1kMWBzcw%3D%3D&amp;btag=e000b8000&amp;expire=1764728434&amp;l=202512011020200FFD70C70F6D756DA043&amp;ply_type=2&amp;policy=2&amp;signature=38e9e81409d3d241e99df6c9d7358f3d&amp;tk=tt_chain_token</t>
  </si>
  <si>
    <t>https://www.tiktok.com/@memes_24hrs2/video/7292907251944213765</t>
  </si>
  <si>
    <t>tdh,memes,alegria,viraltiktok,engraçado,cenas</t>
  </si>
  <si>
    <t>7564229439370939669</t>
  </si>
  <si>
    <t>#tdah #tdahadulto #inclusao #fy #maeatipica</t>
  </si>
  <si>
    <t>7564229485848169233</t>
  </si>
  <si>
    <t>https://v16-webapp-prime.tiktok.com/video/tos/alisg/tos-alisg-v-27dcd7/oQD5TYrnREgAoADeiCeFODqEENDA1UEElAfbqx/?a=1988&amp;bti=ODszNWYuMDE6&amp;ch=0&amp;cr=0&amp;dr=0&amp;er=0&amp;lr=default&amp;cd=0%7C0%7C0%7C0&amp;br=250&amp;bt=125&amp;ds=5&amp;ft=GNDpcInz7ThN9-UPXq8Zmo&amp;mime_type=audio_mpeg&amp;qs=13&amp;rc=ajZudng5cjxyNjMzODU8NEBpajZudng5cjxyNjMzODU8NEBpNTZuMmRjaXBhLS1kMS1zYSNpNTZuMmRjaXBhLS1kMS1zcw%3D%3D&amp;btag=e00050000&amp;expire=1763004328&amp;l=20251113102410CE8B814C77F7637842AC&amp;ply_type=3&amp;policy=3&amp;signature=34b21739362fed85d38d2f2e991780f7&amp;tk=7571587458748974088</t>
  </si>
  <si>
    <t>https://www.tiktok.com/@mr.tdahzinho/video/7572132179518426376</t>
  </si>
  <si>
    <t>tdah,tdahadulto,psicologia,tdahmemes,creatorsearchinsights</t>
  </si>
  <si>
    <t>7561604210932911372</t>
  </si>
  <si>
    <t>https://p16-sign-va.tiktokcdn.com/tos-maliva-avt-0068/377405ce9a41275b9b6f008b78c94af6~tplv-tiktokx-cropcenter:100:100.jpeg?dr=14579&amp;refresh_token=e1181eb7&amp;x-expires=1764727200&amp;x-signature=eBjtaAUFkyZw6nb458rcdAEGz1A%3D&amp;t=4d5b0474&amp;ps=13740610&amp;shp=a5d48078&amp;shcp=81f88b70&amp;idc=my</t>
  </si>
  <si>
    <t xml:space="preserve">🌪️ Desregulação emocional no TDAH não é drama, é um apagão racional! Quando a emoção chega, o cérebro desliga e tudo vira um caos. 😩 Pequenos problemas se tornam tsunamis e você se sente sem controle. #TDAH #neurodivergente  #tdahadulto #atipico #tiktok </t>
  </si>
  <si>
    <t>TDAH EM CRISE DE
REGULAÇÃO EMOCIONAL  No meu perfil 
tem informações </t>
  </si>
  <si>
    <t>https://v16-webapp-prime.tiktok.com/video/tos/alisg/tos-alisg-pve-0037c001/oQzFxhHIjI0AVofeNvQg1TGR2ceLIDLxCA1TF8/?a=1988&amp;bti=ODszNWYuMDE6&amp;ch=0&amp;cr=3&amp;dr=0&amp;lr=all&amp;cd=0%7C0%7C0%7C&amp;cv=1&amp;br=3520&amp;bt=1760&amp;cs=0&amp;ds=3&amp;ft=I~da4oKyD12Nv5A0i.IxRIk_glBF-UjNSbopiX&amp;mime_type=video_mp4&amp;qs=0&amp;rc=OzhpOTQ3OTNlaDZpOWY6aEBpanZtbW05cnNyNjMzODczNEA0YF4uMDM1XjQxNGM2MS8yYSNjL15iMmRjaHBhLS1kMTFzcw%3D%3D&amp;btag=e00090000&amp;expire=1763173529&amp;l=20251113102410CE8B814C77F7637842AC&amp;ply_type=2&amp;policy=2&amp;signature=8ee06fb2a06f416b0bf6a4331b25abdc&amp;tk=tt_chain_token</t>
  </si>
  <si>
    <t>7561604227777956664</t>
  </si>
  <si>
    <t>https://v16-webapp-prime.tiktok.com/video/tos/useast2a/tos-useast2a-v-27dcd7/ogCAgFLAc8XgDboAJfxBDCUqQJE4BHAIpoevIs/?a=1988&amp;bti=ODszNWYuMDE6&amp;ch=0&amp;cr=0&amp;dr=0&amp;er=0&amp;lr=default&amp;cd=0%7C0%7C0%7C0&amp;br=250&amp;bt=125&amp;ds=5&amp;ft=GNDpcInz7ThCPKvPXq8Zmo&amp;mime_type=audio_mpeg&amp;qs=13&amp;rc=M254eG85cjM2NjMzNzU8M0BpM254eG85cjM2NjMzNzU8M0BvXzMyMmQ0YmxhLS1kMTZzYSNvXzMyMmQ0YmxhLS1kMTZzcw%3D%3D&amp;btag=e00050000&amp;expire=1764559346&amp;l=20251201102042908EBE054CA4706238E0&amp;ply_type=3&amp;policy=3&amp;signature=a40a1f92954cfee50afd8f8ba9b28e70&amp;tk=7571587458748974088</t>
  </si>
  <si>
    <t>https://www.tiktok.com/@dulcivaldejesussantos/video/7564229439370939669</t>
  </si>
  <si>
    <t>tdah,tdahadulto,inclusao,fy,maeatipica</t>
  </si>
  <si>
    <t>7216462841036016902</t>
  </si>
  <si>
    <t>atdah</t>
  </si>
  <si>
    <t>Vivendo com TDAH</t>
  </si>
  <si>
    <t>https://p16-sign-va.tiktokcdn.com/tos-maliva-avt-0068/52b60386baa9e096d0cc31a6704de5c5~tplv-tiktokx-cropcenter:100:100.jpeg?dr=14579&amp;refresh_token=3538c68b&amp;x-expires=1763172000&amp;x-signature=QLlrqy1BD1XD7PDDI57ypSaqogU%3D&amp;t=4d5b0474&amp;ps=13740610&amp;shp=a5d48078&amp;shcp=81f88b70&amp;idc=my</t>
  </si>
  <si>
    <t>https://p16-sign-va.tiktokcdn.com/tos-maliva-avt-0068/377405ce9a41275b9b6f008b78c94af6~tplv-tiktokx-cropcenter:1080:1080.jpeg?dr=14579&amp;refresh_token=39b91656&amp;x-expires=1764727200&amp;x-signature=QnL2mCErnk6hEj0yb4vObRujG8U%3D&amp;t=4d5b0474&amp;ps=13740610&amp;shp=a5d48078&amp;shcp=81f88b70&amp;idc=my</t>
  </si>
  <si>
    <t>Como identificar uma criança com TDAH? #tdah  #tdahadulto  #tdahinfantil #mentesinquietas #podcast #inteligenciatdah  #dranabeatrizbarbosa</t>
  </si>
  <si>
    <t>7216462869885373189</t>
  </si>
  <si>
    <t>https://v16-webapp-prime.tiktok.com/video/tos/useast2a/tos-useast2a-v-27dcd7/ff14e2d130d0415f96067c691f89535c/?a=1988&amp;bti=ODszNWYuMDE6&amp;ch=0&amp;cr=0&amp;dr=0&amp;er=0&amp;lr=default&amp;cd=0%7C0%7C0%7C0&amp;br=250&amp;bt=125&amp;ds=5&amp;ft=GNDpcInz7ThN9-UPXq8Zmo&amp;mime_type=audio_mpeg&amp;qs=13&amp;rc=MzxxeTM6ZmkzajMzNzU8M0BpMzxxeTM6ZmkzajMzNzU8M0BgLS1hcjRvYWdgLS1kMTZzYSNgLS1hcjRvYWdgLS1kMTZzcw%3D%3D&amp;btag=e00048000&amp;expire=1763004286&amp;l=20251113102410CE8B814C77F7637842AC&amp;ply_type=3&amp;policy=3&amp;signature=7e2e6f7cc48ae4146f0472716a3bba99&amp;tk=7571587458748974088</t>
  </si>
  <si>
    <t>https://v16-webapp-prime.tiktok.com/video/tos/useast2a/tos-useast2a-ve-0068c002/og6olfX5ZA7mgRiVQQFg83JDufQD8IDEBEB3gI/?a=1988&amp;bti=ODszNWYuMDE6&amp;ch=0&amp;cr=3&amp;dr=0&amp;lr=all&amp;cd=0%7C0%7C0%7C&amp;cv=1&amp;br=2056&amp;bt=1028&amp;cs=0&amp;ds=3&amp;ft=-Csk_mrMPD12NKdh5d-Uxs12aY6e3wv252cAp&amp;mime_type=video_mp4&amp;qs=0&amp;rc=PDM4OWQ5aGczNWg5O2U7Z0BpMzRtbG05cnU2NjMzNzczM0AxLS0xNDM0Xl4xYGEzMmIwYSNscDBiMmRrX2xhLS1kMTZzcw%3D%3D&amp;btag=e00090000&amp;expire=1764728546&amp;l=20251201102042908EBE054CA4706238E0&amp;ply_type=2&amp;policy=2&amp;signature=68e2f51b9230a9aaa7c2c78f6760e8a7&amp;tk=tt_chain_token</t>
  </si>
  <si>
    <t>https://p77-sign-va.tiktokcdn.com/tos-maliva-avt-0068/52b60386baa9e096d0cc31a6704de5c5~tplv-tiktokx-cropcenter:1080:1080.jpeg?dr=14579&amp;refresh_token=927aab3d&amp;x-expires=1763172000&amp;x-signature=Kp9PIN0N8YWXh%2FjF%2B5FwRizaZC8%3D&amp;t=4d5b0474&amp;ps=13740610&amp;shp=a5d48078&amp;shcp=81f88b70&amp;idc=my</t>
  </si>
  <si>
    <t>https://www.tiktok.com/@terapiadafe/video/7561604210932911372</t>
  </si>
  <si>
    <t>https://webapp-va.tiktok.com/3d7eb01e4a20b4018bc1a02de3657a4b/6917e46e/kmoat/mps/logo/v2/r/p/v09044g40000cgj0dd3c77ubu2h2b8b0/c1ece009e699409e97a0b2f46efd6a16/6b2849da2bcdab16530b1820d739a308/mp4/main.mp4?a=1988&amp;bti=ODszNWYuMDE6&amp;ch=0&amp;cr=3&amp;dr=0&amp;lr=all&amp;cd=0%7C0%7C0%7C&amp;cv=1&amp;br=0&amp;bt=0&amp;cs=0&amp;ds=3&amp;eid=1286&amp;ft=LrmaEoKyD12Nv5A0i.IxRIk_glBF-UjNSbopiX&amp;mime_type=video_mp4&amp;qs=0&amp;rc=cnF8b2hsc2d3SkBwaHIxaDFybndmOWRnaDc1MzpoMzw5PDNmNEBpMzs1NWU6ZmczajMzNzczM0BjRl5Nc3FePmJKYSNvYF90aHFmOiMuM2MzY19eNjYxNmItYmJgYSNfX2VycjQwYWdgLS1kMTZzcw%3D%3D&amp;btag=e00088000&amp;definition=720p&amp;du=37&amp;item_id=7216462841036016902&amp;l=20251113102410CE8B814C77F7637842AC&amp;logo_type=tiktok_m&amp;ply_type=2&amp;policy=eyJ2bSI6MiwiY2siOiJ0dF9jaGFpbl90b2tlbiJ9&amp;user_text=atdah</t>
  </si>
  <si>
    <t>tdah,neurodivergente,tdahadulto,atipico,tiktok</t>
  </si>
  <si>
    <t>7556765741379292472</t>
  </si>
  <si>
    <t>nivea.savoy</t>
  </si>
  <si>
    <t>NIvea Savoy</t>
  </si>
  <si>
    <t>https://p77-sign-va.tiktokcdn.com/tos-maliva-avt-0068/c4295bd6e74c335e5ecac643762c60ce~tplv-tiktokx-cropcenter:100:100.jpeg?dr=14579&amp;refresh_token=3138d332&amp;x-expires=1764727200&amp;x-signature=BFDbOiWByMw9vI4n9IE%2FEh9eBYQ%3D&amp;t=4d5b0474&amp;ps=13740610&amp;shp=a5d48078&amp;shcp=81f88b70&amp;idc=my</t>
  </si>
  <si>
    <t xml:space="preserve">✨ Você já percebeu que pessoas com TDAH sentem o mundo de forma diferente? Muitos não sabem, mas o olfato pode ser um dos sentidos mais intensos para elas. Um simples cheiro pode causar desconforto, irritação ou até crises de ansiedade. 😳 👉 E sabe o que é mais assustador? Quase ninguém fala sobre isso. O impacto invisível dos cheiros pode estar dificultando a rotina — e você nem imagina. 💡 Quanto mais entendemos essas pequenas diferenças, mais conseguimos acolher e ajudar. ❤️ Quem tem TDAH não é “exagerado”. Apenas percebe o mundo de uma forma que poucos compreendem. #TDAH #SaúdeMental #Neurodiversidade #TDAHAdulto #Psicologia  </t>
  </si>
  <si>
    <t>O cheiro secreto que revela muito do TDAH</t>
  </si>
  <si>
    <t>Beautiful Things</t>
  </si>
  <si>
    <t>7308548149097450283</t>
  </si>
  <si>
    <t>https://sf16-ies-music-sg.tiktokcdn.com/obj/tos-alisg-ve-2774/ooMFRfINDB1lF4EtGTEWaVQ4qBQYFWMg9eZz3C</t>
  </si>
  <si>
    <t>https://www.tiktok.com/@atdah/video/7216462841036016902</t>
  </si>
  <si>
    <t>tdah,tdahadulto,tdahinfantil,mentesinquietas,podcast,inteligenciatdah,dranabeatrizbarbosa</t>
  </si>
  <si>
    <t>7104050935223028998</t>
  </si>
  <si>
    <t>https://p16-sg.tiktokcdn.com/aweme/720x720/tos-alisg-v-2774/owuAwEg3PAaAAAiyi6oEtNM3YWrZBUIoGtgIA.jpeg</t>
  </si>
  <si>
    <t>T D A H - Falando sobre:#tdah #tdahadulto #anabeatriz #anabeatrizbarbosa #mentesinquietas #autoconhecimento #autodesenvolvimento #averdadeliberta #tda</t>
  </si>
  <si>
    <t>7104050972414020358</t>
  </si>
  <si>
    <t>https://v16-webapp-prime.tiktok.com/video/tos/useast2a/tos-useast2a-v-27dcd7/727fecb6e5634484afc7d5298bff60f1/?a=1988&amp;bti=ODszNWYuMDE6&amp;ch=0&amp;cr=0&amp;dr=0&amp;er=0&amp;lr=default&amp;cd=0%7C0%7C0%7C0&amp;br=252&amp;bt=126&amp;ds=5&amp;ft=GNDpcInz7Th29-UPXq8Zmo&amp;mime_type=video_mp4&amp;qs=13&amp;rc=M3k5bTs6ZmlkZDMzNzU8M0BpM3k5bTs6ZmlkZDMzNzU8M0BqNi5ocjRfZV9gLS1kMTZzYSNqNi5ocjRfZV9gLS1kMTZzcw%3D%3D&amp;btag=e00050000&amp;expire=1763004374&amp;l=20251113102443BFAC5C39F8934C8F8E6A&amp;ply_type=3&amp;policy=3&amp;signature=795d9b77955e8558536d306505837c8a&amp;tk=7571587458748974088</t>
  </si>
  <si>
    <t>Benson Boone</t>
  </si>
  <si>
    <t>https://v16-webapp-prime.tiktok.com/video/tos/useast2a/tos-useast2a-pve-0068/oMVRgavgN6yBCtR0bLgdIQINfG8nelA0jACveS/?a=1988&amp;bti=ODszNWYuMDE6&amp;ch=0&amp;cr=3&amp;dr=0&amp;lr=all&amp;cd=0%7C0%7C0%7C&amp;cv=1&amp;br=1598&amp;bt=799&amp;cs=0&amp;ds=3&amp;ft=I~da4oKyD12Nvb.WS.IxRnTNWlBF-UjNS3opiX&amp;mime_type=video_mp4&amp;qs=0&amp;rc=OTQ7NWVnZDc6OzhkZDU6M0Bpand0b3k5cnVqNjMzNzczM0AvLWAvNmMtNWIxLzAuMzBiYSMzXmsuMmRrX2NhLS1kMTZzcw%3D%3D&amp;btag=e00088000&amp;expire=1764728481&amp;l=20251201102046E8B89E886773854715A1&amp;ply_type=2&amp;policy=2&amp;signature=13b6a355979cb432026a76b99231bf1d&amp;tk=tt_chain_token</t>
  </si>
  <si>
    <t>https://v16-webapp-prime.tiktok.com/video/tos/maliva/tos-maliva-ve-0068c801-us/dcae0944e8444cc4bd3aeaca8442bafb/?a=1988&amp;bti=ODszNWYuMDE6&amp;ch=0&amp;cr=3&amp;dr=0&amp;lr=all&amp;cd=0%7C0%7C0%7C&amp;cv=1&amp;br=1234&amp;bt=617&amp;cs=0&amp;ds=2&amp;ft=I~da4oKyD12NvOA0i.IxRehNblBF-UjNSMopiX&amp;mime_type=video_mp4&amp;qs=0&amp;rc=M2Q8NGllNjw1PGY3MzRpPEBpM3U2Ozc6ZjhkZDMzNzczM0AwYTQwMGI1Xi0xNS9jLjQuYSNkby0ucjRvZV9gLS1kMTZzcw%3D%3D&amp;btag=e00090000&amp;expire=1763173574&amp;l=20251113102443BFAC5C39F8934C8F8E6A&amp;ply_type=2&amp;policy=2&amp;signature=2b1d855b864842e470caa35476f6282b&amp;tk=tt_chain_token</t>
  </si>
  <si>
    <t>https://www.tiktok.com/@nivea.savoy/video/7556765741379292472</t>
  </si>
  <si>
    <t>tdah,saúdemental,neurodiversidade,tdahadulto,psicologia</t>
  </si>
  <si>
    <t>https://p77-sign-va.tiktokcdn.com/tos-maliva-avt-0068/2b7e609cb0681a46ab556279eb956133~tplv-tiktokx-cropcenter:100:100.jpeg?dr=14579&amp;refresh_token=3be7dc6f&amp;x-expires=1764727200&amp;x-signature=QwbD4OS4e5iTLU84lM%2FN7FBhTXM%3D&amp;t=4d5b0474&amp;ps=13740610&amp;shp=a5d48078&amp;shcp=81f88b70&amp;idc=my</t>
  </si>
  <si>
    <t>https://www.tiktok.com/@draanabeatriz11/video/7104050935223028998</t>
  </si>
  <si>
    <t>tdah,tdahadulto,anabeatriz,anabeatrizbarbosa,mentesinquietas,autoconhecimento,autodesenvolvimento,averdadeliberta,tda</t>
  </si>
  <si>
    <t>https://p77-sign-va.tiktokcdn.com/tos-maliva-avt-0068/c49a54b11dcccde0dd668ae269ebe723~tplv-tiktokx-cropcenter:100:100.jpeg?dr=14579&amp;refresh_token=3add1154&amp;x-expires=1763172000&amp;x-signature=3RHcCVShQlWTV2R%2FVh1wTsSOMiI%3D&amp;t=4d5b0474&amp;ps=13740610&amp;shp=a5d48078&amp;shcp=81f88b70&amp;idc=my</t>
  </si>
  <si>
    <t>https://v16-webapp-prime.tiktok.com/video/tos/useast2a/tos-useast2a-v-27dcd7/oAEiwFE8CiO6QSSIAMAIoUjbCHBVxiAayLlPA/?a=1988&amp;bti=ODszNWYuMDE6&amp;ch=0&amp;cr=0&amp;dr=0&amp;er=0&amp;lr=default&amp;cd=0%7C0%7C0%7C0&amp;br=250&amp;bt=125&amp;ds=5&amp;ft=GNDpcInz7ThmPKvPXq8Zmo&amp;mime_type=audio_mpeg&amp;qs=13&amp;rc=MzU0dnY5cnQ2NTMzNzU8M0BpMzU0dnY5cnQ2NTMzNzU8M0A2a2EvMmQ0Lm1hLS1kMTZzYSM2a2EvMmQ0Lm1hLS1kMTZzcw%3D%3D&amp;btag=e00078000&amp;expire=1764559244&amp;l=20251201102018B39B5434B49F795A75FD&amp;ply_type=3&amp;policy=3&amp;signature=55a5490a6fa5bc2eb7cad2f972f29c29&amp;tk=7571587458748974088</t>
  </si>
  <si>
    <t>https://sf16-music-sign.tiktokcdn.com/obj/tos-alisg-ve-2774/o8bAF4vIOlgIe8fVKdfwm6iLoej56X1AGGMFAB?lk3s=08d74b56&amp;x-expires=1763022170&amp;x-signature=CMIjoA67YCDDv7jvpM5yzauWC08%3D</t>
  </si>
  <si>
    <t>https://p16-sign-sg.tiktokcdn.com/tos-alisg-v-2774/ooWABEYzLKBiMAkUKAAzrEZZIMj4VAciiYimP~720x720.jpeg?lk3s=08d74b56&amp;x-expires=1763022170&amp;x-signature=fjHlUWJlDzsauwxBSBnozoVtp1c%3D</t>
  </si>
  <si>
    <t>https://p16-sign-va.tiktokcdn.com/tos-maliva-avt-0068/2b7e609cb0681a46ab556279eb956133~tplv-tiktokx-cropcenter:1080:1080.jpeg?dr=14579&amp;refresh_token=da429885&amp;x-expires=1764727200&amp;x-signature=okTogq67hHHZEVAbZUGCsBTgzHM%3D&amp;t=4d5b0474&amp;ps=13740610&amp;shp=a5d48078&amp;shcp=81f88b70&amp;idc=my</t>
  </si>
  <si>
    <t>https://v16-webapp-prime.tiktok.com/video/tos/useast2a/tos-useast2a-pve-0068/ok5AZfQ5fAIWBsTyQDRlr9BWzEBJFERAdJCEiz/?a=1988&amp;bti=ODszNWYuMDE6&amp;ch=0&amp;cr=3&amp;dr=0&amp;lr=all&amp;cd=0%7C0%7C0%7C&amp;cv=1&amp;br=1560&amp;bt=780&amp;cs=0&amp;ds=3&amp;ft=-Csk_mrMPD12N_hopd-Ux315hY6e3wv25dcAp&amp;mime_type=video_mp4&amp;qs=0&amp;rc=ZGg3ZWk5NzlpNjhnNDczaEBpM3lsZ3M5cjk8cTMzNzczM0AyNGM2LjMyNS8xYjExM19iYSNfLWNrMmRjamZgLS1kMTZzcw%3D%3D&amp;btag=e000b8000&amp;expire=1763173389&amp;l=20251113102250DC012CE1E68AEAAA2B86&amp;ply_type=2&amp;policy=2&amp;signature=39a28807e356f60f57cdbeb6ea6942cc&amp;tk=tt_chain_token</t>
  </si>
  <si>
    <t>https://v16-webapp-prime.tiktok.com/video/tos/useast2a/tos-useast2a-ve-0068c001/oIf0jjI6ChBWz4ti1LihRIV8gDC5EoA3RiQkHA/?a=1988&amp;bti=ODszNWYuMDE6&amp;ch=0&amp;cr=3&amp;dr=0&amp;lr=all&amp;cd=0%7C0%7C0%7C&amp;cv=1&amp;br=1260&amp;bt=630&amp;cs=0&amp;ds=3&amp;ft=I~da4oKyD12Nvu.WS.IxRntNWlBF-UjNSMopiX&amp;mime_type=video_mp4&amp;qs=0&amp;rc=ZzQ7Zjc1NzhkOzc0NDY0OEBpajVoeHE5cjs2NTMzNzczM0AuLy0tMmFfXzAxMzUuLy4wYSMuNGIwMmRzLm1hLS1kMTZzcw%3D%3D&amp;btag=e000b8000&amp;expire=1764728444&amp;l=20251201102018B39B5434B49F795A75FD&amp;ply_type=2&amp;policy=2&amp;signature=3d83bfb4c88fc325bf7a4cd8a1c5cc2d&amp;tk=tt_chain_token</t>
  </si>
  <si>
    <t>https://p77-sign-va.tiktokcdn.com/tos-maliva-avt-0068/cc4c7490dee638829f007d6b41ea9da8~tplv-tiktokx-cropcenter:100:100.jpeg?dr=14579&amp;refresh_token=dd567fca&amp;x-expires=1763172000&amp;x-signature=mW2d5cmnES7ij%2BZ%2BBegOCnZ8pAU%3D&amp;t=4d5b0474&amp;ps=13740610&amp;shp=a5d48078&amp;shcp=81f88b70&amp;idc=my</t>
  </si>
  <si>
    <t>7570146381642403090</t>
  </si>
  <si>
    <t>https://v16-webapp-prime.tiktok.com/video/tos/useast2a/tos-useast2a-v-27dcd7/oUwXoAAT0Cglz5QXA9iio9BAKSBEtFAEEkftk6/?a=1988&amp;bti=ODszNWYuMDE6&amp;ch=0&amp;cr=0&amp;dr=0&amp;er=0&amp;lr=default&amp;cd=0%7C0%7C0%7C0&amp;br=250&amp;bt=125&amp;ds=5&amp;ft=GNDpcInz7ThMV-UPXq8Zmo&amp;mime_type=audio_mpeg&amp;qs=13&amp;rc=anM1Znc5cjNvNTMzNzU8M0BpanM1Znc5cjNvNTMzNzU8M0A2by9mMmRjcV9hLS1kMTZzYSM2by9mMmRjcV9hLS1kMTZzcw%3D%3D&amp;btag=e00048000&amp;expire=1763004259&amp;l=2025111310232002E5437D242CEA8409F2&amp;ply_type=3&amp;policy=3&amp;signature=e6535cbe79593bf5c583db6505c7d566&amp;tk=7571587458748974088</t>
  </si>
  <si>
    <t>4 SITUAÇÕES que deixa FUR10SO uma ADULTO TDAH 1- TROCAR REGRAS no meio de 
uma tarefa 2- Quando pedem para ele 
DECIDIR na pressa  3- Barulho “repetitivo” quando ele
tenta focar em algo 4- “INDIRETAS”  que você percebe</t>
  </si>
  <si>
    <t>7570146427603553025</t>
  </si>
  <si>
    <t>https://v16-webapp-prime.tiktok.com/video/tos/alisg/tos-alisg-v-27dcd7/owZ0hABcEAAiAAwhfKBwEXAiL0OKUWagBm5Eok/?a=1988&amp;bti=ODszNWYuMDE6&amp;ch=0&amp;cr=0&amp;dr=0&amp;er=0&amp;lr=default&amp;cd=0%7C0%7C0%7C0&amp;br=250&amp;bt=125&amp;ds=5&amp;ft=GNDpcInz7ThhFKvPXq8Zmo&amp;mime_type=audio_mpeg&amp;qs=13&amp;rc=M3RncGo5cjg8NzMzODU8NEBpM3RncGo5cjg8NzMzODU8NEBfbDZwMmRjLTRhLS1kMS1zYSNfbDZwMmRjLTRhLS1kMS1zcw%3D%3D&amp;btag=e00050000&amp;expire=1764559386&amp;l=20251201102153319CD8E1EA373154CB8C&amp;ply_type=3&amp;policy=3&amp;signature=b8fc7942dc8dc45abf53dbe1b32eabed&amp;tk=7571587458748974088</t>
  </si>
  <si>
    <t>https://p77-sign-va.tiktokcdn.com/tos-maliva-avt-0068/cc4c7490dee638829f007d6b41ea9da8~tplv-tiktokx-cropcenter:1080:1080.jpeg?dr=14579&amp;refresh_token=db10d475&amp;x-expires=1763172000&amp;x-signature=3BsWYoBJar78U4h0SDBt6bMuEkc%3D&amp;t=4d5b0474&amp;ps=13740610&amp;shp=a5d48078&amp;shcp=81f88b70&amp;idc=my</t>
  </si>
  <si>
    <t>https://v16-webapp-prime.tiktok.com/video/tos/alisg/tos-alisg-pve-0037c001/oIPOuOaxmyA9EYVQt6s3IYkB5iaAQBEiEIwKK/?a=1988&amp;bti=ODszNWYuMDE6&amp;ch=0&amp;cr=3&amp;dr=0&amp;lr=all&amp;cd=0%7C0%7C0%7C&amp;cv=1&amp;br=2362&amp;bt=1181&amp;cs=0&amp;ds=3&amp;ft=-Csk_mrMPD12NNBh5d-UxIS5hY6e3wv25ocAp&amp;mime_type=video_mp4&amp;qs=0&amp;rc=OjVlZDtoZjhoaDw6NTs0OUBpM2tkbHc5cmw7NzMzODczNEAzMzQ2NjAvXzQxLjFhXl9eYSNscS5vMmQ0cTRhLS1kMTFzcw%3D%3D&amp;btag=e00090000&amp;expire=1764728586&amp;l=20251201102153319CD8E1EA373154CB8C&amp;ply_type=2&amp;policy=2&amp;signature=42cfda4f6359b0750700cffd1cd51366&amp;tk=tt_chain_token</t>
  </si>
  <si>
    <t>https://v16-webapp-prime.tiktok.com/video/tos/alisg/tos-alisg-ve-37c813-sg/oIIrwSRAr1fz85svGCQcNLLkwMgCfgeTIDEgg7/?a=1988&amp;bti=ODszNWYuMDE6&amp;ch=0&amp;cr=3&amp;dr=0&amp;lr=all&amp;cd=0%7C0%7C0%7C&amp;cv=1&amp;br=1726&amp;bt=863&amp;cs=0&amp;ds=3&amp;ft=-Csk_mrMPD12N9Yopd-Ux315hY6e3wv25dcAp&amp;mime_type=video_mp4&amp;qs=0&amp;rc=NmhoPGhoOzRkZGQ1NmdlPEBpMzl4aG45cjpvNTMzNzgzM0AxLTIyYTVjNS4xNS00M14tYSNvcC5yMmQ0cF9hLS1kLzZzcw%3D%3D&amp;btag=e00088000&amp;expire=1763173459&amp;l=2025111310232002E5437D242CEA8409F2&amp;ply_type=2&amp;policy=2&amp;signature=c6e8419e486a5c4bd22f0105b9a9c670&amp;tk=tt_chain_token</t>
  </si>
  <si>
    <t>https://www.tiktok.com/@igorpsicologo/video/7570146381642403090</t>
  </si>
  <si>
    <t>https://p16-sign-va.tiktokcdn.com/tos-maliva-avt-0068/3f2851fddee89c918e3a69c28ed31a70~tplv-tiktokx-cropcenter:100:100.jpeg?dr=14579&amp;refresh_token=763130af&amp;x-expires=1764727200&amp;x-signature=Wo9TYjsJM5w7W9EuQ%2BLJLOtH%2BbQ%3D&amp;t=4d5b0474&amp;ps=13740610&amp;shp=a5d48078&amp;shcp=81f88b70&amp;idc=my</t>
  </si>
  <si>
    <t>https://p16-sign-va.tiktokcdn.com/tos-maliva-avt-0068/63f6fa7e4cb74129badf2a29bc39db27~tplv-tiktokx-cropcenter:100:100.jpeg?dr=14579&amp;refresh_token=898bb217&amp;x-expires=1763172000&amp;x-signature=FBWaM3B0Beq4Bj81%2BDb2%2BQOPYoU%3D&amp;t=4d5b0474&amp;ps=13740610&amp;shp=a5d48078&amp;shcp=81f88b70&amp;idc=my</t>
  </si>
  <si>
    <t>https://v16-webapp-prime.tiktok.com/video/tos/alisg/tos-alisg-v-27dcd7/okMKnfHIGwnEBKAEAkziBkAo7AhiEyyN0yZNAA/?a=1988&amp;bti=ODszNWYuMDE6&amp;ch=0&amp;cr=0&amp;dr=0&amp;er=0&amp;lr=default&amp;cd=0%7C0%7C0%7C0&amp;br=250&amp;bt=125&amp;ds=5&amp;ft=GNDpcInz7ThuzKvPXq8Zmo&amp;mime_type=audio_mpeg&amp;qs=13&amp;rc=amxqbW05cmxoNzMzODU8NEBpamxqbW05cmxoNzMzODU8NEBnYWAzMmRjbTFhLS1kMS1zYSNnYWAzMmRjbTFhLS1kMS1zcw%3D%3D&amp;btag=e00048000&amp;expire=1764559358&amp;l=202512011021508D2E02B19879BA6D89C0&amp;ply_type=3&amp;policy=3&amp;signature=b2eee56c5400dd97a4b6b3ee77dec3cb&amp;tk=7571587458748974088</t>
  </si>
  <si>
    <t>https://v16-webapp-prime.tiktok.com/video/tos/useast2a/tos-useast2a-v-27dcd7/ogqbroUZtdjCeVxas6DeB8VUJBbn4QTJaQbKEw/?a=1988&amp;bti=ODszNWYuMDE6&amp;ch=0&amp;cr=0&amp;dr=0&amp;er=0&amp;lr=default&amp;cd=0%7C0%7C0%7C0&amp;br=250&amp;bt=125&amp;ft=GNDpcInz7ThN9-UPXq8Zmo&amp;mime_type=audio_mpeg&amp;qs=6&amp;rc=ZGRlNjQ0ODY0Zzs8ZTQ2NEBpamZ0NTo6ZnBlZzMzNzU8M0BgNTJeY15hNl4xMzZgMGEwYSM0L2xjcjRfNl9gLS1kMTZzcw%3D%3D&amp;btag=e00088000&amp;expire=1763004305&amp;l=20251113102410CE8B814C77F7637842AC&amp;ply_type=3&amp;policy=3&amp;signature=52192ab515ee5e8f28fe3e6b0263f5fe&amp;tk=7571587458748974088</t>
  </si>
  <si>
    <t>https://p77-sign-va.tiktokcdn.com/tos-maliva-avt-0068/3f2851fddee89c918e3a69c28ed31a70~tplv-tiktokx-cropcenter:1080:1080.jpeg?dr=14579&amp;refresh_token=f623d513&amp;x-expires=1764727200&amp;x-signature=nKHYDFB8jvbVcxDkElN9g0xpAD0%3D&amp;t=4d5b0474&amp;ps=13740610&amp;shp=a5d48078&amp;shcp=81f88b70&amp;idc=my</t>
  </si>
  <si>
    <t>https://p16-sign-va.tiktokcdn.com/tos-maliva-avt-0068/63f6fa7e4cb74129badf2a29bc39db27~tplv-tiktokx-cropcenter:1080:1080.jpeg?dr=14579&amp;refresh_token=9781f0db&amp;x-expires=1763172000&amp;x-signature=CE5RiJKbxgTIeS2usQkDXsApsN4%3D&amp;t=4d5b0474&amp;ps=13740610&amp;shp=a5d48078&amp;shcp=81f88b70&amp;idc=my</t>
  </si>
  <si>
    <t>https://v16-webapp-prime.tiktok.com/video/tos/alisg/tos-alisg-pve-0037c001/oE6Dz7gaQEBUbbKBOepERD8BCIyncDBfgA7FwR/?a=1988&amp;bti=ODszNWYuMDE6&amp;ch=0&amp;cr=3&amp;dr=0&amp;lr=all&amp;cd=0%7C0%7C0%7C&amp;cv=1&amp;br=1680&amp;bt=840&amp;cs=0&amp;ds=3&amp;ft=-Csk_mrMPD12NGDh5d-UxSc2hY6e3wv25DcAp&amp;mime_type=video_mp4&amp;qs=0&amp;rc=Ozw7ODM4Mzs3PGUzODpmNkBpajM7dnc5cmpoNzMzODczNEAzLTZhYS81NS4xLzRiMi5gYSNqMHFyMmRzbTFhLS1kMWBzcw%3D%3D&amp;btag=e00088000&amp;expire=1764728558&amp;l=202512011021508D2E02B19879BA6D89C0&amp;ply_type=2&amp;policy=2&amp;signature=45cf953b896e148700dd73ce8f7304c3&amp;tk=tt_chain_token</t>
  </si>
  <si>
    <t>https://v16-webapp-prime.tiktok.com/video/tos/maliva/tos-maliva-ve-0068c801-us/oAWpHfAIkzx5qwCptoGmAFP1ItndlQgho7UB1Q/?a=1988&amp;bti=ODszNWYuMDE6&amp;ch=0&amp;cr=3&amp;dr=0&amp;lr=all&amp;cd=0%7C0%7C0%7C&amp;cv=1&amp;br=1760&amp;bt=880&amp;cs=0&amp;ds=3&amp;ft=I~da4oKyD12Nv5A0i.IxRIk_glBF-UjNSbopiX&amp;mime_type=video_mp4&amp;qs=0&amp;rc=Njc7aTU4OWllM2dlaWk2M0Bpajo2czo6ZmhlZzMzNzczM0BhYzI0YV41NTYxNGBgYjBhYSNoX2pmcjRvNl9gLS1kMTZzcw%3D%3D&amp;btag=e00088000&amp;expire=1763173506&amp;l=20251113102410CE8B814C77F7637842AC&amp;ply_type=2&amp;policy=2&amp;signature=b27ae1904f756418ae6c907683b15c7e&amp;tk=tt_chain_token</t>
  </si>
  <si>
    <t>7527772123864059192</t>
  </si>
  <si>
    <t>movimentoabasr</t>
  </si>
  <si>
    <t>https://p16-sign-va.tiktokcdn.com/tos-maliva-avt-0068/58ad5483f2c8e529250b55f297cc7b9e~tplv-tiktokx-cropcenter:100:100.jpeg?dr=14579&amp;refresh_token=06c188ec&amp;x-expires=1764727200&amp;x-signature=3YRwrC85%2FK30rYPZoyMkEOmmT%2Bw%3D&amp;t=4d5b0474&amp;ps=13740610&amp;shp=a5d48078&amp;shcp=81f88b70&amp;idc=my</t>
  </si>
  <si>
    <t>7281038234040192262</t>
  </si>
  <si>
    <t>https://p16-sign-va.tiktokcdn.com/tos-maliva-avt-0068/1c71a0228c5bad5aadc1820539c510e2~tplv-tiktokx-cropcenter:100:100.jpeg?dr=14579&amp;refresh_token=a7d3e309&amp;x-expires=1763172000&amp;x-signature=0dCgZfsTo1JDiynzLEEbApEgTwk%3D&amp;t=4d5b0474&amp;ps=13740610&amp;shp=a5d48078&amp;shcp=81f88b70&amp;idc=my</t>
  </si>
  <si>
    <t xml:space="preserve">🎯 Você sabia que o TDAH pode se manifestar de maneiras bem diferentes? Nem todo mundo que tem TDAH é agitado e isso pode confundir muita gente! No vídeo de hoje, você vai conhecer os 3 tipos de TDAH de um jeito leve, real e que talvez até te faça pensar: “Ei, isso parece comigo!” 👀 ✨ Desatento: vive no mundo da (lua) mas tá tentando focar, juro! ⚡ Hiperativo: parece ligado no 220V, mesmo quando tá parado. 🔁 Misto – distração e agitação no mesmo pacote! 💬 Se você ou alguém que você ama se identificou com algum desses, comenta aqui embaixo!  📲 Aproveita e segue a gente pra mais conteúdos sobre comportamento, neurodivergência e desenvolvimento infantil! 🧩 VENHA NOS CONHECER! 📍 Av. Antônino Dias Bastos, 77 - Centro, São Roque - SP 📞 WhatsApp: (11) 97862-2312 #MovimentoABA #TDAHNaInfância #Neurodivergência #SaúdeMental #TiposDeTDAH     </t>
  </si>
  <si>
    <t>Cute mischief, scheming (loop)</t>
  </si>
  <si>
    <t>6817187949378029570</t>
  </si>
  <si>
    <t>https://sf16-ies-music-sg.tiktokcdn.com/obj/tos-alisg-ve-2774/589d64300f6d457b8c06bfa71720c9fb</t>
  </si>
  <si>
    <t xml:space="preserve">🔎 TDAH: Você é bom investigando qualquer coisa? Siga: @conintdah Em momentos de hiperfoco podemos ir muito além e isso pode ser um diferencial imenso na nossa vida. Claro, você tem que compreender o que é o hiperfoco e o dano que isso pode gerar se não for bem regulado.⭐️ 🧠Preparei uma aula exclusiva para quem estiver no grupo fechado do WhatsApp. ✅4 etapas fundamentais para viver mais leve e funcional com TDAH. Clique agora no link da bio e entre no grupo: https://tdahabitos.com/bio #TDAH #TDAHAdulto #autoestima </t>
  </si>
  <si>
    <t>https://p77-sg.tiktokcdn.com/aweme/720x720/tos-alisg-v-2774/86844c2005f8444cb93c14fd3e976899.jpeg</t>
  </si>
  <si>
    <t>7281038271958747909</t>
  </si>
  <si>
    <t>https://v16-webapp-prime.tiktok.com/video/tos/useast2a/tos-useast2a-v-27dcd7/oIoeuUBfESJJAGA5KbcwLE3plbAcHnlqCADQCB/?a=1988&amp;bti=ODszNWYuMDE6&amp;ch=0&amp;cr=0&amp;dr=0&amp;er=0&amp;lr=default&amp;cd=0%7C0%7C0%7C0&amp;br=250&amp;bt=125&amp;ds=5&amp;ft=GNDpcInz7ThiV-UPXq8Zmo&amp;mime_type=audio_mpeg&amp;qs=13&amp;rc=MzttM2g6ZmhxbjMzNzU8M0BpMzttM2g6ZmhxbjMzNzU8M0Brc3JgcjRfMDJgLS1kMTZzYSNrc3JgcjRfMDJgLS1kMTZzcw%3D%3D&amp;btag=e00048000&amp;expire=1763004273&amp;l=2025111310235634FE9FF2AA2A079ADB1D&amp;ply_type=3&amp;policy=3&amp;signature=864ecb5143e7f2db8d437210f1cec192&amp;tk=7571587458748974088</t>
  </si>
  <si>
    <t>The Penguin</t>
  </si>
  <si>
    <t>https://v16-webapp-prime.tiktok.com/video/tos/useast2a/tos-useast2a-ve-0068c004/o4BDi5MSBIqgi2EEECcyHaUiUQgPBAPPw4QXj/?a=1988&amp;bti=ODszNWYuMDE6&amp;ch=0&amp;cr=3&amp;dr=0&amp;lr=all&amp;cd=0%7C0%7C0%7C&amp;cv=1&amp;br=2182&amp;bt=1091&amp;cs=0&amp;ds=3&amp;ft=-Csk_mrMPD12NLdh5d-Uxbt2hY6e3wv25HcAp&amp;mime_type=video_mp4&amp;qs=0&amp;rc=MzM2MzU8aTVmOjo3Z2U8ZUBpM3ZnOGw5cmozNDMzNzczM0AxMl42YWM0XmIxX2NgLi8uYSNkYi1vMmQ0NnBhLS1kMTZzcw%3D%3D&amp;btag=e000b8000&amp;expire=1764728439&amp;l=202512011020239FD63C9B4E4C976A9DFE&amp;ply_type=2&amp;policy=2&amp;signature=decf9f408894ae22003968974125d317&amp;tk=tt_chain_token</t>
  </si>
  <si>
    <t>https://www.tiktok.com/@movimentoabasr/video/7527772123864059192</t>
  </si>
  <si>
    <t>https://p77-sign-va.tiktokcdn.com/tos-maliva-avt-0068/1c71a0228c5bad5aadc1820539c510e2~tplv-tiktokx-cropcenter:1080:1080.jpeg?dr=14579&amp;refresh_token=96d1f16f&amp;x-expires=1763172000&amp;x-signature=uyq1wmI0BZHRL5THz3NlDkM8%2FGk%3D&amp;t=4d5b0474&amp;ps=13740610&amp;shp=a5d48078&amp;shcp=81f88b70&amp;idc=my</t>
  </si>
  <si>
    <t>movimentoaba,tdahnainfância,neurodivergência,saúdemental,tiposdetdah</t>
  </si>
  <si>
    <t>https://v16-webapp-prime.tiktok.com/video/tos/alisg/tos-alisg-v-27dcd7/oonAB9fBQEyjJOpU868yACjfLBECNiQAiAAkEg/?a=1988&amp;bti=ODszNWYuMDE6&amp;ch=0&amp;cr=0&amp;dr=0&amp;er=0&amp;lr=default&amp;cd=0%7C0%7C0%7C0&amp;br=250&amp;bt=125&amp;ds=5&amp;ft=GNDpcInz7Th4zKvPXq8Zmo&amp;mime_type=audio_mpeg&amp;qs=13&amp;rc=MzZuM2w5cmx4NzMzODU8NEBpMzZuM2w5cmx4NzMzODU8NEBtcTRyMmRjZDJhLS1kMS1zYSNtcTRyMmRjZDJhLS1kMS1zcw%3D%3D&amp;btag=e00050000&amp;expire=1764559368&amp;l=20251201102104F69A53E45B65A94E5B1C&amp;ply_type=3&amp;policy=3&amp;signature=559a925e419c081249056b3078ebfa9d&amp;tk=7571587458748974088</t>
  </si>
  <si>
    <t>https://webapp-va.tiktok.com/7129ed9d46c20a08d9fa31db6f59f2b9/6917e461/kmoat/mps/logo/v2/r/p/v09044g40000ck5n23jc77u28lj2vc50/ec1c5002857d4f33aa1101f07b548272/9b64769a7bf6bf1162013774c6fa0561/mp4/main.mp4?a=1988&amp;bti=ODszNWYuMDE6&amp;ch=0&amp;cr=3&amp;dr=0&amp;lr=all&amp;cd=0%7C0%7C0%7C&amp;cv=1&amp;br=0&amp;bt=0&amp;cs=0&amp;ds=3&amp;eid=1286&amp;ft=bLZkJmrMPD12N3Yopd-Ux24FaY6e3wv25WcAp&amp;mime_type=video_mp4&amp;qs=0&amp;rc=cnF8b2hsc2d3SkBwaHIxaDFybndmNTU3ZTM0NGQ2aWc4NTNmZkBpM2Y1bzU6ZjZxbjMzNzczM0BjRl5Nc3FePmJKYSNvYF90aHFmOiM0NTI0Yy0uXjAxNDUtMi5iYSMyc2c1cjRnLzJgLS1kMTZzcw%3D%3D&amp;btag=e00088000&amp;definition=720p&amp;du=38&amp;item_id=7281038234040192262&amp;l=2025111310235634FE9FF2AA2A079ADB1D&amp;logo_type=tiktok_m&amp;ply_type=2&amp;policy=eyJ2bSI6MiwiY2siOiJ0dF9jaGFpbl90b2tlbiJ9&amp;user_text=tdahabitos</t>
  </si>
  <si>
    <t>https://p77-sign-va.tiktokcdn.com/tos-maliva-avt-0068/377405ce9a41275b9b6f008b78c94af6~tplv-tiktokx-cropcenter:1080:1080.jpeg?dr=14579&amp;refresh_token=2a84a248&amp;x-expires=1764727200&amp;x-signature=GtmknxaCPihzqrKM8rGSJE%2FTrQA%3D&amp;t=4d5b0474&amp;ps=13740610&amp;shp=a5d48078&amp;shcp=81f88b70&amp;idc=my</t>
  </si>
  <si>
    <t>https://v16-webapp-prime.tiktok.com/video/tos/alisg/tos-alisg-pve-0037c001/oEICLSaIMD8PPAjeqiEAEFEDe6DqMFQlGfIXFS/?a=1988&amp;bti=ODszNWYuMDE6&amp;ch=0&amp;cr=3&amp;dr=0&amp;lr=all&amp;cd=0%7C0%7C0%7C&amp;cv=1&amp;br=2350&amp;bt=1175&amp;cs=0&amp;ds=3&amp;ft=-Csk_mrMPD12NyDh5d-UxO72hY6e3wv257cAp&amp;mime_type=video_mp4&amp;qs=0&amp;rc=NTNmZjU4OTVkOmU6ZjtkaEBpM2Y8cW85cjh4NzMzODczNUAtNTFfMTU2NS8xNWA1Y19gYSMxaGguMmRzYzJhLS1kMTZzcw%3D%3D&amp;btag=e00090000&amp;expire=1764728568&amp;l=20251201102104F69A53E45B65A94E5B1C&amp;ply_type=2&amp;policy=2&amp;signature=0b03c3d23d3e46470a02c16195c7ca44&amp;tk=tt_chain_token</t>
  </si>
  <si>
    <t>https://www.tiktok.com/@tdahabitos/video/7281038234040192262</t>
  </si>
  <si>
    <t>tdah,tdahadulto,autoestima</t>
  </si>
  <si>
    <t>7328130556401569029</t>
  </si>
  <si>
    <t>Assim é o TDAH  #procrastinacao #viraltdah #tdah #tdahadulto #oqueetdah #comoacabarcomotdah #sintomasdotdah #viraltiktok #viralvideo #viral</t>
  </si>
  <si>
    <t>7328130572430756613</t>
  </si>
  <si>
    <t>https://v16-webapp-prime.tiktok.com/video/tos/useast2a/tos-useast2a-v-27dcd7/o8fQ48vKiAKmMJAQAVcQJlEkfFyWQG6fWIfZAL/?a=1988&amp;bti=ODszNWYuMDE6&amp;ch=0&amp;cr=0&amp;dr=0&amp;er=0&amp;lr=default&amp;cd=0%7C0%7C0%7C0&amp;br=250&amp;bt=125&amp;ds=5&amp;ft=GNDpcInz7Th4K-UPXq8Zmo&amp;mime_type=audio_mpeg&amp;qs=13&amp;rc=MzVvbW05cnZlcDMzNzU8M0BpMzVvbW05cnZlcDMzNzU8M0A0ZXJlMmRrc21gLS1kMTZzYSM0ZXJlMmRrc21gLS1kMTZzcw%3D%3D&amp;btag=e00050000&amp;expire=1763004230&amp;l=2025111310220790E74D25ACF9796D8D06&amp;ply_type=3&amp;policy=3&amp;signature=8d1eab4f2b2abe2268bbde6ddc4bcf68&amp;tk=7571587458748974088</t>
  </si>
  <si>
    <t>7563052439243328786</t>
  </si>
  <si>
    <t>so_mente</t>
  </si>
  <si>
    <t>Só Mente 🧠</t>
  </si>
  <si>
    <t>https://p77-sign-va.tiktokcdn.com/tos-maliva-avt-0068/05b6935a4b121ee474ae6fc121633920~tplv-tiktokx-cropcenter:100:100.jpeg?dr=14579&amp;refresh_token=7310f36e&amp;x-expires=1764727200&amp;x-signature=YpOVlwUu6ArdrVQTsNlRHvEE6Y0%3D&amp;t=4d5b0474&amp;ps=13740610&amp;shp=a5d48078&amp;shcp=81f88b70&amp;idc=my</t>
  </si>
  <si>
    <t xml:space="preserve">TDAH não é só ‘falta de foco’. É viver com uma mente acelerada, cheia de pensamentos, emoções e desafios diários 🧠⚡ Se identificou? Você não está sozinho. #TDAH #SóMente #SaúdeMental #Foco #InformaçãoÉPoder       </t>
  </si>
  <si>
    <t>https://v16-webapp-prime.tiktok.com/video/tos/useast2a/tos-useast2a-ve-0068c004/ocusJIFEDeO9rBwSQEfBAUQx1FFnElBEcmpRgy/?a=1988&amp;bti=ODszNWYuMDE6&amp;ch=0&amp;cr=3&amp;dr=0&amp;lr=all&amp;cd=0%7C0%7C0%7C&amp;cv=1&amp;br=762&amp;bt=381&amp;cs=0&amp;ds=3&amp;ft=-Csk_mrMPD12Nyhopd-UxFN2aY6e3wv25ycAp&amp;mime_type=video_mp4&amp;qs=0&amp;rc=NzlpOGRpNmlnNDtoZzRpaUBpamx1Zm05cmtlcDMzNzczM0BjMS8vXzM2X18xNS02NWI2YSNoXnMuMmRjcm1gLS1kMTZzcw%3D%3D&amp;btag=e00090000&amp;expire=1763173430&amp;l=2025111310220790E74D25ACF9796D8D06&amp;ply_type=2&amp;policy=2&amp;signature=fafc248a042a83e0d784ae4799763183&amp;tk=tt_chain_token</t>
  </si>
  <si>
    <t>7563052571766622993</t>
  </si>
  <si>
    <t>https://v16-webapp-prime.tiktok.com/video/tos/alisg/tos-alisg-v-27dcd7/o0XuPFeUEM3Ig89sV1fwmA6CJxq4oDQVBOWDBR/?a=1988&amp;bti=ODszNWYuMDE6&amp;ch=0&amp;cr=0&amp;dr=0&amp;er=0&amp;lr=default&amp;cd=0%7C0%7C0%7C0&amp;br=250&amp;bt=125&amp;ft=GNDpcInz7ThvFKvPXq8Zmo&amp;mime_type=audio_mpeg&amp;qs=6&amp;rc=OTk1OTxkMzdnNWRlZzs7aEBpM2lwZHE5cmhvNjMzODU8NEAxNDIvYTYwNjAxMzRgMi8zYSNnbGZjMmRrbG5hLS1kMS1zcw%3D%3D&amp;btag=e00088000&amp;expire=1764559378&amp;l=2025120110220104295D62D2C47867A675&amp;ply_type=3&amp;policy=3&amp;signature=b1fe4789f0e6ddf66c1eb509229df0e3&amp;tk=7571587458748974088</t>
  </si>
  <si>
    <t>https://p16-sign-va.tiktokcdn.com/tos-maliva-avt-0068/05b6935a4b121ee474ae6fc121633920~tplv-tiktokx-cropcenter:1080:1080.jpeg?dr=14579&amp;refresh_token=7570fd58&amp;x-expires=1764727200&amp;x-signature=9MB4i7Hk1ber7JIG2vjg0os7x0I%3D&amp;t=4d5b0474&amp;ps=13740610&amp;shp=a5d48078&amp;shcp=81f88b70&amp;idc=my</t>
  </si>
  <si>
    <t>https://www.tiktok.com/@liberdade.mentall/video/7328130556401569029</t>
  </si>
  <si>
    <t>https://v16-webapp-prime.tiktok.com/video/tos/alisg/tos-alisg-pve-0037c001/owlWBbA68AAUoWffAMjRGaCxNQDoWITlsryien/?a=1988&amp;bti=ODszNWYuMDE6&amp;ch=0&amp;cr=3&amp;dr=0&amp;lr=all&amp;cd=0%7C0%7C0%7C&amp;cv=1&amp;br=1796&amp;bt=898&amp;cs=0&amp;ds=3&amp;ft=-Csk_mrMPD12NOBh5d-Uxbt2hY6e3wv25HcAp&amp;mime_type=video_mp4&amp;qs=0&amp;rc=NTllZDc2OTg2NTlkNGhkaUBpM2Vscm45cmpvNjMzODczNEBgLi9iNV8vNi8xMDAyMTZjYSNjbTNyMmQ0aW5hLS1kMTFzcw%3D%3D&amp;btag=e00088000&amp;expire=1764728579&amp;l=2025120110220104295D62D2C47867A675&amp;ply_type=2&amp;policy=2&amp;signature=f15b6e11b1c94228cccc41e3c70002e5&amp;tk=tt_chain_token</t>
  </si>
  <si>
    <t>procrastinacao,viraltdah,tdah,tdahadulto,oqueetdah,comoacabarcomotdah,sintomasdotdah,viraltiktok,viralvideo,viral</t>
  </si>
  <si>
    <t>7295327958296841478</t>
  </si>
  <si>
    <t>comomecurei</t>
  </si>
  <si>
    <t>Klebber Loppes - Despertar</t>
  </si>
  <si>
    <t>https://p16-sign-va.tiktokcdn.com/tos-maliva-avt-0068/7c37b76173649fc5b2582a6d66b305c7~tplv-tiktokx-cropcenter:100:100.jpeg?dr=14579&amp;refresh_token=96efa47a&amp;x-expires=1763172000&amp;x-signature=aeajtG60UGdflI%2FugnxH9jfjq0o%3D&amp;t=4d5b0474&amp;ps=13740610&amp;shp=a5d48078&amp;shcp=81f88b70&amp;idc=my</t>
  </si>
  <si>
    <t>https://www.tiktok.com/@so_mente/video/7563052439243328786</t>
  </si>
  <si>
    <t>tdah,sómente,saúdemental,foco,informaçãoépoder</t>
  </si>
  <si>
    <t xml:space="preserve">Bom tá aí o resumo, veja o vídeo fixado e a Playlist " A VERDADE ", provavelmente vc vai dar uma surtada, mas faz parte, mas é melhor saber logo. AVISO: Falou besteira é Block na hora.  Participe do Grupo de aviso de live no link da Bio. #tdahadulto #comomecurei #tdah #fyyyyyyyyyyyyyyy #fyp #fypシ </t>
  </si>
  <si>
    <t>COMO ME CUREI 
" TDAH "
COMO ME CUREI 
          " TDAH"</t>
  </si>
  <si>
    <t>https://v16-webapp-prime.tiktok.com/video/tos/useast2a/tos-useast2a-v-27dcd7/1377a05523d9478ca0c21d1c85ac5346/?a=1988&amp;bti=ODszNWYuMDE6&amp;ch=0&amp;cr=0&amp;dr=0&amp;er=0&amp;lr=default&amp;cd=0%7C0%7C0%7C0&amp;br=250&amp;bt=125&amp;ds=5&amp;ft=GNDpcInz7ThkPKvPXq8Zmo&amp;mime_type=audio_mpeg&amp;qs=13&amp;rc=am01NWk6Znk8bDMzNzU8M0Bpam01NWk6Znk8bDMzNzU8M0BoMHNhcjRnbS1gLS1kMTZzYSNoMHNhcjRnbS1gLS1kMTZzcw%3D%3D&amp;btag=e00050000&amp;expire=1764559334&amp;l=2025120110204563AE4C62401D615C8166&amp;ply_type=3&amp;policy=3&amp;signature=423d1994cdb0a243d408c481b953a8ca&amp;tk=7571587458748974088</t>
  </si>
  <si>
    <t>Epic Inspiration</t>
  </si>
  <si>
    <t>7116400670005872641</t>
  </si>
  <si>
    <t>https://sf16-ies-music-sg.tiktokcdn.com/obj/tos-alisg-ve-2774/ooQ6cZBoa5mlRFzu14fDFggtQ9BfCTygVYDOEp</t>
  </si>
  <si>
    <t>https://p16-sg.tiktokcdn.com/aweme/720x720/tos-alisg-v-2774/oQcWjf9n9w2sBBAEALwiBmAorAciEtvm0FbHAD.jpeg</t>
  </si>
  <si>
    <t>https://v16-webapp-prime.tiktok.com/video/tos/maliva/tos-maliva-ve-0068c801-us/ogORAAztJJQnfDUkKgebBBQKLn3MzYIJRInTEj/?a=1988&amp;bti=ODszNWYuMDE6&amp;ch=0&amp;cr=3&amp;dr=0&amp;lr=all&amp;cd=0%7C0%7C0%7C&amp;cv=1&amp;br=1502&amp;bt=751&amp;cs=0&amp;ds=3&amp;ft=-Csk_mrMPD12Nqdh5d-UxgS5hY6e3wv25icAp&amp;mime_type=video_mp4&amp;qs=0&amp;rc=NmY2MzdoODY5aTQ4aDZoNUBpM2V5PDw6ZnI8bDMzNzczM0AvL2AyNF80XjUxLzQuLV8yYSNgM29mcjRvbS1gLS1kMTZzcw%3D%3D&amp;btag=e00090000&amp;expire=1764728534&amp;l=2025120110204563AE4C62401D615C8166&amp;ply_type=2&amp;policy=2&amp;signature=a2c033cafc6d98dc6551847c1b0964cf&amp;tk=tt_chain_token</t>
  </si>
  <si>
    <t>DM Production</t>
  </si>
  <si>
    <t>https://v16-webapp-prime.tiktok.com/video/tos/maliva/tos-maliva-ve-0068c801-us/oYR4GUJtfzeQR2GeFARSvIt8dW2AeWgMBikEUG/?a=1988&amp;bti=ODszNWYuMDE6&amp;ch=0&amp;cr=3&amp;dr=0&amp;lr=all&amp;cd=0%7C0%7C0%7C&amp;cv=1&amp;br=1426&amp;bt=713&amp;cs=0&amp;ds=3&amp;ft=-Csk_mrMPD12NOYopd-Uxtv5GY6e3wv252cAp&amp;mime_type=video_mp4&amp;qs=0&amp;rc=ZmZkaDNmNjNnNjc1aTNlaEBpamVwdWs5cmU2bjMzNzczM0A2LjRiM2IxXy8xLzMzYjQtYSNuZXAvMmRrX3NgLS1kMTZzcw%3D%3D&amp;btag=e00098000&amp;expire=1763173596&amp;l=20251113102306B19E1F5BC676BF8CC05E&amp;ply_type=2&amp;policy=2&amp;signature=0accea288dd611d0918fa517339a205c&amp;tk=tt_chain_token</t>
  </si>
  <si>
    <t>https://www.tiktok.com/@comomecurei/video/7295327958296841478</t>
  </si>
  <si>
    <t>tdahadulto,comomecurei,tdah,fyyyyyyyyyyyyyyy,fyp,fypシ</t>
  </si>
  <si>
    <t>7420167502379945221</t>
  </si>
  <si>
    <t>dotewill</t>
  </si>
  <si>
    <t>Dote Will TOsun</t>
  </si>
  <si>
    <t>https://p77-sign-va.tiktokcdn.com/tos-maliva-avt-0068/7322120458198646790~tplv-tiktokx-cropcenter:100:100.jpeg?dr=14579&amp;refresh_token=58588ec0&amp;x-expires=1763172000&amp;x-signature=HXt4pwtsnO9cT7NV4f1j0y4SKLc%3D&amp;t=4d5b0474&amp;ps=13740610&amp;shp=a5d48078&amp;shcp=81f88b70&amp;idc=my</t>
  </si>
  <si>
    <t>https://v16-webapp-prime.tiktok.com/video/tos/useast2a/tos-useast2a-ve-0068c004/oUfmK7RmEvD3kfpELnF2KQ8rBoNQIQB95ZgJ4A/?a=1988&amp;bti=ODszNWYuMDE6&amp;ch=0&amp;cr=3&amp;dr=0&amp;lr=all&amp;cd=0%7C0%7C0%7C&amp;cv=1&amp;br=1716&amp;bt=858&amp;cs=0&amp;ds=3&amp;ft=-Csk_mrMPD12NzDh5d-UxKyFaY6e3wv257cAp&amp;mime_type=video_mp4&amp;qs=0&amp;rc=ZTRoaWZnNzQ1PDQ8ZWllZEBpM2Y8NXg5cjVzdTMzNzczM0BfYmA2YTJiNV4xLWFhLzYvYSNuby9yMmRrb2NgLS1kMTZzcw%3D%3D&amp;btag=e00090000&amp;expire=1764728566&amp;l=20251201102139650E38823033055E6EEC&amp;ply_type=2&amp;policy=2&amp;signature=7b7a7883733a570f63aaa0fd06f78b69&amp;tk=tt_chain_token</t>
  </si>
  <si>
    <t>7420167534057212678</t>
  </si>
  <si>
    <t>https://v16-webapp-prime.tiktok.com/video/tos/useast2a/tos-useast2a-v-27dcd7/o0CADEU7FkB7mANSnAARlEZhuE5lDQSixlivP/?a=1988&amp;bti=ODszNWYuMDE6&amp;ch=0&amp;cr=0&amp;dr=0&amp;er=0&amp;lr=default&amp;cd=0%7C0%7C0%7C0&amp;br=250&amp;bt=125&amp;ds=5&amp;ft=GNDpcInz7ThYK-UPXq8Zmo&amp;mime_type=audio_mpeg&amp;qs=13&amp;rc=ajhkc3U5cjh1dTMzNzU8M0Bpajhkc3U5cjh1dTMzNzU8M0BkXy8zMmQ0anBgLS1kMTZzYSNkXy8zMmQ0anBgLS1kMTZzcw%3D%3D&amp;btag=e00078000&amp;expire=1763004188&amp;l=20251113102250DC012CE1E68AEAAA2B86&amp;ply_type=3&amp;policy=3&amp;signature=c5ff79d675a315d39ab6798ca5a275c7&amp;tk=7571587458748974088</t>
  </si>
  <si>
    <t>https://p16-sign-sg.tiktokcdn.com/tos-alisg-avt-0068/64a1df84a6ae152984bbd52bdbf71799~tplv-tiktokx-cropcenter:100:100.jpeg?dr=14579&amp;refresh_token=1903b5e1&amp;x-expires=1764727200&amp;x-signature=cRgVb9U2t47wBK1iQ3nMxTenrm0%3D&amp;t=4d5b0474&amp;ps=13740610&amp;shp=a5d48078&amp;shcp=81f88b70&amp;idc=my</t>
  </si>
  <si>
    <t>https://p77-sign-va.tiktokcdn.com/tos-maliva-avt-0068/7322120458198646790~tplv-tiktokx-cropcenter:1080:1080.jpeg?dr=14579&amp;refresh_token=e3900e49&amp;x-expires=1763172000&amp;x-signature=1R%2BcaSikGlCputkzWLqX5T1i2gY%3D&amp;t=4d5b0474&amp;ps=13740610&amp;shp=a5d48078&amp;shcp=81f88b70&amp;idc=my</t>
  </si>
  <si>
    <t>https://p16-sg.tiktokcdn.com/aweme/720x720/tos-alisg-v-2774/66a26eccfd91446180f958f436900c7f.jpeg</t>
  </si>
  <si>
    <t>https://v16-webapp-prime.tiktok.com/video/tos/alisg/tos-alisg-pve-0037c001/oMA3ZPuQEivBQU7ivm3yCBcSBQEEdV7Q9wIYi/?a=1988&amp;bti=ODszNWYuMDE6&amp;ch=0&amp;cr=3&amp;dr=0&amp;lr=all&amp;cd=0%7C0%7C0%7C&amp;cv=1&amp;br=1650&amp;bt=825&amp;cs=0&amp;ds=3&amp;ft=-Csk_mrMPD12N_hopd-Ux315hY6e3wv25dcAp&amp;mime_type=video_mp4&amp;qs=0&amp;rc=ZDc0ZztpNTY0ZTw5ZWY6Z0BpM29vaXE5cjd1dTMzNzczM0AuYC1gLWFjNl8xLl4uLmAuYSNrZF9tMmQ0anBgLS1kMTZzcw%3D%3D&amp;btag=e000b8000&amp;expire=1763173388&amp;l=20251113102250DC012CE1E68AEAAA2B86&amp;ply_type=2&amp;policy=2&amp;signature=4cb5c58e4872d86764d88ae4f1d65858&amp;tk=tt_chain_token</t>
  </si>
  <si>
    <t>7280273691005455622</t>
  </si>
  <si>
    <t>https://p16-sign-va.tiktokcdn.com/tos-maliva-avt-0068/653ecd097a40a9bcfe371c2a0424bd79~tplv-tiktokx-cropcenter:100:100.jpeg?dr=14579&amp;refresh_token=deb0d938&amp;x-expires=1764727200&amp;x-signature=PaaFBZ19COzP%2BkjU%2BfWQZw2RPYY%3D&amp;t=4d5b0474&amp;ps=13740610&amp;shp=a5d48078&amp;shcp=81f88b70&amp;idc=my</t>
  </si>
  <si>
    <t>https://www.tiktok.com/@dotewill/video/7420167502379945221</t>
  </si>
  <si>
    <t>Você sabe o que é Déficit de Atenção? 🤯✨ #cerebro #saudementa #pisicologia #tdah #mente</t>
  </si>
  <si>
    <t xml:space="preserve">    Você sabe o que é  
   Déficit de Atenção? 
  </t>
  </si>
  <si>
    <t>7280273740282202885</t>
  </si>
  <si>
    <t>https://v16-webapp-prime.tiktok.com/video/tos/useast2a/tos-useast2a-v-27dcd7/o4AtFf06BmqEdzAbEuugzlAFAqhKhyqkoAAIEt/?a=1988&amp;bti=ODszNWYuMDE6&amp;ch=0&amp;cr=0&amp;dr=0&amp;er=0&amp;lr=default&amp;cd=0%7C0%7C0%7C0&amp;br=250&amp;bt=125&amp;ds=5&amp;ft=GNDpcInz7ThjFKvPXq8Zmo&amp;mime_type=audio_mpeg&amp;qs=13&amp;rc=M3VwdTM6ZnNlbjMzNzU8M0BpM3VwdTM6ZnNlbjMzNzU8M0BraDVmcjRvaDFgLS1kMTZzYSNraDVmcjRvaDFgLS1kMTZzcw%3D%3D&amp;btag=e00050000&amp;expire=1764559388&amp;l=2025120110215532A809179141715F3748&amp;ply_type=3&amp;policy=3&amp;signature=eb544653d2efabcdd7243aee5526f7a8&amp;tk=7571587458748974088</t>
  </si>
  <si>
    <t>7555987366880726328</t>
  </si>
  <si>
    <t>esquecidepostar</t>
  </si>
  <si>
    <t>TDAH não é preguiça</t>
  </si>
  <si>
    <t>https://p77-sign-va.tiktokcdn.com/tos-maliva-avt-0068/0cd4c9b7007a45e4404298356f4754cc~tplv-tiktokx-cropcenter:100:100.jpeg?dr=14579&amp;refresh_token=52874423&amp;x-expires=1763172000&amp;x-signature=CaTFJaMkD3grhmMVucqsvtfJ2ZM%3D&amp;t=4d5b0474&amp;ps=13740610&amp;shp=a5d48078&amp;shcp=81f88b70&amp;idc=my</t>
  </si>
  <si>
    <t>https://p77-sign-va.tiktokcdn.com/tos-maliva-avt-0068/653ecd097a40a9bcfe371c2a0424bd79~tplv-tiktokx-cropcenter:1080:1080.jpeg?dr=14579&amp;refresh_token=7546a200&amp;x-expires=1764727200&amp;x-signature=bDPLNM0mI5ZLGkxnEZSeYcIv4bc%3D&amp;t=4d5b0474&amp;ps=13740610&amp;shp=a5d48078&amp;shcp=81f88b70&amp;idc=my</t>
  </si>
  <si>
    <t>Pare de lutar contra a sua mente. Aprenda a trabalhar com ela. Clique no link da bio e descubra como o TDAH pode ser um superpoder quando você sabe como usá-lo. 😉✨ #ConsciênciaTDAH #saudeebemestar #tdahinfantil #tdahadulto #tdahdescomplicado</t>
  </si>
  <si>
    <t>7555987403781999372</t>
  </si>
  <si>
    <t>https://v16-webapp-prime.tiktok.com/video/tos/alisg/tos-alisg-pve-0037c001/oIyQkovqUAlIFAfIMg3EAQaQIhCSoUNjPy0zh8/?a=1988&amp;bti=ODszNWYuMDE6&amp;ch=0&amp;cr=3&amp;dr=0&amp;lr=all&amp;cd=0%7C0%7C0%7C&amp;cv=1&amp;br=1762&amp;bt=881&amp;cs=0&amp;ds=3&amp;ft=-Csk_mrMPD12NSBh5d-Uxs12aY6e3wv252cAp&amp;mime_type=video_mp4&amp;qs=0&amp;rc=ZTwzNDVmOzNkNTc8Ojs1NEBpMzhlM2Y6ZmRlbjMzNzczM0BfNS4yYDQyX14xY18tXzIwYSNyYy9pcjQwZjFgLS1kMTZzcw%3D%3D&amp;btag=e00090000&amp;expire=1764728588&amp;l=2025120110215532A809179141715F3748&amp;ply_type=2&amp;policy=2&amp;signature=451efd082f040652694c1fb4ec010ac7&amp;tk=tt_chain_token</t>
  </si>
  <si>
    <t>https://v16-webapp-prime.tiktok.com/video/tos/useast2a/tos-useast2a-v-27dcd7/oEaAlgNDx7BIioREACc2jQ40CqQEAPiURSwiA/?a=1988&amp;bti=ODszNWYuMDE6&amp;ch=0&amp;cr=0&amp;dr=0&amp;er=0&amp;lr=default&amp;cd=0%7C0%7C0%7C0&amp;br=250&amp;bt=125&amp;ds=5&amp;ft=GNDpcInz7ThiV-UPXq8Zmo&amp;mime_type=audio_mpeg&amp;qs=13&amp;rc=M2poaHI5cjU3NjMzNzU8M0BpM2poaHI5cjU3NjMzNzU8M0BuaXBvMmQ0MmJhLS1kMTZzYSNuaXBvMmQ0MmJhLS1kMTZzcw%3D%3D&amp;btag=e00050000&amp;expire=1763004407&amp;l=2025111310235634FE9FF2AA2A079ADB1D&amp;ply_type=3&amp;policy=3&amp;signature=2c4d94eec4814eeb2a0d98e931df9450&amp;tk=7571587458748974088</t>
  </si>
  <si>
    <t>https://www.tiktok.com/@psicologiaemcortes/video/7280273691005455622</t>
  </si>
  <si>
    <t>cerebro,saudementa,pisicologia,tdah,mente</t>
  </si>
  <si>
    <t>7576652631871851797</t>
  </si>
  <si>
    <t>https://p16-sign-va.tiktokcdn.com/tos-maliva-avt-0068/0cd4c9b7007a45e4404298356f4754cc~tplv-tiktokx-cropcenter:1080:1080.jpeg?dr=14579&amp;refresh_token=3cd4b148&amp;x-expires=1763172000&amp;x-signature=Qu5lGrOnHChfEvpq%2BOZMSzEVRuM%3D&amp;t=4d5b0474&amp;ps=13740610&amp;shp=a5d48078&amp;shcp=81f88b70&amp;idc=my</t>
  </si>
  <si>
    <t>Nunca subestime alguém com TDAH.  #tdah #curiosidades #comportamento #psicologia #terapia</t>
  </si>
  <si>
    <t>7576652716404787985</t>
  </si>
  <si>
    <t>https://v16-webapp-prime.tiktok.com/video/tos/alisg/tos-alisg-v-27dcd7/oQTVfCDJQrkBYFJep7I71QQUgIplBnFMBs0aEN/?a=1988&amp;bti=ODszNWYuMDE6&amp;ch=0&amp;cr=0&amp;dr=0&amp;er=0&amp;lr=default&amp;cd=0%7C0%7C0%7C0&amp;br=250&amp;bt=125&amp;ft=GNDpcInz7ThzgKvPXq8Zmo&amp;mime_type=audio_mpeg&amp;qs=6&amp;rc=Nmg1NGc7ZDhlOWVpZGY7OkBpMztydnQ5cnh0NzMzODU8NEA1YWJhXmBiNjAxLTReMS0zYSM1bnNiMmRzbmZhLS1kMS1zcw%3D%3D&amp;btag=e00090000&amp;expire=1764559531&amp;l=2025120110233960BDF2AFAD3CC4F063FC&amp;ply_type=3&amp;policy=3&amp;signature=6d3b96ab2cd513711ca7e84310be0324&amp;tk=7571587458748974088</t>
  </si>
  <si>
    <t>https://v16-webapp-prime.tiktok.com/video/tos/alisg/tos-alisg-ve-37c813-sg/o4ouQ4AEADEK1QQoytpBfF48JBJ9aIlCRE3xfg/?a=1988&amp;bti=ODszNWYuMDE6&amp;ch=0&amp;cr=3&amp;dr=0&amp;lr=all&amp;cd=0%7C0%7C0%7C&amp;cv=1&amp;br=1928&amp;bt=964&amp;cs=0&amp;ds=3&amp;ft=-Csk_mrMPD12N3Yopd-Ux24FaY6e3wv25WcAp&amp;mime_type=video_mp4&amp;qs=0&amp;rc=PDhoNWhlaThlOmg7Ojs8NEBpajM2bng5cnA3NjMzNzczM0AtMV4wX2FgNTUxXi0uNDAxYSNgaWstMmRrMWJhLS1kMTZzcw%3D%3D&amp;btag=e00090000&amp;expire=1763173606&amp;l=2025111310235634FE9FF2AA2A079ADB1D&amp;ply_type=2&amp;policy=2&amp;signature=f6c25385efbd67b0e1b3784c2e4114d8&amp;tk=tt_chain_token</t>
  </si>
  <si>
    <t>https://p77-sign-sg.tiktokcdn.com/tos-alisg-avt-0068/a922d44f129753f3f4657ae1aab09386~tplv-tiktokx-cropcenter:1080:1080.jpeg?dr=14579&amp;refresh_token=2c5396d3&amp;x-expires=1764727200&amp;x-signature=UQQdtyMLjhg42RtimEy1TOiZgok%3D&amp;t=4d5b0474&amp;ps=13740610&amp;shp=a5d48078&amp;shcp=81f88b70&amp;idc=my</t>
  </si>
  <si>
    <t>https://v16-webapp-prime.tiktok.com/video/tos/alisg/tos-alisg-pve-0037c001/okQBJyBAoa1DxywaQLNRvWf1EeBFl2EpgIzEkF/?a=1988&amp;bti=ODszNWYuMDE6&amp;ch=0&amp;cr=3&amp;dr=0&amp;lr=all&amp;cd=0%7C0%7C0%7C&amp;cv=1&amp;br=1652&amp;bt=826&amp;cs=0&amp;ds=3&amp;ft=-Csk_mrMPD12NDZh5d-UxSI5SY6e3wv25NcAp&amp;mime_type=video_mp4&amp;qs=0&amp;rc=OmQ7ZjU2aDQ7ZzY7O2RkNkBpanhlanI5cm90NzMzODczNEBjMzNhNjNhNmIxY19iX2FfYSNtMTRgMmRrbmZhLS1kMS1zcw%3D%3D&amp;btag=e00090000&amp;expire=1764728731&amp;l=2025120110233960BDF2AFAD3CC4F063FC&amp;ply_type=2&amp;policy=2&amp;signature=1b0fbd2a00eefc3967be7e1e64bb49ff&amp;tk=tt_chain_token</t>
  </si>
  <si>
    <t>https://www.tiktok.com/@esquecidepostar/video/7555987366880726328</t>
  </si>
  <si>
    <t>https://www.tiktok.com/@psi.jonathanorlandi/video/7576652631871851797</t>
  </si>
  <si>
    <t>consciênciatdah,saudeebemestar,tdahinfantil,tdahadulto,tdahdescomplicado</t>
  </si>
  <si>
    <t>7520775859066637624</t>
  </si>
  <si>
    <t>tdah,curiosidades,comportamento,psicologia,terapia</t>
  </si>
  <si>
    <t>7564193336282729735</t>
  </si>
  <si>
    <t xml:space="preserve">TDAH ADULTO e sua "vida dupla": 🧐 . . . 🕵🏻‍♀️ Você já se deparou tendo resultados bem distintos, em diferentes áreas da sua vida? Para quem tem TDAH, isso é mais comum do que se imagina!  🫠 É aquela realidade, você manda super bem no trabalho, com foco e prazos, mas ao chegar em casa, muitas vezes, não consegue nutrir sequer, uma organização básica!   🧠 Essa diferença gritante acontece muito por conta das diferenças de "estrutura" em cada ambiente. No trabalho, geralmente temos horários e cobranças, que nos guiam. Em casa, a falta de um planejamento mínimo, pode levar ao caos.  🫂 Mas, para onde essa falta de estrutura nos outros âmbitos da vida está te levando? Entender essa dinâmica é o primeiro passo para buscar mais equilíbrio e não deixar que o TDAH te leve "deixa a vida me levar" para onde você não quer ir.  #Tdahta #tdahnotrabalho #tdahadulto #tdahdificuldades  #produtividade </t>
  </si>
  <si>
    <t>7520775864531995397</t>
  </si>
  <si>
    <t xml:space="preserve">TDAH e "reações" 🧐🎭 Desabafar com alguém que tem TDAH pode ser diferente do que você espera...  🗣 Muitas vezes, nossa mente tão resolutiva entra em ação, antes mesmo da empatia "se organizar". E é aí, que a impulsividade acaba falando mais alto (literalmente), através das nossas respostas e reações, que nesses momentos, não saem lá, como o esperado ou, de maneira mais adequada à situação!  🤦🏻‍♀️ Mas não é por falta de carinho, muito menos por falta de empatia. É só o jeito que nosso cérebro funciona. Quer só reclamar? TUDO BEM. Mas só avisa os amigo(a)s com TDAH, antes... Que a gente agradece! 😅   ⚠️ Esse vídeo é um relato da minha vivência pessoal como pessoa com TDAH, mas não é regra, nem serve como diagnóstico.  Se você desconfia que possa ter TDAH, no meu link da bio tem minha sugestão pessoal de profissional de confiança pra te ajudar a dar esse passo tão importante! 💛   . . . ADHD and "reactions" 🧐🎭 Venting to someone with ADHD might be different from what you expect... Often, our super resolute minds kick in before empathy has a chance to "settle." And that’s when impulsivity speaks louder (literally), through our responses and reactions — which, in those moments, don’t always come out as expected or in the most appropriate way for the situation! But it’s not due to a lack of care, and definitely not a lack of empathy. It’s just how our brains work. Want to vent just to complain? THAT’S OKAY. Just give your ADHD friend a heads-up first... We appreciate it! 😅   #tdahta #tdahrelatos #tdahadulto #tdaheemocao #adhdadult </t>
  </si>
  <si>
    <t>https://v16-webapp-prime.tiktok.com/video/tos/useast2a/tos-useast2a-v-27dcd7/oIbA6CeIEgvdQ5YSZICOTEEzAgIyLeoAGBClKf/?a=1988&amp;bti=ODszNWYuMDE6&amp;ch=0&amp;cr=0&amp;dr=0&amp;er=0&amp;lr=default&amp;cd=0%7C0%7C0%7C0&amp;br=250&amp;bt=125&amp;ds=5&amp;ft=GNDpcInz7ThA9-UPXq8Zmo&amp;mime_type=audio_mpeg&amp;qs=13&amp;rc=M3d2OWo5cnFsNDMzNzU8M0BpM3d2OWo5cnFsNDMzNzU8M0AzMS5fMmQ0Z2NhLS1kMTZzYSMzMS5fMmQ0Z2NhLS1kMTZzcw%3D%3D&amp;btag=e00050000&amp;expire=1763004351&amp;l=20251113102449DDADD1FB7AF14A841409&amp;ply_type=3&amp;policy=3&amp;signature=6462d4bb190d62315db61218c36b2f19&amp;tk=7571587458748974088</t>
  </si>
  <si>
    <t>7564193532093745936</t>
  </si>
  <si>
    <t>https://v16-webapp-prime.tiktok.com/video/tos/alisg/tos-alisg-v-27dcd7/okP8M8edoQugwf06OeRAXCVygYTtEVuMXDA048/?a=1988&amp;bti=ODszNWYuMDE6&amp;ch=0&amp;cr=0&amp;dr=0&amp;er=0&amp;lr=default&amp;cd=0%7C0%7C0%7C0&amp;br=250&amp;bt=125&amp;ft=GNDpcInz7ThszKvPXq8Zmo&amp;mime_type=audio_mpeg&amp;qs=6&amp;rc=ODc1NDVnOThpZ2g8Zmc4PEBpamhyc3k5cnVwNjMzODU8NEBgNV5fMDI1XjAxMDEwLWAvYSNla19lMmRrZ3BhLS1kMS1zcw%3D%3D&amp;btag=e00090000&amp;expire=1764559319&amp;l=20251201102055111140D50F38376E882B&amp;ply_type=3&amp;policy=3&amp;signature=f2df6524700f71de2beaff8c3f17dbf4&amp;tk=7571587458748974088</t>
  </si>
  <si>
    <t>https://v16-webapp-prime.tiktok.com/video/tos/alisg/tos-alisg-pve-0037c001/owCydWA8eAQYUMPbgGjR0fCw0IDoLI42ftVIz2/?a=1988&amp;bti=ODszNWYuMDE6&amp;ch=0&amp;cr=3&amp;dr=0&amp;lr=all&amp;cd=0%7C0%7C0%7C&amp;cv=1&amp;br=2840&amp;bt=1420&amp;cs=0&amp;ds=3&amp;ft=-Csk_mrMPD12NbDh5d-UxPR2SY6e3wv25IcAp&amp;mime_type=video_mp4&amp;qs=0&amp;rc=aDU5OmczOTg3aGU4ZTw8NEBpM2U4eHc5cjZwNjMzODczNEAxLi4yY2NjX14xLmEyNDFgYSNgamRrMmRrZ3BhLS1kMTFzcw%3D%3D&amp;btag=e00090000&amp;expire=1764728519&amp;l=20251201102055111140D50F38376E882B&amp;ply_type=2&amp;policy=2&amp;signature=5b503891937b6cac82befd9214aba0bb&amp;tk=tt_chain_token</t>
  </si>
  <si>
    <t>https://v16-webapp-prime.tiktok.com/video/tos/useast2a/tos-useast2a-pve-0068/oAOIqVLvLgG03SAAMY2geBIBQeRMjcGCStflUC/?a=1988&amp;bti=ODszNWYuMDE6&amp;ch=0&amp;cr=3&amp;dr=0&amp;lr=all&amp;cd=0%7C0%7C0%7C&amp;cv=1&amp;br=3032&amp;bt=1516&amp;cs=0&amp;ds=3&amp;ft=I~da4oKyD12NvgA0i.IxRMb_glBF-UjNSaopiX&amp;mime_type=video_mp4&amp;qs=0&amp;rc=Mzw2ZGZnNzc7M2Q0NGk0OkBpMzU5N245cjlsNDMzNzczM0AwMzQuMTZiXmAxYWBeLy8uYSNvaS9kMmRzZ2NhLS1kMTZzcw%3D%3D&amp;btag=e00090000&amp;expire=1763173551&amp;l=20251113102449DDADD1FB7AF14A841409&amp;ply_type=2&amp;policy=2&amp;signature=f9e02d64885d872cafd1bd9db09c26ac&amp;tk=tt_chain_token</t>
  </si>
  <si>
    <t>https://www.tiktok.com/@lorenatdahta/video/7564193336282729735</t>
  </si>
  <si>
    <t>tdahta,tdahrelatos,tdahadulto,tdaheemocao,adhdadult</t>
  </si>
  <si>
    <t>7546578895546404101</t>
  </si>
  <si>
    <t>desejos.sabios</t>
  </si>
  <si>
    <t>Desejos Sabios</t>
  </si>
  <si>
    <t>https://p16-sign-va.tiktokcdn.com/tos-maliva-avt-0068/549101d95ad159a019e42ecc970db1ce~tplv-tiktokx-cropcenter:100:100.jpeg?dr=14579&amp;refresh_token=f3ce4c09&amp;x-expires=1764727200&amp;x-signature=nZQwIDGyaI7Htfu4kk8n%2BP8jKvU%3D&amp;t=4d5b0474&amp;ps=13740610&amp;shp=a5d48078&amp;shcp=81f88b70&amp;idc=my</t>
  </si>
  <si>
    <t>https://www.tiktok.com/@lorenatdahta/video/7520775859066637624</t>
  </si>
  <si>
    <t>Você tem TDAH? Então esse vídeo é para você 🫵🏻  #psicologia #tdah #reflexao #fyp #vaiprofycaramba</t>
  </si>
  <si>
    <t>Very Sad</t>
  </si>
  <si>
    <t>7170212466167646210</t>
  </si>
  <si>
    <t>https://sf16-ies-music-sg.tiktokcdn.com/obj/tos-alisg-ve-2774/ocf1I8madAemM8NxAJeQKvFAbGWXg2WtbMfwYt</t>
  </si>
  <si>
    <t>tdahta,tdahnotrabalho,tdahadulto,tdahdificuldades,produtividade</t>
  </si>
  <si>
    <t>7256052626221960454</t>
  </si>
  <si>
    <t>Da série: Dificuldades ALEATÓRIAS de uma TDAH 🫣🧐 #tdahadulto #tdahcuriosidades #sintomastdah #tdahdicas</t>
  </si>
  <si>
    <t>https://p77-sg.tiktokcdn.com/aweme/720x720/tos-alisg-v-2774/ocAGNfbcAbmtIt51LmKNeQQGaAPAWAUF4ze0e5.jpeg</t>
  </si>
  <si>
    <t>DA SÉRIE: DIFICULDADE S ALEATÓRIAS DE UMA TDAH</t>
  </si>
  <si>
    <t>7256052700712913670</t>
  </si>
  <si>
    <t>https://v16-webapp-prime.tiktok.com/video/tos/useast2a/tos-useast2a-v-27dcd7/o482YAAksChgBDAADf6qCJrBJCybE0vAUfvQEn/?a=1988&amp;bti=ODszNWYuMDE6&amp;ch=0&amp;cr=0&amp;dr=0&amp;er=0&amp;lr=default&amp;cd=0%7C0%7C0%7C0&amp;br=250&amp;bt=125&amp;ds=5&amp;ft=GNDpcInz7Thm9-UPXq8Zmo&amp;mime_type=audio_mpeg&amp;qs=13&amp;rc=ajZ4eGk6ZjNkbDMzNzU8M0BpajZ4eGk6ZjNkbDMzNzU8M0BrLWlzcjQwb21gLS1kMTZzYSNrLWlzcjQwb21gLS1kMTZzcw%3D%3D&amp;btag=e00050000&amp;expire=1763004442&amp;l=202511131024337F554789EF0D09A1F8EB&amp;ply_type=3&amp;policy=3&amp;signature=66b7810e8664c379f482f73921dd5ed8&amp;tk=7571587458748974088</t>
  </si>
  <si>
    <t>Enchan</t>
  </si>
  <si>
    <t>https://v16-webapp-prime.tiktok.com/video/tos/alisg/tos-alisg-ve-37c813-sg/oUolJy66EBjItAFR8BYEUagQEuEvQSfivU1DEf/?a=1988&amp;bti=ODszNWYuMDE6&amp;ch=0&amp;cr=3&amp;dr=0&amp;lr=all&amp;cd=0%7C0%7C0%7C&amp;cv=1&amp;br=1070&amp;bt=535&amp;cs=0&amp;ds=3&amp;ft=-Csk_mrMPD12N6Dh5d-Uxq42hY6e3wv25IcAp&amp;mime_type=video_mp4&amp;qs=0&amp;rc=aDo6Zjw5aTQ2OTw2ZzpkNkBpamt4bHg5cjRnNTMzNzczM0AvMTMyNl8xNS0xL2JgNF5hYSNzbGZiMmQ0XnFhLS1kMTZzcw%3D%3D&amp;btag=e00090000&amp;expire=1764728565&amp;l=202512011021342A4EB9620CED315EA2E7&amp;ply_type=2&amp;policy=2&amp;signature=7caa8e7b6f9cf26d18a12d60eca732e1&amp;tk=tt_chain_token</t>
  </si>
  <si>
    <t>https://www.tiktok.com/@desejos.sabios/video/7546578895546404101</t>
  </si>
  <si>
    <t>psicologia,tdah,reflexao,fyp,vaiprofycaramba</t>
  </si>
  <si>
    <t>https://v16-webapp-prime.tiktok.com/video/tos/maliva/tos-maliva-ve-0068c801-us/oonCGDKQpErszePEHJ2bWHualeR4BRQjykIqAB/?a=1988&amp;bti=ODszNWYuMDE6&amp;ch=0&amp;cr=3&amp;dr=0&amp;lr=all&amp;cd=0%7C0%7C0%7C&amp;cv=1&amp;br=1664&amp;bt=832&amp;cs=0&amp;ds=3&amp;ft=I~da4oKyD12NvuA0i.IxREJNglBF-UjNSmopiX&amp;mime_type=video_mp4&amp;qs=0&amp;rc=NTxlNDU4Z2kzMztpZzwzZkBpMzppcjg6ZnZkbDMzNzczM0BgLjZeNC0vNi4xNGIvLjAvYSNwcDU1cjRvaG1gLS1kMTZzcw%3D%3D&amp;btag=e00090000&amp;expire=1763173642&amp;l=202511131024337F554789EF0D09A1F8EB&amp;ply_type=2&amp;policy=2&amp;signature=b7e960da151373a7f0d018ff37e1b657&amp;tk=tt_chain_token</t>
  </si>
  <si>
    <t>7571969889716604178</t>
  </si>
  <si>
    <t>https://p16-sign-va.tiktokcdn.com/tos-maliva-avt-0068/cc4c7490dee638829f007d6b41ea9da8~tplv-tiktokx-cropcenter:100:100.jpeg?dr=14579&amp;refresh_token=5e1bd039&amp;x-expires=1764727200&amp;x-signature=owZfee0ZpHWOOQS9b98vJ%2BPG%2FSA%3D&amp;t=4d5b0474&amp;ps=13740610&amp;shp=a5d48078&amp;shcp=81f88b70&amp;idc=my</t>
  </si>
  <si>
    <t>Me conta quantos pontos você fez? ☺️ #tdahadulto #tdah #altashabilidades #superdotaçao #saudemental</t>
  </si>
  <si>
    <t>7571969939692948242</t>
  </si>
  <si>
    <t>https://v16-webapp-prime.tiktok.com/video/tos/alisg/tos-alisg-v-27dcd7/o8BUJAACCoKUwjAE2AiioAVabZEwPnRAXlY8C/?a=1988&amp;bti=ODszNWYuMDE6&amp;ch=0&amp;cr=0&amp;dr=0&amp;er=0&amp;lr=default&amp;cd=0%7C0%7C0%7C0&amp;br=250&amp;bt=125&amp;ds=5&amp;ft=GNDpcInz7Th4zKvPXq8Zmo&amp;mime_type=audio_mpeg&amp;qs=13&amp;rc=ajw0eWo5cjZqNzMzODU8NEBpajw0eWo5cjZqNzMzODU8NEBfZjJnMmQ0aV5hLS1kMS1zYSNfZjJnMmQ0aV5hLS1kMS1zcw%3D%3D&amp;btag=e00050000&amp;expire=1764559353&amp;l=20251201102104F69A53E45B65A94E5B1C&amp;ply_type=3&amp;policy=3&amp;signature=2d835503174c66b8dbe24b76b49f6a62&amp;tk=7571587458748974088</t>
  </si>
  <si>
    <t>https://www.tiktok.com/@lorenatdahta/video/7256052626221960454</t>
  </si>
  <si>
    <t>tdahadulto,tdahcuriosidades,sintomastdah,tdahdicas</t>
  </si>
  <si>
    <t>https://p16-sign-va.tiktokcdn.com/tos-maliva-avt-0068/549101d95ad159a019e42ecc970db1ce~tplv-tiktokx-cropcenter:100:100.jpeg?dr=14579&amp;refresh_token=40c38422&amp;x-expires=1763172000&amp;x-signature=AgG6ziNjYOv8RDrciieZCE1gt%2F8%3D&amp;t=4d5b0474&amp;ps=13740610&amp;shp=a5d48078&amp;shcp=81f88b70&amp;idc=my</t>
  </si>
  <si>
    <t>https://p16-sign-va.tiktokcdn.com/tos-maliva-avt-0068/cc4c7490dee638829f007d6b41ea9da8~tplv-tiktokx-cropcenter:1080:1080.jpeg?dr=14579&amp;refresh_token=e9486c41&amp;x-expires=1764727200&amp;x-signature=gYS1b5PglLxiCauOugy2oVsJIZY%3D&amp;t=4d5b0474&amp;ps=13740610&amp;shp=a5d48078&amp;shcp=81f88b70&amp;idc=my</t>
  </si>
  <si>
    <t>https://v16-webapp-prime.tiktok.com/video/tos/alisg/tos-alisg-pve-0037c001/o8fSCoiqiAAixOFIQEA9xMA9HWUwp0xHBCIVi0/?a=1988&amp;bti=ODszNWYuMDE6&amp;ch=0&amp;cr=3&amp;dr=0&amp;lr=all&amp;cd=0%7C0%7C0%7C&amp;cv=1&amp;br=2382&amp;bt=1191&amp;cs=0&amp;ds=3&amp;ft=-Csk_mrMPD12NyDh5d-UxO72hY6e3wv257cAp&amp;mime_type=video_mp4&amp;qs=0&amp;rc=N2ZoN2c2Ojc7Mzs8NTtoNkBpajo3NGs5cmtqNzMzODczNEBjXy40MTU0X2ExYi01L2JhYSMvLXJfMmRjaF5hLS1kMTFzcw%3D%3D&amp;btag=e00090000&amp;expire=1764728553&amp;l=20251201102104F69A53E45B65A94E5B1C&amp;ply_type=2&amp;policy=2&amp;signature=109c0ae007f1ccf8887fb347cb37c9f1&amp;tk=tt_chain_token</t>
  </si>
  <si>
    <t>https://www.tiktok.com/@patriciacandidopsi/video/7571969889716604178</t>
  </si>
  <si>
    <t>tdahadulto,tdah,altashabilidades,superdotaçao,saudemental</t>
  </si>
  <si>
    <t>7572917537868991762</t>
  </si>
  <si>
    <t>isaquecampos21</t>
  </si>
  <si>
    <t>Tdah na prática</t>
  </si>
  <si>
    <t>https://p77-sign-va.tiktokcdn.com/tos-maliva-avt-0068/889071946a8680cf43388c6e7048691b~tplv-tiktokx-cropcenter:100:100.jpeg?dr=14579&amp;refresh_token=3ab7503a&amp;x-expires=1764727200&amp;x-signature=GBbwjiAo5Wv%2FsOCvpc7ZIOmpk5I%3D&amp;t=4d5b0474&amp;ps=13740610&amp;shp=a5d48078&amp;shcp=81f88b70&amp;idc=my</t>
  </si>
  <si>
    <t>https://v16-webapp-prime.tiktok.com/video/tos/alisg/tos-alisg-ve-37c813-sg/oUolJy66EBjItAFR8BYEUagQEuEvQSfivU1DEf/?a=1988&amp;bti=ODszNWYuMDE6&amp;ch=0&amp;cr=3&amp;dr=0&amp;lr=all&amp;cd=0%7C0%7C0%7C&amp;cv=1&amp;br=1070&amp;bt=535&amp;cs=0&amp;ds=3&amp;ft=I~da4oKyD12NvuA0i.IxREJNglBF-UjNSmopiX&amp;mime_type=video_mp4&amp;qs=0&amp;rc=aDo6Zjw5aTQ2OTw2ZzpkNkBpamt4bHg5cjRnNTMzNzczM0AvMTMyNl8xNS0xL2JgNF5hYSNzbGZiMmQ0XnFhLS1kMTZzcw%3D%3D&amp;btag=e00090000&amp;expire=1763173544&amp;l=202511131024337F554789EF0D09A1F8EB&amp;ply_type=2&amp;policy=2&amp;signature=9541232275696f0f51a0178acea8ec55&amp;tk=tt_chain_token</t>
  </si>
  <si>
    <t>#CapCut #fly #foryou #tdah #tdahadulto</t>
  </si>
  <si>
    <t>Funny Song</t>
  </si>
  <si>
    <t>6732536571318257666</t>
  </si>
  <si>
    <t>https://sf16-ies-music-sg.tiktokcdn.com/obj/tos-alisg-ve-2774/o0ET0OQDnB1f4NEFE1qtoCIBtBDmf5ngOZMPn2</t>
  </si>
  <si>
    <t>https://p16-sg.tiktokcdn.com/aweme/720x720/tos-alisg-v-2774/oUDtWjvj4BUAjAA0NDAxPQEAirPiaEOOUYEDP.jpeg</t>
  </si>
  <si>
    <t>Sounds Reel &amp; Funny Song Studio &amp; Thomas Hewitt Jones</t>
  </si>
  <si>
    <t>https://v16-webapp-prime.tiktok.com/video/tos/alisg/tos-alisg-pve-0037c001/owYEiKajB7A1o1Y7R6VTEQiEBJSPrUsIBhsmA/?a=1988&amp;bti=ODszNWYuMDE6&amp;ch=0&amp;cr=3&amp;dr=0&amp;lr=all&amp;cd=0%7C0%7C0%7C&amp;cv=1&amp;br=1092&amp;bt=546&amp;cs=0&amp;ds=3&amp;ft=-Csk_mrMPD12NXdh5d-Uxe42hY6e3wv25XcAp&amp;mime_type=video_mp4&amp;qs=0&amp;rc=NDhlZmg8aTM2Mzo7aGU1NkBpMzxoaHU5cmw5NzMzODczNEBiL2FeXl9gNi4xYmNgYTVjYSMvam5eMmQ0ZGBhLS1kMTFzcw%3D%3D&amp;btag=e000b8000&amp;expire=1764728433&amp;l=202512011020161DC26370CAB01566B4BC&amp;ply_type=2&amp;policy=2&amp;signature=5567ecb6b7880772e1a154cb9a047110&amp;tk=tt_chain_token</t>
  </si>
  <si>
    <t>https://www.tiktok.com/@isaquecampos21/video/7572917537868991762</t>
  </si>
  <si>
    <t>https://p77-sg.tiktokcdn.com/aweme/720x720/tos-alisg-v-2774/oARoug5lACAgAZ0UgEFQNrQD7fGfvnaEBtBA1E.jpeg</t>
  </si>
  <si>
    <t>capcut,fly,foryou,tdah,tdahadulto</t>
  </si>
  <si>
    <t>CapCut,fly,foryou,tdah,tdahadulto</t>
  </si>
  <si>
    <t>7575336968486128903</t>
  </si>
  <si>
    <t>#cordaogirassol #transtornosneurodivergentes #criancaatipica #foryou #neurodivergenciaeopapo</t>
  </si>
  <si>
    <t>CORDÃO DE GIRASSOL</t>
  </si>
  <si>
    <t>7575337251573451528</t>
  </si>
  <si>
    <t>https://v16-webapp-prime.tiktok.com/video/tos/alisg/tos-alisg-v-27dcd7/okaIK9hCRUMDAElAW0iA07iBVEQBzm79YvdBS/?a=1988&amp;bti=ODszNWYuMDE6&amp;ch=0&amp;cr=0&amp;dr=0&amp;er=0&amp;lr=default&amp;cd=0%7C0%7C0%7C0&amp;br=250&amp;bt=125&amp;ft=GNDpcInz7ThAzKvPXq8Zmo&amp;mime_type=audio_mpeg&amp;qs=6&amp;rc=O2dlNGlmN2VnNWQ8NTs3N0Bpam5yeXU5cjdqNzMzODU8NEA2NDU1YmIyNmIxYDUzYjZeYSNtNF5xMmRrL2RhLS1kMS1zcw%3D%3D&amp;btag=e00090000&amp;expire=1764559426&amp;l=202512011021380CC83080A64AA152B5B8&amp;ply_type=3&amp;policy=3&amp;signature=be55417e6be8f6718621404cf6607243&amp;tk=7571587458748974088</t>
  </si>
  <si>
    <t>https://v16-webapp-prime.tiktok.com/video/tos/maliva/tos-maliva-ve-0068c801-us/oYzIR0VAnIRsOfXXAaegJgRnoBbxkIBQDcQlEP/?a=1988&amp;bti=ODszNWYuMDE6&amp;ch=0&amp;cr=3&amp;dr=0&amp;lr=all&amp;cd=0%7C0%7C0%7C&amp;cv=1&amp;br=2668&amp;bt=1334&amp;cs=0&amp;ds=3&amp;ft=I~da4oKyD12NvnA0i.IxRTF_blBF-UjNSaopiX&amp;mime_type=video_mp4&amp;qs=0&amp;rc=Zzw5MzVoZ2VmZztoNzpkaUBpam5qN2U6ZnNuajMzNzczM0AuLzZfLi9fXzYxNi5hL2EwYSMwbmhkcjRvX3NgLS1kMTZzcw%3D%3D&amp;btag=e000b8000&amp;expire=1763173505&amp;l=20251113102438711CFC3830D7669110B2&amp;ply_type=2&amp;policy=2&amp;signature=c937781563973da6873d691164b4b495&amp;tk=tt_chain_token</t>
  </si>
  <si>
    <t>https://p77-sign-va.tiktokcdn.com/tos-maliva-avt-0068/fc1698d10dca32b79684fcca308c78cc~tplv-tiktokx-cropcenter:1080:1080.jpeg?dr=14579&amp;refresh_token=7a5c72ca&amp;x-expires=1764727200&amp;x-signature=mdrR35uP4icWi14xzo7Dz99gj6M%3D&amp;t=4d5b0474&amp;ps=13740610&amp;shp=a5d48078&amp;shcp=81f88b70&amp;idc=my</t>
  </si>
  <si>
    <t>https://v16-webapp-prime.tiktok.com/video/tos/alisg/tos-alisg-pve-0037c001/o4RCOkAIEFDAgQeFfTFjZkAe2WVGGRgIQMjEfJ/?a=1988&amp;bti=ODszNWYuMDE6&amp;ch=0&amp;cr=3&amp;dr=0&amp;lr=all&amp;cd=0%7C0%7C0%7C&amp;cv=1&amp;br=1406&amp;bt=703&amp;cs=0&amp;ds=3&amp;ft=-Csk_mrMPD12NaDh5d-Uxq42hY6e3wv25IcAp&amp;mime_type=video_mp4&amp;qs=0&amp;rc=ZjY3ZDNoZDtoaGZlOjllaEBpajU7ZnU5cjRpNzMzODczNEA1XjAtY2E2XjAxMi5hMDFgYSMwNmIyMmRjc2RhLS1kMTFzcw%3D%3D&amp;btag=e00090000&amp;expire=1764728626&amp;l=202512011021380CC83080A64AA152B5B8&amp;ply_type=2&amp;policy=2&amp;signature=9213409e8d5eb8789bd74793b9e964d9&amp;tk=tt_chain_token</t>
  </si>
  <si>
    <t>7250048266501426438</t>
  </si>
  <si>
    <t>marizacristhiane</t>
  </si>
  <si>
    <t>Mariza Cristhiane</t>
  </si>
  <si>
    <t>https://p16-sign-va.tiktokcdn.com/tos-maliva-avt-0068/39284b1e359f5fd8e090162ef3c83664~tplv-tiktokx-cropcenter:100:100.jpeg?dr=14579&amp;refresh_token=74ea65c5&amp;x-expires=1763172000&amp;x-signature=uD3e8x05uu1qETmVoQjQ2V5aisA%3D&amp;t=4d5b0474&amp;ps=13740610&amp;shp=a5d48078&amp;shcp=81f88b70&amp;idc=my</t>
  </si>
  <si>
    <t>https://www.tiktok.com/@neurodivergenciaeopapo/video/7575336968486128903</t>
  </si>
  <si>
    <t>cordaogirassol,transtornosneurodivergentes,criancaatipica,foryou,neurodivergenciaeopapo</t>
  </si>
  <si>
    <t>7565991392888048917</t>
  </si>
  <si>
    <t>#tdah #inclusao #tdahadulto #fy #viral @cival kit tdah e autismo 🧩🧩 @cival kit tdah e autismo 🧩🧩 @cival kit tdah e autismo 🧩🧩</t>
  </si>
  <si>
    <t xml:space="preserve">Curta 
Comente
compartilhar </t>
  </si>
  <si>
    <t xml:space="preserve">AUTISMO/TDAH  ESTEREOTIPIAS Pra quem fala que ele não parece autista, não ele não parece , mas ele tem várias estereotipias que essa neurodivergência trazem, ele anda MUITO em circulos em casa e em qualquer lugar, e não fica tonto !  Além dessa que consegui gravar , ele tbm roe as unhas, tem ecolalia, repete diversas vezes as mesmas coisas até que tenha certeza que a pessoa entendeu, também tem dificuldade na socialização com crianças e crises de raiva, quanto mais informação melhor !!!  Um beijo da mamãe e do João  E gratidão a essa profissional linda e exemplar que atendeu ele com toda paciência e humanidade do mundo devido à condição dele e creio que seja assim com todos independente disso !  Muito obrigada!  Vc faz a diferença no mundo !  #autism #autismo #tdah #autismobrasil #autismoinfantil #autista #joaoguilherme #autistatdah #impulsioneseusfilhos #autismawareness #autismonaotemcara #autismonaoedoenca #autismonaoeofim #cema #inclusao #filhos #autismoestereotipias #estereotipias #autistas #autismoesuperacao #superacao #fono #psicologia #metodoaba #maeatipica #mamaeatipica #fonoaudiologia #fonoaudiologa #otorrino #otorrinolaringologista #estereotipias #estereotipiasnoautismo #autismoestereotipias #autismstereotypes </t>
  </si>
  <si>
    <t>7565991461995416340</t>
  </si>
  <si>
    <t>https://v16-webapp-prime.tiktok.com/video/tos/alisg/tos-alisg-v-27dcd7/ocSoEf8fxAcTDWAIAS7EEnCgzDfFIm6AR50BAH/?a=1988&amp;bti=ODszNWYuMDE6&amp;ch=0&amp;cr=0&amp;dr=0&amp;er=0&amp;lr=default&amp;cd=0%7C0%7C0%7C0&amp;br=250&amp;bt=125&amp;ds=5&amp;ft=GNDpcInz7ThJzKvPXq8Zmo&amp;mime_type=audio_mpeg&amp;qs=13&amp;rc=M3Y4O3c5cjx2NjMzODU8NEBpM3Y4O3c5cjx2NjMzODU8NEBlZS5kMmRzbnNhLS1kMS1zYSNlZS5kMmRzbnNhLS1kMS1zcw%3D%3D&amp;btag=e00050000&amp;expire=1764559416&amp;l=20251201102141EAAE30DD17435761F356&amp;ply_type=3&amp;policy=3&amp;signature=3a2cfae59ee2987c73022ede25a607bd&amp;tk=7571587458748974088</t>
  </si>
  <si>
    <t>7250048399566637829</t>
  </si>
  <si>
    <t>https://v16-webapp-prime.tiktok.com/video/tos/useast2a/tos-useast2a-v-27dcd7/oMSfEkBkBQAECCJmADWKbAnCdgCnneGiVJ9W9U/?a=1988&amp;bti=ODszNWYuMDE6&amp;ch=0&amp;cr=0&amp;dr=0&amp;er=0&amp;lr=default&amp;cd=0%7C0%7C0%7C0&amp;br=250&amp;bt=125&amp;ds=5&amp;ft=GNDpcInz7ThGD-UPXq8Zmo&amp;mime_type=audio_mpeg&amp;qs=13&amp;rc=MzpxcTY6ZjtvbDMzNzU8M0BpMzpxcTY6ZjtvbDMzNzU8M0Bnb3MxcjQwZWJgLS1kMTZzYSNnb3MxcjQwZWJgLS1kMTZzcw%3D%3D&amp;btag=e00050000&amp;expire=1763004433&amp;l=2025111310254344385823DD6566920070&amp;ply_type=3&amp;policy=3&amp;signature=28cd82d34b6e2f013b44046cf3e08351&amp;tk=7571587458748974088</t>
  </si>
  <si>
    <t>https://v16-webapp-prime.tiktok.com/video/tos/alisg/tos-alisg-pve-0037c001/oAChAzsfJFXaiI8gQREDnTfwIYcWAuoXDofpZj/?a=1988&amp;bti=ODszNWYuMDE6&amp;ch=0&amp;cr=3&amp;dr=0&amp;lr=all&amp;cd=0%7C0%7C0%7C&amp;br=1892&amp;bt=946&amp;cs=0&amp;ds=3&amp;ft=-Csk_mrMPD12NWDh5d-Uxvt2hY6e3wv251cAp&amp;mime_type=video_mp4&amp;qs=0&amp;rc=ODVlNjo8ZGc7ZTxmPGY1NkBpM3BqbG05cmR2NjMzODczNEAwY2IuXjZgXzYxMzZfMC80YSNgbXJsMmRja3NhLS1kMTFzcw%3D%3D&amp;btag=e00090000&amp;expire=1764728616&amp;l=20251201102141EAAE30DD17435761F356&amp;ply_type=2&amp;policy=2&amp;signature=eeff3acda7517dd1b7d96154bd1d21ae&amp;tk=tt_chain_token</t>
  </si>
  <si>
    <t>https://p16-sign-va.tiktokcdn.com/tos-maliva-avt-0068/39284b1e359f5fd8e090162ef3c83664~tplv-tiktokx-cropcenter:1080:1080.jpeg?dr=14579&amp;refresh_token=2ebec3ba&amp;x-expires=1763172000&amp;x-signature=dBANyAz6nciAC4s9KdMt2EAZ9E0%3D&amp;t=4d5b0474&amp;ps=13740610&amp;shp=a5d48078&amp;shcp=81f88b70&amp;idc=my</t>
  </si>
  <si>
    <t>https://www.tiktok.com/@dulcivaldejesussantos/video/7565991392888048917</t>
  </si>
  <si>
    <t>tdah,inclusao,tdahadulto,fy,viral</t>
  </si>
  <si>
    <t>https://v16-webapp-prime.tiktok.com/video/tos/useast2a/tos-useast2a-pve-0068/okgmGhgDp7RzQESIEBekAq3nQfJ6KBgIbVnE9U/?a=1988&amp;bti=ODszNWYuMDE6&amp;ch=0&amp;cr=3&amp;dr=0&amp;lr=all&amp;cd=0%7C0%7C0%7C&amp;cv=1&amp;br=1870&amp;bt=935&amp;cs=0&amp;ds=3&amp;ft=-Csk_mrMPD12Nn.opd-UxJTFGY6e3wv25bcAp&amp;mime_type=video_mp4&amp;qs=0&amp;rc=M2hpZ2lkN2Y6ODo8OzNoaUBpamo6aWQ6ZjRvbDMzNzczM0A2MmNiLi8uNjYxMjYwMmNhYSNjcWM1cjRnZGJgLS1kMTZzcw%3D%3D&amp;btag=e00090000&amp;expire=1763173633&amp;l=2025111310254344385823DD6566920070&amp;ply_type=2&amp;policy=2&amp;signature=0509cd918afc9eab7aceb64087c24d66&amp;tk=tt_chain_token</t>
  </si>
  <si>
    <t>7510240853697350917</t>
  </si>
  <si>
    <t>https://p16-sign-sg.tiktokcdn.com/tos-alisg-avt-0068/a922d44f129753f3f4657ae1aab09386~tplv-tiktokx-cropcenter:100:100.jpeg?dr=14579&amp;refresh_token=5bdfd54c&amp;x-expires=1764727200&amp;x-signature=pGFhZQQDOwW8phry2fYNLTtCGq0%3D&amp;t=4d5b0474&amp;ps=13740610&amp;shp=a5d48078&amp;shcp=81f88b70&amp;idc=my</t>
  </si>
  <si>
    <t>QUANDO O TDAH É TERAPEUTIZADO, a impulsividade dá espaço pra presença, a reatividade vira diálogo… e a gente se torna alguém incrível de se relacionar. Por isso que o diagnóstico é importante.  #tdah #psicologia #curiosidades #comportamento #distraidosvenceremos</t>
  </si>
  <si>
    <t>7510240873628584709</t>
  </si>
  <si>
    <t>https://v16-webapp-prime.tiktok.com/video/tos/useast2a/tos-useast2a-v-27dcd7/ooeee3bScCCLDgsQAQoAPAEuIFigJQFSGoTmID/?a=1988&amp;bti=ODszNWYuMDE6&amp;ch=0&amp;cr=0&amp;dr=0&amp;er=0&amp;lr=default&amp;cd=0%7C0%7C0%7C0&amp;br=250&amp;bt=125&amp;ds=5&amp;ft=GNDpcInz7ThcFKvPXq8Zmo&amp;mime_type=audio_mpeg&amp;qs=13&amp;rc=ajU2b205cm11MzMzNzU8M0BpajU2b205cm11MzMzNzU8M0AyaDFsMmRjbHBhLS1kMTZzYSMyaDFsMmRjbHBhLS1kMTZzcw%3D%3D&amp;btag=e00050000&amp;expire=1764559406&amp;l=2025120110220384643B3986DED954E961&amp;ply_type=3&amp;policy=3&amp;signature=49d1a6730b1d5e980c268f79e519255f&amp;tk=7571587458748974088</t>
  </si>
  <si>
    <t>https://www.tiktok.com/@marizacristhiane/video/7250048266501426438</t>
  </si>
  <si>
    <t>autism,autismo,tdah,autismobrasil,autismoinfantil,autista,joaoguilherme,autistatdah,impulsioneseusfilhos,autismawareness,autismonaotemcara,autismonaoedoenca,autismonaoeofim,cema,inclusao,filhos,autismoestereotipias,estereotipias,autistas,autismoesuperacao,superacao,fono,psicologia,metodoaba,maeatipica,mamaeatipica,fonoaudiologia,fonoaudiologa,otorrino,otorrinolaringologista,estereotipias,estereotipiasnoautismo,autismoestereotipias,autismstereotypes</t>
  </si>
  <si>
    <t>autism,autismo,tdah,autismobrasil,autismoinfantil,autista,joaoguilherme,autistatdah,impulsioneseusfilhos,autismawareness,autismonaotemcara,autismonaoedoenca,autismonaoeofim,cema,inclusao,filhos,autismoestereotipias,estereotipias,autistas,autismoesuperacao,superacao,fono,psicologia,metodoaba,maeatipica,mamaeatipica,fonoaudiologia,fonoaudiologa,otorrino,otorrinolaringologista,estereotipiasnoautismo,autismstereotypes</t>
  </si>
  <si>
    <t>https://v16-webapp-prime.tiktok.com/video/tos/useast2a/tos-useast2a-ve-0068c002/ocAG5Aez3SQGSEEQccFfCCgbQvUShuIujHDnIf/?a=1988&amp;bti=ODszNWYuMDE6&amp;ch=0&amp;cr=3&amp;dr=0&amp;lr=all&amp;cd=0%7C0%7C0%7C&amp;cv=1&amp;br=1452&amp;bt=726&amp;cs=0&amp;ds=3&amp;ft=I~da4oKyD12NvaMWS.IxRYjNWlBF-UjNSkopiX&amp;mime_type=video_mp4&amp;qs=0&amp;rc=ZmVlOztmaGc0aThoNjM1PEBpM2o4am05cml1MzMzNzczM0AvNS4zXjNjXjQxMS9jMGNjYSNrcC5vMmRzbHBhLS1kMTZzcw%3D%3D&amp;btag=e00090000&amp;expire=1764728606&amp;l=2025120110220384643B3986DED954E961&amp;ply_type=2&amp;policy=2&amp;signature=3d151f5ad6181cb9aee675fefd76b61d&amp;tk=tt_chain_token</t>
  </si>
  <si>
    <t>7217300741629824262</t>
  </si>
  <si>
    <t>sobrevivi2019oficialdid</t>
  </si>
  <si>
    <t>Sobrevivi Oficial D-ID</t>
  </si>
  <si>
    <t>https://p16-sign-va.tiktokcdn.com/tos-maliva-avt-0068/7dbc97f66a70a5f185159bb96a8d7982~tplv-tiktokx-cropcenter:100:100.jpeg?dr=14579&amp;refresh_token=ede5002f&amp;x-expires=1763172000&amp;x-signature=z1tfhvwM1elLEtzYo5ALSnLafKw%3D&amp;t=4d5b0474&amp;ps=13740610&amp;shp=a5d48078&amp;shcp=81f88b70&amp;idc=my</t>
  </si>
  <si>
    <t>https://www.tiktok.com/@psi.jonathanorlandi/video/7510240853697350917</t>
  </si>
  <si>
    <t>#tdah #tdahadulto #tdahtiktok #tdahinfantil #tdahcheck #tdahdescomplicado #tdahadulto🧡 #tdahargentina #transtornodeficitdeatencion #transtornodedeficitdeatencaoehip #transtornodeficitatencion #transtornodedeficitdeatencion #transtornodedefitdeatencao #ansiedadenaoebrincadeira #ansiedadenaoebrincadeira #ansiedadenãoéfrescura #ansiedades #ansiedadeamil #ansiedadeedepressao #depressao #depressaonaoefrescura #depressaoeansiedade #depressao😭😭😭💔 #depressaonaoemimi #maedetdah #maetdah #maetdah #mentehumana #psicose #psiquiatra #psiquiatria #psiquiatratiktok #crise #crisedeansiedade #crisedangoisse #entendaotdah #comoentender #boanoite #sobrevivi2019 #doencasdaalmaexistem😓 #doencasdaalma #corpo #alma #mente #inteligenciaartificial #inteligenciartificial #psicose #depressao #tdahtiktok #mentehumana #brasil #humanos #internacional</t>
  </si>
  <si>
    <t>7217300736135252741</t>
  </si>
  <si>
    <t>tdah,psicologia,curiosidades,comportamento,distraidosvenceremos</t>
  </si>
  <si>
    <t>https://v16-webapp-prime.tiktok.com/video/tos/useast2a/tos-useast2a-v-27dcd7/ffa3850039094bb38a0018a8bbac00a0/?a=1988&amp;bti=ODszNWYuMDE6&amp;ch=0&amp;cr=0&amp;dr=0&amp;er=0&amp;lr=default&amp;cd=0%7C0%7C0%7C0&amp;br=250&amp;bt=125&amp;ds=5&amp;ft=GNDpcInz7ThiV-UPXq8Zmo&amp;mime_type=audio_mpeg&amp;qs=13&amp;rc=anFuOzk6Zm9qajMzNzU8M0BpanFuOzk6Zm9qajMzNzU8M0BtbXMycjRnLmhgLS1kMTZzYSNtbXMycjRnLmhgLS1kMTZzcw%3D%3D&amp;btag=e00050000&amp;expire=1763004330&amp;l=2025111310235634FE9FF2AA2A079ADB1D&amp;ply_type=3&amp;policy=3&amp;signature=34758bf5c45c973f602e1982925e43dc&amp;tk=7571587458748974088</t>
  </si>
  <si>
    <t>7562577272859921671</t>
  </si>
  <si>
    <t xml:space="preserve">As pessoas acham que o TDAH é falta de vontade… mas o que ninguém te conta é que isso tem tudo a ver com neurociência, e não com preguiça. 🕰️ O cérebro do TDAH percebe o tempo de forma diferente — o “depois” vira “nunca”, e o “agora” vira urgência. Você não procrastina porque quer. Seu cérebro apenas funciona em outro ritmo. 👉 E quando você entende isso, muda tudo. #TDAH #Neurociência #TDAHAdulto #TDAHInfantil #Psicologia         </t>
  </si>
  <si>
    <t>O cérebro do TDAH em outro tempo</t>
  </si>
  <si>
    <t>Hopeful Inspiring Cinematic</t>
  </si>
  <si>
    <t>7378244837441439783</t>
  </si>
  <si>
    <t>https://sf16-ies-music-sg.tiktokcdn.com/obj/tos-alisg-ve-2774/osRIWqb6iiBP3MQQMsQBhemtmjyCV2zkVgvPAv</t>
  </si>
  <si>
    <t>https://p16-sg.tiktokcdn.com/aweme/720x720/tos-alisg-v-2774/os3BiAlnrW1ADBAdEAABifFOhYLwzEBLaAgsQH.jpeg</t>
  </si>
  <si>
    <t>DensoMusic</t>
  </si>
  <si>
    <t>https://v16-webapp-prime.tiktok.com/video/tos/alisg/tos-alisg-pve-0037c001/okQ4OV7YOaAEBiTriP5VEEPiVzzzBuaQSzvIA/?a=1988&amp;bti=ODszNWYuMDE6&amp;ch=0&amp;cr=3&amp;dr=0&amp;lr=all&amp;cd=0%7C0%7C0%7C&amp;cv=1&amp;br=1572&amp;bt=786&amp;cs=0&amp;ds=3&amp;ft=I~da4oKyD12Nvm1WS.IxR~kNglBF-UjNSEopiX&amp;mime_type=video_mp4&amp;qs=0&amp;rc=N2doOWQ4NjQzMzk7ZWZlOkBpampwbXU5cnN0NjMzODczNEBjLS42Nl8xNi4xLi1fYTQtYSNtcGY2MmQ0a21hLS1kMTFzcw%3D%3D&amp;btag=e00098000&amp;expire=1764728663&amp;l=2025120110210868B8F68F0D0B7F5CDC9D&amp;ply_type=2&amp;policy=2&amp;signature=5a1055298b3241c11b5b9c1d431673d1&amp;tk=tt_chain_token</t>
  </si>
  <si>
    <t>https://p16-sign-va.tiktokcdn.com/tos-maliva-avt-0068/7dbc97f66a70a5f185159bb96a8d7982~tplv-tiktokx-cropcenter:1080:1080.jpeg?dr=14579&amp;refresh_token=6d0a3a90&amp;x-expires=1763172000&amp;x-signature=YB2A9iYCeE4pr88IxYeru10Qfzs%3D&amp;t=4d5b0474&amp;ps=13740610&amp;shp=a5d48078&amp;shcp=81f88b70&amp;idc=my</t>
  </si>
  <si>
    <t>https://www.tiktok.com/@nivea.savoy/video/7562577272859921671</t>
  </si>
  <si>
    <t>tdah,neurociência,tdahadulto,tdahinfantil,psicologia</t>
  </si>
  <si>
    <t>https://v16-webapp-prime.tiktok.com/video/tos/maliva/tos-maliva-ve-0068c801-us/oEpfQKnQyUkEe48CvJbBRJ7hOSIBAQEbADB6CI/?a=1988&amp;bti=ODszNWYuMDE6&amp;ch=0&amp;cr=3&amp;dr=0&amp;lr=all&amp;cd=0%7C0%7C0%7C&amp;cv=1&amp;br=834&amp;bt=417&amp;cs=0&amp;ds=3&amp;ft=-Csk_mrMPD12N3Yopd-Ux24FaY6e3wv25WcAp&amp;mime_type=video_mp4&amp;qs=0&amp;rc=Ozc7NzU8OzxlN2g7aDg5OEBpMztpaTw6ZmhqajMzNzczM0BjLl40Xi5fNl4xLzQtM2NhYSNxbG8vcjRvLmhgLS1kMTZzcw%3D%3D&amp;btag=e00090000&amp;expire=1763173530&amp;l=2025111310235634FE9FF2AA2A079ADB1D&amp;ply_type=2&amp;policy=2&amp;signature=af446dd29382e24ecd1aab252612c79c&amp;tk=tt_chain_token</t>
  </si>
  <si>
    <t>7541151024296299832</t>
  </si>
  <si>
    <t>Desabafo de uma mãe.  #tdah #tdahadulto #tdahmemes #tdahtiktok #tdahinfantil</t>
  </si>
  <si>
    <t>7541151020697766662</t>
  </si>
  <si>
    <t>https://v16-webapp-prime.tiktok.com/video/tos/useast2a/tos-useast2a-v-27dcd7/oUjK7ioBoGAA7MyivA0EgAB4EBnaPUENe8LCGk/?a=1988&amp;bti=ODszNWYuMDE6&amp;ch=0&amp;cr=0&amp;dr=0&amp;er=0&amp;lr=default&amp;cd=0%7C0%7C0%7C0&amp;br=250&amp;bt=125&amp;ds=5&amp;ft=GNDpcInz7ThbzKvPXq8Zmo&amp;mime_type=audio_mpeg&amp;qs=13&amp;rc=MzlpcHI5cnZyNTMzNzU8M0BpMzlpcHI5cnZyNTMzNzU8M0BoMWstMmRrbWdhLS1kMTZzYSNoMWstMmRrbWdhLS1kMTZzcw%3D%3D&amp;btag=e00048000&amp;expire=1764559348&amp;l=20251201102139650E38823033055E6EEC&amp;ply_type=3&amp;policy=3&amp;signature=33274c2cfb22f8287908f7867d3ae743&amp;tk=7571587458748974088</t>
  </si>
  <si>
    <t>https://p77-sign-sg.tiktokcdn.com/tos-alisg-avt-0068/5f966eb2bae4fc1e800f80743e1e9be0~tplv-tiktokx-cropcenter:1080:1080.jpeg?dr=14579&amp;refresh_token=1967b5bc&amp;x-expires=1764727200&amp;x-signature=YgI6bn31%2Bb8O9f4FT1IZK9XyKFM%3D&amp;t=4d5b0474&amp;ps=13740610&amp;shp=a5d48078&amp;shcp=81f88b70&amp;idc=my</t>
  </si>
  <si>
    <t>https://www.tiktok.com/@sobrevivi2019oficialdid/video/7217300741629824262</t>
  </si>
  <si>
    <t>https://v16-webapp-prime.tiktok.com/video/tos/alisg/tos-alisg-ve-37c813-sg/o8fgnwaABQBENWQZpPDTJoEPpIDyyjRS4FeE6L/?a=1988&amp;bti=ODszNWYuMDE6&amp;ch=0&amp;cr=3&amp;dr=0&amp;lr=all&amp;cd=0%7C0%7C0%7C&amp;cv=1&amp;br=1078&amp;bt=539&amp;cs=0&amp;ds=3&amp;ft=-Csk_mrMPD12NzDh5d-UxKyFaY6e3wv257cAp&amp;mime_type=video_mp4&amp;qs=0&amp;rc=NTQ0ZGc7OTs1NjplPGU7OUBpMzwzPG45cjlyNTMzNzczM0A2YWEvYGMxXzExLzEtLi00YSNzamJqMmRrbWdhLS1kMTZzcw%3D%3D&amp;btag=e00088000&amp;expire=1764728548&amp;l=20251201102139650E38823033055E6EEC&amp;ply_type=2&amp;policy=2&amp;signature=5ac8c84179e24f0488fdf98272bb3a21&amp;tk=tt_chain_token</t>
  </si>
  <si>
    <t>tdah,tdahadulto,tdahtiktok,tdahinfantil,tdahcheck,tdahdescomplicado,tdahadulto🧡,tdahargentina,transtornodeficitdeatencion,transtornodedeficitdeatencaoehip,transtornodeficitatencion,transtornodedeficitdeatencion,transtornodedefitdeatencao,ansiedadenaoebrincadeira,ansiedadenaoebrincadeira,ansiedadenãoéfrescura,ansiedades,ansiedadeamil,ansiedadeedepressao,depressao,depressaonaoefrescura,depressaoeansiedade,depressao😭😭😭💔,depressaonaoemimi,maedetdah,maetdah,maetdah,mentehumana,psicose,psiquiatra,psiquiatria,psiquiatratiktok,crise,crisedeansiedade,crisedangoisse,entendaotdah,comoentender,boanoite,sobrevivi2019,doencasdaalmaexistem😓,doencasdaalma,corpo,alma,mente,inteligenciaartificial,inteligenciartificial,psicose,depressao,tdahtiktok,mentehumana,brasil,humanos,internacional</t>
  </si>
  <si>
    <t>tdah,tdahadulto,tdahtiktok,tdahinfantil,tdahcheck,tdahdescomplicado,tdahadulto🧡,tdahargentina,transtornodeficitdeatencion,transtornodedeficitdeatencaoehip,transtornodeficitatencion,transtornodedeficitdeatencion,transtornodedefitdeatencao,ansiedadenaoebrincadeira,ansiedadenãoéfrescura,ansiedades,ansiedadeamil,ansiedadeedepressao,depressao,depressaonaoefrescura,depressaoeansiedade,depressao😭😭😭💔,depressaonaoemimi,maedetdah,maetdah,mentehumana,psicose,psiquiatra,psiquiatria,psiquiatratiktok,crise,crisedeansiedade,crisedangoisse,entendaotdah,comoentender,boanoite,sobrevivi2019,doencasdaalmaexistem😓,doencasdaalma,corpo,alma,mente,inteligenciaartificial,inteligenciartificial,brasil,humanos,internacional</t>
  </si>
  <si>
    <t>7500980358754733318</t>
  </si>
  <si>
    <t>Tem coisa simples que parece impossível quando se tem TDAH. Acordar, se organizar, lembrar de responder uma mensagem… A gente sabe que não é falta de vontade — é o cérebro funcionando de outro jeito. 1️⃣ Acordar e ativar? Parece que o cérebro demora a “ligar”. 2️⃣ Tarefas de 5 minutos viram um fardo. 3️⃣ Organização? Só na teoria. 4️⃣ Chegar no horário? Com sorte! Mas a boa notícia é que existem caminhos para facilitar o dia a dia: terapia, autocuidado e até suplementação natural. A Lucydays desenvolveu uma fórmula que pode ajudar você a manter o foco, regular a motivação e trazer mais clareza mental — sem depender de estimulantes artificiais. 🧠💪 Use o cupom JONATHANPSI no site da Lucydays e aproveite os benefícios para o seu corpo e sua mente. #tdah #tdahadulto #comportamento #terapia #psicologia #curiosidade #psicoterapia #neurociência #foco #distraidosvenceremos</t>
  </si>
  <si>
    <t>7500980384253872901</t>
  </si>
  <si>
    <t>https://v16-webapp-prime.tiktok.com/video/tos/useast2a/tos-useast2a-v-27dcd7/oYjogMGAAQQALBHvYSeCTPjeeqoLVaoNEIC06Q/?a=1988&amp;bti=ODszNWYuMDE6&amp;ch=0&amp;cr=0&amp;dr=0&amp;er=0&amp;lr=default&amp;cd=0%7C0%7C0%7C0&amp;br=250&amp;bt=125&amp;ds=5&amp;ft=GNDpcInz7ThGD-UPXq8Zmo&amp;mime_type=audio_mpeg&amp;qs=13&amp;rc=anRneHQ5cnZnMzMzNzU8M0BpanRneHQ5cnZnMzMzNzU8M0AzMGRlMmRjX2BhLS1kMTZzYSMzMGRlMmRjX2BhLS1kMTZzcw%3D%3D&amp;btag=e00050000&amp;expire=1763004436&amp;l=2025111310254344385823DD6566920070&amp;ply_type=3&amp;policy=3&amp;signature=940b21884b3a92486e48d259cb13556a&amp;tk=7571587458748974088</t>
  </si>
  <si>
    <t>https://www.tiktok.com/@vivendocomtdahoficial/video/7541151024296299832</t>
  </si>
  <si>
    <t>7544541845217365254</t>
  </si>
  <si>
    <t>https://v16-webapp-prime.tiktok.com/video/tos/useast2a/tos-useast2a-ve-0068c003/oIoILzWJQfFISrMCBenGeCUjuPALgKWgnUuQI1/?a=1988&amp;bti=ODszNWYuMDE6&amp;ch=0&amp;cr=3&amp;dr=0&amp;lr=all&amp;cd=0%7C0%7C0%7C&amp;cv=1&amp;br=3312&amp;bt=1656&amp;cs=0&amp;ds=3&amp;ft=-Csk_mrMPD12Nn.opd-UxJTFGY6e3wv25bcAp&amp;mime_type=video_mp4&amp;qs=0&amp;rc=ZTo7OjVoNTM6ZDU3ZTppZkBpMzNweGs5cmtlMzMzNzczM0A1Yy9jNC02X2IxNjIvMi40YSNpamhjMmRzX2BhLS1kMTZzcw%3D%3D&amp;btag=e00090000&amp;expire=1763173636&amp;l=2025111310254344385823DD6566920070&amp;ply_type=2&amp;policy=2&amp;signature=4637c53b94d3455623061a55fa190eff&amp;tk=tt_chain_token</t>
  </si>
  <si>
    <t xml:space="preserve">Se você tem TDAH como eu, sabe que os sintomas não aparecem "do nada" 🧐 🕵🏻‍♀️ No TDAH, eles vêm acompanhados de prejuízos reais. Seja na escola, no trabalho, nos relacionamentos… Sempre tem algo que parece "não encaixar" direito, sabe? 🤚🏻 Então, se você nunca teve dificuldades em nenhuma dessas áreas, mas desconfia que pode ter TDAH, talvez o que está sentindo seja reflexo de outra coisa, como: Estresse, ansiedade, privação de sono, carência de vitaminas… Ou até, um sinal de que tá na hora de visitar seu médico (mesmo que só por precaução)  🩺 O diagnóstico do TDAH na fase adulta, é uma realidade para muitos, inclusive foi assim pra mim também! Mas é importante entender que seus sintomas NÃO surgem "de repente". Eles me acompanharam por anos, gerando prejuízos, mesmo antes do diagnóstico. E isso acontece com muita gente, seja por falta de informação, de acesso ou por achar que todo mundo sente o mesmo. 🌪️ A verdade é que a vida moderna, é caótica e é normal se sentir sobrecarregado às vezes. Mas isso não significa que você tenha TDAH. O autodiagnóstico pode te afastar da ajuda que você realmente precisa e te colocar num caminho que não resolve o problema! Na dúvida mesmo, procure um profissional de saúde mental 💛  #tdahta #tdahadulto #sinaistdah #tdahcuriosidades #tdahdiagnostico      </t>
  </si>
  <si>
    <t>7544541833049787141</t>
  </si>
  <si>
    <t>https://v16-webapp-prime.tiktok.com/video/tos/useast2a/tos-useast2a-v-27dcd7/o8f0LnECKABWLz7iJmixwEAOg0A5EoA1c3AkwB/?a=1988&amp;bti=ODszNWYuMDE6&amp;ch=0&amp;cr=0&amp;dr=0&amp;er=0&amp;lr=default&amp;cd=0%7C0%7C0%7C0&amp;br=250&amp;bt=125&amp;ds=5&amp;ft=GNDpcInz7ThizKvPXq8Zmo&amp;mime_type=audio_mpeg&amp;qs=13&amp;rc=M3FoaG85cnJzNTMzNzU8M0BpM3FoaG85cnJzNTMzNzU8M0BuYzZsMmRjZW1hLS1kMTZzYSNuYzZsMmRjZW1hLS1kMTZzcw%3D%3D&amp;btag=e00050000&amp;expire=1764559368&amp;l=20251201102147CB7160225F86D969BC26&amp;ply_type=3&amp;policy=3&amp;signature=0946716451e7289b7d17085ab83215f5&amp;tk=7571587458748974088</t>
  </si>
  <si>
    <t>https://v16-webapp-prime.tiktok.com/video/tos/useast2a/tos-useast2a-pve-0068/oMZIjqLZAIGzRyQAFe6gefIHRzE5jAzCSISzmC/?a=1988&amp;bti=ODszNWYuMDE6&amp;ch=0&amp;cr=3&amp;dr=0&amp;lr=all&amp;cd=0%7C0%7C0%7C&amp;cv=1&amp;br=2398&amp;bt=1199&amp;cs=0&amp;ds=3&amp;ft=-Csk_mrMPD12N3Dh5d-UxIS5hY6e3wv25ocAp&amp;mime_type=video_mp4&amp;qs=0&amp;rc=Nzo0ZThpZDc2NWk2ZGY0NkBpMzM6eXY5cmRzNTMzNzczM0AvNjYuYWJeNjExMTQ2My8uYSNjMHNkMmQ0ZW1hLS1kMTZzcw%3D%3D&amp;btag=e00090000&amp;expire=1764728568&amp;l=20251201102147CB7160225F86D969BC26&amp;ply_type=2&amp;policy=2&amp;signature=f9a26aa63bc6472b8e6ab0326481bbbe&amp;tk=tt_chain_token</t>
  </si>
  <si>
    <t>https://www.tiktok.com/@psi.jonathanorlandi/video/7500980358754733318</t>
  </si>
  <si>
    <t>https://www.tiktok.com/@lorenatdahta/video/7544541845217365254</t>
  </si>
  <si>
    <t>https://v16-webapp-prime.tiktok.com/video/tos/alisg/tos-alisg-v-27dcd7/okP8M8edoQugwf06OeRAXCVygYTtEVuMXDA048/?a=1988&amp;bti=ODszNWYuMDE6&amp;ch=0&amp;cr=0&amp;dr=0&amp;er=0&amp;lr=default&amp;cd=0%7C0%7C0%7C0&amp;br=250&amp;bt=125&amp;ft=GNDpcInz7ThNV-UPXq8Zmo&amp;mime_type=audio_mpeg&amp;qs=6&amp;rc=ODc1NDVnOThpZ2g8Zmc4PEBpamhyc3k5cnVwNjMzODU8NEBgNV5fMDI1XjAxMDEwLWAvYSNla19lMmRrZ3BhLS1kMS1zcw%3D%3D&amp;btag=e00090000&amp;expire=1763004249&amp;l=20251113102306B19E1F5BC676BF8CC05E&amp;ply_type=3&amp;policy=3&amp;signature=9486cf4b0736c46465af5b8a8ef85db2&amp;tk=7571587458748974088</t>
  </si>
  <si>
    <t>tdahta,tdahadulto,sinaistdah,tdahcuriosidades,tdahdiagnostico</t>
  </si>
  <si>
    <t>7379018257652616454</t>
  </si>
  <si>
    <t>ESSA É A PERSONALIDADE 
DE UMA PESSOA 
COM TDAH?</t>
  </si>
  <si>
    <t>7379018300953676549</t>
  </si>
  <si>
    <t>https://v16-webapp-prime.tiktok.com/video/tos/useast2a/tos-useast2a-v-27dcd7/osElYJ7f4BwQKcUJKFZmPdFo2JqD1jQBCEnePB/?a=1988&amp;bti=ODszNWYuMDE6&amp;ch=0&amp;cr=0&amp;dr=0&amp;er=0&amp;lr=default&amp;cd=0%7C0%7C0%7C0&amp;br=250&amp;bt=125&amp;ft=GNDpcInz7ThrzKvPXq8Zmo&amp;mime_type=audio_mpeg&amp;qs=6&amp;rc=aWQ8NDpmM2Q7ZTY0Njo4M0BpanJueG05cjVyczMzNzU8M0A0YS4uLmM2NTAxL15gYjAzYSNhMWhnMmRraGdgLS1kMTZzcw%3D%3D&amp;btag=e00090000&amp;expire=1764559311&amp;l=20251201102050B730D50024D84153D9E5&amp;ply_type=3&amp;policy=3&amp;signature=e138b18d5a2305cd663467b405d1ce6f&amp;tk=7571587458748974088</t>
  </si>
  <si>
    <t>https://v16-webapp-prime.tiktok.com/video/tos/alisg/tos-alisg-pve-0037c001/owCydWA8eAQYUMPbgGjR0fCw0IDoLI42ftVIz2/?a=1988&amp;bti=ODszNWYuMDE6&amp;ch=0&amp;cr=3&amp;dr=0&amp;lr=all&amp;cd=0%7C0%7C0%7C&amp;cv=1&amp;br=2840&amp;bt=1420&amp;cs=0&amp;ds=3&amp;ft=-Csk_mrMPD12NOYopd-Uxtv5GY6e3wv252cAp&amp;mime_type=video_mp4&amp;qs=0&amp;rc=aDU5OmczOTg3aGU4ZTw8NEBpM2U4eHc5cjZwNjMzODczNEAxLi4yY2NjX14xLmEyNDFgYSNgamRrMmRrZ3BhLS1kMTFzcw%3D%3D&amp;btag=e00090000&amp;expire=1763173449&amp;l=20251113102306B19E1F5BC676BF8CC05E&amp;ply_type=2&amp;policy=2&amp;signature=b12caa81e7de4618e1011e3c32bb0dbb&amp;tk=tt_chain_token</t>
  </si>
  <si>
    <t>https://www.tiktok.com/@pisicopop/video/7379018257652616454</t>
  </si>
  <si>
    <t>7569014867475189010</t>
  </si>
  <si>
    <t>gabriela.matsuda</t>
  </si>
  <si>
    <t>Gabriela Matsuda</t>
  </si>
  <si>
    <t>https://p16-sign-va.tiktokcdn.com/tos-maliva-avt-0068/987a16edb27b7a366cb5166e4d199e31~tplv-tiktokx-cropcenter:100:100.jpeg?dr=14579&amp;refresh_token=9d729bdd&amp;x-expires=1764727200&amp;x-signature=pPZBcjfvVVv3XrAT8Ck1hlkdOqU%3D&amp;t=4d5b0474&amp;ps=13740610&amp;shp=a5d48078&amp;shcp=81f88b70&amp;idc=my</t>
  </si>
  <si>
    <t xml:space="preserve">Por nosso cérebro funcionar de uma maneira diferente das pessoas neurotipicas, temos diversas possibilidades que essas pessoas não vão ter e enxergar o lado positivo do TDAH pode ser a virada de chave que você precisa para se aceitar ☺️ #tdah #tdahadulto #tdahmulheres #tdahtiktok #neurodivergencia </t>
  </si>
  <si>
    <t>O LADO POSITIVO DO TDAH! Sim, ele existe 🤩🧠</t>
  </si>
  <si>
    <t>7569014923695508231</t>
  </si>
  <si>
    <t>https://v16-webapp-prime.tiktok.com/video/tos/alisg/tos-alisg-v-27dcd7/ooAvBiLhXiAAUKUAE0iB6vfLEAkTwV8cAoK8pE/?a=1988&amp;bti=ODszNWYuMDE6&amp;ch=0&amp;cr=0&amp;dr=0&amp;er=0&amp;lr=default&amp;cd=0%7C0%7C0%7C0&amp;br=250&amp;bt=125&amp;ds=5&amp;ft=GNDpcInz7ThJzKvPXq8Zmo&amp;mime_type=audio_mpeg&amp;qs=13&amp;rc=amVsOnQ5cng7NzMzODU8NEBpamVsOnQ5cng7NzMzODU8NEAyZjReMmRjaTJhLS1kMS1zYSMyZjReMmRjaTJhLS1kMS1zcw%3D%3D&amp;btag=e00060000&amp;expire=1764559602&amp;l=20251201102141EAAE30DD17435761F356&amp;ply_type=3&amp;policy=3&amp;signature=f52d936a61594828709c0602c9d3debb&amp;tk=7571587458748974088</t>
  </si>
  <si>
    <t>7366601462735998214</t>
  </si>
  <si>
    <t>patrycia.leme</t>
  </si>
  <si>
    <t>Patrícia Leme 🌈</t>
  </si>
  <si>
    <t>https://p16-sign-va.tiktokcdn.com/tos-maliva-avt-0068/7270835054078853126~tplv-tiktokx-cropcenter:100:100.jpeg?dr=14579&amp;refresh_token=7b66fc13&amp;x-expires=1763172000&amp;x-signature=oaTsIrrzBdiC2ynNvhtAueV5wcY%3D&amp;t=4d5b0474&amp;ps=13740610&amp;shp=a5d48078&amp;shcp=81f88b70&amp;idc=my</t>
  </si>
  <si>
    <t>https://p77-sign-va.tiktokcdn.com/tos-maliva-avt-0068/987a16edb27b7a366cb5166e4d199e31~tplv-tiktokx-cropcenter:1080:1080.jpeg?dr=14579&amp;refresh_token=1aef6e17&amp;x-expires=1764727200&amp;x-signature=ClKO2pzK17NgLt38OrcAOuLfL0o%3D&amp;t=4d5b0474&amp;ps=13740610&amp;shp=a5d48078&amp;shcp=81f88b70&amp;idc=my</t>
  </si>
  <si>
    <t>https://v16-webapp-prime.tiktok.com/video/tos/alisg/tos-alisg-pve-0037c001/oIKlCmAUiAH8qc9QBYcEaiiiIQVByCPdPVEBE/?a=1988&amp;bti=ODszNWYuMDE6&amp;ch=0&amp;cr=3&amp;dr=0&amp;lr=all&amp;cd=0%7C0%7C0%7C&amp;br=2014&amp;bt=1007&amp;cs=0&amp;ds=3&amp;ft=-Csk_mrMPD12NWDh5d-Uxvt2hY6e3wv251cAp&amp;mime_type=video_mp4&amp;qs=0&amp;rc=Zmk7PGU0NTtlZjM8aDppaUBpMzVvcXc5cjk7NzMzODczNEA1Mi8wLjMtNS0xLzUvY15eYSMuNjA0MmQ0YzJhLS1kMTFzcw%3D%3D&amp;btag=e000a0000&amp;expire=1764728803&amp;l=20251201102141EAAE30DD17435761F356&amp;ply_type=2&amp;policy=2&amp;signature=bc21dced6e75cfac50e4acbaefff356e&amp;tk=tt_chain_token</t>
  </si>
  <si>
    <t>#tea #tdah #tod #transtornospsicologicos #transtorno #façaterapia #ansiedade #depressao #sindromedopanico #burnout #transtornodepersonalidade</t>
  </si>
  <si>
    <t>7277050464520407042</t>
  </si>
  <si>
    <t>https://p16-sign-sg.tiktokcdn.com/tos-alisg-v-2774/okfZEtZVCihyCA3OMSBEEyhNgAFmBnCjjfDQAE~720x720.jpeg?lk3s=08d74b56&amp;x-expires=1763022170&amp;x-signature=wH5mpN8XmWZfXOQFMP%2BInlmDHtY%3D</t>
  </si>
  <si>
    <t>https://www.tiktok.com/@gabriela.matsuda/video/7569014867475189010</t>
  </si>
  <si>
    <t>Audiolist Productions</t>
  </si>
  <si>
    <t>tdah,tdahadulto,tdahmulheres,tdahtiktok,neurodivergencia</t>
  </si>
  <si>
    <t>https://v16-webapp-prime.tiktok.com/video/tos/maliva/tos-maliva-ve-0068c801-us/oMm9Jv71uBfI2AFRyBbEDo0CROEhQjfsDxcDEC/?a=1988&amp;bti=ODszNWYuMDE6&amp;ch=0&amp;cr=3&amp;dr=0&amp;lr=all&amp;cd=0%7C0%7C0%7C&amp;cv=1&amp;br=232&amp;bt=116&amp;cs=0&amp;ds=3&amp;ft=-Csk_mrMPD12N_hopd-Ux315hY6e3wv25dcAp&amp;mime_type=video_mp4&amp;qs=0&amp;rc=cnF8b2hsc2d3SkBwaHIxaDFybndmZWk8Ozc7ZWVoOThoO2hmaEBpM3k1O3M5cnVwcjMzNzczM0BjRl5Nc3FePmJKYSNvYF90aHFmOiMyLjIvYTZgNTAxLy4xMy9hYSMub2JhMmRrbHFgLS1kMTZzcw%3D%3D&amp;btag=e000b0000&amp;expire=1763173380&amp;l=20251113102250DC012CE1E68AEAAA2B86&amp;ply_type=2&amp;policy=2&amp;signature=0b1ed7ec54925ee5f6cf6d035035541d&amp;tk=tt_chain_token</t>
  </si>
  <si>
    <t>7574564447080123656</t>
  </si>
  <si>
    <t xml:space="preserve">Adultos com TDAH costumam ser muito autocríticos… A sensação de não ser bom o bastante pode se transformar em um peso diário! 😶‍🌫️ Essa autocrítica muitas vezes vem acompanhada de medo e insegurança, fazendo com que tarefas simples pareçam grandes desafios. 🧠 Isso acontece porque o cérebro com TDAH depende mais das emoções para se motivar, e a vergonha acaba virando combustível para tentar manter o controle. 🌱 O problema é que esse ciclo de perfeccionismo e cobrança constante rouba energia e reforça a sensação de fracasso. Aprender a valorizar pequenas conquistas é um passo essencial para quebrar esse padrão. Você também sente que a autocrítica aparece na sua vida mais do que você gostaria, TDAH? 💬 🔗 Você pode ler mais sobre: [https://www.additudemag.com/self-criticism-shame-in-adults-with-adhd/ ] #tdahta #autocrítica #tdah #adhd #tdahadulto </t>
  </si>
  <si>
    <t>Una Mattina</t>
  </si>
  <si>
    <t>6967223818188228609</t>
  </si>
  <si>
    <t>https://sf16-ies-music-sg.tiktokcdn.com/obj/tos-alisg-ve-2774/oY1Vln8kcUvWOVwiVvjSglYYBOMZAiHikrzAI</t>
  </si>
  <si>
    <t>https://p77-sg.tiktokcdn.com/aweme/720x720/tos-alisg-v-2774/okEAIgXfP5tIV6azcfaMYAFeGAID5BADFQ6xoC.jpeg</t>
  </si>
  <si>
    <t>Ludovico Einaudi</t>
  </si>
  <si>
    <t>https://v16-webapp-prime.tiktok.com/video/tos/alisg/tos-alisg-pve-0037c001/oYJQmgXwpIBWAE8eBiFEgEDMEHARp0bIQufPck/?a=1988&amp;bti=ODszNWYuMDE6&amp;ch=0&amp;cr=3&amp;dr=0&amp;lr=all&amp;cd=0%7C0%7C0%7C&amp;cv=1&amp;br=2754&amp;bt=1377&amp;cs=0&amp;ds=3&amp;ft=-Csk_mrMPD12NzDh5d-UxKyFaY6e3wv257cAp&amp;mime_type=video_mp4&amp;qs=0&amp;rc=aGc0aDczNWZnOTY6Z2Q6ZEBpMzVya2s5cjY3NzMzODczNEA1YmBiYWAxNi4xLmAyYzVhYSNgYzRfMmQ0L2NhLS1kMWBzcw%3D%3D&amp;btag=e00090000&amp;expire=1764728569&amp;l=20251201102139650E38823033055E6EEC&amp;ply_type=2&amp;policy=2&amp;signature=53d9486eb17100a98262f1b507330ec2&amp;tk=tt_chain_token</t>
  </si>
  <si>
    <t>https://www.tiktok.com/@patrycia.leme/video/7366601462735998214</t>
  </si>
  <si>
    <t>tea,tdah,tod,transtornospsicologicos,transtorno,façaterapia,ansiedade,depressao,sindromedopanico,burnout,transtornodepersonalidade</t>
  </si>
  <si>
    <t>7247924011412294918</t>
  </si>
  <si>
    <t>heyfolkspdc</t>
  </si>
  <si>
    <t>https://p16-sign-va.tiktokcdn.com/tos-maliva-avt-0068/0aba569d43d303b4e1add8e178eb23a3~tplv-tiktokx-cropcenter:100:100.jpeg?dr=14579&amp;refresh_token=311cb945&amp;x-expires=1763172000&amp;x-signature=fwGBYlJFAM9vQQ4xJ5MzSaP8b1Q%3D&amp;t=4d5b0474&amp;ps=13740610&amp;shp=a5d48078&amp;shcp=81f88b70&amp;idc=my</t>
  </si>
  <si>
    <t>https://www.tiktok.com/@lorenatdahta/video/7574564447080123656</t>
  </si>
  <si>
    <t>tdahta,autocrítica,tdah,adhd,tdahadulto</t>
  </si>
  <si>
    <t>7574958125221022984</t>
  </si>
  <si>
    <t>tdah132</t>
  </si>
  <si>
    <t>https://p16-sign-sg.tiktokcdn.com/tos-alisg-avt-0068/9de3b6c06f63b981075b8b85a34f31bc~tplv-tiktokx-cropcenter:100:100.jpeg?dr=14579&amp;refresh_token=1117652a&amp;x-expires=1764727200&amp;x-signature=27N2ihpqdvgqBKPc7ducQPpjKVk%3D&amp;t=4d5b0474&amp;ps=13740610&amp;shp=a5d48078&amp;shcp=81f88b70&amp;idc=my</t>
  </si>
  <si>
    <t>Você sabia? Quer saber mais vai la no link da bio.  #tdahbrasil #tdahtiktok #tdahadulto #disfuncaosexualmasculina #disfuncaoereti #saudemental #tdahdescomplicado #nathaliegudayol #fly #foryou #paravoce #tiktokbrasil #viral #viralvideo #psicologa</t>
  </si>
  <si>
    <t>Suspenseful and tense orchestra(1318015)</t>
  </si>
  <si>
    <t>7146319288964483074</t>
  </si>
  <si>
    <t>https://sf16-ies-music-sg.tiktokcdn.com/obj/tos-alisg-ve-2774/aadd62c0a7834b87adcc68fca28a093a</t>
  </si>
  <si>
    <t xml:space="preserve">O TDAH age assim, mas tem tratamento. O melhor produto pra você tratar seu TDAH está na bio. #foryou #fyp #fy #tdah #tdahadulto </t>
  </si>
  <si>
    <t>7574958166648097544</t>
  </si>
  <si>
    <t>https://v16-webapp-prime.tiktok.com/video/tos/alisg/tos-alisg-v-27dcd7/oIADCFMSWA0pPqfBATkmECmoHfeIIgA8AS1WdQ/?a=1988&amp;bti=ODszNWYuMDE6&amp;ch=0&amp;cr=0&amp;dr=0&amp;er=0&amp;lr=default&amp;cd=0%7C0%7C0%7C0&amp;br=250&amp;bt=125&amp;ds=5&amp;ft=GNDpcInz7Th4zKvPXq8Zmo&amp;mime_type=audio_mpeg&amp;qs=13&amp;rc=anR3d3E5cm90NzMzODU8NEBpanR3d3E5cm90NzMzODU8NEA2M2FsMmQ0ZGNhLS1kMS1zYSM2M2FsMmQ0ZGNhLS1kMS1zcw%3D%3D&amp;btag=e00050000&amp;expire=1764559361&amp;l=20251201102104F69A53E45B65A94E5B1C&amp;ply_type=3&amp;policy=3&amp;signature=322ccbef651a77a14cd90d20e42c86c5&amp;tk=7571587458748974088</t>
  </si>
  <si>
    <t>https://p77-sg.tiktokcdn.com/aweme/720x720/tos-alisg-v-2774/848970941ddc4d6dbe8a95adf6f87e19.jpeg</t>
  </si>
  <si>
    <t>SoLaTiDo</t>
  </si>
  <si>
    <t>https://v16-webapp-prime.tiktok.com/video/tos/maliva/tos-maliva-ve-68c800-us/oYxlnbChEDVJoXm8SgkQeBZrQ8RcAYdqkBfOlT/?a=1988&amp;bti=ODszNWYuMDE6&amp;ch=0&amp;cr=3&amp;dr=0&amp;lr=all&amp;cd=0%7C0%7C0%7C&amp;cv=1&amp;br=1338&amp;bt=669&amp;cs=0&amp;ds=3&amp;ft=I~da4oKyD12NvuA0i.IxREJNglBF-UjNSmopiX&amp;mime_type=video_mp4&amp;qs=0&amp;rc=NDxmNTo0NTk6aWhkaWRmPEBpanhkbTQ6ZnJ2bDMzNzczM0BfL2EwYzE0NWExM15jMTZiYSNecTMxcjRfbF5gLS1kMTZzcw%3D%3D&amp;btag=e00090000&amp;expire=1763173562&amp;l=202511131024337F554789EF0D09A1F8EB&amp;ply_type=2&amp;policy=2&amp;signature=55878219fae1fd59b854e76dc5a20705&amp;tk=tt_chain_token</t>
  </si>
  <si>
    <t>https://p16-sign-sg.tiktokcdn.com/tos-alisg-avt-0068/9de3b6c06f63b981075b8b85a34f31bc~tplv-tiktokx-cropcenter:1080:1080.jpeg?dr=14579&amp;refresh_token=6ba82b50&amp;x-expires=1764727200&amp;x-signature=xd4Dfu2j7EVAVe%2FuLbY6G4JHSvE%3D&amp;t=4d5b0474&amp;ps=13740610&amp;shp=a5d48078&amp;shcp=81f88b70&amp;idc=my</t>
  </si>
  <si>
    <t>https://v16-webapp-prime.tiktok.com/video/tos/alisg/tos-alisg-pve-0037c001/oYABgGifT2pIfBFWmoD6KQKOcHqREhFgGPREy3/?a=1988&amp;bti=ODszNWYuMDE6&amp;ch=0&amp;cr=3&amp;dr=0&amp;lr=all&amp;cd=0%7C0%7C0%7C&amp;br=1860&amp;bt=930&amp;cs=0&amp;ds=3&amp;ft=-Csk_mrMPD12NyDh5d-UxO72hY6e3wv257cAp&amp;mime_type=video_mp4&amp;qs=0&amp;rc=NmlkaDtoZWZoMzc5NzpoPEBpams1cG05cmx0NzMzODczNEAwYzFjYWBhXi0xYy9eYzU0YSNgXnFhMmRrZGNhLS1kMWBzcw%3D%3D&amp;btag=e00090000&amp;expire=1764728561&amp;l=20251201102104F69A53E45B65A94E5B1C&amp;ply_type=2&amp;policy=2&amp;signature=fc2ec9d89b360682d67eb9a50047c42c&amp;tk=tt_chain_token</t>
  </si>
  <si>
    <t>https://www.tiktok.com/@heyfolkspdc/video/7247924011412294918</t>
  </si>
  <si>
    <t>https://www.tiktok.com/@tdah132/video/7574958125221022984</t>
  </si>
  <si>
    <t>foryou,fyp,fy,tdah,tdahadulto</t>
  </si>
  <si>
    <t>7574224144422751508</t>
  </si>
  <si>
    <t xml:space="preserve">✨ Descobrir que tenho TDAH depois dos 50 não é o fim… é o começo. É quando, pela primeira vez, tudo faz sentido. Eu não fui preguiçosa. Eu não faltava esforço. Eu apenas vivi improvisando e isso me cobrou caro. O diagnóstico tardio não apaga o passado, mas muda o significado dele. É como acender a luz num quarto onde eu sempre tropecei: o espaço é o mesmo, mas agora eu enxergo. 💡 Eu não estou atrasada. Só passei metade da vida sem o manual. E agora que tenho o manual… posso viver do meu jeito. Sem culpa. Sem peso. Com consciência. 🔥 Se você também quer aprender a regular suas emoções e entender seu cérebro com leveza, vem comigo pro meu programa de regulação emocional. #TDAH #neurodivergente #tdahadulto #deficitdeatencao #tiktok </t>
  </si>
  <si>
    <t>TDAH DEPOIS DOS 50 ANOS
NÃO É O FIM DA LINHA </t>
  </si>
  <si>
    <t>7574224174363396872</t>
  </si>
  <si>
    <t>tdahbrasil,tdahtiktok,tdahadulto,disfuncaosexualmasculina,disfuncaoereti,saudemental,tdahdescomplicado,nathaliegudayol,fly,foryou,paravoce,tiktokbrasil,viral,viralvideo,psicologa</t>
  </si>
  <si>
    <t>https://v16-webapp-prime.tiktok.com/video/tos/alisg/tos-alisg-v-27dcd7/oIAUMTBQ4AE4Mi2dRiIm2YlExCDGnAAA0iAPa/?a=1988&amp;bti=ODszNWYuMDE6&amp;ch=0&amp;cr=0&amp;dr=0&amp;er=0&amp;lr=default&amp;cd=0%7C0%7C0%7C0&amp;br=250&amp;bt=125&amp;ds=5&amp;ft=GNDpcInz7ThazKvPXq8Zmo&amp;mime_type=audio_mpeg&amp;qs=13&amp;rc=MzVmc3A5cmtqNzMzODU8NEBpMzVmc3A5cmtqNzMzODU8NEBwZWZnMmQ0bWJhLS1kMS1zYSNwZWZnMmQ0bWJhLS1kMS1zcw%3D%3D&amp;btag=e00050000&amp;expire=1764559403&amp;l=2025120110213521203C48224A5C66F6F4&amp;ply_type=3&amp;policy=3&amp;signature=bab3e48d41acffa731fda62ee53f482a&amp;tk=7571587458748974088</t>
  </si>
  <si>
    <t>https://v16-webapp-prime.tiktok.com/video/tos/useast2a/tos-useast2a-v-27dcd7/ooeee3bScCCLDgsQAQoAPAEuIFigJQFSGoTmID/?a=1988&amp;bti=ODszNWYuMDE6&amp;ch=0&amp;cr=0&amp;dr=0&amp;er=0&amp;lr=default&amp;cd=0%7C0%7C0%7C0&amp;br=250&amp;bt=125&amp;ds=5&amp;ft=GNDpcInz7ThyY-UPXq8Zmo&amp;mime_type=audio_mpeg&amp;qs=13&amp;rc=ajU2b205cm11MzMzNzU8M0BpajU2b205cm11MzMzNzU8M0AyaDFsMmRjbHBhLS1kMTZzYSMyaDFsMmRjbHBhLS1kMTZzcw%3D%3D&amp;btag=e00050000&amp;expire=1763004487&amp;l=2025111310264583C2663DA446357263D7&amp;ply_type=3&amp;policy=3&amp;signature=5d3b607775e93c2b34c0a910bfd72b3c&amp;tk=7571587458748974088</t>
  </si>
  <si>
    <t>https://v16-webapp-prime.tiktok.com/video/tos/alisg/tos-alisg-pve-0037c001/o0gIEihCEFAcAHQgERuDpTeiQsDQwtpdRBufBO/?a=1988&amp;bti=ODszNWYuMDE6&amp;ch=0&amp;cr=3&amp;dr=0&amp;lr=all&amp;cd=0%7C0%7C0%7C&amp;cv=1&amp;br=2526&amp;bt=1263&amp;cs=0&amp;ds=3&amp;ft=-Csk_mrMPD12N8Dh5d-UxSc2hY6e3wv252cAp&amp;mime_type=video_mp4&amp;qs=0&amp;rc=NDY3ZGUzOGVnZzxnaTo0NUBpM2Z0OHA5cjdqNzMzODczNUAyNGMvLl5fXzAxMjYtMTE2YSMuMm9rMmRzbGJhLS1kMTZzcw%3D%3D&amp;btag=e00090000&amp;expire=1764728603&amp;l=2025120110213521203C48224A5C66F6F4&amp;ply_type=2&amp;policy=2&amp;signature=e0cdae7fb6b4e7ad1eeb27ba85d18aa7&amp;tk=tt_chain_token</t>
  </si>
  <si>
    <t>https://www.tiktok.com/@terapiadafe/video/7574224144422751508</t>
  </si>
  <si>
    <t>https://v16-webapp-prime.tiktok.com/video/tos/useast2a/tos-useast2a-ve-0068c002/ocAG5Aez3SQGSEEQccFfCCgbQvUShuIujHDnIf/?a=1988&amp;bti=ODszNWYuMDE6&amp;ch=0&amp;cr=3&amp;dr=0&amp;lr=all&amp;cd=0%7C0%7C0%7C&amp;cv=1&amp;br=1452&amp;bt=726&amp;cs=0&amp;ds=3&amp;ft=-Csk_mrMPD12Nw_opd-UxfeFaY6e3wv25HcAp&amp;mime_type=video_mp4&amp;qs=0&amp;rc=ZmVlOztmaGc0aThoNjM1PEBpM2o4am05cml1MzMzNzczM0AvNS4zXjNjXjQxMS9jMGNjYSNrcC5vMmRzbHBhLS1kMTZzcw%3D%3D&amp;btag=e00090000&amp;expire=1763173687&amp;l=2025111310264583C2663DA446357263D7&amp;ply_type=2&amp;policy=2&amp;signature=aa9fb4888db8d567a7b9bb273817bfff&amp;tk=tt_chain_token</t>
  </si>
  <si>
    <t>tdah,neurodivergente,tdahadulto,deficitdeatencao,tiktok</t>
  </si>
  <si>
    <t>7307623084649909509</t>
  </si>
  <si>
    <t>autoamorecuidad</t>
  </si>
  <si>
    <t>Autoamor e Cuidado</t>
  </si>
  <si>
    <t>https://p16-sign-va.tiktokcdn.com/tos-maliva-avt-0068/e629821e4067bea00509a0c98dfdea72~tplv-tiktokx-cropcenter:100:100.jpeg?dr=14579&amp;refresh_token=70aeae54&amp;x-expires=1764727200&amp;x-signature=HgUDq8YtzMrHdhWJ7Xp%2FB0pbWQE%3D&amp;t=4d5b0474&amp;ps=13740610&amp;shp=a5d48078&amp;shcp=81f88b70&amp;idc=my</t>
  </si>
  <si>
    <t>O tdh tem uma hiperatividade mental #dranabeatrizbarbosa #saudemental #saudeemocional #autoamorecuidad #CapCut</t>
  </si>
  <si>
    <t>https://p77-sign-sg.tiktokcdn.com/tos-alisg-v-2774/oI3aPeADVFvKFCgAwOldzsAAgEIwfDrDI2eB3g~720x720.jpeg?lk3s=08d74b56&amp;x-expires=1764577256&amp;x-signature=h129zDsYQ7oEsolVXmkzfdYriqo%3D</t>
  </si>
  <si>
    <t>https://v16-webapp-prime.tiktok.com/video/tos/maliva/tos-maliva-ve-0068c801-us/oA8KCT7MEeRFmryAfg8Q0EzkjdHdDCgrIfbIaS/?a=1988&amp;bti=ODszNWYuMDE6&amp;ch=0&amp;cr=3&amp;dr=0&amp;lr=all&amp;cd=0%7C0%7C0%7C&amp;cv=1&amp;br=2250&amp;bt=1125&amp;cs=0&amp;ds=3&amp;ft=-Csk_mrMPD12NbDh5d-UxPR2SY6e3wv25IcAp&amp;mime_type=video_mp4&amp;qs=0&amp;rc=NGk5PDNlZjpnOzM3OjQzNUBpM2d1cm85cml4bzMzNzczM0AxMjFhYTFgXzExY2EyMzY0YSMuM3FwMmRrNGhgLS1kMTZzcw%3D%3D&amp;btag=e00088000&amp;expire=1764728501&amp;l=20251201102055111140D50F38376E882B&amp;ply_type=2&amp;policy=2&amp;signature=ac585aa9253bdca8199183095b2fd203&amp;tk=tt_chain_token</t>
  </si>
  <si>
    <t>https://p16-sign-va.tiktokcdn.com/tos-maliva-avt-0068/5e4b6fbbbca28a7cdbec97908b69569b~tplv-tiktokx-cropcenter:100:100.jpeg?dr=14579&amp;refresh_token=b3ba9219&amp;x-expires=1763172000&amp;x-signature=ytMYWrmwktbLNSYKav%2Fc1zzXYa8%3D&amp;t=4d5b0474&amp;ps=13740610&amp;shp=a5d48078&amp;shcp=81f88b70&amp;idc=my</t>
  </si>
  <si>
    <t>https://www.tiktok.com/@autoamorecuidad/video/7307623084649909509</t>
  </si>
  <si>
    <t>dranabeatrizbarbosa,saudemental,saudeemocional,autoamorecuidad,capcut</t>
  </si>
  <si>
    <t>dranabeatrizbarbosa,saudemental,saudeemocional,autoamorecuidad,CapCut</t>
  </si>
  <si>
    <t>7446205287914048774</t>
  </si>
  <si>
    <t xml:space="preserve">TDAH e Excesso de Pensamentos 🌪🧠 . . . Você também se identifica, TDAH? 💬 . . . Com voz de: Dra. Ana Beatriz Barbosa @anabeatriz11 #tdahta #tdahadulto #tdah #tdahtiktok #draanabeatriz </t>
  </si>
  <si>
    <t>Echo Sax No.4</t>
  </si>
  <si>
    <t>7293332340565297153</t>
  </si>
  <si>
    <t>https://sf16-ies-music-sg.tiktokcdn.com/obj/tos-alisg-ve-2774/ocvYYweBAOAioswj87BGozMvjI1NJRsICiAWIu</t>
  </si>
  <si>
    <t>https://p77-sg.tiktokcdn.com/aweme/720x720/tos-alisg-v-2774/o8BA2tUQFsPa14gNzMmCDWc09EI8IAFfAHAffD.jpeg</t>
  </si>
  <si>
    <t>Caleb Arredondo</t>
  </si>
  <si>
    <t>https://v16-webapp-prime.tiktok.com/video/tos/useast2a/tos-useast2a-ve-0068c004/oIkGQGt7IlfARLLAdaPAVeOe5e8GEZRWYgFVni/?a=1988&amp;bti=ODszNWYuMDE6&amp;ch=0&amp;cr=3&amp;dr=0&amp;lr=all&amp;cd=0%7C0%7C0%7C&amp;cv=1&amp;br=654&amp;bt=327&amp;cs=0&amp;ds=6&amp;ft=-Csk_mrMPD12NzDh5d-UxKyFaY6e3wv257cAp&amp;mime_type=video_mp4&amp;qs=5&amp;rc=NjNpZTNmZWY5OzRoZTk8ZUBpMzZvOXk5cm02dzMzNzczM0AwY2AwLWEuXi8xMmAyX18vYSNuZWI0MmQ0a19gLS1kMTZzcw%3D%3D&amp;btag=e00088000&amp;expire=1764728543&amp;l=20251201102139650E38823033055E6EEC&amp;ply_type=2&amp;policy=2&amp;signature=0eb9a911a77e7164dfb099f12982b852&amp;tk=tt_chain_token</t>
  </si>
  <si>
    <t>https://p77-sg.tiktokcdn.com/aweme/720x720/tos-alisg-v-2774/c6fd1194f5304814b164220c4ddec0d4.jpeg</t>
  </si>
  <si>
    <t>https://v16-webapp-prime.tiktok.com/video/tos/alisg/tos-alisg-ve-37c813-sg/oUKFgfB6DBaoFbzEq5EBIfQ0XBJIVQ1QkNRDKA/?a=1988&amp;bti=ODszNWYuMDE6&amp;ch=0&amp;cr=3&amp;dr=0&amp;lr=all&amp;cd=0%7C0%7C0%7C&amp;cv=1&amp;br=1408&amp;bt=704&amp;cs=0&amp;ds=3&amp;ft=-Csk_mrMPD12NDhopd-Ux2.2GY6e3wv25rcAp&amp;mime_type=video_mp4&amp;qs=0&amp;rc=NzpkZDs3Nzs4ZWZlZDppNkBpMzM6aWw5cmQ7NDMzNzczM0AxNmAuMTUvXzYxMC8wYmAyYSNoaV8yMmRrMmJhLS1kMTZzcw%3D%3D&amp;btag=e00090000&amp;expire=1763173416&amp;l=20251113102236D675DBC36011DA84E058&amp;ply_type=2&amp;policy=2&amp;signature=2b62957aec02de13ddbad2dfbaead1ea&amp;tk=tt_chain_token</t>
  </si>
  <si>
    <t>https://www.tiktok.com/@lorenatdahta/video/7446205287914048774</t>
  </si>
  <si>
    <t>tdahta,tdahadulto,tdah,tdahtiktok,draanabeatriz</t>
  </si>
  <si>
    <t>7267188704001674502</t>
  </si>
  <si>
    <t>bru.cast</t>
  </si>
  <si>
    <t>brucast</t>
  </si>
  <si>
    <t>https://p77-sign-va.tiktokcdn.com/tos-maliva-avt-0068/ab9e8e2664fe95dc4ce1070394adf3ea~tplv-tiktokx-cropcenter:100:100.jpeg?dr=14579&amp;refresh_token=f5e511b7&amp;x-expires=1764727200&amp;x-signature=LO8BO%2FmgUf3skhEup8fIvsK8io4%3D&amp;t=4d5b0474&amp;ps=13740610&amp;shp=a5d48078&amp;shcp=81f88b70&amp;idc=my</t>
  </si>
  <si>
    <t>Você tem inúmeros projetos e nunca termina nenhum deles? Saymon Veiga fala sobre isso. #tdahadulto #dificuldadesdavida #frustracaototal #sucesso #estudeenquantoelesdormem</t>
  </si>
  <si>
    <t>Se você se sente
frustrado,talvez 
esse vídeo seja 
para você!</t>
  </si>
  <si>
    <t>7267188984468785925</t>
  </si>
  <si>
    <t>https://v16-webapp-prime.tiktok.com/video/tos/useast2a/tos-useast2a-v-27dcd7/o0CUxN82oQnpjaAC3UAQbGDHkoQOJs8BJAejeB/?a=1988&amp;bti=ODszNWYuMDE6&amp;ch=0&amp;cr=0&amp;dr=0&amp;er=0&amp;lr=default&amp;cd=0%7C0%7C0%7C0&amp;br=250&amp;bt=125&amp;ds=5&amp;ft=GNDpcInz7ThCPKvPXq8Zmo&amp;mime_type=audio_mpeg&amp;qs=13&amp;rc=anR2djk6ZnI2bTMzNzU8M0BpanR2djk6ZnI2bTMzNzU8M0AvbGFkcjRvb2FgLS1kMTZzYSMvbGFkcjRvb2FgLS1kMTZzcw%3D%3D&amp;btag=e00050000&amp;expire=1764559361&amp;l=20251201102042908EBE054CA4706238E0&amp;ply_type=3&amp;policy=3&amp;signature=7ceb142b1da9e338d41024a71392bba7&amp;tk=7571587458748974088</t>
  </si>
  <si>
    <t>https://p77-sign-va.tiktokcdn.com/tos-maliva-avt-0068/ab9e8e2664fe95dc4ce1070394adf3ea~tplv-tiktokx-cropcenter:1080:1080.jpeg?dr=14579&amp;refresh_token=1db0f578&amp;x-expires=1764727200&amp;x-signature=NSUorcVzNSIrIKHTNc02qrqpbmc%3D&amp;t=4d5b0474&amp;ps=13740610&amp;shp=a5d48078&amp;shcp=81f88b70&amp;idc=my</t>
  </si>
  <si>
    <t>https://v16-webapp-prime.tiktok.com/video/tos/useast2a/tos-useast2a-v-27dcd7/oMDrMAJUIBCbeIFaAkAQtuEmJBePGxrnWDhqCT/?a=1988&amp;bti=ODszNWYuMDE6&amp;ch=0&amp;cr=0&amp;dr=0&amp;er=0&amp;lr=default&amp;cd=0%7C0%7C0%7C0&amp;br=250&amp;bt=125&amp;ds=5&amp;ft=GNDpcInz7ThbK-UPXq8Zmo&amp;mime_type=audio_mpeg&amp;qs=13&amp;rc=ajZzODw6ZnRwbDMzNzU8M0BpajZzODw6ZnRwbDMzNzU8M0BfM2hlcjRnNGpgLS1kMTZzYSNfM2hlcjRnNGpgLS1kMTZzcw%3D%3D&amp;btag=e00078000&amp;expire=1763004183&amp;l=202511131022442EE54DE47B86CCA867A8&amp;ply_type=3&amp;policy=3&amp;signature=7aaf2c0b44c23b7da7d36ec8c6445230&amp;tk=7571587458748974088</t>
  </si>
  <si>
    <t>https://v16-webapp-prime.tiktok.com/video/tos/alisg/tos-alisg-ve-37c813-sg/o4eeQzfPZEUfrRyziocgNFSBfA7ABLmloNYAft/?a=1988&amp;bti=ODszNWYuMDE6&amp;ch=0&amp;cr=3&amp;dr=0&amp;lr=all&amp;cd=0%7C0%7C0%7C&amp;cv=1&amp;br=1346&amp;bt=673&amp;cs=0&amp;ds=3&amp;ft=-Csk_mrMPD12NKdh5d-Uxs12aY6e3wv252cAp&amp;mime_type=video_mp4&amp;qs=0&amp;rc=PDhnOzw2PDxkNzZmNWQ0Z0BpM3lsdmY6ZmU2bTMzNzczM0AuM19hLy5gXl8xYjE0YF9hYSNscmFrcjRnbGFgLS1kMTZzcw%3D%3D&amp;btag=e00090000&amp;expire=1764728561&amp;l=20251201102042908EBE054CA4706238E0&amp;ply_type=2&amp;policy=2&amp;signature=e81bdeb37a39fc386d50faaed7150004&amp;tk=tt_chain_token</t>
  </si>
  <si>
    <t>https://www.tiktok.com/@bru.cast/video/7267188704001674502</t>
  </si>
  <si>
    <t>https://p16-sign-va.tiktokcdn.com/tos-maliva-avt-0068/1c71a0228c5bad5aadc1820539c510e2~tplv-tiktokx-cropcenter:1080:1080.jpeg?dr=14579&amp;refresh_token=0843dda9&amp;x-expires=1763172000&amp;x-signature=OzQLAMQttCR5AqUWComJGMJC6To%3D&amp;t=4d5b0474&amp;ps=13740610&amp;shp=a5d48078&amp;shcp=81f88b70&amp;idc=my</t>
  </si>
  <si>
    <t>tdahadulto,dificuldadesdavida,frustracaototal,sucesso,estudeenquantoelesdormem</t>
  </si>
  <si>
    <t>7574571038747544840</t>
  </si>
  <si>
    <t>Chega de travar com o TDAH. Organize sua vida com o kit TDAH da bio! #foryou #fyp #fy #tdah #tdahadulto</t>
  </si>
  <si>
    <t>7574571089641212688</t>
  </si>
  <si>
    <t>https://v16-webapp-prime.tiktok.com/video/tos/alisg/tos-alisg-v-27dcd7/oUAMUEImASNTIfehLSSAAIIGeA9AeA1Kg9esEu/?a=1988&amp;bti=ODszNWYuMDE6&amp;ch=0&amp;cr=0&amp;dr=0&amp;er=0&amp;lr=default&amp;cd=0%7C0%7C0%7C0&amp;br=250&amp;bt=125&amp;ds=5&amp;ft=GNDpcInz7ThHzKvPXq8Zmo&amp;mime_type=audio_mpeg&amp;qs=13&amp;rc=Mzw8bnU5cm03NzMzODU8NEBpMzw8bnU5cm03NzMzODU8NEBsaW1rMmRzZGNhLS1kMS1zYSNsaW1rMmRzZGNhLS1kMS1zcw%3D%3D&amp;btag=e00050000&amp;expire=1764559332&amp;l=2025120110210247DE29902DF1415935A0&amp;ply_type=3&amp;policy=3&amp;signature=c0f4f85af9a546dfa805e2eee9789acd&amp;tk=7571587458748974088</t>
  </si>
  <si>
    <t>https://v16-webapp-prime.tiktok.com/video/tos/alisg/tos-alisg-pve-0037/oEA0A6uVDfLBHBrQIyhzD6N4EUYBoHCNgknEsK/?a=1988&amp;bti=ODszNWYuMDE6&amp;ch=0&amp;cr=3&amp;dr=0&amp;lr=all&amp;cd=0%7C0%7C0%7C&amp;cv=1&amp;br=1106&amp;bt=553&amp;cs=0&amp;ds=3&amp;ft=-Csk_mrMPD12Nzhopd-UxfeFaY6e3wv25HcAp&amp;mime_type=video_mp4&amp;qs=0&amp;rc=O2hpaTo7NDMzM2c6ODwzNUBpM2hkbTY6ZjVwbDMzNzgzM0AuMl80NDZeXzUxXmJhYi9fYSNwbTUwcjQwNGpgLS1kLzZzcw%3D%3D&amp;btag=e000b8000&amp;expire=1763173383&amp;l=202511131022442EE54DE47B86CCA867A8&amp;ply_type=2&amp;policy=2&amp;signature=8dec3122f1f0918f4a62deb68da8a8b1&amp;tk=tt_chain_token</t>
  </si>
  <si>
    <t>https://v16-webapp-prime.tiktok.com/video/tos/alisg/tos-alisg-pve-0037c001/ogS1Q4Y3lGAFSyNkSILVDjSgII1AfCnPI9eseI/?a=1988&amp;bti=ODszNWYuMDE6&amp;ch=0&amp;cr=3&amp;dr=0&amp;lr=all&amp;cd=0%7C0%7C0%7C&amp;br=1534&amp;bt=767&amp;cs=0&amp;ds=3&amp;ft=-Csk_mrMPD12N7Dh5d-UxII2hY6e3wv252cAp&amp;mime_type=video_mp4&amp;qs=0&amp;rc=ODo0ZjVmZTs2OjY6ZDdlZ0BpM3l3eW85cmY3NzMzODczNEBjYjMxY2IwXzIxNTMvNTFhYSNqbjJiMmRrYWNhLS1kMWBzcw%3D%3D&amp;btag=e00090000&amp;expire=1764728534&amp;l=2025120110210247DE29902DF1415935A0&amp;ply_type=2&amp;policy=2&amp;signature=cf6766d9193270dab915c2dee7eba5d8&amp;tk=tt_chain_token</t>
  </si>
  <si>
    <t>https://www.tiktok.com/@tdah132/video/7574571038747544840</t>
  </si>
  <si>
    <t>7503903079079709957</t>
  </si>
  <si>
    <t>tdah.descompricad</t>
  </si>
  <si>
    <t>user18277087579</t>
  </si>
  <si>
    <t>https://p77-sign-va.tiktokcdn.com/musically-maliva-obj/1594805258216454~tplv-tiktokx-cropcenter:100:100.jpeg?dr=14579&amp;refresh_token=d09b48c5&amp;x-expires=1764727200&amp;x-signature=KItbjMZYyDHeoHOZszyQ%2Fj4tKxE%3D&amp;t=4d5b0474&amp;ps=13740610&amp;shp=a5d48078&amp;shcp=81f88b70&amp;idc=my</t>
  </si>
  <si>
    <t>7524436956374240518</t>
  </si>
  <si>
    <t>https://p16-sign-va.tiktokcdn.com/tos-maliva-avt-0068/987a16edb27b7a366cb5166e4d199e31~tplv-tiktokx-cropcenter:100:100.jpeg?dr=14579&amp;refresh_token=eebc30fb&amp;x-expires=1763172000&amp;x-signature=C49QolN58Y6%2FU5FZOclxCAO6Lsk%3D&amp;t=4d5b0474&amp;ps=13740610&amp;shp=a5d48078&amp;shcp=81f88b70&amp;idc=my</t>
  </si>
  <si>
    <t>#tdahdescomplicado #familia #criança #tdahadulto #TDAHhinfantil</t>
  </si>
  <si>
    <t>7503903091859770118</t>
  </si>
  <si>
    <t>https://v16-webapp-prime.tiktok.com/video/tos/useast2a/tos-useast2a-v-27dcd7/oglxvABSOELSiCEC4Aw6CaUiDAMABACvIjQoK/?a=1988&amp;bti=ODszNWYuMDE6&amp;ch=0&amp;cr=0&amp;dr=0&amp;er=0&amp;lr=default&amp;cd=0%7C0%7C0%7C0&amp;br=250&amp;bt=125&amp;ds=5&amp;ft=GNDpcInz7ThUpKvPXq8Zmo&amp;mime_type=audio_mpeg&amp;qs=13&amp;rc=M2o5M3Q5cjttMzMzNzU8M0BpM2o5M3Q5cjttMzMzNzU8M0A2ZXIuMmRrZGVhLS1kMTZzYSM2ZXIuMmRrZGVhLS1kMTZzcw%3D%3D&amp;btag=e00048000&amp;expire=1764559599&amp;l=20251201102539CAF3A90CC54B38500588&amp;ply_type=3&amp;policy=3&amp;signature=fddcd60ab3b1fb24bff9ead2416e9baf&amp;tk=7571587458748974088</t>
  </si>
  <si>
    <t>#tdah #tdahadulto #tdahmulheres #ansiedade #depressao #neurodivergente #autoconhecimento #terapia #diagnostico #desabafo #saudemental #autoestima</t>
  </si>
  <si>
    <t>Já avisando que o video ficou longo 😮‍💨 DESCOBRI QUE ISSO ACONTECE POR CAUSA DO MEU TDAH!!! 
E eu sempre me cobrei tanto 😓</t>
  </si>
  <si>
    <t>7524436979959401221</t>
  </si>
  <si>
    <t>https://v16-webapp-prime.tiktok.com/video/tos/useast2a/tos-useast2a-v-27dcd7/ooEDobA1O2bCUBeAytuBy4ACEBJ5sLAEqQfFJK/?a=1988&amp;bti=ODszNWYuMDE6&amp;ch=0&amp;cr=0&amp;dr=0&amp;er=0&amp;lr=default&amp;cd=0%7C0%7C0%7C0&amp;br=250&amp;bt=125&amp;ds=5&amp;ft=GNDpcInz7Tht9-UPXq8Zmo&amp;mime_type=audio_mpeg&amp;qs=13&amp;rc=MzhnOHQ5cjk1NDMzNzU8M0BpMzhnOHQ5cjk1NDMzNzU8M0BzbF9kMmRza2phLS1kMTZzYSNzbF9kMmRza2phLS1kMTZzcw%3D%3D&amp;btag=e00060000&amp;expire=1763004685&amp;l=20251113102438711CFC3830D7669110B2&amp;ply_type=3&amp;policy=3&amp;signature=3431c92ac317e62c5bfe6b756f579749&amp;tk=7571587458748974088</t>
  </si>
  <si>
    <t>https://p16-sign-va.tiktokcdn.com/musically-maliva-obj/1594805258216454~tplv-tiktokx-cropcenter:1080:1080.jpeg?dr=14579&amp;refresh_token=f5edf6cd&amp;x-expires=1764727200&amp;x-signature=3MINR5vCDc%2FHbbcZDrSUtk6WobA%3D&amp;t=4d5b0474&amp;ps=13740610&amp;shp=a5d48078&amp;shcp=81f88b70&amp;idc=my</t>
  </si>
  <si>
    <t>https://v16-webapp-prime.tiktok.com/video/tos/useast2a/tos-useast2a-ve-0068c004/oUeRDfvIIEiSEwXXlQQgFCGjIOjmADYecCOFDt/?a=1988&amp;bti=ODszNWYuMDE6&amp;ch=0&amp;cr=3&amp;dr=0&amp;lr=all&amp;cd=0%7C0%7C0%7C&amp;cv=1&amp;br=1398&amp;bt=699&amp;cs=0&amp;ds=3&amp;ft=-Csk_mrMPD12Npgh5d-UxHv2hY6e3wv25zcAp&amp;mime_type=video_mp4&amp;qs=0&amp;rc=ZzZpaWY6M2g5Z2U7NjQ0OkBpM2U5O3E5cjVtMzMzNzczM0AyMjIwNC81XjMxMDQ0M2BfYSNzbGxtMmQ0Y2VhLS1kMTZzcw%3D%3D&amp;btag=e00088000&amp;expire=1764728799&amp;l=20251201102539CAF3A90CC54B38500588&amp;ply_type=2&amp;policy=2&amp;signature=83d5e2695e9e0fc8cb66dccb872aa252&amp;tk=tt_chain_token</t>
  </si>
  <si>
    <t>https://p16-sign-va.tiktokcdn.com/tos-maliva-avt-0068/987a16edb27b7a366cb5166e4d199e31~tplv-tiktokx-cropcenter:1080:1080.jpeg?dr=14579&amp;refresh_token=7462f4a3&amp;x-expires=1763172000&amp;x-signature=iiBbGLQxu%2FsXJ0MFVmmAUVJIun4%3D&amp;t=4d5b0474&amp;ps=13740610&amp;shp=a5d48078&amp;shcp=81f88b70&amp;idc=my</t>
  </si>
  <si>
    <t>https://www.tiktok.com/@tdah.descompricad/video/7503903079079709957</t>
  </si>
  <si>
    <t>tdahdescomplicado,familia,criança,tdahadulto,tdahhinfantil</t>
  </si>
  <si>
    <t>7549706345751121208</t>
  </si>
  <si>
    <t>noticiafofoca</t>
  </si>
  <si>
    <t>sombrioence</t>
  </si>
  <si>
    <t>https://p16-sign-va.tiktokcdn.com/tos-maliva-avt-0068/f488e580713d9848d16e85f5a3bd0012~tplv-tiktokx-cropcenter:100:100.jpeg?dr=14579&amp;refresh_token=adc91509&amp;x-expires=1764727200&amp;x-signature=5OqFC7jLA0MFIkSyoxaR9uCnqG4%3D&amp;t=4d5b0474&amp;ps=13740610&amp;shp=a5d48078&amp;shcp=81f88b70&amp;idc=my</t>
  </si>
  <si>
    <t>https://v16-webapp-prime.tiktok.com/video/tos/alisg/tos-alisg-ve-37c813-sg/ooh0Asn5iIbi4FUAho9INL5IIS91BgQ9CfrEzk/?a=1988&amp;bti=ODszNWYuMDE6&amp;ch=0&amp;cr=3&amp;dr=0&amp;lr=all&amp;cd=0%7C0%7C0%7C&amp;cv=1&amp;br=2296&amp;bt=1148&amp;cs=0&amp;ds=3&amp;ft=I~da4oKyD12NvnA0i.IxRTF_blBF-UjNSaopiX&amp;mime_type=video_mp4&amp;qs=0&amp;rc=Z2RlZ2RkOzg5ZWQzZ2hlaEBpam1xeXc5cjc1NDMzNzczM0AuXmAtLl5gNTExMWM0MTZfYSMyZWJwMmRjZmphLS1kMTZzcw%3D%3D&amp;btag=e000a0000&amp;expire=1763173885&amp;l=20251113102438711CFC3830D7669110B2&amp;ply_type=2&amp;policy=2&amp;signature=d959f4db74f01af05437fba40d5a5740&amp;tk=tt_chain_token</t>
  </si>
  <si>
    <t xml:space="preserve">ele fala que fas tratamentos,,des dos 13 anos pra não ter crises fofocalizando babado da última #oras #noticiastiktok #funnfviral#fylp #f </t>
  </si>
  <si>
    <t>7549706376576551685</t>
  </si>
  <si>
    <t>https://v16-webapp-prime.tiktok.com/video/tos/useast2a/tos-useast2a-v-27dcd7/o0LhHA6QmISJfkheUGIAAfGjAGKLIFxeEAPP4F/?a=1988&amp;bti=ODszNWYuMDE6&amp;ch=0&amp;cr=0&amp;dr=0&amp;er=0&amp;lr=default&amp;cd=0%7C0%7C0%7C0&amp;br=250&amp;bt=125&amp;ds=5&amp;ft=GNDpcInz7ThCPKvPXq8Zmo&amp;mime_type=audio_mpeg&amp;qs=13&amp;rc=ajZ5O285cnh5NjMzNzU8M0BpajZ5O285cnh5NjMzNzU8M0BmLi4vMmQ0MC9hLS1kMTZzYSNmLi4vMmQ0MC9hLS1kMTZzcw%3D%3D&amp;btag=e00078000&amp;expire=1764559269&amp;l=20251201102042908EBE054CA4706238E0&amp;ply_type=3&amp;policy=3&amp;signature=87a61ce81538486e041a27a5403ab8ee&amp;tk=7571587458748974088</t>
  </si>
  <si>
    <t>https://www.tiktok.com/@gabriela.matsuda/video/7524436956374240518</t>
  </si>
  <si>
    <t>https://p77-sign-va.tiktokcdn.com/tos-maliva-avt-0068/f488e580713d9848d16e85f5a3bd0012~tplv-tiktokx-cropcenter:1080:1080.jpeg?dr=14579&amp;refresh_token=949f9b58&amp;x-expires=1764727200&amp;x-signature=ifhJ1ibrRGI%2BKMoKDeVM%2BVuw7Q4%3D&amp;t=4d5b0474&amp;ps=13740610&amp;shp=a5d48078&amp;shcp=81f88b70&amp;idc=my</t>
  </si>
  <si>
    <t>tdah,tdahadulto,tdahmulheres,ansiedade,depressao,neurodivergente,autoconhecimento,terapia,diagnostico,desabafo,saudemental,autoestima</t>
  </si>
  <si>
    <t>https://p16-sign-va.tiktokcdn.com/tos-maliva-avt-0068/7326721801726689286~tplv-tiktokx-cropcenter:100:100.jpeg?dr=14579&amp;refresh_token=9c144c7d&amp;x-expires=1763172000&amp;x-signature=67oy5EYRb5827l5sGz0s5F0mRuU%3D&amp;t=4d5b0474&amp;ps=13740610&amp;shp=a5d48078&amp;shcp=81f88b70&amp;idc=my</t>
  </si>
  <si>
    <t>https://v16-webapp-prime.tiktok.com/video/tos/useast2a/tos-useast2a-ve-0068c001/oQCMGeggjgkIRDFTnEFLNeFIRmGA39A0NAeveg/?a=1988&amp;bti=ODszNWYuMDE6&amp;ch=0&amp;cr=3&amp;dr=0&amp;lr=all&amp;cd=0%7C0%7C0%7C&amp;cv=1&amp;br=1230&amp;bt=615&amp;cs=0&amp;ds=3&amp;ft=-Csk_mrMPD12NKdh5d-Uxs12aY6e3wv252cAp&amp;mime_type=video_mp4&amp;qs=0&amp;rc=Nzg4NWlmZTU2OmhlM2YzN0BpMzM5eG45cjx5NjMzNzczM0BgYWEtXjAzXzAxMDQtMl9jYSNobi5yMmRrLi9hLS1kMTZzcw%3D%3D&amp;btag=e000b8000&amp;expire=1764728469&amp;l=20251201102042908EBE054CA4706238E0&amp;ply_type=2&amp;policy=2&amp;signature=63f3cb5db4bdbdda815d706b8a665acc&amp;tk=tt_chain_token</t>
  </si>
  <si>
    <t>https://v16-webapp-prime.tiktok.com/video/tos/useast2a/tos-useast2a-v-27dcd7/oACAG8lOVAfpnCfAJbbBwxUAQJDHBAAI8lidIE/?a=1988&amp;bti=ODszNWYuMDE6&amp;ch=0&amp;cr=0&amp;dr=0&amp;er=0&amp;lr=default&amp;cd=0%7C0%7C0%7C0&amp;br=250&amp;bt=125&amp;ds=5&amp;ft=GNDpcInz7ThA9-UPXq8Zmo&amp;mime_type=audio_mpeg&amp;qs=13&amp;rc=M3h1dTM6Zm1qbjMzNzU8M0BpM3h1dTM6Zm1qbjMzNzU8M0AuMmE0cjRnXi5gLS1kMTZzYSMuMmE0cjRnXi5gLS1kMTZzcw%3D%3D&amp;btag=e00060000&amp;expire=1763004798&amp;l=20251113102449DDADD1FB7AF14A841409&amp;ply_type=3&amp;policy=3&amp;signature=0d27dbabe866f14576a41192d7fcab38&amp;tk=7571587458748974088</t>
  </si>
  <si>
    <t>https://www.tiktok.com/@noticiafofoca/video/7549706345751121208</t>
  </si>
  <si>
    <t>oras,noticiastiktok,funnfviral,fylp,f</t>
  </si>
  <si>
    <t>7577586428700396808</t>
  </si>
  <si>
    <t>Como você que tem TDAH tem lidado com as suas frustrações?  #tdah #tdahadulto #tdahtiktok #psicologia #neurodivergente</t>
  </si>
  <si>
    <t>7577586469813570311</t>
  </si>
  <si>
    <t>https://v16-webapp-prime.tiktok.com/video/tos/alisg/tos-alisg-v-27dcd7/osCI4fwYQTIQA9oF3jLGeGgm2DJLAAfAAfjkQh/?a=1988&amp;bti=ODszNWYuMDE6&amp;ch=0&amp;cr=0&amp;dr=0&amp;er=0&amp;lr=default&amp;cd=0%7C0%7C0%7C0&amp;br=250&amp;bt=125&amp;ds=5&amp;ft=GNDpcInz7ThgzKvPXq8Zmo&amp;mime_type=audio_mpeg&amp;qs=13&amp;rc=M2dyaGw5cmppNzMzODU8NEBpM2dyaGw5cmppNzMzODU8NEBwbDAvMmRjcWhhLS1kMS1zYSNwbDAvMmRjcWhhLS1kMS1zcw%3D%3D&amp;btag=e00050000&amp;expire=1764559350&amp;l=2025120110210868B8F68F0D0B7F5CDC9D&amp;ply_type=3&amp;policy=3&amp;signature=fe9468aa4dc925558cc25d9fd285f501&amp;tk=7571587458748974088</t>
  </si>
  <si>
    <t>https://v16-webapp-prime.tiktok.com/video/tos/maliva/tos-maliva-ve-0068c801-us/oIDFgBPheIKI4MfnlS2CjbYnWgDoBgIeAHCuZQ/?a=1988&amp;bti=ODszNWYuMDE6&amp;ch=0&amp;cr=3&amp;dr=0&amp;lr=all&amp;cd=0%7C0%7C0%7C&amp;cv=1&amp;br=1174&amp;bt=587&amp;cs=0&amp;ds=3&amp;ft=I~da4oKyD12NvgA0i.IxRMb_glBF-UjNSaopiX&amp;mime_type=video_mp4&amp;qs=0&amp;rc=NTNmZWQ2ZTs7ZzVnaDc4O0BpajR4cDc6ZnVqbjMzNzczM0AyYjI0L2AxXmExYDFgM2A1YSNvczIucjQwNi5gLS1kMTZzcw%3D%3D&amp;btag=e000a0000&amp;expire=1763173998&amp;l=20251113102449DDADD1FB7AF14A841409&amp;ply_type=2&amp;policy=2&amp;signature=25a7c6b689386315582bfafb5712f485&amp;tk=tt_chain_token</t>
  </si>
  <si>
    <t>https://v16-webapp-prime.tiktok.com/video/tos/alisg/tos-alisg-pve-0037c001/oYLfsgY8kBGdpYIRFeLIAxGVRoAGcwLIQ5eRQf/?a=1988&amp;bti=ODszNWYuMDE6&amp;ch=0&amp;cr=3&amp;dr=0&amp;lr=all&amp;cd=0%7C0%7C0%7C&amp;br=2388&amp;bt=1194&amp;cs=0&amp;ds=3&amp;ft=I~da4oKyD12Nvm1WS.IxR~kNglBF-UjNSEopiX&amp;mime_type=video_mp4&amp;qs=0&amp;rc=aGRoNGlpaTtmZTo7OWc6NEBpM2ZqPHk5cmRpNzMzODczNEA2MTNfLi9eNjExLzM1NTI0YSNjZWBiMmRrcGhhLS1kMTFzcw%3D%3D&amp;btag=e00090000&amp;expire=1764728550&amp;l=2025120110210868B8F68F0D0B7F5CDC9D&amp;ply_type=2&amp;policy=2&amp;signature=460b863cf324b26b4a3651f4d5af4fbd&amp;tk=tt_chain_token</t>
  </si>
  <si>
    <t>https://www.tiktok.com/@patriciacandidopsi/video/7577586428700396808</t>
  </si>
  <si>
    <t>tdah,tdahadulto,tdahtiktok,psicologia,neurodivergente</t>
  </si>
  <si>
    <t>7568557507300412693</t>
  </si>
  <si>
    <t>https://p77-sign-va.tiktokcdn.com/tos-maliva-avt-0068/3f2851fddee89c918e3a69c28ed31a70~tplv-tiktokx-cropcenter:100:100.jpeg?dr=14579&amp;refresh_token=04cee48e&amp;x-expires=1764727200&amp;x-signature=64hWrMaJMEVmk0s3PhBMrI%2BNQCQ%3D&amp;t=4d5b0474&amp;ps=13740610&amp;shp=a5d48078&amp;shcp=81f88b70&amp;idc=my</t>
  </si>
  <si>
    <t>7276515501562514693</t>
  </si>
  <si>
    <t>falodeautismo</t>
  </si>
  <si>
    <t>https://p77-sign-va.tiktokcdn.com/tos-maliva-avt-0068/bdb332817432108f784f2f9bb4a10a60~tplv-tiktokx-cropcenter:100:100.jpeg?dr=14579&amp;refresh_token=e2245412&amp;x-expires=1763172000&amp;x-signature=e0BEfPaDd2Y%2F8Jo3lJGmIjk%2FvA8%3D&amp;t=4d5b0474&amp;ps=13740610&amp;shp=a5d48078&amp;shcp=81f88b70&amp;idc=my</t>
  </si>
  <si>
    <t>#tdah #tdahemadultos #sintomas #Mente #desregulacionemocional</t>
  </si>
  <si>
    <t>7568557550101940999</t>
  </si>
  <si>
    <t>https://v16-webapp-prime.tiktok.com/video/tos/alisg/tos-alisg-v-27dcd7/ocj2YAUiaPBCABGMAArwhAEqI8QAEAjLl6ivU/?a=1988&amp;bti=ODszNWYuMDE6&amp;ch=0&amp;cr=0&amp;dr=0&amp;er=0&amp;lr=default&amp;cd=0%7C0%7C0%7C0&amp;br=250&amp;bt=125&amp;ds=5&amp;ft=GNDpcInz7ThhFKvPXq8Zmo&amp;mime_type=audio_mpeg&amp;qs=13&amp;rc=amRya3Y5cjNoNzMzODU8NEBpamRya3Y5cjNoNzMzODU8NEBrbWplMmQ0ajFhLS1kMS1zYSNrbWplMmQ0ajFhLS1kMS1zcw%3D%3D&amp;btag=e00050000&amp;expire=1764559386&amp;l=20251201102153319CD8E1EA373154CB8C&amp;ply_type=3&amp;policy=3&amp;signature=1022e9f31bf2303b4ab191b073d148df&amp;tk=7571587458748974088</t>
  </si>
  <si>
    <t>Sinais de autismo na vida adulta 🧩 . . . #autism #autismo #autismoadulto #tea #sus #terapia #terapiaonline</t>
  </si>
  <si>
    <t>7 SINAIS DE AUTISMO NA VIDA ADULTA</t>
  </si>
  <si>
    <t>7276515544210115333</t>
  </si>
  <si>
    <t>https://v16-webapp-prime.tiktok.com/video/tos/useast2a/tos-useast2a-v-27dcd7/oQ97rwAhASJ8AEYExBfkCYDzQZJIABpFNbfUbK/?a=1988&amp;bti=ODszNWYuMDE6&amp;ch=0&amp;cr=0&amp;dr=0&amp;er=0&amp;lr=default&amp;cd=0%7C0%7C0%7C0&amp;br=250&amp;bt=125&amp;ds=5&amp;ft=GNDpcInz7Tht9-UPXq8Zmo&amp;mime_type=audio_mpeg&amp;qs=13&amp;rc=andrN2Q6Zm9wbTMzNzU8M0BpandrN2Q6Zm9wbTMzNzU8M0Bga2tscjRnLXFgLS1kMTZzYSNga2tscjRnLXFgLS1kMTZzcw%3D%3D&amp;btag=e00050000&amp;expire=1763004338&amp;l=20251113102438711CFC3830D7669110B2&amp;ply_type=3&amp;policy=3&amp;signature=db4c4b692d30201e33814881522d07c3&amp;tk=7571587458748974088</t>
  </si>
  <si>
    <t>https://p16-sign-va.tiktokcdn.com/tos-maliva-avt-0068/3f2851fddee89c918e3a69c28ed31a70~tplv-tiktokx-cropcenter:1080:1080.jpeg?dr=14579&amp;refresh_token=90917cce&amp;x-expires=1764727200&amp;x-signature=OKKP%2FoNIPDc8YWQlbxf%2BvXp7UgA%3D&amp;t=4d5b0474&amp;ps=13740610&amp;shp=a5d48078&amp;shcp=81f88b70&amp;idc=my</t>
  </si>
  <si>
    <t>https://v16-webapp-prime.tiktok.com/video/tos/alisg/tos-alisg-pve-0037c001/ogRJgCDg9IpXFgVqUcfBROwJxo4ceOErAEBwwQ/?a=1988&amp;bti=ODszNWYuMDE6&amp;ch=0&amp;cr=3&amp;dr=0&amp;lr=all&amp;cd=0%7C0%7C0%7C&amp;cv=1&amp;br=2716&amp;bt=1358&amp;cs=0&amp;ds=3&amp;ft=-Csk_mrMPD12NNBh5d-UxIS5hY6e3wv25ocAp&amp;mime_type=video_mp4&amp;qs=0&amp;rc=ZTw1ODw7ZWU2aGQ7Zmc6OUBpM3Zwa245cmZoNzMzODczNEBiXy00MTFeNmIxYF8tLzBgYSNgaTMwMmQ0aTFhLS1kMWBzcw%3D%3D&amp;btag=e00090000&amp;expire=1764728586&amp;l=20251201102153319CD8E1EA373154CB8C&amp;ply_type=2&amp;policy=2&amp;signature=c09c51e5e338f1c79347bc7bfc2f7a5e&amp;tk=tt_chain_token</t>
  </si>
  <si>
    <t>https://p77-sign-va.tiktokcdn.com/tos-maliva-avt-0068/bdb332817432108f784f2f9bb4a10a60~tplv-tiktokx-cropcenter:1080:1080.jpeg?dr=14579&amp;refresh_token=a7ea048c&amp;x-expires=1763172000&amp;x-signature=LYBb6Kmj3y1HANcb5%2F1gRabpJmo%3D&amp;t=4d5b0474&amp;ps=13740610&amp;shp=a5d48078&amp;shcp=81f88b70&amp;idc=my</t>
  </si>
  <si>
    <t>https://www.tiktok.com/@labirintodamente6/video/7568557507300412693</t>
  </si>
  <si>
    <t>https://v16-webapp-prime.tiktok.com/video/tos/maliva/tos-maliva-ve-68c800-us/oQfezNKYIhwSEGY02QJgfC87IPj1AJIQPCSGMp/?a=1988&amp;bti=ODszNWYuMDE6&amp;ch=0&amp;cr=3&amp;dr=0&amp;lr=all&amp;cd=0%7C0%7C0%7C&amp;cv=1&amp;br=1654&amp;bt=827&amp;cs=0&amp;ds=3&amp;ft=I~da4oKyD12NvnA0i.IxRTF_blBF-UjNSaopiX&amp;mime_type=video_mp4&amp;qs=0&amp;rc=Z2VnOTY7ZjRnZDM3ZGlnZkBpM25qaWQ6ZmZvbTMzNzczM0AxYjReNDFfNmMxMzRhYS0wYSM1ZS5vcjQwc3FgLS1kMTZzcw%3D%3D&amp;btag=e00090000&amp;expire=1763173538&amp;l=20251113102438711CFC3830D7669110B2&amp;ply_type=2&amp;policy=2&amp;signature=f611833973b9a69c54d58931300942d0&amp;tk=tt_chain_token</t>
  </si>
  <si>
    <t>tdah,tdahemadultos,sintomas,mente,desregulacionemocional</t>
  </si>
  <si>
    <t>7456935658557426950</t>
  </si>
  <si>
    <t>neuropsirenataramos</t>
  </si>
  <si>
    <t>Neuropsicóloga Renata Ramos</t>
  </si>
  <si>
    <t>https://p77-sign-va.tiktokcdn.com/tos-maliva-avt-0068/ff6e3eda5e04d647bbc778c2ac26b3f4~tplv-tiktokx-cropcenter:100:100.jpeg?dr=14579&amp;refresh_token=f1bc272e&amp;x-expires=1764727200&amp;x-signature=74yyUg9JygydTzIo84Jh8QPeizk%3D&amp;t=4d5b0474&amp;ps=13740610&amp;shp=a5d48078&amp;shcp=81f88b70&amp;idc=my</t>
  </si>
  <si>
    <t xml:space="preserve">Você já ouviu falar em desregulação emocional? Para muitas pessoas com TDAH (Transtorno do Déficit de Atenção com Hiperatividade), essa é uma realidade diária. Desregulação emocional refere-se à dificuldade de gerenciar emoções de maneira eficaz. Isso pode resultar em reações intensas e, por vezes, desproporcionais a situações cotidianas.  🌟 Por que isso acontece? No TDAH, a parte do cérebro responsável pelo controle dos impulsos e pela regulação das emoções funciona de forma diferente. Isso pode tornar mais desafiador manter a calma em situações estressantes ou lidar com frustrações. 💡 Dicas para lidar com a desregulação emocional: 1. Reconheça os sinais: Perceba quando suas emoções estão começando a sair do controle. 2. Pratique a respiração profunda:nIsso pode ajudar a acalmar seu sistema nervoso. 3. Desenvolva estratégias de enfrentamento: Encontre atividades que ajudem a desviar sua atenção, como exercícios físicos ou hobbies. 4. Busque apoio: Procure um profissional especializado.  A desregulação emocional pode ser um desafio, mas com as estratégias certas, é possível viver de maneira mais equilibrada e satisfatória. 🌿❤️ Créditos: @ricksantinaa  *O vídeo que você acabou de assistir é meramente ilustrativo e não representa um diagnóstico ou uma pessoa com TDAH. Ele ajuda a ilustrar como a irritabilidade pode ser um traço presente em pessoas que vivenciam desregulação emocional, seja em decorrência do TDAH ou de outros fatores. #tdah #autismo #avaliacaoneuropsicologica #testepsicológico #tdahadulto </t>
  </si>
  <si>
    <t>A desregulação emocional no TDAH</t>
  </si>
  <si>
    <t>7456935696600697606</t>
  </si>
  <si>
    <t>https://v16-webapp-prime.tiktok.com/video/tos/useast2a/tos-useast2a-v-27dcd7/oM4KgvBkYEBi4AEJ3YW38fANgoi0ZABBzEEEAi/?a=1988&amp;bti=ODszNWYuMDE6&amp;ch=0&amp;cr=0&amp;dr=0&amp;er=0&amp;lr=default&amp;cd=0%7C0%7C0%7C0&amp;br=250&amp;bt=125&amp;ds=5&amp;ft=GNDpcInz7ThVPKvPXq8Zmo&amp;mime_type=audio_mpeg&amp;qs=13&amp;rc=M3JtbG45cjM4dzMzNzU8M0BpM3JtbG45cjM4dzMzNzU8M0BkYzVgMmRza3JgLS1kMTZzYSNkYzVgMmRza3JgLS1kMTZzcw%3D%3D&amp;btag=e00048000&amp;expire=1764559258&amp;l=2025120110201396469B6E0854EC6377C0&amp;ply_type=3&amp;policy=3&amp;signature=6152637eff9e6c0c58d834af6b406857&amp;tk=7571587458748974088</t>
  </si>
  <si>
    <t>https://www.tiktok.com/@falodeautismo/video/7276515501562514693</t>
  </si>
  <si>
    <t>autism,autismo,autismoadulto,tea,sus,terapia,terapiaonline</t>
  </si>
  <si>
    <t>https://p16-sign-va.tiktokcdn.com/tos-maliva-avt-0068/ff6e3eda5e04d647bbc778c2ac26b3f4~tplv-tiktokx-cropcenter:1080:1080.jpeg?dr=14579&amp;refresh_token=104366fa&amp;x-expires=1764727200&amp;x-signature=r8lvJMWIef0OGe6iWxDjssCl6zI%3D&amp;t=4d5b0474&amp;ps=13740610&amp;shp=a5d48078&amp;shcp=81f88b70&amp;idc=my</t>
  </si>
  <si>
    <t>7262113718308261125</t>
  </si>
  <si>
    <t xml:space="preserve">O pobi do tdah sofre, mas vale muito a pena galera😁#festivaldecomedia #fy #fyp #tdah #tdahadulto #tdahinfantil #tdahtiktok ##tdahtiktok </t>
  </si>
  <si>
    <t>Eu descobrindo que 
o efeito da Ritalina 
dura só 4 horas
DURAÇÃO DE EFEITO DA RITALINA💊</t>
  </si>
  <si>
    <t>7260811143590136582</t>
  </si>
  <si>
    <t>https://v16-webapp-prime.tiktok.com/video/tos/useast2a/tos-useast2a-v-27dcd7/oEDcDfAEkzyDY5KqloAjBrUEEt4kbkghCoEAcA/?a=1988&amp;bti=ODszNWYuMDE6&amp;ch=0&amp;cr=0&amp;dr=0&amp;er=0&amp;lr=default&amp;cd=0%7C0%7C0%7C0&amp;br=250&amp;bt=125&amp;ds=5&amp;ft=GNDpcInz7Tht9-UPXq8Zmo&amp;mime_type=audio_mpeg&amp;qs=13&amp;rc=M3I3cjY6ZmxzbTMzNzU8M0BpM3I3cjY6ZmxzbTMzNzU8M0BiNnNhcjRfXi5gLS1kMTZzYSNiNnNhcjRfXi5gLS1kMTZzcw%3D%3D&amp;btag=e00078000&amp;expire=1763004296&amp;l=20251113102438711CFC3830D7669110B2&amp;ply_type=3&amp;policy=3&amp;signature=5c9040ea3a688962061af8cd2ce04253&amp;tk=7571587458748974088</t>
  </si>
  <si>
    <t>https://www.tiktok.com/@neuropsirenataramos/video/7456935658557426950</t>
  </si>
  <si>
    <t>tdah,autismo,avaliacaoneuropsicologica,testepsicológico,tdahadulto</t>
  </si>
  <si>
    <t>7573093084368555271</t>
  </si>
  <si>
    <t xml:space="preserve">Isso é o TDAH, cuide da melhor forma o TDAH com o kit TDAH no link da bio. #fy #tdah #tdahadulto #fyp #foryou </t>
  </si>
  <si>
    <t>7573093112081845012</t>
  </si>
  <si>
    <t>https://v16-webapp-prime.tiktok.com/video/tos/alisg/tos-alisg-v-27dcd7/o8iEEnEZ6APbAwBTAwf6icBoAQE1BAMJAIj0CK/?a=1988&amp;bti=ODszNWYuMDE6&amp;ch=0&amp;cr=0&amp;dr=0&amp;er=0&amp;lr=default&amp;cd=0%7C0%7C0%7C0&amp;br=250&amp;bt=125&amp;ds=5&amp;ft=GNDpcInz7ThezKvPXq8Zmo&amp;mime_type=audio_mpeg&amp;qs=13&amp;rc=M29rOXQ5cjdqNzMzODU8NEBpM29rOXQ5cjdqNzMzODU8NEBxNGxiMmRzZGBhLS1kMS1zYSNxNGxiMmRzZGBhLS1kMS1zcw%3D%3D&amp;btag=e00050000&amp;expire=1764559362&amp;l=202512011021342A4EB9620CED315EA2E7&amp;ply_type=3&amp;policy=3&amp;signature=7d59eed61b2bb551669e835d360382a3&amp;tk=7571587458748974088</t>
  </si>
  <si>
    <t>https://p77-sign-va.tiktokcdn.com/tos-maliva-avt-0068/1ad02d8df2bf4ff18d4dfe822676a678~tplv-tiktokx-cropcenter:1080:1080.jpeg?dr=14579&amp;refresh_token=bd231a8f&amp;x-expires=1763172000&amp;x-signature=OZCJBY6sy5J01zqWhoNYvPaciGw%3D&amp;t=4d5b0474&amp;ps=13740610&amp;shp=a5d48078&amp;shcp=81f88b70&amp;idc=my</t>
  </si>
  <si>
    <t>ricckbandeira</t>
  </si>
  <si>
    <t>https://v16-webapp-prime.tiktok.com/video/tos/maliva/tos-maliva-ve-0068c801-us/oUywkRIXlALIBAfIFgtEYgAQBZCSoSNzOqNzhT/?a=1988&amp;bti=ODszNWYuMDE6&amp;ch=0&amp;cr=3&amp;dr=0&amp;lr=all&amp;cd=0%7C0%7C0%7C&amp;cv=1&amp;br=1920&amp;bt=960&amp;cs=0&amp;ds=3&amp;ft=I~da4oKyD12NvnA0i.IxRTF_blBF-UjNSaopiX&amp;mime_type=video_mp4&amp;qs=0&amp;rc=O2Y4aGk4NTc1Nzo4MzpmNEBpamVkcDg6Zmw2bTMzNzczM0AzYjIxNC5jNS8xYzRfYzY1YSM2bi9fcjRnXjFgLS1kMTZzcw%3D%3D&amp;btag=e000b8000&amp;expire=1763173493&amp;l=20251113102438711CFC3830D7669110B2&amp;ply_type=2&amp;policy=2&amp;signature=b43893e008b55d2c1fdb434fb28b67c3&amp;tk=tt_chain_token</t>
  </si>
  <si>
    <t>https://v16-webapp-prime.tiktok.com/video/tos/alisg/tos-alisg-pve-0037c001/okkEgBGIrFtCBxpQzFQLEVEDZDeBfzAxRQBgAc/?a=1988&amp;bti=ODszNWYuMDE6&amp;ch=0&amp;cr=3&amp;dr=0&amp;lr=all&amp;cd=0%7C0%7C0%7C&amp;br=892&amp;bt=446&amp;cs=0&amp;ds=3&amp;ft=-Csk_mrMPD12N6Dh5d-Uxq42hY6e3wv25IcAp&amp;mime_type=video_mp4&amp;qs=0&amp;rc=Njs3PGRkN2Q1ZjQ0PGU6M0BpM2twdng5cjVqNzMzODczNEAvNC4tNjI2XjIxLTJjMGJiYSM1NmxpMmRzZGBhLS1kMWBzcw%3D%3D&amp;btag=e00090000&amp;expire=1764728563&amp;l=202512011021342A4EB9620CED315EA2E7&amp;ply_type=2&amp;policy=2&amp;signature=e7a4a218dea9c490672570fa3b8968ac&amp;tk=tt_chain_token</t>
  </si>
  <si>
    <t>https://www.tiktok.com/@tdah132/video/7573093084368555271</t>
  </si>
  <si>
    <t>fy,tdah,tdahadulto,fyp,foryou</t>
  </si>
  <si>
    <t>7576741946450922770</t>
  </si>
  <si>
    <t>https://www.tiktok.com/@mr.tdahzinho/video/7262113718308261125</t>
  </si>
  <si>
    <t xml:space="preserve">O TDAH é mais atento do que você pensa. Se você quer tratar de forma leve e tranquila, o link está na bio. #foryou #fy #fyp #tdah #tdahadulto </t>
  </si>
  <si>
    <t>7576742006430124818</t>
  </si>
  <si>
    <t>https://v16-webapp-prime.tiktok.com/video/tos/alisg/tos-alisg-v-27dcd7/oQCISfEXQKVQAglFwXPGeG8m1zJLAAfAAemkQO/?a=1988&amp;bti=ODszNWYuMDE6&amp;ch=0&amp;cr=0&amp;dr=0&amp;er=0&amp;lr=default&amp;cd=0%7C0%7C0%7C0&amp;br=250&amp;bt=125&amp;ds=5&amp;ft=GNDpcInz7ThvzKvPXq8Zmo&amp;mime_type=audio_mpeg&amp;qs=13&amp;rc=amZsO285cmh5NzMzODU8NEBpamZsO285cmh5NzMzODU8NEA0L3A2MmRjcWZhLS1kMS1zYSM0L3A2MmRjcWZhLS1kMS1zcw%3D%3D&amp;btag=e00048000&amp;expire=1764559305&amp;l=2025120110205711DA509A8B9B2F6AA181&amp;ply_type=3&amp;policy=3&amp;signature=72c6c16ac95d3da7bc7315798861df0f&amp;tk=7571587458748974088</t>
  </si>
  <si>
    <t>festivaldecomedia,fy,fyp,tdah,tdahadulto,tdahinfantil,tdahtiktok,tdahtiktok</t>
  </si>
  <si>
    <t>festivaldecomedia,fy,fyp,tdah,tdahadulto,tdahinfantil,tdahtiktok</t>
  </si>
  <si>
    <t>7384615567153433861</t>
  </si>
  <si>
    <t>pedropy08</t>
  </si>
  <si>
    <t>Pedrinho Pêu❤</t>
  </si>
  <si>
    <t>https://p16-sign-va.tiktokcdn.com/tos-maliva-avt-0068/7371496277114421253~tplv-tiktokx-cropcenter:100:100.jpeg?dr=14579&amp;refresh_token=f041e516&amp;x-expires=1763172000&amp;x-signature=fFXPorOoqpa28LNOAdQGRMWSmQQ%3D&amp;t=4d5b0474&amp;ps=13740610&amp;shp=a5d48078&amp;shcp=81f88b70&amp;idc=my</t>
  </si>
  <si>
    <t>https://v16-webapp-prime.tiktok.com/video/tos/alisg/tos-alisg-pve-0037c001/o8dLeeAIgTYALgBufgKkJJfqeL5MNigjQhsl41/?a=1988&amp;bti=ODszNWYuMDE6&amp;ch=0&amp;cr=3&amp;dr=0&amp;lr=all&amp;cd=0%7C0%7C0%7C&amp;br=1940&amp;bt=970&amp;cs=0&amp;ds=3&amp;ft=-Csk_mrMPD12N5Dh5d-UxP12hY6e3wv25ocAp&amp;mime_type=video_mp4&amp;qs=0&amp;rc=NzxmOTw7Z2Q7Mzs0ZWlnZUBpanN4bXU5cjx5NzMzODczNEA2NTBhXzZiXzExLy4xLWEyYSNjbjFvMmQ0cWZhLS1kMTFzcw%3D%3D&amp;btag=e00088000&amp;expire=1764728505&amp;l=2025120110205711DA509A8B9B2F6AA181&amp;ply_type=2&amp;policy=2&amp;signature=8f66d2bff41f7fa2090942f766d73f29&amp;tk=tt_chain_token</t>
  </si>
  <si>
    <t>#amigo #nordeste #meme #engraçado</t>
  </si>
  <si>
    <t>Eu e meu TDAH no dia mais fraco : 😂😂😂</t>
  </si>
  <si>
    <t>7384615568738913030</t>
  </si>
  <si>
    <t>https://v16-webapp-prime.tiktok.com/video/tos/useast2a/tos-useast2a-v-27dcd7/ogSqedHTNEcfobnCEM2gAzDhFBfAECMABE47Aa/?a=1988&amp;bti=ODszNWYuMDE6&amp;ch=0&amp;cr=0&amp;dr=0&amp;er=0&amp;lr=default&amp;cd=0%7C0%7C0%7C0&amp;br=250&amp;bt=125&amp;ds=5&amp;ft=GNDpcInz7ThQ9-UPXq8Zmo&amp;mime_type=audio_mpeg&amp;qs=13&amp;rc=amd4N2o5cmpwczMzNzU8M0Bpamd4N2o5cmpwczMzNzU8M0BiaHNrMmRjbXFgLS1kMTZzYSNiaHNrMmRjbXFgLS1kMTZzcw%3D%3D&amp;btag=e00070000&amp;expire=1763004257&amp;l=202511131024053FAEE14371AE44A729CC&amp;ply_type=3&amp;policy=3&amp;signature=9a7f9255cfa4d42f157cb45a52c8bad9&amp;tk=7571587458748974088</t>
  </si>
  <si>
    <t>https://www.tiktok.com/@tdah132/video/7576741946450922770</t>
  </si>
  <si>
    <t>foryou,fy,fyp,tdah,tdahadulto</t>
  </si>
  <si>
    <t>7573758256821161223</t>
  </si>
  <si>
    <t xml:space="preserve">TDAH é algo que precisa de tratamento, melhor kit TDAH está na bio. #fyp #foryou #fy #tdahadulto #tdah </t>
  </si>
  <si>
    <t>7573758298747456264</t>
  </si>
  <si>
    <t>https://v16-webapp-prime.tiktok.com/video/tos/alisg/tos-alisg-v-27dcd7/osAiAUEE7Al0lZYAAER6D9AQv85Wtt7BgbaCi/?a=1988&amp;bti=ODszNWYuMDE6&amp;ch=0&amp;cr=0&amp;dr=0&amp;er=0&amp;lr=default&amp;cd=0%7C0%7C0%7C0&amp;br=250&amp;bt=125&amp;ds=5&amp;ft=GNDpcInz7ThgzKvPXq8Zmo&amp;mime_type=audio_mpeg&amp;qs=13&amp;rc=MzdteXU5cjZwNzMzODU8NEBpMzdteXU5cjZwNzMzODU8NEBkNWNxMmRrXmFhLS1kMS1zYSNkNWNxMmRrXmFhLS1kMS1zcw%3D%3D&amp;btag=e00050000&amp;expire=1764559333&amp;l=2025120110210868B8F68F0D0B7F5CDC9D&amp;ply_type=3&amp;policy=3&amp;signature=155101fcf68ef254906530ff0109ea80&amp;tk=7571587458748974088</t>
  </si>
  <si>
    <t>https://p16-sign-va.tiktokcdn.com/tos-maliva-avt-0068/7371496277114421253~tplv-tiktokx-cropcenter:1080:1080.jpeg?dr=14579&amp;refresh_token=2e9b124d&amp;x-expires=1763172000&amp;x-signature=wLXXwnJHePSJeLdLUTqSFYvhJDc%3D&amp;t=4d5b0474&amp;ps=13740610&amp;shp=a5d48078&amp;shcp=81f88b70&amp;idc=my</t>
  </si>
  <si>
    <t>https://v16-webapp-prime.tiktok.com/video/tos/alisg/tos-alisg-pve-0037c001/ocHrjaiEIAw0f1jvMziqblYHjCJ8WCA5BAbIQx/?a=1988&amp;bti=ODszNWYuMDE6&amp;ch=0&amp;cr=3&amp;dr=0&amp;lr=all&amp;cd=0%7C0%7C0%7C&amp;br=1904&amp;bt=952&amp;cs=0&amp;ds=3&amp;ft=I~da4oKyD12Nvm1WS.IxR~kNglBF-UjNSEopiX&amp;mime_type=video_mp4&amp;qs=0&amp;rc=NjM8ZzdkNzw4NWY2PGc5NUBpajZqbWs5cnlwNzMzODczNEBjMF82YzRhNWAxXl8vYTVfYSNlYzRwMmRrNmFhLS1kMTFzcw%3D%3D&amp;btag=e00090000&amp;expire=1764728534&amp;l=2025120110210868B8F68F0D0B7F5CDC9D&amp;ply_type=2&amp;policy=2&amp;signature=06f8fa9262fe89d78ccdc639f429b28e&amp;tk=tt_chain_token</t>
  </si>
  <si>
    <t>https://webapp-va.tiktok.com/53a2bbf07d6e1ed70153b654cda84341/6917e451/kmoat/mps/logo/v3/r/p/v09044g40000cptme7fog65j8kmueg80/1b57d66b87d04145b283387d6f9d6058/80b156fc713702f18f653341e53ad6db/mp4/main.mp4?a=1988&amp;bti=ODszNWYuMDE6&amp;ch=0&amp;cr=3&amp;dr=0&amp;lr=all&amp;cd=0%7C0%7C0%7C&amp;cv=1&amp;br=0&amp;bt=0&amp;cs=0&amp;ds=3&amp;ft=bLZkJmrMPD12Nlcopd-UxB6vSY6e3wv25rcAp&amp;mime_type=video_mp4&amp;qs=0&amp;rc=cnF8b2hsc2d3SkBwaHIxaDFybndmOzNnaWc7NjU4NDM6ZTk6ZUBpM2p4bm05cjpwczMzNzczM0BjRl5Nc3FePmJKYSNvYF90aHFmOiMyMzYzNDA1XzExYTUzYTIuYSM1Ymo1MmRjYnFgLS1kMTZzcw%3D%3D&amp;btag=e000b0000&amp;definition=720p&amp;du=12&amp;item_id=7384615567153433861&amp;l=202511131024053FAEE14371AE44A729CC&amp;logo_type=tiktok_creator&amp;ply_type=2&amp;policy=eyJ2bSI6MiwiY2siOiJ0dF9jaGFpbl90b2tlbiJ9&amp;sign_params=item_id%2Cuser_text&amp;user_text=pedropy08</t>
  </si>
  <si>
    <t>https://www.tiktok.com/@tdah132/video/7573758256821161223</t>
  </si>
  <si>
    <t>fyp,foryou,fy,tdahadulto,tdah</t>
  </si>
  <si>
    <t>7547311945926430008</t>
  </si>
  <si>
    <t>tdahcommaisperformance</t>
  </si>
  <si>
    <t>TDAH ADULTO</t>
  </si>
  <si>
    <t>https://p77-sign-va.tiktokcdn.com/tos-maliva-avt-0068/fa233712dfcf05abd3a56a8d8aa1b5c6~tplv-tiktokx-cropcenter:100:100.jpeg?dr=14579&amp;refresh_token=788695a1&amp;x-expires=1764727200&amp;x-signature=R%2FFpmQhjr5GAJkiXK%2BX8FcCYHlI%3D&amp;t=4d5b0474&amp;ps=13740610&amp;shp=a5d48078&amp;shcp=81f88b70&amp;idc=my</t>
  </si>
  <si>
    <t>Siga o perfil para mais dicas sobre TDAH adulto!  Coloque nos comentários o que faz pela manhã! Palavras-chave: TDAH adulto, Sintomas TDAH, Vida adulta com TDAH, Produtividade TDAH, Foco TDAH, Rotina TDAH, ADHD adulto Hashtags: #tdahadulto #viral #foryou #fyp #CapCut</t>
  </si>
  <si>
    <t>5 coisas comuns que toda pessoa com TDAH faz pela manhã. 
você também faz?</t>
  </si>
  <si>
    <t>https://p16-sg.tiktokcdn.com/aweme/720x720/tos-alisg-v-2774/568a79982fd64d27bf506255ecb58f1e.jpeg</t>
  </si>
  <si>
    <t>https://v16-webapp-prime.tiktok.com/video/tos/alisg/tos-alisg-ve-37c813-sg/o4CBd7ouQcRZEM6EFWAySIED9QDJvmVBnHf3Fe/?a=1988&amp;bti=ODszNWYuMDE6&amp;ch=0&amp;cr=3&amp;dr=0&amp;lr=all&amp;cd=0%7C0%7C0%7C&amp;cv=1&amp;br=816&amp;bt=408&amp;cs=0&amp;ds=3&amp;ft=-Csk_mrMPD12NLdh5d-Uxbt2hY6e3wv25HcAp&amp;mime_type=video_mp4&amp;qs=0&amp;rc=OGQ2NDRmaGc6aTVoPDlmZkBpanNvZXg5cm1wNTMzNzczM0BhNjBhXy4xNTAxYC4vNi1iYSNnXmdxMmQ0cXJhLS1kMTZzcw%3D%3D&amp;btag=e00088000&amp;expire=1764728475&amp;l=202512011020239FD63C9B4E4C976A9DFE&amp;ply_type=2&amp;policy=2&amp;signature=8eac2f6be983e6e81dc6afa950710c6a&amp;tk=tt_chain_token</t>
  </si>
  <si>
    <t>https://www.tiktok.com/@pedropy08/video/7384615567153433861</t>
  </si>
  <si>
    <t>amigo,nordeste,meme,engraçado</t>
  </si>
  <si>
    <t>7482023570999184695</t>
  </si>
  <si>
    <t>leirileneandrades1</t>
  </si>
  <si>
    <t>família com autismo 2024</t>
  </si>
  <si>
    <t>https://p77-sign-va.tiktokcdn.com/tos-maliva-avt-0068/8b4bfa4b61a650af0d670888dbc2a00d~tplv-tiktokx-cropcenter:100:100.jpeg?dr=14579&amp;refresh_token=54dcf868&amp;x-expires=1763172000&amp;x-signature=abtz9o%2F63SUg76%2Fd%2BI1StBsbh9Q%3D&amp;t=4d5b0474&amp;ps=13740610&amp;shp=a5d48078&amp;shcp=81f88b70&amp;idc=my</t>
  </si>
  <si>
    <t>https://www.tiktok.com/@tdahcommaisperformance/video/7547311945926430008</t>
  </si>
  <si>
    <t>tdahadulto,viral,foryou,fyp,capcut</t>
  </si>
  <si>
    <t>tdahadulto,viral,foryou,fyp,CapCut</t>
  </si>
  <si>
    <t>7573827718610046215</t>
  </si>
  <si>
    <t>Cuide do seu TDAH com o kit TDAH que está na bio. #fyp #fy #foryou #tdah #tdahadulto</t>
  </si>
  <si>
    <t>7573827757620529927</t>
  </si>
  <si>
    <t>https://v16-webapp-prime.tiktok.com/video/tos/alisg/tos-alisg-v-27dcd7/ocpGAf4pEA6NBEgUE7AbpBCPAJFDuQfIxgaDQE/?a=1988&amp;bti=ODszNWYuMDE6&amp;ch=0&amp;cr=0&amp;dr=0&amp;er=0&amp;lr=default&amp;cd=0%7C0%7C0%7C0&amp;br=250&amp;bt=125&amp;ds=5&amp;ft=GNDpcInz7ThszKvPXq8Zmo&amp;mime_type=audio_mpeg&amp;qs=13&amp;rc=anI7NXk5cmh0NzMzODU8NEBpanI7NXk5cmh0NzMzODU8NEAzNjBkMmRzNWFhLS1kMS1zYSMzNjBkMmRzNWFhLS1kMS1zcw%3D%3D&amp;btag=e00050000&amp;expire=1764559353&amp;l=20251201102055111140D50F38376E882B&amp;ply_type=3&amp;policy=3&amp;signature=361f0d3b5eb618759d7eacde029f8b3a&amp;tk=7571587458748974088</t>
  </si>
  <si>
    <t>#tdah #tdahadulto #transtorno</t>
  </si>
  <si>
    <t>7482023569754475270</t>
  </si>
  <si>
    <t>https://v16-webapp-prime.tiktok.com/video/tos/useast2a/tos-useast2a-v-27dcd7/oYQeYTCPbqVemLKWo8NGagAoSBCeEnnAaQAVIv/?a=1988&amp;bti=ODszNWYuMDE6&amp;ch=0&amp;cr=0&amp;dr=0&amp;er=0&amp;lr=default&amp;cd=0%7C0%7C0%7C0&amp;br=250&amp;bt=125&amp;ds=5&amp;ft=GNDpcInz7ThzK-UPXq8Zmo&amp;mime_type=audio_mpeg&amp;qs=13&amp;rc=ajN0d3Q5cm5xeTMzNzU8M0BpajN0d3Q5cm5xeTMzNzU8M0BjMl4xMmRzbV5gLS1kMTZzYSNjMl4xMmRzbV5gLS1kMTZzcw%3D%3D&amp;btag=e00078000&amp;expire=1763004182&amp;l=20251113102236D675DBC36011DA84E058&amp;ply_type=3&amp;policy=3&amp;signature=1bacd57bf93bbc1ec7a0b3567bbed156&amp;tk=7571587458748974088</t>
  </si>
  <si>
    <t>https://v16-webapp-prime.tiktok.com/video/tos/alisg/tos-alisg-pve-0037c001/oMhNXAeroNIgGwjIItAeQQLIfPPxuS3BGrD0C3/?a=1988&amp;bti=ODszNWYuMDE6&amp;ch=0&amp;cr=3&amp;dr=0&amp;lr=all&amp;cd=0%7C0%7C0%7C&amp;br=1320&amp;bt=660&amp;cs=0&amp;ds=3&amp;ft=-Csk_mrMPD12NbDh5d-UxPR2SY6e3wv25IcAp&amp;mime_type=video_mp4&amp;qs=0&amp;rc=Omc2PDw0aTNnOzQ4OzQ1aEBpanJ2cG85cmd0NzMzODczNEBgXjQuM2FgNS4xMl5fMzFjYSNlZGttMmRrNWFhLS1kMTFzcw%3D%3D&amp;btag=e00090000&amp;expire=1764728553&amp;l=20251201102055111140D50F38376E882B&amp;ply_type=2&amp;policy=2&amp;signature=350d0918ce8f2f90aea3a315c49c832e&amp;tk=tt_chain_token</t>
  </si>
  <si>
    <t>https://p77-sign-va.tiktokcdn.com/tos-maliva-avt-0068/8b4bfa4b61a650af0d670888dbc2a00d~tplv-tiktokx-cropcenter:1080:1080.jpeg?dr=14579&amp;refresh_token=990590ba&amp;x-expires=1763172000&amp;x-signature=mrUAg6eUpMqsCZPjH0LlYunNJpU%3D&amp;t=4d5b0474&amp;ps=13740610&amp;shp=a5d48078&amp;shcp=81f88b70&amp;idc=my</t>
  </si>
  <si>
    <t>https://www.tiktok.com/@tdah132/video/7573827718610046215</t>
  </si>
  <si>
    <t>fyp,fy,foryou,tdah,tdahadulto</t>
  </si>
  <si>
    <t>7547845189474241798</t>
  </si>
  <si>
    <t xml:space="preserve">Siga o perfil para mais dicas! Compartilhe com quem precisa dessas dicas! Palavras-chave: TDAH adulto, Sintomas TDAH, Vida adulta com TDAH, Produtividade TDAH, Foco TDAH, Rotina TDAH Hashtags: #tdahadulto #viral #foryou #fyp #CapCut </t>
  </si>
  <si>
    <t>5 maiores desafios encontrados pelas pessoas com TDAH.  E você quais são os seus?</t>
  </si>
  <si>
    <t>https://v16-webapp-prime.tiktok.com/video/tos/alisg/tos-alisg-ve-37c813-sg/oIQeRXGRAFA8riLeAieAcxoLkEWltqfMq8tlcJ/?a=1988&amp;bti=ODszNWYuMDE6&amp;ch=0&amp;cr=3&amp;dr=0&amp;lr=all&amp;cd=0%7C0%7C0%7C&amp;br=792&amp;bt=396&amp;cs=0&amp;ds=3&amp;ft=-Csk_mrMPD12NLdh5d-Uxbt2hY6e3wv25HcAp&amp;mime_type=video_mp4&amp;qs=0&amp;rc=NzY4ZmQzZDZnNGdkaWc5ZUBpM3c7ams5cmZvNTMzNzczM0AtYDMwNDRjNWIxMWE1NC4uYSNrZnAzMmRrNnNhLS1kMTZzcw%3D%3D&amp;btag=e00090000&amp;expire=1764728484&amp;l=202512011020239FD63C9B4E4C976A9DFE&amp;ply_type=2&amp;policy=2&amp;signature=ff8002425b1eacc96d025191b94fa0b2&amp;tk=tt_chain_token</t>
  </si>
  <si>
    <t>https://webapp-va.tiktok.com/c6e7696c6f12ff1d4018e3b380b898a7/6917e406/kmoat/mps/logo/v2/r/p/v09044g40000cvanpjvog65v5lvjkmh0/9391d91dea624ab5a61faf1465d337b8/beb158e5b9228d4fac8b41467e750a59/mp4/main.mp4?a=1988&amp;bti=ODszNWYuMDE6&amp;ch=0&amp;cr=3&amp;dr=0&amp;lr=all&amp;cd=0%7C0%7C0%7C&amp;cv=1&amp;br=0&amp;bt=0&amp;cs=0&amp;ds=3&amp;eid=1286&amp;ft=bLZkJmrMPD12NDhopd-Ux2.2GY6e3wv25rcAp&amp;mime_type=video_mp4&amp;qs=0&amp;rc=cnF8b2hsc2d3SkBwaHIxaDFybndmOzo2ODdpaTk4ZDVkZzw0NkBpM3Btb3k5cm1xeTMzNzczM0BjRl5Nc3FePmJKYSNvYF90aHFmOiNfMGEzLl4uXl8xM2IuYTY2YSNlaHMyMmRzbV5gLS1kMTZzcw%3D%3D&amp;btag=e000b8000&amp;definition=720p&amp;du=26&amp;item_id=7482023570999184695&amp;l=20251113102236D675DBC36011DA84E058&amp;logo_type=tiktok_m&amp;ply_type=2&amp;policy=eyJ2bSI6MiwiY2siOiJ0dF9jaGFpbl90b2tlbiJ9&amp;user_text=leirileneandrades1</t>
  </si>
  <si>
    <t>https://www.tiktok.com/@tdahcommaisperformance/video/7547845189474241798</t>
  </si>
  <si>
    <t>7568083301584342280</t>
  </si>
  <si>
    <t>ser.atipico</t>
  </si>
  <si>
    <t>Ser Atípico</t>
  </si>
  <si>
    <t>https://p16-sign-sg.tiktokcdn.com/tos-alisg-avt-0068/ec9b6246486ccf72944fa0fdced994fa~tplv-tiktokx-cropcenter:100:100.jpeg?dr=14579&amp;refresh_token=5ac700a5&amp;x-expires=1764727200&amp;x-signature=JwVbLmhRIOU2cbFacfDFgD7RGXE%3D&amp;t=4d5b0474&amp;ps=13740610&amp;shp=a5d48078&amp;shcp=81f88b70&amp;idc=my</t>
  </si>
  <si>
    <t>https://www.tiktok.com/@leirileneandrades1/video/7482023570999184695</t>
  </si>
  <si>
    <t>Neuro divergente:  15 sintomas do TDAH em adultos. Você tem algum desses?🧐 #Neurodesenvolvimento #autismo #tdah #terapia #transtorno</t>
  </si>
  <si>
    <t>15 sintomas do TDAH em adultos</t>
  </si>
  <si>
    <t>Manifestation</t>
  </si>
  <si>
    <t>7381496085356152848</t>
  </si>
  <si>
    <t>https://sf16-ies-music-sg.tiktokcdn.com/obj/tos-alisg-ve-2774/oYewpfA4eFIqJBpdQGzMFDCqWIDgLaONsLDMpb</t>
  </si>
  <si>
    <t>tdah,tdahadulto,transtorno</t>
  </si>
  <si>
    <t>https://p16-sg.tiktokcdn.com/aweme/720x720/tos-alisg-v-2774/og1gEQfVzDCDWGAPAFFsBZmABttgGBucEJfTwE.jpeg</t>
  </si>
  <si>
    <t>https://p16-sign-va.tiktokcdn.com/tos-maliva-avt-0068/ab033d4596f3637580b65cdd22747b8f~tplv-tiktokx-cropcenter:100:100.jpeg?dr=14579&amp;refresh_token=f42532ba&amp;x-expires=1763172000&amp;x-signature=%2BJhX0rkSpukO2IyWRLvvoC9HzDI%3D&amp;t=4d5b0474&amp;ps=13740610&amp;shp=a5d48078&amp;shcp=81f88b70&amp;idc=my</t>
  </si>
  <si>
    <t>Perfect, so dystopian</t>
  </si>
  <si>
    <t>https://v16-webapp-prime.tiktok.com/video/tos/alisg/tos-alisg-pve-0037c001/owfRQEhvG4s1QgDPN2BjIeAjggFrBpAzBTDUOE/?a=1988&amp;bti=ODszNWYuMDE6&amp;ch=0&amp;cr=3&amp;dr=0&amp;lr=all&amp;cd=0%7C0%7C0%7C&amp;br=2284&amp;bt=1142&amp;cs=0&amp;ds=3&amp;ft=-Csk_mrMPD12NGDh5d-UxSc2hY6e3wv25DcAp&amp;mime_type=video_mp4&amp;qs=0&amp;rc=OjdkODdoOTQ0OmloPGc0NEBpajkzcnY5cnVtNzMzODczNEAtMy8vNC1gX2ExXjEtNWIxYSNlZ2BfMmQ0ZDBhLS1kMTFzcw%3D%3D&amp;btag=e00090000&amp;expire=1764728625&amp;l=202512011021508D2E02B19879BA6D89C0&amp;ply_type=2&amp;policy=2&amp;signature=84f8c955ce768f9120acd1329d591b24&amp;tk=tt_chain_token</t>
  </si>
  <si>
    <t>https://v16-webapp-prime.tiktok.com/video/tos/useast2a/tos-useast2a-v-27dcd7/owAeZLayEpgTDGMlIelCRvACCbIorKfSgACtI2/?a=1988&amp;bti=ODszNWYuMDE6&amp;ch=0&amp;cr=0&amp;dr=0&amp;er=0&amp;lr=default&amp;cd=0%7C0%7C0%7C0&amp;br=250&amp;bt=125&amp;ds=5&amp;ft=GNDpcInz7ThX9-UPXq8Zmo&amp;mime_type=audio_mpeg&amp;qs=13&amp;rc=ajw1eW05cmxmbzMzNzU8M0Bpajw1eW05cmxmbzMzNzU8M0BjZGAyMmQ0al9gLS1kMTZzYSNjZGAyMmQ0al9gLS1kMTZzcw%3D%3D&amp;btag=e00078000&amp;expire=1763004283&amp;l=20251113102424EE0F9FCD2CC2B68BE0E2&amp;ply_type=3&amp;policy=3&amp;signature=eb66eb4639dc925bb63496cf86a53656&amp;tk=7571587458748974088</t>
  </si>
  <si>
    <t>https://www.tiktok.com/@ser.atipico/video/7568083301584342280</t>
  </si>
  <si>
    <t>neurodesenvolvimento,autismo,tdah,terapia,transtorno</t>
  </si>
  <si>
    <t>7545639784086113542</t>
  </si>
  <si>
    <t>https://p77-sign-va.tiktokcdn.com/tos-maliva-avt-0068/ab033d4596f3637580b65cdd22747b8f~tplv-tiktokx-cropcenter:1080:1080.jpeg?dr=14579&amp;refresh_token=1bdc8347&amp;x-expires=1763172000&amp;x-signature=48sLX2sQmNVf4hECTfcuGYArRNc%3D&amp;t=4d5b0474&amp;ps=13740610&amp;shp=a5d48078&amp;shcp=81f88b70&amp;idc=my</t>
  </si>
  <si>
    <t xml:space="preserve">5 hábitos para transformar seu dia a dia! Palavras-chave: TDAH adulto, Sintomas TDAH, Vida adulta com TDAH, Produtividade TDAH, Foco TDAH, Rotina TDAH, ADHD adult Hashtags: #tdahadulto #foryou #tdah #fyp #viral </t>
  </si>
  <si>
    <t>Couleur Bonheur (Frisson)</t>
  </si>
  <si>
    <t>7480993844592674832</t>
  </si>
  <si>
    <t>https://sf16-ies-music-sg.tiktokcdn.com/obj/tos-alisg-ve-2774/o8GqEgu0g9vZCQ10nrYf6hFatzBRQdf3BadQDE</t>
  </si>
  <si>
    <t>https://p77-sg.tiktokcdn.com/aweme/720x720/tos-alisg-v-2774/oYQjJ1AofFIJfOGZADzPpxCM5EDgFaAr9fAIcq.jpeg</t>
  </si>
  <si>
    <t>Gabriella Lima</t>
  </si>
  <si>
    <t>https://v16-webapp-prime.tiktok.com/video/tos/alisg/tos-alisg-ve-37c813-sg/oEJVAf5uwv7PVifAgFgYQw4cRxeSAif2KIdreN/?a=1988&amp;bti=ODszNWYuMDE6&amp;ch=0&amp;cr=3&amp;dr=0&amp;lr=all&amp;cd=0%7C0%7C0%7C&amp;cv=1&amp;br=1010&amp;bt=505&amp;cs=0&amp;ds=3&amp;ft=-Csk_mrMPD12NLdh5d-Uxbt2hY6e3wv25HcAp&amp;mime_type=video_mp4&amp;qs=0&amp;rc=NTk7OjszNjk2ZjozODQ0OEBpamhpb3c5cmRxNTMzNzczM0AxNjFhYDE2Xi4xYzMvLjAxYSNfc28tMmRrcG9hLS1kMTZzcw%3D%3D&amp;btag=e00090000&amp;expire=1764728486&amp;l=202512011020239FD63C9B4E4C976A9DFE&amp;ply_type=2&amp;policy=2&amp;signature=66bf286a25e82086b7864517400ef940&amp;tk=tt_chain_token</t>
  </si>
  <si>
    <t>https://v16-webapp-prime.tiktok.com/video/tos/maliva/tos-maliva-ve-0068c801-us/o0xiKyM0IdyCksqAMWwBfgcIWQAiMj2oUatyEj/?a=1988&amp;bti=ODszNWYuMDE6&amp;ch=0&amp;cr=3&amp;dr=0&amp;lr=all&amp;cd=0%7C0%7C0%7C&amp;cv=1&amp;br=698&amp;bt=349&amp;cs=0&amp;ds=3&amp;ft=-Csk_mrMPD12N-copd-Ux7~2bY6e3wv25bcAp&amp;mime_type=video_mp4&amp;qs=0&amp;rc=cnF8b2hsc2d3SkBwaHIxaDFybndmZ2c7OTtoMzwzZjY5aTg4aEBpM2Y7cmw5cjtmbzMzNzczM0BjRl5Nc3FePmJKYSNvYF90aHFmOiNeYjY2Xy42XzMxLjQ0Yl4tYSNibG1iMmRjal9gLS1kMTZzcw%3D%3D&amp;btag=e000b8000&amp;expire=1763173483&amp;l=20251113102424EE0F9FCD2CC2B68BE0E2&amp;ply_type=2&amp;policy=2&amp;signature=4d036255835ba5f6cc74871af9e2d101&amp;tk=tt_chain_token</t>
  </si>
  <si>
    <t>https://www.tiktok.com/@tdahcommaisperformance/video/7545639784086113542</t>
  </si>
  <si>
    <t>tdahadulto,foryou,tdah,fyp,viral</t>
  </si>
  <si>
    <t>7577119944698088707</t>
  </si>
  <si>
    <t>_tdah_adultes</t>
  </si>
  <si>
    <t>Tdah_</t>
  </si>
  <si>
    <t>https://p16-sign-va.tiktokcdn.com/tos-maliva-avt-0068/31a1af95d0d461681c69c12f609c2ec7~tplv-tiktokx-cropcenter:100:100.jpeg?dr=14579&amp;refresh_token=69f40315&amp;x-expires=1764727200&amp;x-signature=U9NEv5KNIO0yOrMnpN6QIQVMBaU%3D&amp;t=4d5b0474&amp;ps=13740610&amp;shp=a5d48078&amp;shcp=81f88b70&amp;idc=my</t>
  </si>
  <si>
    <t>TDAH Reprenez Le  Contróle Sur Amazon ✨🩵 #tdah  #tdahadultes  #psychologie  #neurodivergent  #hyperactivité</t>
  </si>
  <si>
    <t>J'ai Terminé ce livre il y a deux jours..je ne m'en suis pas encore remis🥹♥️ Et puis il arrive..le livre qui vaut 146 séance chez le PSY🥹❤️‍🩹</t>
  </si>
  <si>
    <t>7408996905610054405</t>
  </si>
  <si>
    <t>https://v16-webapp-prime.tiktok.com/video/tos/useast2a/tos-useast2a-v-27dcd7/oIvSpLZUBdQ1CUSA9IDPuLClbiAAtB3iEEYAu/?a=1988&amp;bti=ODszNWYuMDE6&amp;ch=0&amp;cr=0&amp;dr=0&amp;er=0&amp;lr=default&amp;cd=0%7C0%7C0%7C0&amp;br=250&amp;bt=125&amp;ds=5&amp;ft=GNDpcInz7ThvFKvPXq8Zmo&amp;mime_type=audio_mpeg&amp;qs=13&amp;rc=M250dW85cnczdTMzNzU8M0BpM250dW85cnczdTMzNzU8M0BgZmk0MmRrajZgLS1kMTZzYSNgZmk0MmRrajZgLS1kMTZzcw%3D%3D&amp;btag=e00048000&amp;expire=1764559357&amp;l=2025120110220104295D62D2C47867A675&amp;ply_type=3&amp;policy=3&amp;signature=b5254cd5fe4f0dc36320b02cb73f0ae1&amp;tk=7571587458748974088</t>
  </si>
  <si>
    <t>7457330224275967237</t>
  </si>
  <si>
    <t>#tdah #saudemental #psicologoonline #psicoterapia #emocoes #fyp #foryou #foryoupage</t>
  </si>
  <si>
    <t>de um TDAH ADULTO  4 “DESAFIOS NA COMUNICAÇÃO” 1- VAI TER DIFICULDADE EM ESTRUTURAR
FRASES 2- VAI MUDAR O RUMO DA 
CONVERSA RAPIDAMENTE  3- VAI INTERROMPER A FALA
DO OUTRO 4- IMPACIÊNCIA para escutar </t>
  </si>
  <si>
    <t>7457330257144826629</t>
  </si>
  <si>
    <t>https://v16-webapp-prime.tiktok.com/video/tos/useast2a/tos-useast2a-v-27dcd7/owzAkv9twAbEuBiE0g8EhmFAAvKYo7fBbEwBic/?a=1988&amp;bti=ODszNWYuMDE6&amp;ch=0&amp;cr=0&amp;dr=0&amp;er=0&amp;lr=default&amp;cd=0%7C0%7C0%7C0&amp;br=250&amp;bt=125&amp;ds=5&amp;ft=GNDpcInz7ThGD-UPXq8Zmo&amp;mime_type=audio_mpeg&amp;qs=13&amp;rc=M3U2cm45cnJ2dzMzNzU8M0BpM3U2cm45cnJ2dzMzNzU8M0BibF9qMmRjMXJgLS1kMTZzYSNibF9qMmRjMXJgLS1kMTZzcw%3D%3D&amp;btag=e00050000&amp;expire=1763004409&amp;l=2025111310254344385823DD6566920070&amp;ply_type=3&amp;policy=3&amp;signature=89c00481b65f13ac3cac6888e6369235&amp;tk=7571587458748974088</t>
  </si>
  <si>
    <t>https://p16-sign-sg.tiktokcdn.com/tos-alisg-avt-0068/fa5e1bb6d93cf0b1e1802adcdd8e7abd~tplv-tiktokx-cropcenter:1080:1080.jpeg?dr=14579&amp;refresh_token=a06679d2&amp;x-expires=1764727200&amp;x-signature=hT%2B0etm9%2Fqe7CpTxxwob1e7Yjl8%3D&amp;t=4d5b0474&amp;ps=13740610&amp;shp=a5d48078&amp;shcp=81f88b70&amp;idc=my</t>
  </si>
  <si>
    <t>آيرِيـٰسٌ.</t>
  </si>
  <si>
    <t>https://v16-webapp-prime.tiktok.com/video/tos/no1a/tos-no1a-ve-0068c001-no/ooEFZODsFCqlJZnIkRSEABLEHfFIEkQfgp10DE/?a=1988&amp;bti=ODszNWYuMDE6&amp;ch=0&amp;cr=3&amp;dr=0&amp;lr=all&amp;cd=0%7C0%7C0%7C&amp;cv=1&amp;br=2876&amp;bt=1438&amp;cs=0&amp;ds=3&amp;ft=-Csk_mrMPD12NOBh5d-Uxbt2hY6e3wv25HcAp&amp;mime_type=video_mp4&amp;qs=0&amp;rc=OGVnNDM2aTRlZTxoM2U0ZEBpM2Rud3k5cnNvNzMzbzczNUBgXy5fLTUtXzYxLWIwXjI1YSMvay0wMmRjYGdhLS1kMTFzcw%3D%3D&amp;btag=e000b8000&amp;expire=1764728536&amp;l=2025120110220104295D62D2C47867A675&amp;ply_type=2&amp;policy=2&amp;signature=db25b99f5136606c63fbd2272a322269&amp;tk=tt_chain_token</t>
  </si>
  <si>
    <t>https://v16-webapp-prime.tiktok.com/video/tos/useast2a/tos-useast2a-ve-0068c003/ocEvqGjIICAfiEl9QO8gWuQpSCFEE9fDcE2Vcf/?a=1988&amp;bti=ODszNWYuMDE6&amp;ch=0&amp;cr=3&amp;dr=0&amp;lr=all&amp;cd=0%7C0%7C0%7C&amp;cv=1&amp;br=1740&amp;bt=870&amp;cs=0&amp;ds=3&amp;ft=-Csk_mrMPD12Nn.opd-UxJTFGY6e3wv25bcAp&amp;mime_type=video_mp4&amp;qs=0&amp;rc=OGk8ZzloOGlkZmZmPDRoNkBpMzdkOHk5cjh2dzMzNzczM0BfNWA0Mi0vNS0xXzE1MjU0YSNrZmk1MmRjL3JgLS1kMTZzcw%3D%3D&amp;btag=e00090000&amp;expire=1763173609&amp;l=2025111310254344385823DD6566920070&amp;ply_type=2&amp;policy=2&amp;signature=53de0c2128652cc4a86803cf3ba7c959&amp;tk=tt_chain_token</t>
  </si>
  <si>
    <t>https://www.tiktok.com/@_tdah_adultes/video/7577119944698088707</t>
  </si>
  <si>
    <t>tdah,tdahadultes,psychologie,neurodivergent,hyperactivité</t>
  </si>
  <si>
    <t>https://p16-sign-va.tiktokcdn.com/tos-maliva-avt-0068/074c153b6aadae5cb7de5ab9ad8ea91d~tplv-tiktokx-cropcenter:100:100.jpeg?dr=14579&amp;refresh_token=2c2964bb&amp;x-expires=1764727200&amp;x-signature=aIbfuA5P2Yf9mi%2F9gdI%2BkMhYEqY%3D&amp;t=4d5b0474&amp;ps=13740610&amp;shp=a5d48078&amp;shcp=81f88b70&amp;idc=my</t>
  </si>
  <si>
    <t>https://www.tiktok.com/@igorpsicologo/video/7457330224275967237</t>
  </si>
  <si>
    <t>tdah,saudemental,psicologoonline,psicoterapia,emocoes,fyp,foryou,foryoupage</t>
  </si>
  <si>
    <t>7402402783019699462</t>
  </si>
  <si>
    <t>TDAH e o sentimento de REJEIÇÃO 😓   _____________________________🧠 A Disforia Sensível à Rejeição é um problema neurológico e genético que faz parte do TDAH e pode ser muito debilitante. _____________________________  ❤️‍🩹 Seus sintomas se manifestam na forma de perturbações emocionais em pessoas que são mais sensíveis do que os outros à rejeição, provocações, críticas ou à própria percepção de que fracassaram.  _____________________________  😓 É certo que as pessoas com TDAH já têm que lidar com muitas e complexas dificuldades que afetam o seu cotidiano. _____________________________  🤕 Quando a Disforia Sensível à Rejeição se manifesta ela não é apenas mais um sintoma, é a causa de uma dor tão forte que muitas vezes, as pessoas não conseguem descrever. _____________________________  🫂 Mas assim como o TDAH, é importante entender que suas comorbidades também podem ser tratadas. Para isso, você encontra no meu link da bio minha sugestão pessoal de profissionais especializados, com a melhor condição. _____________________________ #tdahta #tdahadulto ##disforiasensivelarejeição #tdah #neurociência</t>
  </si>
  <si>
    <t>7402402795649993478</t>
  </si>
  <si>
    <t>https://v16-webapp-prime.tiktok.com/video/tos/useast2a/tos-useast2a-v-27dcd7/okB0JADnuCpf4AI06QIrJsqEAfvFEUm8BEQCi8/?a=1988&amp;bti=ODszNWYuMDE6&amp;ch=0&amp;cr=0&amp;dr=0&amp;er=0&amp;lr=default&amp;cd=0%7C0%7C0%7C0&amp;br=250&amp;bt=125&amp;ds=5&amp;ft=GNDpcInz7Th29-UPXq8Zmo&amp;mime_type=audio_mpeg&amp;qs=13&amp;rc=ang8OHE5cmQ8dDMzNzU8M0Bpang8OHE5cmQ8dDMzNzU8M0BjcGNoMmRrcHFgLS1kMTZzYSNjcGNoMmRrcHFgLS1kMTZzcw%3D%3D&amp;btag=e00050000&amp;expire=1763004346&amp;l=20251113102443BFAC5C39F8934C8F8E6A&amp;ply_type=3&amp;policy=3&amp;signature=1e53dc09b4eaba0fa059982dd7804692&amp;tk=7571587458748974088</t>
  </si>
  <si>
    <t>https://v16-webapp-prime.tiktok.com/video/tos/useast2a/tos-useast2a-v-27dcd7/o41xkfAQQVMS4IpWfVJnL1ffrAIKMhAAQFeb87/?a=1988&amp;bti=ODszNWYuMDE6&amp;ch=0&amp;cr=0&amp;dr=0&amp;er=0&amp;lr=default&amp;cd=0%7C0%7C0%7C0&amp;br=250&amp;bt=125&amp;ds=5&amp;ft=GNDpcInz7ThvzKvPXq8Zmo&amp;mime_type=audio_mpeg&amp;qs=13&amp;rc=anB5a285cnQ6dDMzNzU8M0BpanB5a285cnQ6dDMzNzU8M0BwcTRgMmRrc3JgLS1kMTZzYSNwcTRgMmRrc3JgLS1kMTZzcw%3D%3D&amp;btag=e00078000&amp;expire=1764559273&amp;l=2025120110205711DA509A8B9B2F6AA181&amp;ply_type=3&amp;policy=3&amp;signature=54792657db778bc6059dc18cde4b3bcf&amp;tk=7571587458748974088</t>
  </si>
  <si>
    <t>https://v16-webapp-prime.tiktok.com/video/tos/useast2a/tos-useast2a-ve-0068c002/oEfYZAkCpmfSIQEMnDQF1E6DBqIGuER623JAQB/?a=1988&amp;bti=ODszNWYuMDE6&amp;ch=0&amp;cr=3&amp;dr=0&amp;lr=all&amp;cd=0%7C0%7C0%7C&amp;br=2154&amp;bt=1077&amp;cs=0&amp;ds=3&amp;ft=I~da4oKyD12NvOA0i.IxRehNblBF-UjNSMopiX&amp;mime_type=video_mp4&amp;qs=0&amp;rc=OTRoZzY3N2Q4OGg2OmQ8PEBpMzNnaXU5cjk8dDMzNzczM0BjNTNfYWEvXmIxYWIzYjAzYSMwLWxxMmQ0b3FgLS1kMTZzcw%3D%3D&amp;btag=e00090000&amp;expire=1763173546&amp;l=20251113102443BFAC5C39F8934C8F8E6A&amp;ply_type=2&amp;policy=2&amp;signature=fc4e89409f4dbbfa8cae6ed7d88d56af&amp;tk=tt_chain_token</t>
  </si>
  <si>
    <t>https://p16-sign-va.tiktokcdn.com/tos-maliva-avt-0068/f8cd260791f9a5f69fa224046cb052f6~tplv-tiktokx-cropcenter:1080:1080.jpeg?dr=14579&amp;refresh_token=39cd0598&amp;x-expires=1764727200&amp;x-signature=ApQYti3lGXDloeSEP0CJ%2BfqSi%2BU%3D&amp;t=4d5b0474&amp;ps=13740610&amp;shp=a5d48078&amp;shcp=81f88b70&amp;idc=my</t>
  </si>
  <si>
    <t>https://www.tiktok.com/@lorenatdahta/video/7402402783019699462</t>
  </si>
  <si>
    <t>tdahta,tdahadulto,disforiasensivelarejeição,tdah,neurociência</t>
  </si>
  <si>
    <t>7323204072562117894</t>
  </si>
  <si>
    <t>O que é TDAH? #sintomasdotdah #comoacabarcomotdah #tdahadulto #tdah #viraltdah #oqueetdah #saudemental #videosdetdah #viralvideo #viral</t>
  </si>
  <si>
    <t>https://v16-webapp-prime.tiktok.com/video/tos/useast2a/tos-useast2a-v-27dcd7/o4D00AFSZC9PZU30AVldiYBEAABivmorzkQtE/?a=1988&amp;bti=ODszNWYuMDE6&amp;ch=0&amp;cr=0&amp;dr=0&amp;er=0&amp;lr=default&amp;cd=0%7C0%7C0%7C0&amp;br=250&amp;bt=125&amp;ds=5&amp;ft=GNDpcInz7ThGPKvPXq8Zmo&amp;mime_type=audio_mpeg&amp;qs=13&amp;rc=M3dpbW45cm9wczMzNzU8M0BpM3dpbW45cm9wczMzNzU8M0BobmxvMmRrNWlgLS1kMTZzYSNobmxvMmRrNWlgLS1kMTZzcw%3D%3D&amp;btag=e00050000&amp;expire=1764559346&amp;l=202512011020239FD63C9B4E4C976A9E36&amp;ply_type=3&amp;policy=3&amp;signature=161820e3df3d43609e40a96e9e248084&amp;tk=7571587458748974088</t>
  </si>
  <si>
    <t>https://v16-webapp-prime.tiktok.com/video/tos/maliva/tos-maliva-ve-0068c801-us/o0h80HHEREoA2Jyf8yIQf9DlpPyFEBUTBQT6Po/?a=1988&amp;bti=ODszNWYuMDE6&amp;ch=0&amp;cr=3&amp;dr=0&amp;lr=all&amp;cd=0%7C0%7C0%7C&amp;cv=1&amp;br=1600&amp;bt=800&amp;cs=0&amp;ds=3&amp;ft=-Csk_mrMPD12N-copd-Ux7~2bY6e3wv25bcAp&amp;mime_type=video_mp4&amp;qs=0&amp;rc=aTZlOjZnaWlkZzU4NTk6Z0BpM25xOng5cjhtcDMzNzczM0BeYGNgLV42X2ExLi9gYDA2YSNtbXNeMmQ0cWRgLS1kMTZzcw%3D%3D&amp;btag=e00090000&amp;expire=1763173543&amp;l=20251113102424EE0F9FCD2CC2B68BE0E2&amp;ply_type=2&amp;policy=2&amp;signature=3086eefd2fcd92fcf28c5737f47f2ac9&amp;tk=tt_chain_token</t>
  </si>
  <si>
    <t>https://v16-webapp-prime.tiktok.com/video/tos/alisg/tos-alisg-pve-0037c001/oAx1CZiEl4O2IrAE5QiUBOSdOQmtEsVWiBVTv/?a=1988&amp;bti=ODszNWYuMDE6&amp;ch=0&amp;cr=3&amp;dr=0&amp;lr=all&amp;cd=0%7C0%7C0%7C&amp;cv=1&amp;br=1878&amp;bt=939&amp;cs=0&amp;ds=3&amp;ft=I~da4oKyD12Nvz.WS.IxRjkNWlBF-UjNSRopiX&amp;mime_type=video_mp4&amp;qs=0&amp;rc=Z2k7aDZkZjM7ODk0aGVlaUBpM2tpa3A5cnJwczMzNzczM0AvL14tLzBfX2AxX18zM2E0YSM0Xy9eMmRrMmlgLS1kMTZzcw%3D%3D&amp;btag=e00090000&amp;expire=1764728546&amp;l=202512011020239FD63C9B4E4C976A9E36&amp;ply_type=2&amp;policy=2&amp;signature=9bce6de9a1a1b0beb77db7f3af20ef56&amp;tk=tt_chain_token</t>
  </si>
  <si>
    <t>https://p77-sign-va.tiktokcdn.com/tos-maliva-avt-0068/d9d6fd23fb9944744ec98c9a6f9ca6f4~tplv-tiktokx-cropcenter:100:100.jpeg?dr=14579&amp;refresh_token=8f8bbf9c&amp;x-expires=1764727200&amp;x-signature=%2FEoyCmUdQcnk21R9ksp0D7PFOZg%3D&amp;t=4d5b0474&amp;ps=13740610&amp;shp=a5d48078&amp;shcp=81f88b70&amp;idc=my</t>
  </si>
  <si>
    <t>https://v16-webapp-prime.tiktok.com/video/tos/useast2a/tos-useast2a-v-27dcd7/ogAHo1gSnIHP4mTBCZeAJeJ8LBb4kABIDtQkU8/?a=1988&amp;bti=ODszNWYuMDE6&amp;ch=0&amp;cr=0&amp;dr=0&amp;er=0&amp;lr=default&amp;cd=0%7C0%7C0%7C0&amp;br=250&amp;bt=125&amp;ds=5&amp;ft=GNDpcInz7ThGPKvPXq8Zmo&amp;mime_type=audio_mpeg&amp;qs=13&amp;rc=Mzhobjw6ZnlvbTMzNzU8M0BpMzhobjw6ZnlvbTMzNzU8M0BybWRocjQwLW1gLS1kMTZzYSNybWRocjQwLW1gLS1kMTZzcw%3D%3D&amp;btag=e00050000&amp;expire=1764559307&amp;l=202512011020239FD63C9B4E4C976A9E36&amp;ply_type=3&amp;policy=3&amp;signature=08948e6786497a6704743b6d7cdc2d20&amp;tk=7571587458748974088</t>
  </si>
  <si>
    <t>https://www.tiktok.com/@liberdade.mentall/video/7323204072562117894</t>
  </si>
  <si>
    <t>sintomasdotdah,comoacabarcomotdah,tdahadulto,tdah,viraltdah,oqueetdah,saudemental,videosdetdah,viralvideo,viral</t>
  </si>
  <si>
    <t>https://p77-sign-va.tiktokcdn.com/tos-maliva-avt-0068/d9d6fd23fb9944744ec98c9a6f9ca6f4~tplv-tiktokx-cropcenter:1080:1080.jpeg?dr=14579&amp;refresh_token=5f055006&amp;x-expires=1764727200&amp;x-signature=0Kg%2FaIvmenuUHEa5f2cQLFJBOqE%3D&amp;t=4d5b0474&amp;ps=13740610&amp;shp=a5d48078&amp;shcp=81f88b70&amp;idc=my</t>
  </si>
  <si>
    <t>7462533208387751174</t>
  </si>
  <si>
    <t>sintomas de UM TDAH ADULTO  4 “Manias que PIORAM” 1- IGNORAR O TRATAMENTO 2- IMPULSIVIDADE e depois se 
arrepender do que fez… A ÚLTIMA É A GRANDE “CAUSA”
do aumento dos sintomas  3- NÃO TER ROTINA, e não ter 
Horário certo para atividades  4- Uso excessivo DE TELAS!</t>
  </si>
  <si>
    <t>7462570076602813189</t>
  </si>
  <si>
    <t>https://v16-webapp-prime.tiktok.com/video/tos/useast2a/tos-useast2a-v-27dcd7/o8hbP9IAIQSLMIXvE6MYlQefAfG0KJAIGAfexg/?a=1988&amp;bti=ODszNWYuMDE6&amp;ch=0&amp;cr=0&amp;dr=0&amp;er=0&amp;lr=default&amp;cd=0%7C0%7C0%7C0&amp;br=250&amp;bt=125&amp;ds=5&amp;ft=GNDpcInz7ThA9-UPXq8Zmo&amp;mime_type=audio_mpeg&amp;qs=13&amp;rc=M2ZwOnM5cnk4eDMzNzU8M0BpM2ZwOnM5cnk4eDMzNzU8M0AwM3FiMmRrczVgLS1kMTZzYSMwM3FiMmRrczVgLS1kMTZzcw%3D%3D&amp;btag=e00050000&amp;expire=1763004354&amp;l=20251113102449DDADD1FB7AF14A841409&amp;ply_type=3&amp;policy=3&amp;signature=ad7c728778dd4418dbac4769508ba534&amp;tk=7571587458748974088</t>
  </si>
  <si>
    <t>https://v16-webapp-prime.tiktok.com/video/tos/alisg/tos-alisg-pve-0037c001/ogeAgSAvCPA1QcTygq57CjJAiIfgMCG5RL2fGH/?a=1988&amp;bti=ODszNWYuMDE6&amp;ch=0&amp;cr=3&amp;dr=0&amp;lr=all&amp;cd=0%7C0%7C0%7C&amp;cv=1&amp;br=914&amp;bt=457&amp;cs=0&amp;ds=3&amp;ft=I~da4oKyD12Nvz.WS.IxRjkNWlBF-UjNSRopiX&amp;mime_type=video_mp4&amp;qs=0&amp;rc=NTppNGVpNmdoZzw5aGg4NkBpM204eGk6ZjNvbTMzNzczM0AtXmFjYTUtNWExMWEyNTNeYSMtc3BicjRfLW1gLS1kMTZzcw%3D%3D&amp;btag=e00090000&amp;expire=1764728507&amp;l=202512011020239FD63C9B4E4C976A9E36&amp;ply_type=2&amp;policy=2&amp;signature=c8875a781d254381593747a93968143b&amp;tk=tt_chain_token</t>
  </si>
  <si>
    <t>https://v16-webapp-prime.tiktok.com/video/tos/useast2a/tos-useast2a-pve-0068/ocU9mzApAQTg6ReCHfPIgMGCIiZVS9f8gAaXUj/?a=1988&amp;bti=ODszNWYuMDE6&amp;ch=0&amp;cr=3&amp;dr=0&amp;lr=all&amp;cd=0%7C0%7C0%7C&amp;cv=1&amp;br=1982&amp;bt=991&amp;cs=0&amp;ds=3&amp;ft=I~da4oKyD12NvgA0i.IxRMb_glBF-UjNSaopiX&amp;mime_type=video_mp4&amp;qs=0&amp;rc=ZDk7NzY0ZTM0NTk2aWc1NUBpamRqbng5cnE2eDMzNzczM0A1MV4zYWNjNjMxLy5jX2BjYSNiY2lhMmRrbTVgLS1kMTZzcw%3D%3D&amp;btag=e00090000&amp;expire=1763173554&amp;l=20251113102449DDADD1FB7AF14A841409&amp;ply_type=2&amp;policy=2&amp;signature=797585e8ec668975c0b50fa65d04349f&amp;tk=tt_chain_token</t>
  </si>
  <si>
    <t>https://p77-sign-va.tiktokcdn.com/tos-maliva-avt-0068/32df75d3b89fa1e2fb023193ee39e5b7~tplv-tiktokx-cropcenter:100:100.jpeg?dr=14579&amp;refresh_token=28723b57&amp;x-expires=1764727200&amp;x-signature=fs0Y%2FzykoEXVcP%2Fvh6Mh6vGAy6U%3D&amp;t=4d5b0474&amp;ps=13740610&amp;shp=a5d48078&amp;shcp=81f88b70&amp;idc=my</t>
  </si>
  <si>
    <t>https://www.tiktok.com/@igorpsicologo/video/7462533208387751174</t>
  </si>
  <si>
    <t>https://v16-webapp-prime.tiktok.com/video/tos/alisg/tos-alisg-v-27dcd7/ooInkuAPfDuqUBUkw3TBaLACDFQd1QAIXgbeJS/?a=1988&amp;bti=ODszNWYuMDE6&amp;ch=0&amp;cr=0&amp;dr=0&amp;er=0&amp;lr=default&amp;cd=0%7C0%7C0%7C0&amp;br=250&amp;bt=125&amp;ds=5&amp;ft=GNDpcInz7ThpzKvPXq8Zmo&amp;mime_type=audio_mpeg&amp;qs=13&amp;rc=Mzs5NTo6ZnVkbDMzODU8NEBpMzs5NTo6ZnVkbDMzODU8NEAyX3BtcjRnNnFgLS1kMS1zYSMyX3BtcjRnNnFgLS1kMS1zcw%3D%3D&amp;btag=e00048000&amp;expire=1764559332&amp;l=2025120110213056C909F1BE127E576E48&amp;ply_type=3&amp;policy=3&amp;signature=27784f6c0f6def554a3ea8dd78d76de4&amp;tk=7571587458748974088</t>
  </si>
  <si>
    <t>7287246573602475270</t>
  </si>
  <si>
    <t>Você é uma pessoa desligada?🧐 #tdah #tdahadulto #tdahtiktok #fy #fyp #desatento #larissagloor #viral #react #reagindo #vaiprofycaramba #tda</t>
  </si>
  <si>
    <t>Aquele TDAH do 
tipo "desatento" Aquele TDAH do 
tipo "desatento" Aquele TDAH do 
tipo "desatento" Por que a pessoas 
com TDAH são tão desligadas/desatentas?
Aquele TDAH do tipo desatento</t>
  </si>
  <si>
    <t>7287246608257829638</t>
  </si>
  <si>
    <t>https://v16-webapp-prime.tiktok.com/video/tos/useast2a/tos-useast2a-v-27dcd7/oEQAGlEUfBYAeQJG9yQCC8DBAAnZNIA10bIvLJ/?a=1988&amp;bti=ODszNWYuMDE6&amp;ch=0&amp;cr=0&amp;dr=0&amp;er=0&amp;lr=default&amp;cd=0%7C0%7C0%7C0&amp;br=250&amp;bt=125&amp;ds=5&amp;ft=GNDpcInz7ThOD-UPXq8Zmo&amp;mime_type=audio_mpeg&amp;qs=13&amp;rc=MzZsamk6ZmVybjMzNzU8M0BpMzZsamk6ZmVybjMzNzU8M0A2L2FicjRvLWRgLS1kMTZzYSM2L2FicjRvLWRgLS1kMTZzcw%3D%3D&amp;btag=e00050000&amp;expire=1763004435&amp;l=20251113102536F89EBD83B531C49CD72A&amp;ply_type=3&amp;policy=3&amp;signature=9de972b5a0d7e8410ca78d9c20003672&amp;tk=7571587458748974088</t>
  </si>
  <si>
    <t>https://p16-sign-sg.tiktokcdn.com/tos-alisg-avt-0068/03f644960028713d5ef31bc8e00d4382~tplv-tiktokx-cropcenter:1080:1080.jpeg?dr=14579&amp;refresh_token=af226c6b&amp;x-expires=1764727200&amp;x-signature=1M8qNH2%2BdhLLLTglFx%2BTKm9LLrM%3D&amp;t=4d5b0474&amp;ps=13740610&amp;shp=a5d48078&amp;shcp=81f88b70&amp;idc=my</t>
  </si>
  <si>
    <t>https://v16-webapp-prime.tiktok.com/video/tos/alisg/tos-alisg-pve-0037c001/okAQo8As3I11nnsLRbXBXcEVQJDYBrDEplveIf/?a=1988&amp;bti=ODszNWYuMDE6&amp;ch=0&amp;cr=3&amp;dr=0&amp;lr=all&amp;cd=0%7C0%7C0%7C&amp;cv=1&amp;br=1768&amp;bt=884&amp;cs=0&amp;ds=3&amp;ft=-Csk_mrMPD12NE.opd-UxG4vXY6e3wv25McAp&amp;mime_type=video_mp4&amp;qs=0&amp;rc=aTRoaDk4NTxkO2U7Ozc2OUBpam52bzg6ZnVxbjMzNzczM0AtL2M1Mi4yNjMxL2E0MF8tYSNzLWNicjQwb2RgLS1kMTZzcw%3D%3D&amp;btag=e00090000&amp;expire=1763173635&amp;l=20251113102536F89EBD83B531C49CD72A&amp;ply_type=2&amp;policy=2&amp;signature=a10fe9987f69c722276549327efacb44&amp;tk=tt_chain_token</t>
  </si>
  <si>
    <t>https://v16-webapp-prime.tiktok.com/video/tos/maliva/tos-maliva-ve-0068c801-us/oUoNBhmoygU81zZPAzAtX5zcfQnIkENIGCDdk8/?a=1988&amp;bti=ODszNWYuMDE6&amp;ch=0&amp;cr=3&amp;dr=0&amp;lr=all&amp;cd=0%7C0%7C0%7C&amp;cv=1&amp;br=3480&amp;bt=1740&amp;cs=0&amp;ds=3&amp;ft=-Csk_mrMPD12NgDh5d-UxgS5hY6e3wv25-cAp&amp;mime_type=video_mp4&amp;qs=0&amp;rc=ZTk3NmVlMzw6OmUzNDxpNkBpM20zamk6ZmZnbTMzNzczM0AwXjFhMGIwNmMxNF41NjRfYSNyMHFicjRnNGZgLS1kMTZzcw%3D%3D&amp;btag=e00090000&amp;expire=1764728552&amp;l=2025120110213056C909F1BE127E576E48&amp;ply_type=2&amp;policy=2&amp;signature=d4a2351a6b960049c995923ffc26e877&amp;tk=tt_chain_token</t>
  </si>
  <si>
    <t>https://www.tiktok.com/@mr.tdahzinho/video/7287246573602475270</t>
  </si>
  <si>
    <t>tdah,tdahadulto,tdahtiktok,fy,fyp,desatento,larissagloor,viral,react,reagindo,vaiprofycaramba,tda</t>
  </si>
  <si>
    <t>https://p77-sign-va.tiktokcdn.com/tos-maliva-avt-0068/c4295bd6e74c335e5ecac643762c60ce~tplv-tiktokx-cropcenter:100:100.jpeg?dr=14579&amp;refresh_token=072ea997&amp;x-expires=1763172000&amp;x-signature=YeO9fvn9uWTraHJww%2BzUi1qwRKM%3D&amp;t=4d5b0474&amp;ps=13740610&amp;shp=a5d48078&amp;shcp=81f88b70&amp;idc=my</t>
  </si>
  <si>
    <t>https://p16-sign-va.tiktokcdn.com/tos-maliva-avt-0068/0ba3a01936084552f91d998ee7010370~tplv-tiktokx-cropcenter:100:100.jpeg?dr=14579&amp;refresh_token=0a5b7a5f&amp;x-expires=1764727200&amp;x-signature=cGXITHJ9NWILPxJfPKn4qxG8m%2Fo%3D&amp;t=4d5b0474&amp;ps=13740610&amp;shp=a5d48078&amp;shcp=81f88b70&amp;idc=my</t>
  </si>
  <si>
    <t>https://p77-sg.tiktokcdn.com/aweme/720x720/tos-alisg-v-2774/os3BiAlnrW1ADBAdEAABifFOhYLwzEBLaAgsQH.jpeg</t>
  </si>
  <si>
    <t>https://v16-webapp-prime.tiktok.com/video/tos/alisg/tos-alisg-pve-0037c001/okQ4OV7YOaAEBiTriP5VEEPiVzzzBuaQSzvIA/?a=1988&amp;bti=ODszNWYuMDE6&amp;ch=0&amp;cr=3&amp;dr=0&amp;lr=all&amp;cd=0%7C0%7C0%7C&amp;cv=1&amp;br=1572&amp;bt=786&amp;cs=0&amp;ds=3&amp;ft=-Csk_mrMPD12N9Yopd-Ux315hY6e3wv25dcAp&amp;mime_type=video_mp4&amp;qs=0&amp;rc=N2doOWQ4NjQzMzk7ZWZlOkBpampwbXU5cnN0NjMzODczNEBjLS42Nl8xNi4xLi1fYTQtYSNtcGY2MmQ0a21hLS1kMTFzcw%3D%3D&amp;btag=e00098000&amp;expire=1763173595&amp;l=2025111310232002E5437D242CEA8409F2&amp;ply_type=2&amp;policy=2&amp;signature=607f6a97903df806538d68441e1d1db1&amp;tk=tt_chain_token</t>
  </si>
  <si>
    <t>https://p77-sign-va.tiktokcdn.com/tos-maliva-avt-0068/9e06e976e88a97c1965a9363892b8bc4~tplv-tiktokx-cropcenter:100:100.jpeg?dr=14579&amp;refresh_token=43925e9f&amp;x-expires=1764727200&amp;x-signature=TQ4298lXYz58eX4BawMjP0G%2FVb8%3D&amp;t=4d5b0474&amp;ps=13740610&amp;shp=a5d48078&amp;shcp=81f88b70&amp;idc=my</t>
  </si>
  <si>
    <t>https://p16-sign-va.tiktokcdn.com/tos-maliva-avt-0068/05f75b0edba43a6b97d613fdef44637b~tplv-tiktokx-cropcenter:100:100.jpeg?dr=14579&amp;refresh_token=17992c2d&amp;x-expires=1763172000&amp;x-signature=6LkImT3t4IxNtXjCAnoEKK1%2BLBg%3D&amp;t=4d5b0474&amp;ps=13740610&amp;shp=a5d48078&amp;shcp=81f88b70&amp;idc=my</t>
  </si>
  <si>
    <t>https://v16-webapp-prime.tiktok.com/video/tos/useast2a/tos-useast2a-v-27dcd7/oUjK7ioBoGAA7MyivA0EgAB4EBnaPUENe8LCGk/?a=1988&amp;bti=ODszNWYuMDE6&amp;ch=0&amp;cr=0&amp;dr=0&amp;er=0&amp;lr=default&amp;cd=0%7C0%7C0%7C0&amp;br=250&amp;bt=125&amp;ds=5&amp;ft=GNDpcInz7Th29-UPXq8Zmo&amp;mime_type=audio_mpeg&amp;qs=13&amp;rc=MzlpcHI5cnZyNTMzNzU8M0BpMzlpcHI5cnZyNTMzNzU8M0BoMWstMmRrbWdhLS1kMTZzYSNoMWstMmRrbWdhLS1kMTZzcw%3D%3D&amp;btag=e00048000&amp;expire=1763004331&amp;l=20251113102443BFAC5C39F8934C8F8E6A&amp;ply_type=3&amp;policy=3&amp;signature=b19798e16c9ecc9b306645b702e0fe8c&amp;tk=7571587458748974088</t>
  </si>
  <si>
    <t>https://p16-sg.tiktokcdn.com/aweme/720x720/tos-alisg-v-2774/0c6f9b5b9dbe4ce79434e9b5f3aa6e97.jpeg</t>
  </si>
  <si>
    <t>https://v16-webapp-prime.tiktok.com/video/tos/useast2a/tos-useast2a-pve-0068/ogGZZSeHRComrgIiDejdINzCUKeUXgsrAiAHLP/?a=1988&amp;bti=ODszNWYuMDE6&amp;ch=0&amp;cr=3&amp;dr=0&amp;lr=all&amp;cd=0%7C0%7C0%7C&amp;cv=1&amp;br=496&amp;bt=248&amp;cs=0&amp;ds=6&amp;ft=I~da4oKyD12Nvi.WS.IxR51NWlBF-UjNSMopiX&amp;mime_type=video_mp4&amp;qs=5&amp;rc=aWk7N2k1NGlnM2hnZ2c5OUBpamVlZHY5cmpleTMzNzczM0A0XjExNWAwNi0xYTJeYzReYSMvaGtwMmRzZjNgLS1kMTZzcw%3D%3D&amp;btag=e00090000&amp;expire=1764728481&amp;l=202512011020200FFD70C70F6D756DA043&amp;ply_type=2&amp;policy=2&amp;signature=4b6afc9b2d2f1bebb85c9db07db5a47b&amp;tk=tt_chain_token</t>
  </si>
  <si>
    <t>https://v16-webapp-prime.tiktok.com/video/tos/alisg/tos-alisg-ve-37c813-sg/o8fgnwaABQBENWQZpPDTJoEPpIDyyjRS4FeE6L/?a=1988&amp;bti=ODszNWYuMDE6&amp;ch=0&amp;cr=3&amp;dr=0&amp;lr=all&amp;cd=0%7C0%7C0%7C&amp;cv=1&amp;br=1078&amp;bt=539&amp;cs=0&amp;ds=3&amp;ft=I~da4oKyD12NvOA0i.IxRehNblBF-UjNSMopiX&amp;mime_type=video_mp4&amp;qs=0&amp;rc=NTQ0ZGc7OTs1NjplPGU7OUBpMzwzPG45cjlyNTMzNzczM0A2YWEvYGMxXzExLzEtLi00YSNzamJqMmRrbWdhLS1kMTZzcw%3D%3D&amp;btag=e00088000&amp;expire=1763173531&amp;l=20251113102443BFAC5C39F8934C8F8E6A&amp;ply_type=2&amp;policy=2&amp;signature=87d268cbc2f85d4c7be7385f6ce79a0b&amp;tk=tt_chain_token</t>
  </si>
  <si>
    <t>7514352148398771462</t>
  </si>
  <si>
    <t>descomplicando.o0</t>
  </si>
  <si>
    <t>Descomplicando o TDHA</t>
  </si>
  <si>
    <t>https://p16-sign-va.tiktokcdn.com/tos-maliva-avt-0068/27d21cdb4f993894af65bfcc5689ad70~tplv-tiktokx-cropcenter:100:100.jpeg?dr=14579&amp;refresh_token=3c5a35d7&amp;x-expires=1764727200&amp;x-signature=0jim%2FPoV5LR%2BsL2h0Iz1k2iY3Dk%3D&amp;t=4d5b0474&amp;ps=13740610&amp;shp=a5d48078&amp;shcp=81f88b70&amp;idc=my</t>
  </si>
  <si>
    <t>7503903355115195654</t>
  </si>
  <si>
    <t>A raiva no TDAH: um sintoma que grita o que não conseguimos dizer. 🧠🔥 A raiva pode ser uma forma fisiológica de expressar o que as palavras não conseguem. É um sintoma que carrega emoções não resolvidas, frustrações acumuladas e aquela sensação de vingança por não se sentir ouvido. 💥 Por que ela surge? 	•	Problemas não resolvidos. 	•	Sentimento de injustiça. 	•	Dificuldade em compartilhar o que sentimos. 💔 O impacto? Ela afeta nosso humor, nos isola e faz com que explodamos com a pessoa errada. A agressividade é canalizada sem filtro — e a consequência? Afastamos as pessoas que amamos. 💡 A reflexão? Aprender a lidar com a raiva é essencial para não transformar dor em destruição. Afinal, o que não falamos, o corpo grita. #tdah #tdahadulto #comportamento #terapia #psicologia #curiosidade #psicoterapia #neurociência #foco #distraidosvenceremos</t>
  </si>
  <si>
    <t>7503903361945078583</t>
  </si>
  <si>
    <t>https://v16-webapp-prime.tiktok.com/video/tos/useast2a/tos-useast2a-v-27dcd7/o8G6gFBJJDoBIWUhcQAvCQMaIfPh5JBEf5IAzA/?a=1988&amp;bti=ODszNWYuMDE6&amp;ch=0&amp;cr=0&amp;dr=0&amp;er=0&amp;lr=default&amp;cd=0%7C0%7C0%7C0&amp;br=250&amp;bt=125&amp;ds=5&amp;ft=GNDpcInz7ThA9-UPXq8Zmo&amp;mime_type=audio_mpeg&amp;qs=13&amp;rc=ajpmZ2o5cnJtMzMzNzU8M0BpajpmZ2o5cnJtMzMzNzU8M0BybnFiMmRjZGVhLS1kMTZzYSNybnFiMmRjZGVhLS1kMTZzcw%3D%3D&amp;btag=e00050000&amp;expire=1763004356&amp;l=20251113102449DDADD1FB7AF14A841409&amp;ply_type=3&amp;policy=3&amp;signature=238ad4b586645dcf30239211a2596ad6&amp;tk=7571587458748974088</t>
  </si>
  <si>
    <t>você sabe o que é TDHA? #FamíliaTDAH #PaisDeTDAH #MãesDeTDAH #DescomplicandoOTDAH #TDAH #CriançaComTDAH</t>
  </si>
  <si>
    <t>7514352187444218629</t>
  </si>
  <si>
    <t>https://v16-webapp-prime.tiktok.com/video/tos/useast2a/tos-useast2a-v-27dcd7/oICi4NaXOsmMUDRru0IIQ0PElAITigBBVzShM/?a=1988&amp;bti=ODszNWYuMDE6&amp;ch=0&amp;cr=0&amp;dr=0&amp;er=0&amp;lr=default&amp;cd=0%7C0%7C0%7C0&amp;br=250&amp;bt=125&amp;ft=GNDpcInz7ThrzKvPXq8Zmo&amp;mime_type=audio_mpeg&amp;qs=6&amp;rc=Zjc7PDk5aGU2MzY4MzQ2OUBpajltdG05cjM4NDMzNzU8M0BfYTZeXi80NjMxLjMuMS00YSM1NnIuMmQ0YzFhLS1kMTZzcw%3D%3D&amp;btag=e00088000&amp;expire=1764559304&amp;l=20251201102050B730D50024D84153D9E5&amp;ply_type=3&amp;policy=3&amp;signature=444d472e12eae89e8cc52edb9a0c423c&amp;tk=7571587458748974088</t>
  </si>
  <si>
    <t>https://v16-webapp-prime.tiktok.com/video/tos/useast2a/tos-useast2a-pve-0068/o0TREsSjDIGnxoDICIgFwRLsIfOeQeECEQB0jA/?a=1988&amp;bti=ODszNWYuMDE6&amp;ch=0&amp;cr=3&amp;dr=0&amp;lr=all&amp;cd=0%7C0%7C0%7C&amp;cv=1&amp;br=1998&amp;bt=999&amp;cs=0&amp;ds=3&amp;ft=I~da4oKyD12NvgA0i.IxRMb_glBF-UjNSaopiX&amp;mime_type=video_mp4&amp;qs=0&amp;rc=ZDpkM2Y4Z2dnNWdmPGg3O0BpM2pyO3Q5cmltMzMzNzczM0BjXjFjXzAzXl4xMzUyYV5hYSNqZWdgMmRrZGVhLS1kMTZzcw%3D%3D&amp;btag=e00090000&amp;expire=1763173556&amp;l=20251113102449DDADD1FB7AF14A841409&amp;ply_type=2&amp;policy=2&amp;signature=6fc4f158e561e67d4a7823abfcd7b960&amp;tk=tt_chain_token</t>
  </si>
  <si>
    <t>https://p77-sign-va.tiktokcdn.com/tos-maliva-avt-0068/27d21cdb4f993894af65bfcc5689ad70~tplv-tiktokx-cropcenter:1080:1080.jpeg?dr=14579&amp;refresh_token=8dc2b51c&amp;x-expires=1764727200&amp;x-signature=dGIn28p%2BW%2FH7NN6AvaiLPAvXWkU%3D&amp;t=4d5b0474&amp;ps=13740610&amp;shp=a5d48078&amp;shcp=81f88b70&amp;idc=my</t>
  </si>
  <si>
    <t>https://v16-webapp-prime.tiktok.com/video/tos/useast2a/tos-useast2a-pve-0068/oQUwJEwSaE3yaUw7AJBIiihEwQBivEmIqXQhI/?a=1988&amp;bti=ODszNWYuMDE6&amp;ch=0&amp;cr=3&amp;dr=0&amp;lr=all&amp;cd=0%7C0%7C0%7C&amp;cv=1&amp;br=1444&amp;bt=722&amp;cs=0&amp;ds=3&amp;ft=-Csk_mrMPD12NTDh5d-UxHX2hY6e3wv25McAp&amp;mime_type=video_mp4&amp;qs=0&amp;rc=NmRoOmdpaTxpNWZlNDdkaUBpMzttZmo5cjw4NDMzNzczM0A0MTNhXzFgXjExLS5jLTRfYSNnYmZsMmRrYjFhLS1kMTZzcw%3D%3D&amp;btag=e00088000&amp;expire=1764728504&amp;l=20251201102050B730D50024D84153D9E5&amp;ply_type=2&amp;policy=2&amp;signature=509cd2fedfbd4b0281f945737500929e&amp;tk=tt_chain_token</t>
  </si>
  <si>
    <t>https://www.tiktok.com/@psi.jonathanorlandi/video/7503903355115195654</t>
  </si>
  <si>
    <t>7223027035826916613</t>
  </si>
  <si>
    <t>https://p77-sign-va.tiktokcdn.com/tos-maliva-avt-0068/7dbc97f66a70a5f185159bb96a8d7982~tplv-tiktokx-cropcenter:100:100.jpeg?dr=14579&amp;refresh_token=7879f776&amp;x-expires=1763172000&amp;x-signature=iRpAdSfnEy2VlWd6wLjvw0r8610%3D&amp;t=4d5b0474&amp;ps=13740610&amp;shp=a5d48078&amp;shcp=81f88b70&amp;idc=my</t>
  </si>
  <si>
    <t>https://www.tiktok.com/@descomplicando.o0/video/7514352148398771462</t>
  </si>
  <si>
    <t>famíliatdah,paisdetdah,mãesdetdah,descomplicandootdah,tdah,criançacomtdah</t>
  </si>
  <si>
    <t xml:space="preserve">🔴 Atenção, veja até o final🔴 #tod #TOD #desafiadoropositor #desafiador #desafiadores #tranatornomental #transtornoopositordesafiador #tranatornopositordesafiador #tranatornopositordesafiador #transtornoopositivodesafiador #transtornooposotordesafiador #criancacomtod #crianca #adultotranstornopositordesafiador #adulto #adultoon #transtorno #foryoupage #fypシ #tourettetunisia #foryoupage #corpo #alma #psiquiatra #psicologo #mente #mentehumana #sobrevivi2019 #saibamais #saibamaissobre #sindrome #agressivo #naoassumenunca #desafiador #opositor #trabalho #trabalhoemcasa #trabalhoduro #trabalhosespirituais #trabalhoemequipe #pensamentos #pensamentosdodia #pensamentonegativo #penamentos #pensebemnisso #ajuda #ajudar #ajudandopessoas #ajudaaitiktok #ajudandooproximo #familia #mulheres #homens #mundotiktok #geracao #geracaotiktok #geracaotiktokbrasil #mundoente #doentes #doeca #doencadaalma #almadoente #mentedoente #coracaodoente🤦😭😭😭 #eutocomavidameiobaguncada #saudemental #saudefisica #saudefisicaemental #TrendDaMão #EspelhoNoQuarto #péschatos #napalmadamão #botaamãonaparede </t>
  </si>
  <si>
    <t>7223027027858787078</t>
  </si>
  <si>
    <t>https://v16-webapp-prime.tiktok.com/video/tos/useast2a/tos-useast2a-v-27dcd7/13e2ad8c1cec410988e5d220fd0087a5/?a=1988&amp;bti=ODszNWYuMDE6&amp;ch=0&amp;cr=0&amp;dr=0&amp;er=0&amp;lr=default&amp;cd=0%7C0%7C0%7C0&amp;br=250&amp;bt=125&amp;ds=5&amp;ft=GNDpcInz7ThaV-UPXq8Zmo&amp;mime_type=audio_mpeg&amp;qs=13&amp;rc=amc7Ojw6ZnBvajMzNzU8M0Bpamc7Ojw6ZnBvajMzNzU8M0BsbmJmcjQwZXJgLS1kMTZzYSNsbmJmcjQwZXJgLS1kMTZzcw%3D%3D&amp;btag=e00050000&amp;expire=1763004308&amp;l=20251113102343D1A0044B947998B9C2A2&amp;ply_type=3&amp;policy=3&amp;signature=a66470d9ecbab692876a197a27d1534c&amp;tk=7571587458748974088</t>
  </si>
  <si>
    <t>https://v16-webapp-prime.tiktok.com/video/tos/useast2a/tos-useast2a-v-27dcd7/oge5ETCMCgAElATPAE69fAOEbZsDNFgfjSbH0o/?a=1988&amp;bti=ODszNWYuMDE6&amp;ch=0&amp;cr=0&amp;dr=0&amp;er=0&amp;lr=default&amp;cd=0%7C0%7C0%7C0&amp;br=250&amp;bt=125&amp;ds=5&amp;ft=GNDpcInz7Th0zKvPXq8Zmo&amp;mime_type=audio_mpeg&amp;qs=13&amp;rc=amhraGo5cnBrcjMzNzU8M0BpamhraGo5cnBrcjMzNzU8M0A0amJjMmRjc2FgLS1kMTZzYSM0amJjMmRjc2FgLS1kMTZzcw%3D%3D&amp;btag=e00050000&amp;expire=1764559361&amp;l=2025120110213238A64472738F9C5726DD&amp;ply_type=3&amp;policy=3&amp;signature=a64cb9ce5c2295442a76414425ca08b3&amp;tk=7571587458748974088</t>
  </si>
  <si>
    <t>https://v16-webapp-prime.tiktok.com/video/tos/maliva/tos-maliva-ve-0068c801-us/owz9VkkiEAoH7IhmONIWCXHgsxqVqoWjQyAEfy/?a=1988&amp;bti=ODszNWYuMDE6&amp;ch=0&amp;cr=3&amp;dr=0&amp;lr=all&amp;cd=0%7C0%7C0%7C&amp;cv=1&amp;br=844&amp;bt=422&amp;cs=0&amp;ds=3&amp;ft=-Csk_mrMPD12N8Yopd-UxfeFaY6e3wv25HcAp&amp;mime_type=video_mp4&amp;qs=0&amp;rc=PDY0ZGc5PGdnOGY0ZDY0OUBpanBoOzo6ZmtvajMzNzczM0BgMDAyMWAvX18xNC0yYl8uYSNeZHNtcjQwZXJgLS1kMTZzcw%3D%3D&amp;btag=e00090000&amp;expire=1763173508&amp;l=20251113102343D1A0044B947998B9C2A2&amp;ply_type=2&amp;policy=2&amp;signature=a0cf014d74b07044ef54af521edd2c45&amp;tk=tt_chain_token</t>
  </si>
  <si>
    <t>https://v16-webapp-prime.tiktok.com/video/tos/maliva/tos-maliva-ve-0068c801-us/o8grBtfDJQlTRJmEQPfSwGlx2B8AZE92FgTHIQ/?a=1988&amp;bti=ODszNWYuMDE6&amp;ch=0&amp;cr=3&amp;dr=0&amp;lr=all&amp;cd=0%7C0%7C0%7C&amp;cv=1&amp;br=2390&amp;bt=1195&amp;cs=0&amp;ds=3&amp;ft=-Csk_mrMPD12NsDh5d-UxSc2hY6e3wv25DcAp&amp;mime_type=video_mp4&amp;qs=0&amp;rc=OWk0PDpkZGZoNjhmNTZpZ0Bpamx0OGw5cmtrcjMzNzczM0AyMTYwMjE2NS4xYzUwXmJhYSNoNmJoMmRzcmFgLS1kMTZzcw%3D%3D&amp;btag=e00090000&amp;expire=1764728561&amp;l=2025120110213238A64472738F9C5726DD&amp;ply_type=2&amp;policy=2&amp;signature=48379bb159037b2b12e6e2d92876c607&amp;tk=tt_chain_token</t>
  </si>
  <si>
    <t>https://www.tiktok.com/@sobrevivi2019oficialdid/video/7223027035826916613</t>
  </si>
  <si>
    <t>tod,tod,desafiadoropositor,desafiador,desafiadores,tranatornomental,transtornoopositordesafiador,tranatornopositordesafiador,tranatornopositordesafiador,transtornoopositivodesafiador,transtornooposotordesafiador,criancacomtod,crianca,adultotranstornopositordesafiador,adulto,adultoon,transtorno,foryoupage,fypシ,tourettetunisia,foryoupage,corpo,alma,psiquiatra,psicologo,mente,mentehumana,sobrevivi2019,saibamais,saibamaissobre,sindrome,agressivo,naoassumenunca,desafiador,opositor,trabalho,trabalhoemcasa,trabalhoduro,trabalhosespirituais,trabalhoemequipe,pensamentos,pensamentosdodia,pensamentonegativo,penamentos,pensebemnisso,ajuda,ajudar,ajudandopessoas,ajudaaitiktok,ajudandooproximo,familia,mulheres,homens,mundotiktok,geracao,geracaotiktok,geracaotiktokbrasil,mundoente,doentes,doeca,doencadaalma,almadoente,mentedoente,coracaodoente🤦😭😭😭,eutocomavidameiobaguncada,saudemental,saudefisica,saudefisicaemental,trenddamão,espelhonoquarto,péschatos,napalmadamão,botaamãonaparede</t>
  </si>
  <si>
    <t>tod,desafiadoropositor,desafiador,desafiadores,tranatornomental,transtornoopositordesafiador,tranatornopositordesafiador,transtornoopositivodesafiador,transtornooposotordesafiador,criancacomtod,crianca,adultotranstornopositordesafiador,adulto,adultoon,transtorno,foryoupage,fypシ,tourettetunisia,corpo,alma,psiquiatra,psicologo,mente,mentehumana,sobrevivi2019,saibamais,saibamaissobre,sindrome,agressivo,naoassumenunca,opositor,trabalho,trabalhoemcasa,trabalhoduro,trabalhosespirituais,trabalhoemequipe,pensamentos,pensamentosdodia,pensamentonegativo,penamentos,pensebemnisso,ajuda,ajudar,ajudandopessoas,ajudaaitiktok,ajudandooproximo,familia,mulheres,homens,mundotiktok,geracao,geracaotiktok,geracaotiktokbrasil,mundoente,doentes,doeca,doencadaalma,almadoente,mentedoente,coracaodoente🤦😭😭😭,eutocomavidameiobaguncada,saudemental,saudefisica,saudefisicaemental,trenddamão,espelhonoquarto,péschatos,napalmadamão,botaamãonaparede</t>
  </si>
  <si>
    <t>7385706318964804869</t>
  </si>
  <si>
    <t>ciencia.livre</t>
  </si>
  <si>
    <t>Willer Bruno</t>
  </si>
  <si>
    <t>7445830491648871685</t>
  </si>
  <si>
    <t>https://p77-sign-va.tiktokcdn.com/tos-maliva-avt-0068/81bf61f330a07f981a67dd28d5bb361a~tplv-tiktokx-cropcenter:100:100.jpeg?dr=14579&amp;refresh_token=f5e41be0&amp;x-expires=1763172000&amp;x-signature=NjqvOexgTw9RpHc75bajb08jGMs%3D&amp;t=4d5b0474&amp;ps=13740610&amp;shp=a5d48078&amp;shcp=81f88b70&amp;idc=my</t>
  </si>
  <si>
    <t xml:space="preserve">TDAH e "Reconhecimento de Padrões Aprimorado" 🤯 . . . Se identificou, TDAH? 😅💬  🧠 Muitas pessoas com TDAH podem ter a facilidade de prever desfechos de filmes/séries precocemente, devido ao processamento mais rápido e reconhecimento de padrões em seu cérebro.  🔎 “O cérebro com TDAH tem maiores conexões sinápticas na região em que lida com memórias visuais, tornando-os, portanto, "pensadores visuais" e aprimorando o reconhecimento de padrões de comportamento”, explica o Dr. Tony Lloyd, CEO da ADHD Foundation.  ⚠️ Vale ressaltar que uma característica isolada como esta não é suficiente para um di4gnóstico!  #tdahta #tdahadulto #tdah #lorenatdahta #adhdbrain #reconhecimentodepadrões </t>
  </si>
  <si>
    <t>7445830516600785669</t>
  </si>
  <si>
    <t>https://v16-webapp-prime.tiktok.com/video/tos/useast2a/tos-useast2a-v-27dcd7/oQCABEU4cyBnTAkSlAABlEZD51UOnQJi3hi1P/?a=1988&amp;bti=ODszNWYuMDE6&amp;ch=0&amp;cr=0&amp;dr=0&amp;er=0&amp;lr=default&amp;cd=0%7C0%7C0%7C0&amp;br=250&amp;bt=125&amp;ds=5&amp;ft=GNDpcInz7Th0zKvPXq8Zmo&amp;mime_type=audio_mpeg&amp;qs=13&amp;rc=ajQ3ZnI5cnZodzMzNzU8M0BpajQ3ZnI5cnZodzMzNzU8M0AucWVmMmQ0Yl5gLS1kMTZzYSMucWVmMmQ0Yl5gLS1kMTZzcw%3D%3D&amp;btag=e00048000&amp;expire=1764559326&amp;l=2025120110213238A64472738F9C5726DD&amp;ply_type=3&amp;policy=3&amp;signature=c0d914367d9d501770886e2a32ebb4c5&amp;tk=7571587458748974088</t>
  </si>
  <si>
    <t>Como funciona o TDAH #tdah #tdahadulto #tdahinfantil #comportamento #cerebro #educação</t>
  </si>
  <si>
    <t>7385706336304761606</t>
  </si>
  <si>
    <t>https://v16-webapp-prime.tiktok.com/video/tos/useast2a/tos-useast2a-v-27dcd7/osAAY1EIICgMNCffMTFSfVDDQMzgSoEhDC0TA8/?a=1988&amp;bti=ODszNWYuMDE6&amp;ch=0&amp;cr=0&amp;dr=0&amp;er=0&amp;lr=default&amp;cd=0%7C0%7C0%7C0&amp;br=250&amp;bt=125&amp;ds=5&amp;ft=GNDpcInz7ThzK-UPXq8Zmo&amp;mime_type=audio_mpeg&amp;qs=13&amp;rc=M2YzPHg5cm1uczMzNzU8M0BpM2YzPHg5cm1uczMzNzU8M0AxMGY1MmRjbXNgLS1kMTZzYSMxMGY1MmRjbXNgLS1kMTZzcw%3D%3D&amp;btag=e00050000&amp;expire=1763004232&amp;l=20251113102236D675DBC36011DA84E058&amp;ply_type=3&amp;policy=3&amp;signature=5831aa0bee5ebee19cf002a75a9dbe85&amp;tk=7571587458748974088</t>
  </si>
  <si>
    <t>https://v16-webapp-prime.tiktok.com/video/tos/useast2a/tos-useast2a-pve-0068/oUjKgzfBkI3wIPzCm5qrhqFnUA3AMiNJiQDsEo/?a=1988&amp;bti=ODszNWYuMDE6&amp;ch=0&amp;cr=3&amp;dr=0&amp;lr=all&amp;cd=0%7C0%7C0%7C&amp;cv=1&amp;br=1534&amp;bt=767&amp;cs=0&amp;ds=3&amp;ft=-Csk_mrMPD12NsDh5d-UxSc2hY6e3wv25DcAp&amp;mime_type=video_mp4&amp;qs=0&amp;rc=ZzdoZGQ1NzY4PDY5Mzk6OEBpajhmNXE5cnBodzMzNzczM0AyMDQzLV9eNjMxMDJjMmJhYSNpcmpnMmRjYV5gLS1kMTZzcw%3D%3D&amp;btag=e00088000&amp;expire=1764728526&amp;l=2025120110213238A64472738F9C5726DD&amp;ply_type=2&amp;policy=2&amp;signature=c91e8eac5c9b02c0e2d5c5850d545b0c&amp;tk=tt_chain_token</t>
  </si>
  <si>
    <t>https://p77-sign-va.tiktokcdn.com/tos-maliva-avt-0068/81bf61f330a07f981a67dd28d5bb361a~tplv-tiktokx-cropcenter:1080:1080.jpeg?dr=14579&amp;refresh_token=afa4e259&amp;x-expires=1763172000&amp;x-signature=%2FfRJbx375WhT1rGZYZluIdSxn2w%3D&amp;t=4d5b0474&amp;ps=13740610&amp;shp=a5d48078&amp;shcp=81f88b70&amp;idc=my</t>
  </si>
  <si>
    <t>https://www.tiktok.com/@lorenatdahta/video/7445830491648871685</t>
  </si>
  <si>
    <t>tdahta,tdahadulto,tdah,lorenatdahta,adhdbrain,reconhecimentodepadrões</t>
  </si>
  <si>
    <t>https://v16-webapp-prime.tiktok.com/video/tos/maliva/tos-maliva-ve-0068c801-us/ogMfTxrTIS0gCLLIQvUfOCA1gjFP4SfxLgzDyE/?a=1988&amp;bti=ODszNWYuMDE6&amp;ch=0&amp;cr=3&amp;dr=0&amp;lr=all&amp;cd=0%7C0%7C0%7C&amp;cv=1&amp;br=2164&amp;bt=1082&amp;cs=0&amp;ds=3&amp;ft=-Csk_mrMPD12NDhopd-Ux2.2GY6e3wv25rcAp&amp;mime_type=video_mp4&amp;qs=0&amp;rc=NDk0aTNlaWdmZGY6O2llNEBpM285eHI5cmVuczMzNzczM0A2YGBfLy0zNWAxYmE1LWMtYSNsXzRmMmRzbXNgLS1kMTZzcw%3D%3D&amp;btag=e00090000&amp;expire=1763173432&amp;l=20251113102236D675DBC36011DA84E058&amp;ply_type=2&amp;policy=2&amp;signature=6d70fc17dee1b74d69b34a55300c5776&amp;tk=tt_chain_token</t>
  </si>
  <si>
    <t>https://p77-sign-va.tiktokcdn.com/tos-maliva-avt-0068/653ecd097a40a9bcfe371c2a0424bd79~tplv-tiktokx-cropcenter:100:100.jpeg?dr=14579&amp;refresh_token=69cbe0ff&amp;x-expires=1764727200&amp;x-signature=oTMNcauliMGfhi4oAeA5KkA%2Bxn8%3D&amp;t=4d5b0474&amp;ps=13740610&amp;shp=a5d48078&amp;shcp=81f88b70&amp;idc=my</t>
  </si>
  <si>
    <t>https://www.tiktok.com/@ciencia.livre/video/7385706318964804869</t>
  </si>
  <si>
    <t>https://v16-webapp-prime.tiktok.com/video/tos/useast2a/tos-useast2a-v-27dcd7/oQA7TSv2zEAYBCBbBmfAkLEFwAtCyAgEhMo9Kg/?a=1988&amp;bti=ODszNWYuMDE6&amp;ch=0&amp;cr=0&amp;dr=0&amp;er=0&amp;lr=default&amp;cd=0%7C0%7C0%7C0&amp;br=250&amp;bt=125&amp;ds=5&amp;ft=GNDpcInz7ThazKvPXq8Zmo&amp;mime_type=audio_mpeg&amp;qs=13&amp;rc=ampoaTQ6ZjU3bjMzNzU8M0BpampoaTQ6ZjU3bjMzNzU8M0AtYWNvcjRvby5gLS1kMTZzYSMtYWNvcjRvby5gLS1kMTZzcw%3D%3D&amp;btag=e00050000&amp;expire=1764559359&amp;l=2025120110213521203C48224A5C66F6F4&amp;ply_type=3&amp;policy=3&amp;signature=18e1ff622aadc0d3cec84847d3e9cc7a&amp;tk=7571587458748974088</t>
  </si>
  <si>
    <t>tdah,tdahadulto,tdahinfantil,comportamento,cerebro,educação</t>
  </si>
  <si>
    <t>7273587796558793990</t>
  </si>
  <si>
    <t>tdahuniverse</t>
  </si>
  <si>
    <t>TDAH UNIVERSE🧠</t>
  </si>
  <si>
    <t>https://p16-sign-va.tiktokcdn.com/tos-maliva-avt-0068/df45d1432838340c9c796d007ccac1d1~tplv-tiktokx-cropcenter:100:100.jpeg?dr=14579&amp;refresh_token=68da288c&amp;x-expires=1763172000&amp;x-signature=iiDu75M%2BGVF466B0fO83BkGRuWA%3D&amp;t=4d5b0474&amp;ps=13740610&amp;shp=a5d48078&amp;shcp=81f88b70&amp;idc=my</t>
  </si>
  <si>
    <t>FRUSTRAÇÃO COM TDAH! VOCÊ TEM ESSA FRUSTRAÇÃO? #podcast #tdah #tdahadulto #tdahinfantil #tdahtiktok #neurodesenvolvimento</t>
  </si>
  <si>
    <t>https://v16-webapp-prime.tiktok.com/video/tos/maliva/tos-maliva-ve-0068c801-us/ocghRPcAkQJMEyBWeB8eKvhDIvngLdAgdQbKay/?a=1988&amp;bti=ODszNWYuMDE6&amp;ch=0&amp;cr=3&amp;dr=0&amp;lr=all&amp;cd=0%7C0%7C0%7C&amp;cv=1&amp;br=1568&amp;bt=784&amp;cs=0&amp;ds=3&amp;ft=-Csk_mrMPD12NdYopd-UxMTFGY6e3wv25LcAp&amp;mime_type=video_mp4&amp;qs=0&amp;rc=ZjY3ZDYzaDczN2RnZzdmO0BpM2p5eGU6ZnFpbTMzNzczM0AtNTA2MWBiXzUxNGFeYzFgYSM0LV4vcjRfZGxgLS1kMTZzcw%3D%3D&amp;btag=e00090000&amp;expire=1763173448&amp;l=202511131023026989DBCE704A6574DC2E&amp;ply_type=2&amp;policy=2&amp;signature=a8ed4b4096f59821b3e1fd09cd1355b1&amp;tk=tt_chain_token</t>
  </si>
  <si>
    <t>https://v16-webapp-prime.tiktok.com/video/tos/maliva/tos-maliva-ve-0068c801-us/ocyyIJRu0nAZTcJQAkeEBRlQ0EfQXBSAEVbCCD/?a=1988&amp;bti=ODszNWYuMDE6&amp;ch=0&amp;cr=3&amp;dr=0&amp;lr=all&amp;cd=0%7C0%7C0%7C&amp;cv=1&amp;br=2332&amp;bt=1166&amp;cs=0&amp;ds=3&amp;ft=-Csk_mrMPD12N8Dh5d-UxSc2hY6e3wv252cAp&amp;mime_type=video_mp4&amp;qs=0&amp;rc=NzRoaDw3ZmQ4N2ZmZmg5PEBpanFlbTU6Zmc3bjMzNzczM0AwNjAzYjFjXmMxNl9fMzNiYSM1cmVfcjQwbS5gLS1kMTZzcw%3D%3D&amp;btag=e00090000&amp;expire=1764728559&amp;l=2025120110213521203C48224A5C66F6F4&amp;ply_type=2&amp;policy=2&amp;signature=ccef3fc4f33e7d28fa2c9501f089bac6&amp;tk=tt_chain_token</t>
  </si>
  <si>
    <t>https://www.tiktok.com/@tdahuniverse/video/7273587796558793990</t>
  </si>
  <si>
    <t>podcast,tdah,tdahadulto,tdahinfantil,tdahtiktok,neurodesenvolvimento</t>
  </si>
  <si>
    <t>https://v16-webapp-prime.tiktok.com/video/tos/useast2a/tos-useast2a-v-27dcd7/oYKU1vgtPFOgCBJ4ro83JvQC4EQefB6DY5XLzg/?a=1988&amp;bti=ODszNWYuMDE6&amp;ch=0&amp;cr=0&amp;dr=0&amp;er=0&amp;lr=default&amp;cd=0%7C0%7C0%7C0&amp;br=250&amp;bt=125&amp;ft=GNDpcInz7ThaV-UPXq8Zmo&amp;mime_type=audio_mpeg&amp;qs=6&amp;rc=NDhkNTY5ZmQ8NTQ4aDM2OkBpM3dweHg5cmdkNTMzNzU8M0BfNGE1XzUwNV8xNmI1M2FiYSM1YmowMmRzcHJhLS1kMTZzcw%3D%3D&amp;btag=e00090000&amp;expire=1763004318&amp;l=20251113102343D1A0044B947998B9C2A2&amp;ply_type=3&amp;policy=3&amp;signature=442c1f029154e38f9ae46f0e43324e66&amp;tk=7571587458748974088</t>
  </si>
  <si>
    <t>7497730029678234885</t>
  </si>
  <si>
    <t>.mundotdah</t>
  </si>
  <si>
    <t>MundoTDAH</t>
  </si>
  <si>
    <t>https://p77-sign-va.tiktokcdn.com/tos-maliva-avt-0068/aaba86e723b6f2440be1acd83bede8ab~tplv-tiktokx-cropcenter:100:100.jpeg?dr=14579&amp;refresh_token=5f8b9ffe&amp;x-expires=1764727200&amp;x-signature=FsrZhcrL30O%2Bkq3kxFbjmtXRGR0%3D&amp;t=4d5b0474&amp;ps=13740610&amp;shp=a5d48078&amp;shcp=81f88b70&amp;idc=my</t>
  </si>
  <si>
    <t>https://v16-webapp-prime.tiktok.com/video/tos/useast2a/tos-useast2a-pve-0068/owWEpr2kIfvCJkvBB8XDfBHV0mAFQqKQFu4oE7/?a=1988&amp;bti=ODszNWYuMDE6&amp;ch=0&amp;cr=3&amp;dr=0&amp;lr=all&amp;cd=0%7C0%7C0%7C&amp;cv=1&amp;br=980&amp;bt=490&amp;cs=0&amp;ds=3&amp;ft=-Csk_mrMPD12N8Yopd-UxfeFaY6e3wv25HcAp&amp;mime_type=video_mp4&amp;qs=0&amp;rc=NztlaGZkZDQ4ZWRkO2Y8ZUBpajQ6eHE5cjxkNTMzNzgzM0AtMjUxMDM1NWAxYDFfMy9fYSMwYHFzMmRrbnJhLS1kLzZzcw%3D%3D&amp;btag=e00090000&amp;expire=1763173518&amp;l=20251113102343D1A0044B947998B9C2A2&amp;ply_type=2&amp;policy=2&amp;signature=e5c98844d850b68bd5bf67f0054bd4c8&amp;tk=tt_chain_token</t>
  </si>
  <si>
    <t>Como é viver com TDAH! Seguem umas dicas e sintomas do comportamento. #sintomastdah #diagnosticotdah #guiatdahinfantil #tdahdescomplicado #tdahtiktok #tdahinfantil</t>
  </si>
  <si>
    <t>7497730046866574085</t>
  </si>
  <si>
    <t>https://v16-webapp-prime.tiktok.com/video/tos/useast2a/tos-useast2a-v-27dcd7/o4WJ9DE4w7tEAaJ5UknFkfQQDfCoFBbcvB1oUY/?a=1988&amp;bti=ODszNWYuMDE6&amp;ch=0&amp;cr=0&amp;dr=0&amp;er=0&amp;lr=default&amp;cd=0%7C0%7C0%7C0&amp;br=250&amp;bt=125&amp;ft=GNDpcInz7ThAzKvPXq8Zmo&amp;mime_type=audio_mpeg&amp;qs=6&amp;rc=NjdnNTU5NjpoaGY1OWZmZkBpamg0Zng5cmtuMzMzNzU8M0BgYzUxY2EyNTQxMV9hNjJiYSMyY2dvMmRjZzNhLS1kMTZzcw%3D%3D&amp;btag=e00088000&amp;expire=1764559355&amp;l=202512011021380CC83080A64AA152B5B8&amp;ply_type=3&amp;policy=3&amp;signature=40e813193fed1ef688ba2b08d4b4b09f&amp;tk=7571587458748974088</t>
  </si>
  <si>
    <t>https://p77-sign-va.tiktokcdn.com/tos-maliva-avt-0068/aaba86e723b6f2440be1acd83bede8ab~tplv-tiktokx-cropcenter:1080:1080.jpeg?dr=14579&amp;refresh_token=9460bfed&amp;x-expires=1764727200&amp;x-signature=%2BqBqjnvXU6o27nYEKHjvR8NMA8E%3D&amp;t=4d5b0474&amp;ps=13740610&amp;shp=a5d48078&amp;shcp=81f88b70&amp;idc=my</t>
  </si>
  <si>
    <t>7243579243022617861</t>
  </si>
  <si>
    <t>Vantagens do cérebro TDAH.... #tdah #cérebro #ideias #velocidade #draanabeatriz11 #foryou #fy #paravoce</t>
  </si>
  <si>
    <t>VANTAGENS DO CÉREBRO TDAH</t>
  </si>
  <si>
    <t>Instrumental - Vibe</t>
  </si>
  <si>
    <t>7186383409600530434</t>
  </si>
  <si>
    <t>https://p16-sign-sg.tiktokcdn.com/tos-alisg-v-2774/ogIaTFQWfCAHD9D6IfGeAgAAEY7CuE03PAcFzm~720x720.jpeg?lk3s=08d74b56&amp;x-expires=1763022405&amp;x-signature=hyblPIDg9qOV3DvCiAiHtTBT58w%3D</t>
  </si>
  <si>
    <t>https://v16-webapp-prime.tiktok.com/video/tos/useast2a/tos-useast2a-ve-0068c001/ocXquBBjEAkVu4QC0gZiijRFSIYIo1ij0NA9df/?a=1988&amp;bti=ODszNWYuMDE6&amp;ch=0&amp;cr=3&amp;dr=0&amp;lr=all&amp;cd=0%7C0%7C0%7C&amp;cv=1&amp;br=1672&amp;bt=836&amp;cs=0&amp;ds=3&amp;ft=-Csk_mrMPD12NaDh5d-Uxq42hY6e3wv25IcAp&amp;mime_type=video_mp4&amp;qs=0&amp;rc=MzNoODNpNmk4aWhnOGQ0NkBpanJoaW45cmRuMzMzNzczM0BgMGMxLTQwNjAxMDRiX18wYSNiNGBrMmRzZTNhLS1kMTZzcw%3D%3D&amp;btag=e00088000&amp;expire=1764728555&amp;l=202512011021380CC83080A64AA152B5B8&amp;ply_type=2&amp;policy=2&amp;signature=c82cc124ed2baf4792ee67c8d5ec077c&amp;tk=tt_chain_token</t>
  </si>
  <si>
    <t>pedrin cria</t>
  </si>
  <si>
    <t>https://v16-webapp-prime.tiktok.com/video/tos/maliva/tos-maliva-ve-0068c801-us/oobCGb9ABQBDBkQ0cnnfJkUQhIHw1XRcleAEql/?a=1988&amp;bti=ODszNWYuMDE6&amp;ch=0&amp;cr=3&amp;dr=0&amp;lr=all&amp;cd=0%7C0%7C0%7C&amp;cv=1&amp;br=2688&amp;bt=1344&amp;cs=0&amp;ds=3&amp;ft=-Csk_mrMPD12Nw_opd-UxfeFaY6e3wv25HcAp&amp;mime_type=video_mp4&amp;qs=0&amp;rc=NzRoZjhlOzU6Zjc1OGhnOkBpM3k4N2g6Zmk4bDMzNzczM0A0MGAvLTZiNTAxLzUtXzIuYSMtMWhhcjRfbDBgLS1kMTZzcw%3D%3D&amp;btag=e00088000&amp;expire=1763173647&amp;l=2025111310264583C2663DA446357263D7&amp;ply_type=2&amp;policy=2&amp;signature=4b121a185cda0892890f145f519f7b06&amp;tk=tt_chain_token</t>
  </si>
  <si>
    <t>https://www.tiktok.com/@.mundotdah/video/7497730029678234885</t>
  </si>
  <si>
    <t>https://www.tiktok.com/@girodaengrenagem/video/7243579243022617861</t>
  </si>
  <si>
    <t>sintomastdah,diagnosticotdah,guiatdahinfantil,tdahdescomplicado,tdahtiktok,tdahinfantil</t>
  </si>
  <si>
    <t>tdah,cérebro,ideias,velocidade,draanabeatriz11,foryou,fy,paravoce</t>
  </si>
  <si>
    <t>7524076082044161285</t>
  </si>
  <si>
    <t>sigacuriosidade</t>
  </si>
  <si>
    <t>https://p16-sign-va.tiktokcdn.com/tos-maliva-avt-0068/5db3f3dd1ba41fcb85058c2097db2e7e~tplv-tiktokx-cropcenter:100:100.jpeg?dr=14579&amp;refresh_token=38b0ccd6&amp;x-expires=1764727200&amp;x-signature=QHcUwTJU0EGH66UrvI2G14Wzxw4%3D&amp;t=4d5b0474&amp;ps=13740610&amp;shp=a5d48078&amp;shcp=81f88b70&amp;idc=my</t>
  </si>
  <si>
    <t>7323673637607836933</t>
  </si>
  <si>
    <t>leibarrosoficial</t>
  </si>
  <si>
    <t>Lei Barros</t>
  </si>
  <si>
    <t>https://p16-sign-va.tiktokcdn.com/tos-maliva-avt-0068/8d35910dac7135054a6f0169a6f4d8b2~tplv-tiktokx-cropcenter:100:100.jpeg?dr=14579&amp;refresh_token=95463fe9&amp;x-expires=1763172000&amp;x-signature=MEDS8ZeKr3gfK6QiYLExfG3S8vI%3D&amp;t=4d5b0474&amp;ps=13740610&amp;shp=a5d48078&amp;shcp=81f88b70&amp;idc=my</t>
  </si>
  <si>
    <t>O que não te contaram sobre a superdotação. @nagudayol explica no Lutz Podcast #superdotado #autismo #superdotação #psicologia #psicologa #fy</t>
  </si>
  <si>
    <t>O QUE NÃO TE CONTARAM SOBRE A SUPERDOTAÇÃO (psicóloga explica)</t>
  </si>
  <si>
    <t>7524076086171929350</t>
  </si>
  <si>
    <t>https://v16-webapp-prime.tiktok.com/video/tos/useast2a/tos-useast2a-v-27dcd7/oYfkq3uBgAAiAGojxqBNk0E1NEAGz4EFXitKB2/?a=1988&amp;bti=ODszNWYuMDE6&amp;ch=0&amp;cr=0&amp;dr=0&amp;er=0&amp;lr=default&amp;cd=0%7C0%7C0%7C0&amp;br=250&amp;bt=125&amp;ds=5&amp;ft=GNDpcInz7ThpgKvPXq8Zmo&amp;mime_type=audio_mpeg&amp;qs=13&amp;rc=amdqd2s5cnFoNDMzNzU8M0Bpamdqd2s5cnFoNDMzNzU8M0BqYGhlMmRjM2lhLS1kMTZzYSNqYGhlMmRjM2lhLS1kMTZzcw%3D%3D&amp;btag=e00048000&amp;expire=1764559467&amp;l=202512011023380569D1C6B730C3EFE5B4&amp;ply_type=3&amp;policy=3&amp;signature=2b777c742fd2c64f77d29c651220defe&amp;tk=7571587458748974088</t>
  </si>
  <si>
    <t xml:space="preserve">Nem todo mundo é igual, vai ter quem goste de grude, mas eu, assim como a maioria de nós, demonstramos amor com muita perturbação e cutucadas, quanto mais eu te irrito, mais eu te amo! 😂😂😂 #viraltiktok #tdahtiktok #viralvideo #tdah #tdahadulto #tdahmemes #tdahdescomplicado #tdahcheck #fypシ #fyp #foryou #fy #fypシ゚viral </t>
  </si>
  <si>
    <t>7323673679295662853</t>
  </si>
  <si>
    <t>https://v16-webapp-prime.tiktok.com/video/tos/useast2a/tos-useast2a-v-27dcd7/oUDcimfpAUpulFAUrlwBCuJNEoEB6EnQJfCA7x/?a=1988&amp;bti=ODszNWYuMDE6&amp;ch=0&amp;cr=0&amp;dr=0&amp;er=0&amp;lr=default&amp;cd=0%7C0%7C0%7C0&amp;br=250&amp;bt=125&amp;ds=5&amp;ft=GNDpcInz7ThYK-UPXq8Zmo&amp;mime_type=audio_mpeg&amp;qs=13&amp;rc=ajw8N3I5cnVocDMzNzU8M0Bpajw8N3I5cnVocDMzNzU8M0Azc3E0MmRraGVgLS1kMTZzYSMzc3E0MmRraGVgLS1kMTZzcw%3D%3D&amp;btag=e00078000&amp;expire=1763004185&amp;l=20251113102250DC012CE1E68AEAAA2B86&amp;ply_type=3&amp;policy=3&amp;signature=0287da4e5b6078a30726aa0a13f88b40&amp;tk=7571587458748974088</t>
  </si>
  <si>
    <t>https://p77-sign-va.tiktokcdn.com/tos-maliva-avt-0068/5db3f3dd1ba41fcb85058c2097db2e7e~tplv-tiktokx-cropcenter:1080:1080.jpeg?dr=14579&amp;refresh_token=b9d053d8&amp;x-expires=1764727200&amp;x-signature=LtR1b%2Fh5wuQv5tVoQ34bvuFkZTo%3D&amp;t=4d5b0474&amp;ps=13740610&amp;shp=a5d48078&amp;shcp=81f88b70&amp;idc=my</t>
  </si>
  <si>
    <t>https://p77-sign-va.tiktokcdn.com/tos-maliva-avt-0068/8d35910dac7135054a6f0169a6f4d8b2~tplv-tiktokx-cropcenter:1080:1080.jpeg?dr=14579&amp;refresh_token=1be106de&amp;x-expires=1763172000&amp;x-signature=%2BhHsdZJuFEeZi0ZJp8daurbZZ50%3D&amp;t=4d5b0474&amp;ps=13740610&amp;shp=a5d48078&amp;shcp=81f88b70&amp;idc=my</t>
  </si>
  <si>
    <t>https://v16-webapp-prime.tiktok.com/video/tos/alisg/tos-alisg-ve-37c813-sg/owlqAEGiVJIMQEZIaAi0A4RBoPkNGgO2fXNCu5/?a=1988&amp;bti=ODszNWYuMDE6&amp;ch=0&amp;cr=3&amp;dr=0&amp;lr=all&amp;cd=0%7C0%7C0%7C&amp;cv=1&amp;br=2086&amp;bt=1043&amp;cs=0&amp;ds=3&amp;ft=-Csk_mrMPD12NgZh5d-Ux3t2SY6e3wv25HcAp&amp;mime_type=video_mp4&amp;qs=0&amp;rc=ZTU7ZzRoZDloNThmZDhoZEBpajhsNXM5cjNoNDMzNzczM0BeLTY1Mi9hNTUxNV9fLWAxYSM0cTYvMmRjM2lhLS1kMTZzcw%3D%3D&amp;btag=e00088000&amp;expire=1764728667&amp;l=202512011023380569D1C6B730C3EFE5B4&amp;ply_type=2&amp;policy=2&amp;signature=4cd708743725dd7480180cd48f91c531&amp;tk=tt_chain_token</t>
  </si>
  <si>
    <t>https://webapp-va.tiktok.com/1c762829525e713807ad7161b22d8001/6917e409/kmoat/mps/logo/v3/r/p/v09044g40000cmhej57og65re9r7bv7g/42eed504a82b49139a2e81dd0287a816/afca0dbe939f372a2a95457e7eb64e94/mp4/main.mp4?a=1988&amp;bti=ODszNWYuMDE6&amp;ch=0&amp;cr=3&amp;dr=0&amp;lr=all&amp;cd=0%7C0%7C0%7C&amp;cv=1&amp;br=0&amp;bt=0&amp;cs=0&amp;ds=3&amp;ft=bLZkJmrMPD12N_hopd-Ux315hY6e3wv25dcAp&amp;mime_type=video_mp4&amp;qs=0&amp;rc=cnF8b2hsc2d3SkBwaHIxaDFybndmOTs6NWc0aGQ2PGU7NzhoNUBpank6PHU5cjhocDMzNzczM0BjRl5Nc3FePmJKYSNvYF90aHFmOiMuXjUtYTUvNi4xL14tYWIxYSM0X29iMmQ0Z2VgLS1kMTZzcw%3D%3D&amp;btag=e000b8000&amp;definition=720p&amp;du=15&amp;item_id=7323673637607836933&amp;l=20251113102250DC012CE1E68AEAAA2B86&amp;logo_type=tiktok_creator&amp;ply_type=2&amp;policy=eyJ2bSI6MiwiY2siOiJ0dF9jaGFpbl90b2tlbiJ9&amp;sign_params=item_id%2Cuser_text&amp;user_text=leibarrosoficial</t>
  </si>
  <si>
    <t>https://www.tiktok.com/@sigacuriosidade/video/7524076082044161285</t>
  </si>
  <si>
    <t>superdotado,autismo,superdotação,psicologia,psicologa,fy</t>
  </si>
  <si>
    <t>7519523505344400645</t>
  </si>
  <si>
    <t>https://p16-sign-va.tiktokcdn.com/tos-maliva-avt-0068/9e06e976e88a97c1965a9363892b8bc4~tplv-tiktokx-cropcenter:100:100.jpeg?dr=14579&amp;refresh_token=b97728d9&amp;x-expires=1764727200&amp;x-signature=KB5v%2BUqgvWfPIlwPaWTDAiLys2w%3D&amp;t=4d5b0474&amp;ps=13740610&amp;shp=a5d48078&amp;shcp=81f88b70&amp;idc=my</t>
  </si>
  <si>
    <t>https://www.tiktok.com/@leibarrosoficial/video/7323673637607836933</t>
  </si>
  <si>
    <t>viraltiktok,tdahtiktok,viralvideo,tdah,tdahadulto,tdahmemes,tdahdescomplicado,tdahcheck,fypシ,fyp,foryou,fy,fypシ゚viral</t>
  </si>
  <si>
    <t>Transtorno de Déficit de Atenção e Hiperatividade #tdah #tdahadulto #viraliza #video #fyp #fyyyyyyyyyyyyyyyy</t>
  </si>
  <si>
    <t>https://v16-webapp-prime.tiktok.com/video/tos/useast2a/tos-useast2a-ve-0068c001/ooIlvFEBVaQFpB3U5atEq0Q6JREgQ2TiA31iS/?a=1988&amp;bti=ODszNWYuMDE6&amp;ch=0&amp;cr=3&amp;dr=0&amp;lr=all&amp;cd=0%7C0%7C0%7C&amp;cv=1&amp;br=1160&amp;bt=580&amp;cs=0&amp;ds=3&amp;ft=-Csk_mrMPD12NlZh5d-Uxe42hY6e3wv25XcAp&amp;mime_type=video_mp4&amp;qs=0&amp;rc=NjU3NTo5ZTc4Omc0ZTs5O0Bpajw6d3E5cjNlNDMzNzczM0BfXzFgYS5iXmIxLTE2MjM1YSNmYy82MmRrYWFhLS1kMTZzcw%3D%3D&amp;btag=e00090000&amp;expire=1764728642&amp;l=2025120110230191B9E120BA4BAD649458&amp;ply_type=2&amp;policy=2&amp;signature=37073f49aba3cce6cb39976fc6c1dfae&amp;tk=tt_chain_token</t>
  </si>
  <si>
    <t>https://v16-webapp-prime.tiktok.com/video/tos/useast2a/tos-useast2a-v-27dcd7/owpCxBEDgnDAJwQ34kAtF2kBf3JACmEUPREMfO/?a=1988&amp;bti=ODszNWYuMDE6&amp;ch=0&amp;cr=0&amp;dr=0&amp;er=0&amp;lr=default&amp;cd=0%7C0%7C0%7C0&amp;br=252&amp;bt=126&amp;ds=5&amp;ft=GNDpcInz7ThUK-UPXq8Zmo&amp;mime_type=audio_mpeg&amp;qs=13&amp;rc=anE5OnU5cjY2dDMzNzU8M0BpanE5OnU5cjY2dDMzNzU8M0Bsb25tMmQ0cGZgLS1kMTZzYSNsb25tMmQ0cGZgLS1kMTZzcw%3D%3D&amp;btag=e00078000&amp;expire=1763004168&amp;l=202511131022270BBA173F4561DD71A814&amp;ply_type=3&amp;policy=3&amp;signature=3c4fc970f9d3c547713e4dba569822a5&amp;tk=7571587458748974088</t>
  </si>
  <si>
    <t>https://www.tiktok.com/@maylahaddad/video/7519523505344400645</t>
  </si>
  <si>
    <t>https://v16-webapp-prime.tiktok.com/video/tos/useast2a/tos-useast2a-ve-0068c003/oQpv4QSDNCP04VRFEB9HhAIfICjkfSKgAjEh2f/?a=1988&amp;bti=ODszNWYuMDE6&amp;ch=0&amp;cr=3&amp;dr=0&amp;lr=all&amp;cd=0%7C0%7C0%7C&amp;br=1564&amp;bt=782&amp;cs=0&amp;ds=3&amp;ft=I~da4oKyD12NviW0i.IxRHqNglBF-UjNSqopiX&amp;mime_type=video_mp4&amp;qs=0&amp;rc=NGk3OzQ5ZGk8NWk1M2ZlN0BpanJnanQ5cnk2dDMzNzczM0AtMi81Mi5gXy4xNDNgMl9gYSNoMDFjMmRzb2ZgLS1kMTZzcw%3D%3D&amp;btag=e000b8000&amp;expire=1763173368&amp;l=202511131022270BBA173F4561DD71A814&amp;ply_type=2&amp;policy=2&amp;signature=b1319f643ced489d862a1e35b066f21f&amp;tk=tt_chain_token</t>
  </si>
  <si>
    <t>tdah,tdahadulto,viraliza,video,fyp,fyyyyyyyyyyyyyyyy</t>
  </si>
  <si>
    <t>https://p16-sign-va.tiktokcdn.com/tos-maliva-avt-0068/7c37b76173649fc5b2582a6d66b305c7~tplv-tiktokx-cropcenter:100:100.jpeg?dr=14579&amp;refresh_token=cc22c390&amp;x-expires=1764727200&amp;x-signature=S52AJpoc7PrSv7t4Z5qn92df5PY%3D&amp;t=4d5b0474&amp;ps=13740610&amp;shp=a5d48078&amp;shcp=81f88b70&amp;idc=my</t>
  </si>
  <si>
    <t>7403924323074870533</t>
  </si>
  <si>
    <t>TDAH E  FRUSTRAÇÃO #fy #fyp #pessoas #tdah #autoestima #autocuidado #autoconhecimento #amorpropio #dominiopropio #viral #viralvideo #saudemental #tdahadulto #frustração #CapCut</t>
  </si>
  <si>
    <t>TDAH E 
FRUSTRAÇÃO
TDAH E 
FRUSTRAÇÃO</t>
  </si>
  <si>
    <t>7403924326644615942</t>
  </si>
  <si>
    <t>https://v16-webapp-prime.tiktok.com/video/tos/useast2a/tos-useast2a-v-27dcd7/ogIu5AToICEefIGAANAgkQ4eSCLvFCgGA9H355/?a=1988&amp;bti=ODszNWYuMDE6&amp;ch=0&amp;cr=0&amp;dr=0&amp;er=0&amp;lr=default&amp;cd=0%7C0%7C0%7C0&amp;br=250&amp;bt=125&amp;ds=5&amp;ft=GNDpcInz7ThN9-UPXq8Zmo&amp;mime_type=audio_mpeg&amp;qs=13&amp;rc=MzVzNXg5cngzdTMzNzU8M0BpMzVzNXg5cngzdTMzNzU8M0BocjZjMmRzXy1gLS1kMTZzYSNocjZjMmRzXy1gLS1kMTZzcw%3D%3D&amp;btag=e00048000&amp;expire=1763004305&amp;l=20251113102410CE8B814C77F7637842AC&amp;ply_type=3&amp;policy=3&amp;signature=a1c22c091494de43ea94190c2a8a24bf&amp;tk=7571587458748974088</t>
  </si>
  <si>
    <t>https://p77-sg.tiktokcdn.com/aweme/720x720/tos-alisg-v-2774/oQcWjf9n9w2sBBAEALwiBmAorAciEtvm0FbHAD.jpeg</t>
  </si>
  <si>
    <t>https://v16-webapp-prime.tiktok.com/video/tos/maliva/tos-maliva-ve-0068c801-us/oYR4GUJtfzeQR2GeFARSvIt8dW2AeWgMBikEUG/?a=1988&amp;bti=ODszNWYuMDE6&amp;ch=0&amp;cr=3&amp;dr=0&amp;lr=all&amp;cd=0%7C0%7C0%7C&amp;cv=1&amp;br=1426&amp;bt=713&amp;cs=0&amp;ds=3&amp;ft=-Csk_mrMPD12NaDh5d-Uxq42hY6e3wv25IcAp&amp;mime_type=video_mp4&amp;qs=0&amp;rc=ZmZkaDNmNjNnNjc1aTNlaEBpamVwdWs5cmU2bjMzNzczM0A2LjRiM2IxXy8xLzMzYjQtYSNuZXAvMmRrX3NgLS1kMTZzcw%3D%3D&amp;btag=e00098000&amp;expire=1764728708&amp;l=202512011021380CC83080A64AA152B5B8&amp;ply_type=2&amp;policy=2&amp;signature=cfc4b318298e2a0b350f4d115237feec&amp;tk=tt_chain_token</t>
  </si>
  <si>
    <t>https://v16-webapp-prime.tiktok.com/video/tos/maliva/tos-maliva-ve-0068c801-us/o4GiQfVKDBDmFrLEDAEBAgIhwBJEFfPQlXR9VA/?a=1988&amp;bti=ODszNWYuMDE6&amp;ch=0&amp;cr=3&amp;dr=0&amp;lr=all&amp;cd=0%7C0%7C0%7C&amp;cv=1&amp;br=1980&amp;bt=990&amp;cs=0&amp;ds=3&amp;ft=I~da4oKyD12Nv5A0i.IxRIk_glBF-UjNSbopiX&amp;mime_type=video_mp4&amp;qs=0&amp;rc=NTQ5OzpoN2kzM2VoOGloOUBpamRwPGw5cmozdTMzNzczM0BfMzVeYV8zXzQxNmA1MTNgYSNzYzVlMmRzXi1gLS1kMTZzcw%3D%3D&amp;btag=e00088000&amp;expire=1763173505&amp;l=20251113102410CE8B814C77F7637842AC&amp;ply_type=2&amp;policy=2&amp;signature=46d5304f17f3482e795bcac3641239a3&amp;tk=tt_chain_token</t>
  </si>
  <si>
    <t>7574595264749538578</t>
  </si>
  <si>
    <t>terapeutaliviapinheiro</t>
  </si>
  <si>
    <t>Terapeuta Lívia Pinhêiro</t>
  </si>
  <si>
    <t>https://p16-sign-va.tiktokcdn.com/tos-maliva-avt-0068/91bee1dd715ee641a4d76c69ee7d8a48~tplv-tiktokx-cropcenter:100:100.jpeg?dr=14579&amp;refresh_token=e1582f0d&amp;x-expires=1764727200&amp;x-signature=mUrG%2FnnQ1NKiCHkYf4RqpgP0to0%3D&amp;t=4d5b0474&amp;ps=13740610&amp;shp=a5d48078&amp;shcp=81f88b70&amp;idc=my</t>
  </si>
  <si>
    <t>https://www.tiktok.com/@evolutiva_mente/video/7403924323074870533</t>
  </si>
  <si>
    <t>4 suplementos que toda pessoa com TDAH deveria tomar. #tdah #tdahadulto #terapiasintegrativas #terapiasnaturales #tdahtiktok  @Terapeuta Lívia Pinhêiro</t>
  </si>
  <si>
    <t>fy,fyp,pessoas,tdah,autoestima,autocuidado,autoconhecimento,amorpropio,dominiopropio,viral,viralvideo,saudemental,tdahadulto,frustração,capcut</t>
  </si>
  <si>
    <t>4 suplementos para o TDAH  Lívia Pinhêiro 
Especialista em TDAH Salva e compartilha  Ômega 3
Humor, memória, concentração  Zinco
Dopamina e serotonina Magnésio
(Citrato ou glicinato) Fosfatidilserina (PS) Não faça suplementação sem
orientação profissional Link na Bio para
Sessão experimental </t>
  </si>
  <si>
    <t>fy,fyp,pessoas,tdah,autoestima,autocuidado,autoconhecimento,amorpropio,dominiopropio,viral,viralvideo,saudemental,tdahadulto,frustração,CapCut</t>
  </si>
  <si>
    <t>7574595392400706312</t>
  </si>
  <si>
    <t>https://v16-webapp-prime.tiktok.com/video/tos/alisg/tos-alisg-v-27dcd7/o8fmvliQHBBFyeAIAIgAhACV125gMpMuDUJ8EA/?a=1988&amp;bti=ODszNWYuMDE6&amp;ch=0&amp;cr=0&amp;dr=0&amp;er=0&amp;lr=default&amp;cd=0%7C0%7C0%7C0&amp;br=250&amp;bt=125&amp;ds=5&amp;ft=GNDpcInz7ThCPKvPXq8Zmo&amp;mime_type=audio_mpeg&amp;qs=13&amp;rc=M3Q4b2o5cnI4NzMzODU8NEBpM3Q4b2o5cnI4NzMzODU8NEBkLW9xMmRrcGNhLS1kMS1zYSNkLW9xMmRrcGNhLS1kMS1zcw%3D%3D&amp;btag=e00050000&amp;expire=1764559349&amp;l=20251201102042908EBE054CA4706238E0&amp;ply_type=3&amp;policy=3&amp;signature=479a3b3d00e06c6c27f04a2b2fea9443&amp;tk=7571587458748974088</t>
  </si>
  <si>
    <t>https://v16-webapp-prime.tiktok.com/video/tos/maliva/tos-maliva-v-27dcd7c799-us/c333cd205a4f40e8b744be4828d93770/?a=1988&amp;bti=ODszNWYuMDE6&amp;ch=0&amp;cr=0&amp;dr=0&amp;er=0&amp;lr=default&amp;cd=0%7C0%7C0%7C0&amp;br=198&amp;bt=99&amp;ds=5&amp;ft=GNDpcInz7ThN9-UPXq8Zmo&amp;mime_type=audio_mp4&amp;qs=13&amp;rc=anB5djw6Zm81OzMzZzU8NEBpanB5djw6Zm81OzMzZzU8NEBrMmJvcjQwcDVgLS1kMS9zYSNrMmJvcjQwcDVgLS1kMS9zcw%3D%3D&amp;btag=e00070000&amp;expire=1763004261&amp;l=20251113102410CE8B814C77F7637842AC&amp;ply_type=3&amp;policy=3&amp;signature=c2bdf9f3cd56c79aa6114eb55f955c28&amp;tk=7571587458748974088</t>
  </si>
  <si>
    <t>https://p77-sign-va.tiktokcdn.com/tos-maliva-avt-0068/91bee1dd715ee641a4d76c69ee7d8a48~tplv-tiktokx-cropcenter:1080:1080.jpeg?dr=14579&amp;refresh_token=f6e3d679&amp;x-expires=1764727200&amp;x-signature=ioiWIP08VJVl4SCLWmOswCXWato%3D&amp;t=4d5b0474&amp;ps=13740610&amp;shp=a5d48078&amp;shcp=81f88b70&amp;idc=my</t>
  </si>
  <si>
    <t>https://p16-sign-va.tiktokcdn.com/tos-maliva-avt-0068/bf3e85492ef0c591e6c4fb283a3a3dc7~tplv-tiktokx-cropcenter:1080:1080.jpeg?dr=14579&amp;refresh_token=80a2327b&amp;x-expires=1763172000&amp;x-signature=zcbbLcQ4Iurx%2FF3DQDlwgOaG8RA%3D&amp;t=4d5b0474&amp;ps=13740610&amp;shp=a5d48078&amp;shcp=81f88b70&amp;idc=my</t>
  </si>
  <si>
    <t>https://v16-webapp-prime.tiktok.com/video/tos/alisg/tos-alisg-pve-0037c001/oUKeAvfe7sof0iXAgIgYnO44RjgQAXBeMg8vdN/?a=1988&amp;bti=ODszNWYuMDE6&amp;ch=0&amp;cr=3&amp;dr=0&amp;lr=all&amp;cd=0%7C0%7C0%7C&amp;cv=1&amp;br=2436&amp;bt=1218&amp;cs=0&amp;ds=3&amp;ft=-Csk_mrMPD12NKdh5d-Uxs12aY6e3wv252cAp&amp;mime_type=video_mp4&amp;qs=0&amp;rc=NjllPDloaTdnNGRpZWU7OUBpM2kzbmw5cng4NzMzODczNEAwYzU2LS5iNjAxYjAzLTUyYSNza3JjMmRzbmNhLS1kMTFzcw%3D%3D&amp;btag=e00090000&amp;expire=1764728549&amp;l=20251201102042908EBE054CA4706238E0&amp;ply_type=2&amp;policy=2&amp;signature=eb985afd7c4f59e9cc9cf124921200e7&amp;tk=tt_chain_token</t>
  </si>
  <si>
    <t>https://v16-webapp-prime.tiktok.com/video/tos/useast2a/tos-useast2a-pve-0068/okokJXcibBTIBAFReBbEmRxMAXEFQrfd42MDEY/?a=1988&amp;bti=ODszNWYuMDE6&amp;ch=0&amp;cr=3&amp;dr=0&amp;lr=all&amp;cd=0%7C0%7C0%7C&amp;cv=1&amp;br=1134&amp;bt=567&amp;cs=0&amp;ds=3&amp;ft=I~da4oKyD12Nv5A0i.IxRIk_glBF-UjNSbopiX&amp;mime_type=video_mp4&amp;qs=0&amp;rc=M2ZoOzloNTVkOjk3NmlnM0BpM21vPHg5cjk0NDMzNzczM0AxMjEtNTFfNTAxNTViX18wYSNgamRlMmRzb2JhLS1kMTZzcw%3D%3D&amp;btag=e000b0000&amp;expire=1763173460&amp;l=20251113102410CE8B814C77F7637842AC&amp;ply_type=2&amp;policy=2&amp;signature=ed9e1dbfcdd9182b4e6f367d2f156c1b&amp;tk=tt_chain_token</t>
  </si>
  <si>
    <t>https://www.tiktok.com/@terapeutaliviapinheiro/video/7574595264749538578</t>
  </si>
  <si>
    <t>https://p16-sign-va.tiktokcdn.com/tos-maliva-avt-0068/38f87d0ccea25144d85cc3d0f2f08234~tplv-tiktokx-cropcenter:100:100.jpeg?dr=14579&amp;refresh_token=7d8dc2f1&amp;x-expires=1763172000&amp;x-signature=P5h0WVaZUwXqcx00LxmUKBJXEpo%3D&amp;t=4d5b0474&amp;ps=13740610&amp;shp=a5d48078&amp;shcp=81f88b70&amp;idc=my</t>
  </si>
  <si>
    <t>tdah,tdahadulto,terapiasintegrativas,terapiasnaturales,tdahtiktok,@Terapeuta Lívia Pinhêiro</t>
  </si>
  <si>
    <t>tdah,tdahadulto,terapiasintegrativas,terapiasnaturales,tdahtiktok</t>
  </si>
  <si>
    <t>https://p16-sign-va.tiktokcdn.com/tos-maliva-avt-0068/df45d1432838340c9c796d007ccac1d1~tplv-tiktokx-cropcenter:100:100.jpeg?dr=14579&amp;refresh_token=baef9f34&amp;x-expires=1764727200&amp;x-signature=xKsT5OkeGUGSNbn1ba15LRZ5ovA%3D&amp;t=4d5b0474&amp;ps=13740610&amp;shp=a5d48078&amp;shcp=81f88b70&amp;idc=my</t>
  </si>
  <si>
    <t>https://v16-webapp-prime.tiktok.com/video/tos/useast2a/tos-useast2a-v-27dcd7/oUFQRGofQe0QkpSE5IeM8FMmvfJWAABAAShdQZ/?a=1988&amp;bti=ODszNWYuMDE6&amp;ch=0&amp;cr=0&amp;dr=0&amp;er=0&amp;lr=default&amp;cd=0%7C0%7C0%7C0&amp;br=250&amp;bt=125&amp;ds=5&amp;ft=GNDpcInz7ThYK-UPXq8Zmo&amp;mime_type=audio_mpeg&amp;qs=13&amp;rc=amhrc3A5cnkzdzMzNzU8M0Bpamhrc3A5cnkzdzMzNzU8M0A2aGZnMmRzYTZgLS1kMTZzYSM2aGZnMmRzYTZgLS1kMTZzcw%3D%3D&amp;btag=e00070000&amp;expire=1763004181&amp;l=20251113102250DC012CE1E68AEAAA2B86&amp;ply_type=3&amp;policy=3&amp;signature=0c5da71bc0d50ad76f05f10bf9757286&amp;tk=7571587458748974088</t>
  </si>
  <si>
    <t>https://p16-sign-va.tiktokcdn.com/tos-maliva-avt-0068/38f87d0ccea25144d85cc3d0f2f08234~tplv-tiktokx-cropcenter:1080:1080.jpeg?dr=14579&amp;refresh_token=3b8ddf97&amp;x-expires=1763172000&amp;x-signature=rXL%2Bl5dsO5cFTDNsQEi1ALuSMhc%3D&amp;t=4d5b0474&amp;ps=13740610&amp;shp=a5d48078&amp;shcp=81f88b70&amp;idc=my</t>
  </si>
  <si>
    <t>https://v16-webapp-prime.tiktok.com/video/tos/maliva/tos-maliva-ve-0068c801-us/ocghRPcAkQJMEyBWeB8eKvhDIvngLdAgdQbKay/?a=1988&amp;bti=ODszNWYuMDE6&amp;ch=0&amp;cr=3&amp;dr=0&amp;lr=all&amp;cd=0%7C0%7C0%7C&amp;cv=1&amp;br=1568&amp;bt=784&amp;cs=0&amp;ds=3&amp;ft=-Csk_mrMPD12NXdh5d-Uxe42hY6e3wv25XcAp&amp;mime_type=video_mp4&amp;qs=0&amp;rc=ZjY3ZDYzaDczN2RnZzdmO0BpM2p5eGU6ZnFpbTMzNzczM0AtNTA2MWBiXzUxNGFeYzFgYSM0LV4vcjRfZGxgLS1kMTZzcw%3D%3D&amp;btag=e00090000&amp;expire=1764728482&amp;l=202512011020161DC26370CAB01566B4BC&amp;ply_type=2&amp;policy=2&amp;signature=4cc069a337ad9728d27850688f8aa06b&amp;tk=tt_chain_token</t>
  </si>
  <si>
    <t>https://webapp-va.tiktok.com/7658b9662e5d3994a42c3045d5f37730/6917e405/kmoat/mps/logo/v3/r/p/v09300g40001ct90dtvog65ro99tm1dg/9c16a9ac867746929d08c934722821f7/ab5c0556c5ec8d24d2f341d1ff28f27e/mp4/main.mp4?a=1988&amp;bti=ODszNWYuMDE6&amp;ch=0&amp;cr=3&amp;dr=0&amp;lr=all&amp;cd=0%7C0%7C0%7C&amp;cv=1&amp;br=0&amp;bt=0&amp;cs=0&amp;ds=3&amp;ft=bLZkJmrMPD12N_hopd-Ux315hY6e3wv25dcAp&amp;mime_type=video_mp4&amp;qs=0&amp;rc=cnF8b2hsc2d3SkBwaHIxaDFybndmOjQ7NTc8O2c1OTo5Zjw5ZkBpajR3PHU5cnczdzQzNzM2M0BjRl5Nc3FePmJKYSNvYF90aHFmOiNjLy80MGAtNjYxNDVeXi42YSNhajZsMmRzYTZgLS1kLTZzcw%3D%3D&amp;btag=e000b0000&amp;definition=720p&amp;du=12&amp;item_id=7445020773682580792&amp;l=20251113102250DC012CE1E68AEAAA2B86&amp;logo_type=tiktok_creator&amp;ply_type=2&amp;policy=eyJ2bSI6MiwiY2siOiJ0dF9jaGFpbl90b2tlbiJ9&amp;sign_params=item_id%2Cuser_text&amp;user_text=meu.mundotdah</t>
  </si>
  <si>
    <t>7307417442958167301</t>
  </si>
  <si>
    <t>TDAH não é frescura... #tdah #viralvideo #viral #tdahadulto #fypシ</t>
  </si>
  <si>
    <t>الصوت الأصلي</t>
  </si>
  <si>
    <t>7234997904363408129</t>
  </si>
  <si>
    <t>https://v16-webapp-prime.tiktok.com/video/tos/alisg/tos-alisg-v-27dcd7/oownHIAzbEglUBNgLnTIDECs4DDg8oevpeewwX/?a=1988&amp;bti=ODszNWYuMDE6&amp;ch=0&amp;cr=0&amp;dr=0&amp;er=0&amp;lr=default&amp;cd=0%7C0%7C0%7C0&amp;br=250&amp;bt=125&amp;ft=GNDpcInz7ThPV-UPXq8Zmo&amp;mime_type=audio_mpeg&amp;qs=6&amp;rc=aDVpaTRmNWYzMzhpZGY4OUBpamxqNzg6Zmt4azMzODU8NEAxMzAvNC1jNV8xNjJiYTI1YSMyazRxcjRvLWdgLS1kMS1zcw%3D%3D&amp;btag=e000b0000&amp;expire=1763004194&amp;l=202511131023026989DBCE704A6574DC2E&amp;ply_type=3&amp;policy=3&amp;signature=aea3433c88e1e944bf348510a2486ebe&amp;tk=7571587458748974088</t>
  </si>
  <si>
    <t>7328381605758635270</t>
  </si>
  <si>
    <t>https://p77-sign-va.tiktokcdn.com/tos-maliva-avt-0068/e629821e4067bea00509a0c98dfdea72~tplv-tiktokx-cropcenter:100:100.jpeg?dr=14579&amp;refresh_token=043bc2e7&amp;x-expires=1764727200&amp;x-signature=TijhLm95Z%2FvaNyouCNgYujQoq5k%3D&amp;t=4d5b0474&amp;ps=13740610&amp;shp=a5d48078&amp;shcp=81f88b70&amp;idc=my</t>
  </si>
  <si>
    <t>https://p16-sign-sg.tiktokcdn.com/tos-alisg-avt-0068/40420f4b96af63fb39f7867a9d0b82bf~tplv-tiktokx-cropcenter:1080:1080.jpeg?dr=14579&amp;refresh_token=42c38a95&amp;x-expires=1763172000&amp;x-signature=x8MI4aNB6tT7BrFPDmVRA27CiS8%3D&amp;t=4d5b0474&amp;ps=13740610&amp;shp=a5d48078&amp;shcp=81f88b70&amp;idc=my</t>
  </si>
  <si>
    <t>الكاتبة:رغد عبد اللطيف</t>
  </si>
  <si>
    <t>https://v16-webapp-prime.tiktok.com/video/tos/maliva/tos-maliva-ve-0068c801-us/oIl1J7pexBCISAFR6BFERXwGdaENQBflLjKDEg/?a=1988&amp;bti=ODszNWYuMDE6&amp;ch=0&amp;cr=3&amp;dr=0&amp;lr=all&amp;cd=0%7C0%7C0%7C&amp;cv=1&amp;br=470&amp;bt=235&amp;cs=0&amp;ds=3&amp;ft=-Csk_mrMPD12NdYopd-UxMTFGY6e3wv25LcAp&amp;mime_type=video_mp4&amp;qs=0&amp;rc=NDhnMzQ7OGY8NWc2Njs7ZEBpMzVuN3c5cnZsbzMzNzczM0AtNTAxNjYzNWExLzQ1NWM1YSNkXjZjMmRjZWhgLS1kMTZzcw%3D%3D&amp;btag=e000b0000&amp;expire=1763173396&amp;l=202511131023026989DBCE704A6574DC2E&amp;ply_type=2&amp;policy=2&amp;signature=5e5518e3c40d84f9d2b6dab54c678887&amp;tk=tt_chain_token</t>
  </si>
  <si>
    <t>A ansiedade estar dentro dos sintomas do tdah. #draanabeatrizbarbosa #ansiedade #tdah #autoconhecimento #autoamorecuidad #CapCut</t>
  </si>
  <si>
    <t>Last Hope (Slowed + Reverb)</t>
  </si>
  <si>
    <t>7296130889522710530</t>
  </si>
  <si>
    <t>https://sf16-ies-music-sg.tiktokcdn.com/obj/tos-alisg-ve-2774/ooBzZ5DEQ9RfCFxDBMFjQGZEQfuFItlQBMgCKA</t>
  </si>
  <si>
    <t>https://www.tiktok.com/@liberdade.mentall/video/7307417442958167301</t>
  </si>
  <si>
    <t>https://p16-sg.tiktokcdn.com/aweme/720x720/tos-alisg-v-2774/oUFDAWD5tkQIeCkAuAGbfIrCgOuzIlLAAfNa48.jpeg</t>
  </si>
  <si>
    <t>tdah,viralvideo,viral,tdahadulto,fypシ</t>
  </si>
  <si>
    <t>7450602754554350853</t>
  </si>
  <si>
    <t>🚨 Desatento x Hiperativo 🚨 Qual você se identifica? Comenta😅👇🏻 #tdah #tdahadulto #comportamentohumano</t>
  </si>
  <si>
    <t>7450602768363621125</t>
  </si>
  <si>
    <t>https://v16-webapp-prime.tiktok.com/video/tos/maliva/tos-maliva-ve-68c800-us/osGaOVeUA2W0LLnIfElCAZSwIZRCkgvgjk7Wf2/?a=1988&amp;bti=ODszNWYuMDE6&amp;ch=0&amp;cr=3&amp;dr=0&amp;lr=all&amp;cd=0%7C0%7C0%7C&amp;cv=1&amp;br=2438&amp;bt=1219&amp;cs=0&amp;ds=3&amp;ft=I~da4oKyD12Nvb.WS.IxRnTNWlBF-UjNS3opiX&amp;mime_type=video_mp4&amp;qs=0&amp;rc=PDczPGdmPGU4ZmlkZ2RnOUBpMzhwZHM5cjZ0cDMzNzczM0AyMzUvMjBeX14xYy1eLzBjYSNqZnNfMmQ0Mm1gLS1kMTZzcw%3D%3D&amp;btag=e00090000&amp;expire=1764728512&amp;l=20251201102046E8B89E886773854715A1&amp;ply_type=2&amp;policy=2&amp;signature=a17e571462ec05f883921852d770f59d&amp;tk=tt_chain_token</t>
  </si>
  <si>
    <t>https://v16-webapp-prime.tiktok.com/video/tos/useast2a/tos-useast2a-v-27dcd7/ogdUhZADNFbyCBJA3n6HJWQAvEIvfBKDILt4fN/?a=1988&amp;bti=ODszNWYuMDE6&amp;ch=0&amp;cr=0&amp;dr=0&amp;er=0&amp;lr=default&amp;cd=0%7C0%7C0%7C0&amp;br=250&amp;bt=125&amp;ds=5&amp;ft=GNDpcInz7ThYK-UPXq8Zmo&amp;mime_type=audio_mpeg&amp;qs=13&amp;rc=ajhoZnc5cmt3dzMzNzU8M0BpajhoZnc5cmt3dzMzNzU8M0BgbzQwMmRza2ZgLS1kMTZzYSNgbzQwMmRza2ZgLS1kMTZzcw%3D%3D&amp;btag=e00070000&amp;expire=1763004184&amp;l=20251113102250DC012CE1E68AEAAA2B86&amp;ply_type=3&amp;policy=3&amp;signature=27777f17c71fb71936527687ab9d8287&amp;tk=7571587458748974088</t>
  </si>
  <si>
    <t>https://webapp-va.tiktok.com/4bacafbc3d357744322487356d0df073/6917e408/kmoat/mps/logo/v3/r/p/v09300g40001ctitng7og65vf5m7r94g/5366f5c05d464a48801099411d62c28a/29e5b0d93281a75a2ca3d19221fc2796/mp4/main.mp4?a=1988&amp;bti=ODszNWYuMDE6&amp;ch=0&amp;cr=3&amp;dr=0&amp;lr=all&amp;cd=0%7C0%7C0%7C&amp;cv=1&amp;br=0&amp;bt=0&amp;cs=0&amp;ds=2&amp;ft=bLZkJmrMPD12N_hopd-Ux315hY6e3wv25dcAp&amp;mime_type=video_mp4&amp;qs=0&amp;rc=cnF8b2hsc2d3SkBwaHIxaDFybndmZDU1ZzQ8MzM7ZDlnMzg5NkBpajw6OHk5cmp3dzQzNzM2M0BjRl5Nc3FePmJKYSNvYF90aHFmOiM1YDMuMTYuNTExMTJgYzMyYSMxb2pjMmQ0a2ZgLS1kLTZzcw%3D%3D&amp;btag=e000b8000&amp;definition=480p&amp;du=15&amp;item_id=7450602754554350853&amp;l=20251113102250DC012CE1E68AEAAA2B86&amp;logo_type=tiktok_creator&amp;ply_type=2&amp;policy=eyJ2bSI6MiwiY2siOiJ0dF9jaGFpbl90b2tlbiJ9&amp;sign_params=item_id%2Cuser_text&amp;user_text=meu.mundotdah</t>
  </si>
  <si>
    <t>https://www.tiktok.com/@autoamorecuidad/video/7328381605758635270</t>
  </si>
  <si>
    <t>draanabeatrizbarbosa,ansiedade,tdah,autoconhecimento,autoamorecuidad,capcut</t>
  </si>
  <si>
    <t>draanabeatrizbarbosa,ansiedade,tdah,autoconhecimento,autoamorecuidad,CapCut</t>
  </si>
  <si>
    <t>7335556234138995974</t>
  </si>
  <si>
    <t>Alguem se identifica ????😅😅😅 #fly #foryou #tdah #tdahadulto #hiperfoco #flypシ</t>
  </si>
  <si>
    <t>7335556265290074886</t>
  </si>
  <si>
    <t>https://v16-webapp-prime.tiktok.com/video/tos/useast2a/tos-useast2a-v-27dcd7/oMNq5iAEkByD5ZKDIoAIB7ZOEfSInFgi7YEApA/?a=1988&amp;bti=ODszNWYuMDE6&amp;ch=0&amp;cr=0&amp;dr=0&amp;er=0&amp;lr=default&amp;cd=0%7C0%7C0%7C0&amp;br=250&amp;bt=125&amp;ds=5&amp;ft=GNDpcInz7ThyPKvPXq8Zmo&amp;mime_type=audio_mpeg&amp;qs=13&amp;rc=M2w3bHM5cjdscTMzNzU8M0BpM2w3bHM5cjdscTMzNzU8M0BpcDBnMmRjMDNgLS1kMTZzYSNpcDBnMmRjMDNgLS1kMTZzcw%3D%3D&amp;btag=e00078000&amp;expire=1764559244&amp;l=202512011020211DC26370CAB01566B5CA&amp;ply_type=3&amp;policy=3&amp;signature=e4837865faf08770ba43e926c9a22929&amp;tk=7571587458748974088</t>
  </si>
  <si>
    <t>https://www.tiktok.com/@meu.mundotdah/video/7450602754554350853</t>
  </si>
  <si>
    <t>7532134283587112198</t>
  </si>
  <si>
    <t>larissac.psicologa</t>
  </si>
  <si>
    <t>https://p77-sign-va.tiktokcdn.com/tos-maliva-avt-0068/ff50e4700c878bbc3dda21248cd221f7~tplv-tiktokx-cropcenter:100:100.jpeg?dr=14579&amp;refresh_token=67d6ddc2&amp;x-expires=1763172000&amp;x-signature=iyTueoGH2A8RR4xfGuJU82VrIaw%3D&amp;t=4d5b0474&amp;ps=13740610&amp;shp=a5d48078&amp;shcp=81f88b70&amp;idc=my</t>
  </si>
  <si>
    <t>https://p16-sign-va.tiktokcdn.com/tos-maliva-avt-0068/889071946a8680cf43388c6e7048691b~tplv-tiktokx-cropcenter:1080:1080.jpeg?dr=14579&amp;refresh_token=a287fa1e&amp;x-expires=1764727200&amp;x-signature=TINjCYF1WGXL6U%2BvTDHKaCAUvaE%3D&amp;t=4d5b0474&amp;ps=13740610&amp;shp=a5d48078&amp;shcp=81f88b70&amp;idc=my</t>
  </si>
  <si>
    <t>Você não precisa  se culpar. Mas pode aprender a se entender e se regular.  A terapia é uma ferramenta para isso.  Agende uma sessão comigo que posso te ajudar.  link na BIO #AjudaPsicológica #ConsultórioPsicológico #PsicólogoOnline #TerapiaTransforma #CuidarDaMente #TDAH #TDAHAdulto #TranstornoDeDéficitDeAtenção #ViverComTDAH #TDAHDicas #TDAHPsicologia</t>
  </si>
  <si>
    <t>7532134273938852664</t>
  </si>
  <si>
    <t>https://v16-webapp-prime.tiktok.com/video/tos/useast2a/tos-useast2a-v-27dcd7/ow0EfEDDSCECHFTzRECfhASogIRPCMeIAA9wET/?a=1988&amp;bti=ODszNWYuMDE6&amp;ch=0&amp;cr=0&amp;dr=0&amp;er=0&amp;lr=default&amp;cd=0%7C0%7C0%7C0&amp;br=250&amp;bt=125&amp;ds=5&amp;ft=GNDpcInz7ThRK-UPXq8Zmo&amp;mime_type=audio_mpeg&amp;qs=13&amp;rc=ajQ5NHg5cmlyNTMzNzU8M0BpajQ5NHg5cmlyNTMzNzU8M0AxZ2dlMmRzNTBhLS1kMTZzYSMxZ2dlMmRzNTBhLS1kMTZzcw%3D%3D&amp;btag=e00078000&amp;expire=1763004170&amp;l=202511131022245A53A91EDE77CC8B0DB4&amp;ply_type=3&amp;policy=3&amp;signature=0f61dec0be0e9ba9e1c436031faca44c&amp;tk=7571587458748974088</t>
  </si>
  <si>
    <t>https://webapp-va.tiktok.com/1c233ea52170a2e5e28f42eb57490aeb/692f9e7c/kmoat/mps/logo/v2/r/p/v09044g40000cn6i30nog65pmfhjqokg/229a272922174a8db059133f6f296fab/abf565848893e6abc63cf79db99a3b70/mp4/main.mp4?a=1988&amp;bti=ODszNWYuMDE6&amp;ch=0&amp;cr=3&amp;dr=0&amp;lr=all&amp;cd=0%7C0%7C0%7C&amp;br=0&amp;bt=0&amp;cs=0&amp;ds=3&amp;eid=1286&amp;ft=g3QHn9DfxxOusd.YtDKt8lcLVWOuRx_HFKKMNOWCuJETJDz7T&amp;mime_type=video_mp4&amp;qs=0&amp;rc=cnF8b2hsc2d3SkBwaHIxaDFybndmZWk8aWk2PDNnZDo1PDpkNUBpanJtaXM5cjNscTMzNzczM0BjRl5Nc3FePmJKYSNvYF90aHFmOiNeMy8zMC4yXzUxLi8vLzYvYSNobmVqMmRrMDNgLS1kMTZzcw%3D%3D&amp;btag=e000b8000&amp;definition=720p&amp;du=23&amp;item_id=7335556234138995974&amp;l=202512011020211DC26370CAB01566B5CA&amp;logo_type=tiktok_m&amp;ply_type=2&amp;policy=eyJ2bSI6MiwiY2siOiJ0dF9jaGFpbl90b2tlbiJ9&amp;user_text=isaquecampos21</t>
  </si>
  <si>
    <t>https://p16-sign-va.tiktokcdn.com/tos-maliva-avt-0068/ff50e4700c878bbc3dda21248cd221f7~tplv-tiktokx-cropcenter:1080:1080.jpeg?dr=14579&amp;refresh_token=e889bcd0&amp;x-expires=1763172000&amp;x-signature=zAImnB6rc%2BAycrCuqQHdska%2FbBc%3D&amp;t=4d5b0474&amp;ps=13740610&amp;shp=a5d48078&amp;shcp=81f88b70&amp;idc=my</t>
  </si>
  <si>
    <t>https://v16-webapp-prime.tiktok.com/video/tos/useast2a/tos-useast2a-ve-0068c003/oQsPIfFDVYJEmCYHBQDAELh2RNoQ5BSEC4EJfi/?a=1988&amp;bti=ODszNWYuMDE6&amp;ch=0&amp;cr=3&amp;dr=0&amp;lr=all&amp;cd=0%7C0%7C0%7C&amp;cv=1&amp;br=1422&amp;bt=711&amp;cs=0&amp;ds=3&amp;ft=-Csk_mrMPD12NXhopd-UxB6vSY6e3wv25rcAp&amp;mime_type=video_mp4&amp;qs=0&amp;rc=ZzQ4ZjllOjU3ZzU2NWc6aEBpajRsZXU5cmtyNTMzNzczM0AwYTFeMmM2NWExMTQ0YS0tYSNjYy0wMmQ0MjBhLS1kMTZzcw%3D%3D&amp;btag=e000b8000&amp;expire=1763173370&amp;l=202511131022245A53A91EDE77CC8B0DB4&amp;ply_type=2&amp;policy=2&amp;signature=5a5bfbe2da261cd74151687b4bbdec3b&amp;tk=tt_chain_token</t>
  </si>
  <si>
    <t>https://www.tiktok.com/@isaquecampos21/video/7335556234138995974</t>
  </si>
  <si>
    <t>fly,foryou,tdah,tdahadulto,hiperfoco,flypシ</t>
  </si>
  <si>
    <t>7523331671614131512</t>
  </si>
  <si>
    <t>"Disciplina Caótica" no TDAH 🧠🔥 . . . Você se identifica? Com TDAH, a sua disciplina não é linear como a de pessoas neurotípicas. E tudo bem! 🛋️ Em alguns dias, o sofá vai te chamar mais alto, TDAH. Você não vai conseguir fazer muita coisa e a sua cama parece te atrair como um ímã. 🔥 Mas terão outros dias, sua energia vai estar a mil. Esses, são os seus "dias de fogo". Onde a sua produtividade surge com tudo e você consegue fazer trabalhos que levariam uma semana,  em um único dia! 🧠 Essa é a "disciplina caótica" em ação: "Dias de baixa" que te preparam, para seus dias de alta produtividade. Um ciclo, que quando mal compreendido, pode nos fazer sentir culpa. Quando na verdade, trata-se apenas de um sistema próprio de funcionamento! 🎙 Animação original Neurodivers.show e dublagem por minha conta! 🔗Referência: "The ADHD Rest Cycle &amp; Chaotic Discipline: How "Down Days" Fuel Your "Fire Days".  #tdahta #tdahadultos #disciplina #tdahmemes #disciplinacaótica #animaçãonotiktok</t>
  </si>
  <si>
    <t>7523331688677690168</t>
  </si>
  <si>
    <t>https://v16-webapp-prime.tiktok.com/video/tos/useast2a/tos-useast2a-v-27dcd7/o4CAeQHCR4yQokWTfsh38EESUfg85pTgi20BLM/?a=1988&amp;bti=ODszNWYuMDE6&amp;ch=0&amp;cr=0&amp;dr=0&amp;er=0&amp;lr=default&amp;cd=0%7C0%7C0%7C0&amp;br=250&amp;bt=125&amp;ft=GNDpcInz7ThizKvPXq8Zmo&amp;mime_type=audio_mpeg&amp;qs=6&amp;rc=OjQ8PDU3ZmU2ZjU7ZTlkZUBpajhkNWw5cm82NDMzNzU8M0BiLmM0Nl8vNmExLzFiMTUwYSNnYi1hMmQ0cGhhLS1kMTZzcw%3D%3D&amp;btag=e00090000&amp;expire=1764559369&amp;l=20251201102147CB7160225F86D969BC26&amp;ply_type=3&amp;policy=3&amp;signature=dc263fbd069d6aed2aeffe6b2be2718b&amp;tk=7571587458748974088</t>
  </si>
  <si>
    <t>https://www.tiktok.com/@larissac.psicologa/video/7532134283587112198</t>
  </si>
  <si>
    <t>ajudapsicológica,consultóriopsicológico,psicólogoonline,terapiatransforma,cuidardamente,tdah,tdahadulto,transtornodedéficitdeatenção,vivercomtdah,tdahdicas,tdahpsicologia</t>
  </si>
  <si>
    <t>7213365891981921541</t>
  </si>
  <si>
    <t>https://p77-sign-va.tiktokcdn.com/tos-maliva-avt-0068/1c71a0228c5bad5aadc1820539c510e2~tplv-tiktokx-cropcenter:100:100.jpeg?dr=14579&amp;refresh_token=8e97cb7f&amp;x-expires=1763172000&amp;x-signature=hUSSDUOGRE12BHS2bDdfXoFSrJg%3D&amp;t=4d5b0474&amp;ps=13740610&amp;shp=a5d48078&amp;shcp=81f88b70&amp;idc=my</t>
  </si>
  <si>
    <t>Siga @tdahabitos para dicas diárias sobre o seu TDAH! Não existe regra para pessoas com TDAH, esses memes são apenas para ilustrar algumas características e comportamentos que mais acontecem com pessoas diagnosticadas. Mas, somos seres únicos. Não se prenda a um padrão! Você sempre será muito maior do que um diagnóstico. ⚠️⚠️⚠️⚠️⚠️⚠️ Quer participar do maior Congresso Internacional de TDAH em Português? Acesse: www.conintdah.com #tdah #tda #impulsividade</t>
  </si>
  <si>
    <t>7213365933308381957</t>
  </si>
  <si>
    <t>https://v16-webapp-prime.tiktok.com/video/tos/useast2a/tos-useast2a-v-27dcd7/6987e0f9fd334913a9bfd6d7458c461e/?a=1988&amp;bti=ODszNWYuMDE6&amp;ch=0&amp;cr=0&amp;dr=0&amp;er=0&amp;lr=default&amp;cd=0%7C0%7C0%7C0&amp;br=250&amp;bt=125&amp;ds=5&amp;ft=GNDpcInz7ThaK-UPXq8Zmo&amp;mime_type=audio_mpeg&amp;qs=13&amp;rc=M3Y2c2c6ZjpqajMzNzU8M0BpM3Y2c2c6ZjpqajMzNzU8M0AtLWJscjRnYGFgLS1kMTZzYSMtLWJscjRnYGFgLS1kMTZzcw%3D%3D&amp;btag=e00070000&amp;expire=1763004170&amp;l=202511131022406C90E0DA9AAAC98C2302&amp;ply_type=3&amp;policy=3&amp;signature=184070903998890cf437f30c12777ac1&amp;tk=7571587458748974088</t>
  </si>
  <si>
    <t>https://v16-webapp-prime.tiktok.com/video/tos/useast2a/tos-useast2a-ve-0068c003/ooocCUinEQ3g28BAiS7GsPamhApQ5EdPzIl4v/?a=1988&amp;bti=ODszNWYuMDE6&amp;ch=0&amp;cr=3&amp;dr=0&amp;lr=all&amp;cd=0%7C0%7C0%7C&amp;cv=1&amp;br=782&amp;bt=391&amp;cs=0&amp;ds=3&amp;ft=-Csk_mrMPD12N3Dh5d-UxIS5hY6e3wv25ocAp&amp;mime_type=video_mp4&amp;qs=0&amp;rc=OzczODQ3Z2c8ODVkODpmNkBpM3NxcnA5cjk2NDMzNzgzM0AwYjQwMS5gNTExXzItLy41YSNiZV9rMmQ0bWhhLS1kLzZzcw%3D%3D&amp;btag=e00090000&amp;expire=1764728569&amp;l=20251201102147CB7160225F86D969BC26&amp;ply_type=2&amp;policy=2&amp;signature=fa35b056ac28ae526bba2e73df6e1831&amp;tk=tt_chain_token</t>
  </si>
  <si>
    <t>https://webapp-va.tiktok.com/e96ef8a06b71e06a5a85b07359b834c7/6917e3fd/kmoat/mps/logo/v3/r/p/v09025g40000cgdgbpbc77u1ua86letg/0a4045493a034991baa15301d9bcc16e/ee34f06a81d3dd14365b49ca1a51860d/mp4/main.mp4?a=1988&amp;bti=ODszNWYuMDE6&amp;ch=0&amp;cr=3&amp;dr=0&amp;lr=all&amp;cd=0%7C0%7C0%7C&amp;cv=1&amp;br=0&amp;bt=0&amp;cs=0&amp;ds=3&amp;ft=bLZkJmrMPD12N8hopd-Ux~v2bY6e3wv251cAp&amp;mime_type=video_mp4&amp;qs=0&amp;rc=cnF8b2hsc2d3SkBwaHIxaDFybndmaDRmPDQ2NGQ0PDZkPDgzZEBpamg5ZDQ6ZnNqajMzNzgzM0BjRl5Nc3FePmJKYSNvYF90aHFmOiMzYF9hLTJeXzYxLTAxMTEtYSNxaTVycjRfX2FgLS1kLzZzcw%3D%3D&amp;btag=e000b0000&amp;definition=720p&amp;du=14&amp;item_id=7213365891981921541&amp;l=202511131022406C90E0DA9AAAC98C2302&amp;logo_type=tiktok_creator&amp;ply_type=2&amp;policy=eyJ2bSI6MiwiY2siOiJ0dF9jaGFpbl90b2tlbiJ9&amp;sign_params=item_id%2Cuser_text&amp;user_text=tdahabitos</t>
  </si>
  <si>
    <t>https://www.tiktok.com/@lorenatdahta/video/7523331671614131512</t>
  </si>
  <si>
    <t>tdahta,tdahadultos,disciplina,tdahmemes,disciplinacaótica,animaçãonotiktok</t>
  </si>
  <si>
    <t>7288372944240200966</t>
  </si>
  <si>
    <t>daianesilva8200</t>
  </si>
  <si>
    <t>Neuropsicologa com TDAH Daiane</t>
  </si>
  <si>
    <t>https://p77-sign-va.tiktokcdn.com/tos-maliva-avt-0068/433505c341713a94d8cfecbc28e821d5~tplv-tiktokx-cropcenter:100:100.jpeg?dr=14579&amp;refresh_token=ff1ddde0&amp;x-expires=1764727200&amp;x-signature=i0R59VJr2%2B1PaFR1iOBTK1Rd0yE%3D&amp;t=4d5b0474&amp;ps=13740610&amp;shp=a5d48078&amp;shcp=81f88b70&amp;idc=my</t>
  </si>
  <si>
    <t>O sentimento de uma MILHER com TDAH #tdah #tdahtiktok #tdahadulto #tdahi #tdahhumor #tdipower</t>
  </si>
  <si>
    <t>https://www.tiktok.com/@tdahabitos/video/7213365891981921541</t>
  </si>
  <si>
    <t xml:space="preserve">@psidaianenascimento
. </t>
  </si>
  <si>
    <t>Cruel Summer</t>
  </si>
  <si>
    <t>7211414788142794754</t>
  </si>
  <si>
    <t>https://sf16-ies-music-sg.tiktokcdn.com/obj/tos-alisg-ve-2774/o4U21zgOfCQJ7hZedDZmTPBG8EBQFtHxb3qYR4</t>
  </si>
  <si>
    <t>tdah,tda,impulsividade</t>
  </si>
  <si>
    <t>7239365452550458629</t>
  </si>
  <si>
    <t>curioschannel</t>
  </si>
  <si>
    <t>curioschan</t>
  </si>
  <si>
    <t>https://p16-sign-va.tiktokcdn.com/tos-maliva-avt-0068/7b4941000daaed5c4f1e1574673c1aca~tplv-tiktokx-cropcenter:100:100.jpeg?dr=14579&amp;refresh_token=85223190&amp;x-expires=1763172000&amp;x-signature=9MlZotOX1qqFzk8giFeHFE7EL6o%3D&amp;t=4d5b0474&amp;ps=13740610&amp;shp=a5d48078&amp;shcp=81f88b70&amp;idc=my</t>
  </si>
  <si>
    <t>https://p16-sg.tiktokcdn.com/aweme/720x720/tos-alisg-v-2774/443e43fd468f4d7a93eaf00493c1dcef.jpeg</t>
  </si>
  <si>
    <t>Taylor Swift</t>
  </si>
  <si>
    <t>https://v16-webapp-prime.tiktok.com/video/tos/alisg/tos-alisg-ve-37c813-sg/o0AA8QkzyAgBL3zfhFPsNAI2Cg8lNktooIEKc8/?a=1988&amp;bti=ODszNWYuMDE6&amp;ch=0&amp;cr=3&amp;dr=0&amp;lr=all&amp;cd=0%7C0%7C0%7C&amp;cv=1&amp;br=1734&amp;bt=867&amp;cs=0&amp;ds=3&amp;ft=ytpHh9DfxxOusd.YtDKt8lcLVWOuRx_HFKKMNOWCuJETJDz7T&amp;mime_type=video_mp4&amp;qs=0&amp;rc=OWg8aTxoOzw3MzY7ZDVkOkBpM2VtZDQ6ZnhybjMzNzczM0BhYF5hYTMuNS4xYmEwYzReYSMtMzRvcjQwLWZgLS1kMTZzcw%3D%3D&amp;btag=e00088000&amp;expire=1764728470&amp;l=202512011020211DC26370CAB01566B5CA&amp;ply_type=2&amp;policy=2&amp;signature=c92bd8ca2a67df6e9f19dbd61863452e&amp;tk=tt_chain_token</t>
  </si>
  <si>
    <t>#curiosidades #conhecimento #fatos #vibedodia #aprendanotitok</t>
  </si>
  <si>
    <t>Como as pessoas com TDAH vêem o mundo TDAH</t>
  </si>
  <si>
    <t>7239365455752006405</t>
  </si>
  <si>
    <t>https://v16-webapp-prime.tiktok.com/video/tos/useast2a/tos-useast2a-v-27dcd7/fa5f63eef6434e6fad8c28e428cabaf7/?a=1988&amp;bti=ODszNWYuMDE6&amp;ch=0&amp;cr=0&amp;dr=0&amp;er=0&amp;lr=default&amp;cd=0%7C0%7C0%7C0&amp;br=250&amp;bt=125&amp;ds=5&amp;ft=GNDpcInz7ThYK-UPXq8Zmo&amp;mime_type=audio_mpeg&amp;qs=13&amp;rc=amtpcjQ6ZjVwazMzNzU8M0BpamtpcjQ6ZjVwazMzNzU8M0A2LWg0cjRvNm9gLS1kMTZzYSM2LWg0cjRvNm9gLS1kMTZzcw%3D%3D&amp;btag=e00048000&amp;expire=1763004199&amp;l=20251113102250DC012CE1E68AEAAA2B86&amp;ply_type=3&amp;policy=3&amp;signature=2d251683c58c3d4e30d268a33f984d98&amp;tk=7571587458748974088</t>
  </si>
  <si>
    <t>https://www.tiktok.com/@daianesilva8200/video/7288372944240200966</t>
  </si>
  <si>
    <t>tdah,tdahtiktok,tdahadulto,tdahi,tdahhumor,tdipower</t>
  </si>
  <si>
    <t>7411174844793916677</t>
  </si>
  <si>
    <t>📢 DOIS TIPOS de TDAH? 🤯 Nesse vídeo você vai conhecer de forma divertida as diferenças entre o TDAH Desatento e o TDAH Hiperativo – e o melhor de tudo, com uma boa dose de humor! 😂 🔍 TDAH Desatento: Essa é aquela pessoa que vive “nas nuvens”, esquece compromissos, perde objetos, e tem dificuldade para se concentrar nas tarefas. Às vezes parece que o cérebro está em outro mundo! 🌥️ ⚡ TDAH Hiperativo: Aqui, o corpo não para! Muita energia, agitação constante, dificuldade de ficar quieto e focado em uma única tarefa. Sempre buscando algo novo! 🏃‍♂️ 🎯 Mas o que muita gente não sabe é que os dois tipos afetam de forma diferente o dia a dia de quem tem TDAH. No vídeo, você vai ver esses dois mundos se encontrando – e o resultado é hilário! 😅  Assista até o final e comente se você se identifica com algum desses tipos! ⬇️ #TDAH #SaúdeMental #Atenção #FocoNoFoco #Hiperatividade #TranstornoDeAtenção AVISO LEGAL: Este conteúdo é apenas informativo e não substitui a consulta a um médico, não estabelece relação médico-paciente via redes sociais e não indica tratamento. Consultas individuais são essenciais para uma avaliação completa e tratamento adequado.</t>
  </si>
  <si>
    <t>7411174876013464325</t>
  </si>
  <si>
    <t>https://v16-webapp-prime.tiktok.com/video/tos/useast2a/tos-useast2a-v-27dcd7/oEDEzyvEE7eUJV2BEZ0DfB2JhNCFAAcQAMomEL/?a=1988&amp;bti=ODszNWYuMDE6&amp;ch=0&amp;cr=0&amp;dr=0&amp;er=0&amp;lr=default&amp;cd=0%7C0%7C0%7C0&amp;br=250&amp;bt=125&amp;ds=5&amp;ft=GNDpcInz7ThuzKvPXq8Zmo&amp;mime_type=audio_mpeg&amp;qs=13&amp;rc=MzdobHg5cm12dTMzNzU8M0BpMzdobHg5cm12dTMzNzU8M0BvcnJxMmRjZGBgLS1kMTZzYSNvcnJxMmRjZGBgLS1kMTZzcw%3D%3D&amp;btag=e00048000&amp;expire=1764559342&amp;l=202512011021508D2E02B19879BA6D89C0&amp;ply_type=3&amp;policy=3&amp;signature=e86fd6fb3896f8f62879a41b4b745afd&amp;tk=7571587458748974088</t>
  </si>
  <si>
    <t>https://p16-sign-va.tiktokcdn.com/tos-maliva-avt-0068/7b4941000daaed5c4f1e1574673c1aca~tplv-tiktokx-cropcenter:1080:1080.jpeg?dr=14579&amp;refresh_token=7df9b504&amp;x-expires=1763172000&amp;x-signature=XABWT4z6AIEMirajHKVBYNZxgYI%3D&amp;t=4d5b0474&amp;ps=13740610&amp;shp=a5d48078&amp;shcp=81f88b70&amp;idc=my</t>
  </si>
  <si>
    <t>https://v16-webapp-prime.tiktok.com/video/tos/useast2a/tos-useast2a-ve-0068c001/okEVgbsrnBkke8OEGfDX2tQXdBJIqGAQY4RSKA/?a=1988&amp;bti=ODszNWYuMDE6&amp;ch=0&amp;cr=3&amp;dr=0&amp;lr=all&amp;cd=0%7C0%7C0%7C&amp;cv=1&amp;br=1194&amp;bt=597&amp;cs=0&amp;ds=3&amp;ft=-Csk_mrMPD12N_hopd-Ux315hY6e3wv25dcAp&amp;mime_type=video_mp4&amp;qs=0&amp;rc=NzRoO2ZnaTllOjw1Nzs4ZEBpanB2b2Y6ZjRwazMzNzczM0A0NF4zYDIwNi0xXl9gL2IuYSMuLWBecjRnMm9gLS1kMTZzcw%3D%3D&amp;btag=e00088000&amp;expire=1763173399&amp;l=20251113102250DC012CE1E68AEAAA2B86&amp;ply_type=2&amp;policy=2&amp;signature=51f4bef49c5487c1e4469d8e15b42a65&amp;tk=tt_chain_token</t>
  </si>
  <si>
    <t>https://v16-webapp-prime.tiktok.com/video/tos/useast2a/tos-useast2a-ve-0068c003/oksggMJDmBy4tx8FEMScOAIfEBkZf2WQCREFb4/?a=1988&amp;bti=ODszNWYuMDE6&amp;ch=0&amp;cr=3&amp;dr=0&amp;lr=all&amp;cd=0%7C0%7C0%7C&amp;cv=1&amp;br=380&amp;bt=190&amp;cs=0&amp;ds=6&amp;ft=-Csk_mrMPD12NGDh5d-UxSc2hY6e3wv25DcAp&amp;mime_type=video_mp4&amp;qs=5&amp;rc=Zjg6ZWY2M2doNzRoNDhkOkBpM2dtanY5cmh2dTMzNzczM0AxMDY0Xl8tXy0xYWBgYjQ0YSNqbWhjMmQ0ZGBgLS1kMTZzcw%3D%3D&amp;btag=e00088000&amp;expire=1764728542&amp;l=202512011021508D2E02B19879BA6D89C0&amp;ply_type=2&amp;policy=2&amp;signature=2ac49bf6bd02d32c6edddd2e8d6313ae&amp;tk=tt_chain_token</t>
  </si>
  <si>
    <t>https://www.tiktok.com/@curioschannel/video/7239365452550458629</t>
  </si>
  <si>
    <t>https://www.tiktok.com/@drdanieltales/video/7411174844793916677</t>
  </si>
  <si>
    <t>curiosidades,conhecimento,fatos,vibedodia,aprendanotitok</t>
  </si>
  <si>
    <t>https://p16-sign-va.tiktokcdn.com/tos-maliva-avt-0068/6ef179c2b7509aa593d24920992f7fa9~tplv-tiktokx-cropcenter:100:100.jpeg?dr=14579&amp;refresh_token=3b027e42&amp;x-expires=1763172000&amp;x-signature=Pm6t7qhRjm53BOe6E8eKj7UoWMk%3D&amp;t=4d5b0474&amp;ps=13740610&amp;shp=a5d48078&amp;shcp=81f88b70&amp;idc=my</t>
  </si>
  <si>
    <t>tdah,saúdemental,atenção,foconofoco,hiperatividade,transtornodeatenção</t>
  </si>
  <si>
    <t>https://v16-webapp-prime.tiktok.com/video/tos/useast2a/tos-useast2a-v-27dcd7/oEA3AfqHDCDNFA9ofNEGjHERmCSEkIeg09T3IE/?a=1988&amp;bti=ODszNWYuMDE6&amp;ch=0&amp;cr=0&amp;dr=0&amp;er=0&amp;lr=default&amp;cd=0%7C0%7C0%7C0&amp;br=250&amp;bt=125&amp;ds=5&amp;ft=GNDpcInz7ThpzKvPXq8Zmo&amp;mime_type=audio_mpeg&amp;qs=13&amp;rc=M2R1M3Q5cjprdTMzNzU8M0BpM2R1M3Q5cjprdTMzNzU8M0AxcXM2MmRzZjNgLS1kMTZzYSMxcXM2MmRzZjNgLS1kMTZzcw%3D%3D&amp;btag=e00050000&amp;expire=1764559354&amp;l=2025120110213056C909F1BE127E576E48&amp;ply_type=3&amp;policy=3&amp;signature=dc3f649d5de4e813bc50d6f0c5e07e85&amp;tk=7571587458748974088</t>
  </si>
  <si>
    <t>https://v16-webapp-prime.tiktok.com/video/tos/useast2a/tos-useast2a-pve-0068/okeX1ec1BOOZQgIgERKLcIQGCsfStIja7VSAEC/?a=1988&amp;bti=ODszNWYuMDE6&amp;ch=0&amp;cr=3&amp;dr=0&amp;lr=all&amp;cd=0%7C0%7C0%7C&amp;cv=1&amp;br=254&amp;bt=127&amp;cs=0&amp;ds=3&amp;ft=-Csk_mrMPD12N_hopd-Ux315hY6e3wv25dcAp&amp;mime_type=video_mp4&amp;qs=0&amp;rc=cnF8b2hsc2d3SkBwaHIxaDFybndmNzNmZDdlPDtkaTczZWRkM0Bpamlram85cnQzdzMzNzczM0BjRl5Nc3FePmJKYSNvYF90aHFmOiNiXjI2MWItNjYxMDZgYTFiYSMxMnBfMmRzcmFgLS1kMTZzcw%3D%3D&amp;btag=e000b0000&amp;expire=1763173380&amp;l=20251113102250DC012CE1E68AEAAA2B86&amp;ply_type=2&amp;policy=2&amp;signature=bca866fdd369393b9c671f5a9b244b94&amp;tk=tt_chain_token</t>
  </si>
  <si>
    <t>https://v16-webapp-prime.tiktok.com/video/tos/useast2a/tos-useast2a-ve-0068c002/oYrErGgXIbeEJEzBWN2DfBmRjZAFQBRQJCmmEP/?a=1988&amp;bti=ODszNWYuMDE6&amp;ch=0&amp;cr=3&amp;dr=0&amp;lr=all&amp;cd=0%7C0%7C0%7C&amp;cv=1&amp;br=2280&amp;bt=1140&amp;cs=0&amp;ds=3&amp;ft=-Csk_mrMPD12NgDh5d-UxgS5hY6e3wv25-cAp&amp;mime_type=video_mp4&amp;qs=0&amp;rc=Zmc5ZmU6NTplZGY2NDU3O0BpM3BobXg5cnBrdTMzNzczM0AwLmJjL2AtNS4xXzFeMDNhYSNnLXFhMmRjZTNgLS1kMTZzcw%3D%3D&amp;btag=e00090000&amp;expire=1764728554&amp;l=2025120110213056C909F1BE127E576E48&amp;ply_type=2&amp;policy=2&amp;signature=e220373bd4e85eae2a5935dedcb283e1&amp;tk=tt_chain_token</t>
  </si>
  <si>
    <t>7252358453232995589</t>
  </si>
  <si>
    <t>Caberiam várias legendas nesse filme. Como seria a sua?  #tdah #tdahadulto #psicologia #neurodivergente #capcut #humor #dislexia</t>
  </si>
  <si>
    <t>https://p77-sign-va.tiktokcdn.com/tos-maliva-avt-0068/fb5d8971b8ddf2b63242e238ef781ec7~tplv-tiktokx-cropcenter:100:100.jpeg?dr=14579&amp;refresh_token=2ec6a8ba&amp;x-expires=1764727200&amp;x-signature=QFVfNWxfLygV9v2cK7UlNI0yEu8%3D&amp;t=4d5b0474&amp;ps=13740610&amp;shp=a5d48078&amp;shcp=81f88b70&amp;idc=my</t>
  </si>
  <si>
    <t>7252358478081067782</t>
  </si>
  <si>
    <t>https://v16-webapp-prime.tiktok.com/video/tos/useast2a/tos-useast2a-v-27dcd7/okasSzU9EBkQhEAKFgjhLAbACECEoAf0ylAb4N/?a=1988&amp;bti=ODszNWYuMDE6&amp;ch=0&amp;cr=0&amp;dr=0&amp;er=0&amp;lr=default&amp;cd=0%7C0%7C0%7C0&amp;br=250&amp;bt=125&amp;ds=5&amp;ft=GNDpcInz7ThN9-UPXq8Zmo&amp;mime_type=audio_mpeg&amp;qs=13&amp;rc=MzdqcDg6ZjtybDMzNzU8M0BpMzdqcDg6ZjtybDMzNzU8M0BwLXJkcjQwb2ZgLS1kMTZzYSNwLXJkcjQwb2ZgLS1kMTZzcw%3D%3D&amp;btag=e00050000&amp;expire=1763004310&amp;l=20251113102410CE8B814C77F7637842AC&amp;ply_type=3&amp;policy=3&amp;signature=174eb68e0ea0d7caabae971631e98178&amp;tk=7571587458748974088</t>
  </si>
  <si>
    <t>https://v16-webapp-prime.tiktok.com/video/tos/useast2a/tos-useast2a-v-27dcd7/oYZ8Ik1KoBBlPqBcFZixgE0QoK1ooAGGMrfFzi/?a=1988&amp;bti=ODszNWYuMDE6&amp;ch=0&amp;cr=0&amp;dr=0&amp;er=0&amp;lr=default&amp;cd=0%7C0%7C0%7C0&amp;br=250&amp;bt=125&amp;ft=GNDpcInz7Th6zKvPXq8Zmo&amp;mime_type=audio_mpeg&amp;qs=6&amp;rc=Mzo2aGdmNmc2NDNpNTg6aUBpajtpZGs5cm5tMzMzNzU8M0A0YDEzMi0yXjYxNC8zYF8wYSNuX2kyMmRjcG1hLS1kMTZzcw%3D%3D&amp;btag=e00090000&amp;expire=1764559376&amp;l=202512011021446E702D323C03BE6BD085&amp;ply_type=3&amp;policy=3&amp;signature=50a4c5c4e04dde54f9f89452713e8d67&amp;tk=7571587458748974088</t>
  </si>
  <si>
    <t>https://p16-sign-va.tiktokcdn.com/tos-maliva-avt-0068/32df75d3b89fa1e2fb023193ee39e5b7~tplv-tiktokx-cropcenter:1080:1080.jpeg?dr=14579&amp;refresh_token=623b7885&amp;x-expires=1763172000&amp;x-signature=MPLOSI7ZMmZjb%2Br%2Bolddiur%2FFPI%3D&amp;t=4d5b0474&amp;ps=13740610&amp;shp=a5d48078&amp;shcp=81f88b70&amp;idc=my</t>
  </si>
  <si>
    <t>https://v16-webapp-prime.tiktok.com/video/tos/maliva/tos-maliva-ve-68c800-us/os1xBjbnJQX4RmkETjAeqphYlBaAPDzf8gDUIQ/?a=1988&amp;bti=ODszNWYuMDE6&amp;ch=0&amp;cr=3&amp;dr=0&amp;lr=all&amp;cd=0%7C0%7C0%7C&amp;cv=1&amp;br=540&amp;bt=270&amp;cs=0&amp;ds=3&amp;ft=I~da4oKyD12Nv5A0i.IxRIk_glBF-UjNSbopiX&amp;mime_type=video_mp4&amp;qs=0&amp;rc=M2dlPGQ4ZjY3NDw5OWg2OEBpajs2aTg6Zm9ybDMzNzczM0BiMTAuMC9jXzIxLjMtYTBjYSNjZzBucjQwbWZgLS1kMTZzcw%3D%3D&amp;btag=e00090000&amp;expire=1763173510&amp;l=20251113102410CE8B814C77F7637842AC&amp;ply_type=2&amp;policy=2&amp;signature=be38ccf26ded79bad7edf4cbfff88b6f&amp;tk=tt_chain_token</t>
  </si>
  <si>
    <t>https://p77-sign-va.tiktokcdn.com/tos-maliva-avt-0068/fb5d8971b8ddf2b63242e238ef781ec7~tplv-tiktokx-cropcenter:1080:1080.jpeg?dr=14579&amp;refresh_token=69decceb&amp;x-expires=1764727200&amp;x-signature=A5K%2FikxE174155%2BA2oWSNUw3jQA%3D&amp;t=4d5b0474&amp;ps=13740610&amp;shp=a5d48078&amp;shcp=81f88b70&amp;idc=my</t>
  </si>
  <si>
    <t>https://v16-webapp-prime.tiktok.com/video/tos/useast2a/tos-useast2a-pve-0068/ocfZzbqABQBEhDQcv2DwJoEmMIH2MPR4zFfEAd/?a=1988&amp;bti=ODszNWYuMDE6&amp;ch=0&amp;cr=3&amp;dr=0&amp;lr=all&amp;cd=0%7C0%7C0%7C&amp;cv=1&amp;br=1726&amp;bt=863&amp;cs=0&amp;ds=3&amp;ft=-Csk_mrMPD12NVDh5d-UxIS5hY6e3wv25ocAp&amp;mime_type=video_mp4&amp;qs=0&amp;rc=aDhnZmRnZztkN2loOjZlZUBpanJsNnE5cmRtMzMzNzczM0AwNTFgMmBeXjYxNjJfNi9jYSNjMGlrMmRrb21hLS1kMTZzcw%3D%3D&amp;btag=e00090000&amp;expire=1764728576&amp;l=202512011021446E702D323C03BE6BD085&amp;ply_type=2&amp;policy=2&amp;signature=0c0d070afa41db759ffe2f8004d3c07e&amp;tk=tt_chain_token</t>
  </si>
  <si>
    <t>https://www.tiktok.com/@cattarinalia/video/7252358453232995589</t>
  </si>
  <si>
    <t>tdah,tdahadulto,psicologia,neurodivergente,capcut,humor,dislexia</t>
  </si>
  <si>
    <t>tdah,tdahadulto,psicologia,neurodivergente,CapCut,humor,dislexia</t>
  </si>
  <si>
    <t>https://p16-sign-va.tiktokcdn.com/tos-maliva-avt-0068/f1534bc204da122a39cdc9daf5569d52~tplv-tiktokx-cropcenter:100:100.jpeg?dr=14579&amp;refresh_token=bcad303e&amp;x-expires=1763172000&amp;x-signature=rmo1PRJ4NFXsUm%2BfX67yfA85jYY%3D&amp;t=4d5b0474&amp;ps=13740610&amp;shp=a5d48078&amp;shcp=81f88b70&amp;idc=my</t>
  </si>
  <si>
    <t>https://p16-sign-va.tiktokcdn.com/tos-maliva-avt-0068/b7841460d9b1783162ae78e8d2cf3a44~tplv-tiktokx-cropcenter:100:100.jpeg?dr=14579&amp;refresh_token=d12ffd7b&amp;x-expires=1764727200&amp;x-signature=v1VO27%2Fb8e4%2FCGlCNHP%2F1%2FKCpoE%3D&amp;t=4d5b0474&amp;ps=13740610&amp;shp=a5d48078&amp;shcp=81f88b70&amp;idc=my</t>
  </si>
  <si>
    <t>https://v16-webapp-prime.tiktok.com/video/tos/useast2a/tos-useast2a-v-27dcd7/9facb52535ba471cb4ab4bc71ad10931/?a=1988&amp;bti=ODszNWYuMDE6&amp;ch=0&amp;cr=0&amp;dr=0&amp;er=0&amp;lr=default&amp;cd=0%7C0%7C0%7C0&amp;br=250&amp;bt=125&amp;ds=5&amp;ft=GNDpcInz7ThlV-UPXq8Zmo&amp;mime_type=audio_mpeg&amp;qs=13&amp;rc=M246c2c6ZjlsbDMzNzU8M0BpM246c2c6ZjlsbDMzNzU8M0BhczAvcjRfZjJgLS1kMTZzYSNhczAvcjRfZjJgLS1kMTZzcw%3D%3D&amp;btag=e00058000&amp;expire=1763004357&amp;l=20251113102257F8D01E3BFCE9B2911856&amp;ply_type=3&amp;policy=3&amp;signature=d79d73ec9f3bef7c543b93c225e76331&amp;tk=7571587458748974088</t>
  </si>
  <si>
    <t>https://v16-webapp-prime.tiktok.com/video/tos/useast2a/tos-useast2a-v-27dcd7/oUIUyekziBE8B3ntMbayTJQQDHKUh8SheTjCJP/?a=1988&amp;bti=ODszNWYuMDE6&amp;ch=0&amp;cr=0&amp;dr=0&amp;er=0&amp;lr=default&amp;cd=0%7C0%7C0%7C0&amp;br=250&amp;bt=125&amp;ft=GNDpcInz7ThoPKvPXq8Zmo&amp;mime_type=audio_mpeg&amp;qs=6&amp;rc=aThmaTQ0NWYzO2hmNTQ3NkBpanZpdDw6ZnI1bTMzNzU8M0BfNS42M2MzXjMxMDAtMWMuYSNkcWdgcjRfZW1gLS1kMTZzcw%3D%3D&amp;btag=e00098000&amp;expire=1764559488&amp;l=202512011020068133AB7BCB086C5F4CDC&amp;ply_type=3&amp;policy=3&amp;signature=f1b789b53a0c317f958872391c480ad7&amp;tk=7571587458748974088</t>
  </si>
  <si>
    <t>https://p16-sign-va.tiktokcdn.com/tos-maliva-avt-0068/f1534bc204da122a39cdc9daf5569d52~tplv-tiktokx-cropcenter:1080:1080.jpeg?dr=14579&amp;refresh_token=73cffa73&amp;x-expires=1763172000&amp;x-signature=u9bfg27zVA4ba9FKbJVg3RBwps4%3D&amp;t=4d5b0474&amp;ps=13740610&amp;shp=a5d48078&amp;shcp=81f88b70&amp;idc=my</t>
  </si>
  <si>
    <t>https://v16-webapp-prime.tiktok.com/video/tos/maliva/tos-maliva-ve-0068c801-us/octLQyaph1GZAfgKcQkINogKI9TRAAzLCUSNIi/?a=1988&amp;bti=ODszNWYuMDE6&amp;ch=0&amp;cr=3&amp;dr=0&amp;lr=all&amp;cd=0%7C0%7C0%7C&amp;cv=1&amp;br=1746&amp;bt=873&amp;cs=0&amp;ds=3&amp;ft=-Csk_mrMPD12N4Yopd-Ux9T2bY6e3wv25IcAp&amp;mime_type=video_mp4&amp;qs=0&amp;rc=PGQ3aWRkNmQ8aGQ6ZjQ7aEBpMzVvcGU6ZnhsbDMzNzczM0A0NmFhXy8tNWMxNjYxLTIyYSMtbWlocjRnZDJgLS1kMTZzcw%3D%3D&amp;btag=e00098000&amp;expire=1763173557&amp;l=20251113102257F8D01E3BFCE9B2911856&amp;ply_type=2&amp;policy=2&amp;signature=010e40ba904ba6d4d2d493dd0fcd1a72&amp;tk=tt_chain_token</t>
  </si>
  <si>
    <t>https://p77-sign-va.tiktokcdn.com/tos-maliva-avt-0068/b7841460d9b1783162ae78e8d2cf3a44~tplv-tiktokx-cropcenter:1080:1080.jpeg?dr=14579&amp;refresh_token=0943a620&amp;x-expires=1764727200&amp;x-signature=t78t5b553%2FNPxwDnqu3BKSdux5k%3D&amp;t=4d5b0474&amp;ps=13740610&amp;shp=a5d48078&amp;shcp=81f88b70&amp;idc=my</t>
  </si>
  <si>
    <t>https://v16-webapp-prime.tiktok.com/video/tos/alisg/tos-alisg-pve-0037/oAogSRqSgAeGCub3r8bEEJnCAf5EsDE6U4jdBf/?a=1988&amp;bti=ODszNWYuMDE6&amp;ch=0&amp;cr=3&amp;dr=0&amp;lr=all&amp;cd=0%7C0%7C0%7C&amp;cv=1&amp;br=1830&amp;bt=915&amp;cs=0&amp;ds=3&amp;ft=-Csk_mrMPD12Nudh5d-Uxs12aY6e3wv252cAp&amp;mime_type=video_mp4&amp;qs=0&amp;rc=PDg4N2k1OzlnZDw7aGk6ZEBpamc2cjk6Zjo1bTMzNzgzM0BgYGBeXy0wXl8xMS4yMi9iYSNxcTZxcjRfY21gLS1kLzZzcw%3D%3D&amp;btag=e00098000&amp;expire=1764728688&amp;l=202512011020068133AB7BCB086C5F4CDC&amp;ply_type=2&amp;policy=2&amp;signature=46c36d6208ba17495e52230d022e777e&amp;tk=tt_chain_token</t>
  </si>
  <si>
    <t>https://v16-webapp-prime.tiktok.com/video/tos/useast2a/tos-useast2a-v-27dcd7/osVnYADAIBBEAD6GfUCQImAFFvFpd8Y2aYoJJf/?a=1988&amp;bti=ODszNWYuMDE6&amp;ch=0&amp;cr=0&amp;dr=0&amp;er=0&amp;lr=default&amp;cd=0%7C0%7C0%7C0&amp;br=250&amp;bt=125&amp;ds=5&amp;ft=GNDpcInz7ThRK-UPXq8Zmo&amp;mime_type=audio_mpeg&amp;qs=13&amp;rc=M2ZkNXc5cmRpdzMzNzU8M0BpM2ZkNXc5cmRpdzMzNzU8M0BjLWheMmRjb2VgLS1kMTZzYSNjLWheMmRjb2VgLS1kMTZzcw%3D%3D&amp;btag=e00048000&amp;expire=1763004195&amp;l=202511131022245A53A91EDE77CC8B0DB4&amp;ply_type=3&amp;policy=3&amp;signature=93e88fed0d2a54c68e5fd1cd108dc643&amp;tk=7571587458748974088</t>
  </si>
  <si>
    <t>7213102292097191174</t>
  </si>
  <si>
    <t>https://p16-sign-va.tiktokcdn.com/tos-maliva-avt-0068/54244e479aff55039c0ec9df4c3106ec~tplv-tiktokx-cropcenter:100:100.jpeg?dr=14579&amp;refresh_token=3ee63356&amp;x-expires=1764727200&amp;x-signature=q3HtnmPM3Ivhm5SKbr%2F8SpNQv%2BE%3D&amp;t=4d5b0474&amp;ps=13740610&amp;shp=a5d48078&amp;shcp=81f88b70&amp;idc=my</t>
  </si>
  <si>
    <t>https://v16-webapp-prime.tiktok.com/video/tos/maliva/tos-maliva-v-85c255-us/o8JBYNcExvsDRleFQE3BUif2wNBFjEEnQIYEXm/?a=1988&amp;bti=ODszNWYuMDE6&amp;ch=0&amp;cr=3&amp;dr=0&amp;lr=all&amp;cd=0%7C0%7C0%7C&amp;br=1542&amp;bt=771&amp;cs=0&amp;ds=3&amp;ft=-Csk_mrMPD12NXhopd-UxB6vSY6e3wv25rcAp&amp;mime_type=video_mp4&amp;qs=0&amp;rc=NDVoNjs4OGloOTtpOzw2OkBpM2drcXg5cjtpdzQzNzM2M0BeNF8wNDQtXzAxNGM2Ly00YSNgYjJmMmRrb2VgLS1kLTZzcw%3D%3D&amp;btag=e00088000&amp;expire=1763173395&amp;l=202511131022245A53A91EDE77CC8B0DB4&amp;ply_type=2&amp;policy=2&amp;signature=427bb185e01fa74f1cd1b5ac516fcc8f&amp;tk=tt_chain_token</t>
  </si>
  <si>
    <t>Faça este teste para saber se você tem TDAH! #braingameschallenge #brainteaser #braingames #desafiosmentais #braintest #adhd #adhdtiktok</t>
  </si>
  <si>
    <t xml:space="preserve">Você tem TDAH?
Faça esse teste! Vamos descobrir! Comece focando no ponto vermelho piscando no centro da tela  Quanto mais você mantiver seus olhos fixos no centro Os pontos amarelos periféricos
Começarão a desaparecer  Mas assim que você se distrair os pontos voltarão a se redefinir. Se você só consegue fazer um ou dois pontos desaparecerem  Então você tem um nível baixo de atenção  Mas se você consegue fazer 3 ou 4 pontos desaparecerem  Então você tem habilidades normais de foco Apenas 1% das pessoas consegue fazer  todos os 4 pontos desaparecerem por mais de 5 segundos Me conta nos comentários se você conseguiu </t>
  </si>
  <si>
    <t>https://v16-webapp-prime.tiktok.com/video/tos/maliva/tos-maliva-ve-0068c801-us/owanoDzQuUyDfIqsDkNAIOrynKsCFQCUAhgdLI/?a=1988&amp;bti=ODszNWYuMDE6&amp;ch=0&amp;cr=3&amp;dr=0&amp;lr=all&amp;cd=0%7C0%7C0%7C&amp;cv=1&amp;br=954&amp;bt=477&amp;cs=0&amp;ds=3&amp;ft=-Csk_mrMPD12NOBh5d-Uxbt2hY6e3wv25HcAp&amp;mime_type=video_mp4&amp;qs=0&amp;rc=aDM2aDc6NzVoPDY8NmQ3PEBpamZsPGQ6Zm80ajMzNzczM0AyNi1fMTE2XjYxLy8yNDFfYSNiaW40cjRnYGFgLS1kMTZzcw%3D%3D&amp;btag=e00090000&amp;expire=1764728585&amp;l=2025120110220104295D62D2C47867A675&amp;ply_type=2&amp;policy=2&amp;signature=2afc62ef14d8310d82e156d59f76f4d2&amp;tk=tt_chain_token</t>
  </si>
  <si>
    <t>https://www.tiktok.com/@sonsquecuram/video/7213102292097191174</t>
  </si>
  <si>
    <t>7485902148572630327</t>
  </si>
  <si>
    <t>braingameschallenge,brainteaser,braingames,desafiosmentais,braintest,adhd,adhdtiktok</t>
  </si>
  <si>
    <t xml:space="preserve">Você ainda tenta se enganar. Finge que tá tudo certo, que dá pra levar. Mas no fundo, você sente que tá se perdendo. Virando alguém que você nunca quis ser. E o pior: sem saber como voltar. #tdah #sintomasdotdah #oqueetdah </t>
  </si>
  <si>
    <t>7485902182491884343</t>
  </si>
  <si>
    <t>https://v16-webapp-prime.tiktok.com/video/tos/useast2a/tos-useast2a-v-27dcd7/o8AAujIIICgPJyxefiLSGeHdIMjrEoEJGCoTAa/?a=1988&amp;bti=ODszNWYuMDE6&amp;ch=0&amp;cr=0&amp;dr=0&amp;er=0&amp;lr=default&amp;cd=0%7C0%7C0%7C0&amp;br=250&amp;bt=125&amp;ds=5&amp;ft=GNDpcInz7ThEY-UPXq8Zmo&amp;mime_type=audio_mpeg&amp;qs=13&amp;rc=M3FwOnA5cnNueTMzNzU8M0BpM3FwOnA5cnNueTMzNzU8M0AvcXJlMmQ0NWVgLS1kMTZzYSMvcXJlMmQ0NWVgLS1kMTZzcw%3D%3D&amp;btag=e00050000&amp;expire=1763004470&amp;l=202511131026218DEF8CE7185C8F9E5844&amp;ply_type=3&amp;policy=3&amp;signature=7a2a201d9a8a4a3dd93b477f61c10a7f&amp;tk=7571587458748974088</t>
  </si>
  <si>
    <t>https://v16-webapp-prime.tiktok.com/video/tos/useast2a/tos-useast2a-v-27dcd7/owAk1AIM8JeJ14HWQAAfCSgChKLf8feAKMgSTv/?a=1988&amp;bti=ODszNWYuMDE6&amp;ch=0&amp;cr=0&amp;dr=0&amp;er=0&amp;lr=default&amp;cd=0%7C0%7C0%7C0&amp;br=250&amp;bt=125&amp;ds=5&amp;ft=GNDpcInz7ThkPKvPXq8Zmo&amp;mime_type=audio_mpeg&amp;qs=13&amp;rc=M3g4N2s5cjh5eDMzNzU8M0BpM3g4N2s5cjh5eDMzNzU8M0BoZV4xMmRzbWNgLS1kMTZzYSNoZV4xMmRzbWNgLS1kMTZzcw%3D%3D&amp;btag=e00050000&amp;expire=1764559361&amp;l=2025120110204563AE4C62401D615C8166&amp;ply_type=3&amp;policy=3&amp;signature=7b53f0c212931dbe7e862d5b75719f39&amp;tk=7571587458748974088</t>
  </si>
  <si>
    <t>https://v16-webapp-prime.tiktok.com/video/tos/useast2a/tos-useast2a-pve-0068/ogRg8RuEcVj2QEdIRCFPARKDgFSSiCgLffPIel/?a=1988&amp;bti=ODszNWYuMDE6&amp;ch=0&amp;cr=3&amp;dr=0&amp;lr=all&amp;cd=0%7C0%7C0%7C&amp;cv=1&amp;br=4828&amp;bt=2414&amp;cs=0&amp;ds=3&amp;ft=-Csk_mrMPD12Nqdh5d-UxgS5hY6e3wv25icAp&amp;mime_type=video_mp4&amp;qs=0&amp;rc=ZjplZDs8NTw0aGg0NmVkZ0BpamtnZGw5cml5eDMzNzczM0A0NC5hNmA0Xi4xYDUuM141YSMvcGtoMmQ0a2NgLS1kMTZzcw%3D%3D&amp;btag=e00090000&amp;expire=1764728561&amp;l=2025120110204563AE4C62401D615C8166&amp;ply_type=2&amp;policy=2&amp;signature=f3125e3a4118234325cc49a6c56601dd&amp;tk=tt_chain_token</t>
  </si>
  <si>
    <t>https://v16-webapp-prime.tiktok.com/video/tos/useast2a/tos-useast2a-ve-0068c002/oQP3AGuIAMQf9gef5inC8WQPgCSp7idEjoxkvA/?a=1988&amp;bti=ODszNWYuMDE6&amp;ch=0&amp;cr=3&amp;dr=0&amp;lr=all&amp;cd=0%7C0%7C0%7C&amp;cv=1&amp;br=1464&amp;bt=732&amp;cs=0&amp;ds=3&amp;ft=-Csk_mrMPD12NH_opd-UxDTFGY6e3wv25ocAp&amp;mime_type=video_mp4&amp;qs=0&amp;rc=OWk1ZWY7ZTVnNTw0ZTw5Z0BpamdsO2s5cjpueTMzNzczM0AxNjFiNDBhXzAxNF82Yy8tYSNvY3FwMmRjNWVgLS1kMTZzcw%3D%3D&amp;btag=e00090000&amp;expire=1763173670&amp;l=202511131026218DEF8CE7185C8F9E5844&amp;ply_type=2&amp;policy=2&amp;signature=607472b8c6ff2090003d1fe00a3d8049&amp;tk=tt_chain_token</t>
  </si>
  <si>
    <t>user61328966699</t>
  </si>
  <si>
    <t>https://p16-sign-va.tiktokcdn.com/musically-maliva-obj/1594805258216454~tplv-tiktokx-cropcenter:100:100.jpeg?dr=14579&amp;refresh_token=c55fc523&amp;x-expires=1764727200&amp;x-signature=37bzPBdz%2FfBXBqBlTOkX3boUhW4%3D&amp;t=4d5b0474&amp;ps=13740610&amp;shp=a5d48078&amp;shcp=81f88b70&amp;idc=my</t>
  </si>
  <si>
    <t>https://www.tiktok.com/@liberdade.mentall/video/7485902148572630327</t>
  </si>
  <si>
    <t>7260511013303356678</t>
  </si>
  <si>
    <t>abcdaaprendizagem</t>
  </si>
  <si>
    <t>ABCdaAprendizagem</t>
  </si>
  <si>
    <t>https://p16-sign-va.tiktokcdn.com/tos-maliva-avt-0068/442572ca019bbe9a4d50d8e7525339d6~tplv-tiktokx-cropcenter:100:100.jpeg?dr=14579&amp;refresh_token=7f5e1b0b&amp;x-expires=1763172000&amp;x-signature=ivd8IX3fL15rmvnCDoutUfX%2Br6I%3D&amp;t=4d5b0474&amp;ps=13740610&amp;shp=a5d48078&amp;shcp=81f88b70&amp;idc=my</t>
  </si>
  <si>
    <t>https://v16-webapp-prime.tiktok.com/video/tos/useast2a/tos-useast2a-v-27dcd7/o8YhJFDrJUBRjMiqPBEITuBCiQhQ7wCmgofgfu/?a=1988&amp;bti=ODszNWYuMDE6&amp;ch=0&amp;cr=0&amp;dr=0&amp;er=0&amp;lr=default&amp;cd=0%7C0%7C0%7C0&amp;br=250&amp;bt=125&amp;ft=GNDpcInz7ThoPKvPXq8Zmo&amp;mime_type=audio_mpeg&amp;qs=6&amp;rc=aDo6ODQ2Z2ZmaDxlZmZoZkBpM3lnZHI5cmRyNTMzNzU8M0A0LV80LjVgNi4xY2MvNTUzYSNkLmI1MmRray1hLS1kMTZzcw%3D%3D&amp;btag=e00090000&amp;expire=1764559373&amp;l=202512011020068133AB7BCB086C5F4CDC&amp;ply_type=3&amp;policy=3&amp;signature=e053cab56fce765d56205e1173760cc0&amp;tk=7571587458748974088</t>
  </si>
  <si>
    <t>🧠 O transtorno do Déficit de Atenção e Hiperatividade (TDAH) é uma condição complexa que afeta tanto adultos quanto crianças. Apesar das diversas variações do transtorno, existem três tipos mais conhecidos: o TDAH predominantemente desatento, o TDAH predominantemente hiperativo-impulsivo e o TDAH combinado. 💟 Tipo desatento: caracterizado pela falta de atenção e concentração em tarefas, esquecimentos frequentes e dificuldade em seguir regras. 💟 Tipo hiperativo-impulsivo: nesse tipo, a pessoa apresenta sintomas como agitação constante, impulsividade e dificuldade em esperar a vez. 💟 Tipo combinado: é o tipo mais comum do TDAH, onde a pessoa apresenta características tanto do tipo desatento quanto do hiperativo-impulsivo. 👉 É importante lembrar que cada caso é único e requer um tratamento específico. Mas entender os diferentes tipos pode ajudar no diagnóstico e acompanhamento do transtorno. 💟 Conhece alguém com esses sintomas? Compartilhe este post! #Pedagogia #Desenvolvimentoinfantil #saudeemocional #crianças #educacaoinfantil #atividadesludicas #alfabetizacaoeletramento #atividadespedagogicas  #saladeaula</t>
  </si>
  <si>
    <t>7260511023944600325</t>
  </si>
  <si>
    <t>https://v16-webapp-prime.tiktok.com/video/tos/useast2a/tos-useast2a-v-27dcd7/o8DEKALVhfBDOYAoEEFzkpQ3U9hAIGyCUgKtAF/?a=1988&amp;bti=ODszNWYuMDE6&amp;ch=0&amp;cr=0&amp;dr=0&amp;er=0&amp;lr=default&amp;cd=0%7C0%7C0%7C0&amp;br=250&amp;bt=125&amp;ds=5&amp;ft=GNDpcInz7ThYK-UPXq8Zmo&amp;mime_type=audio_mpeg&amp;qs=13&amp;rc=anc2bDk6Zm47bTMzNzU8M0Bpanc2bDk6Zm47bTMzNzU8M0BeY2YucjRvNS5gLS1kMTZzYSNeY2YucjRvNS5gLS1kMTZzcw%3D%3D&amp;btag=e00070000&amp;expire=1763004180&amp;l=20251113102250DC012CE1E68AEAAA2B86&amp;ply_type=3&amp;policy=3&amp;signature=a8ed380d6f487723b9158804ba5f2d3d&amp;tk=7571587458748974088</t>
  </si>
  <si>
    <t>https://p77-sign-va.tiktokcdn.com/musically-maliva-obj/1594805258216454~tplv-tiktokx-cropcenter:1080:1080.jpeg?dr=14579&amp;refresh_token=9e43ac06&amp;x-expires=1764727200&amp;x-signature=ybIVfPszy5XaPzsxwe4fSdzfZTk%3D&amp;t=4d5b0474&amp;ps=13740610&amp;shp=a5d48078&amp;shcp=81f88b70&amp;idc=my</t>
  </si>
  <si>
    <t>https://p16-sign-va.tiktokcdn.com/tos-maliva-avt-0068/442572ca019bbe9a4d50d8e7525339d6~tplv-tiktokx-cropcenter:1080:1080.jpeg?dr=14579&amp;refresh_token=f4168b84&amp;x-expires=1763172000&amp;x-signature=WxmHNHqSrAUhc78hZMdFJzbgiQM%3D&amp;t=4d5b0474&amp;ps=13740610&amp;shp=a5d48078&amp;shcp=81f88b70&amp;idc=my</t>
  </si>
  <si>
    <t>https://v16-webapp-prime.tiktok.com/video/tos/useast2a/tos-useast2a-pve-0068/ocBLAimgkFCWiEYgQoED48fwIeqGQt8TBJBI5R/?a=1988&amp;bti=ODszNWYuMDE6&amp;ch=0&amp;cr=3&amp;dr=0&amp;lr=all&amp;cd=0%7C0%7C0%7C&amp;cv=1&amp;br=1128&amp;bt=564&amp;cs=0&amp;ds=3&amp;ft=-Csk_mrMPD12Nudh5d-Uxs12aY6e3wv252cAp&amp;mime_type=video_mp4&amp;qs=0&amp;rc=NjRkODM2PGY4NGY1Mzw4N0BpM21zbHY5cmxyNTMzNzczM0AxMzU0NTI1X2AxYDIuMWEzYSNgbWM1MmQ0ai1hLS1kMTZzcw%3D%3D&amp;btag=e00090000&amp;expire=1764728573&amp;l=202512011020068133AB7BCB086C5F4CDC&amp;ply_type=2&amp;policy=2&amp;signature=717999aabef1389abd29884e7d36bebb&amp;tk=tt_chain_token</t>
  </si>
  <si>
    <t>https://v16-webapp-prime.tiktok.com/video/tos/maliva/tos-maliva-ve-0068c801-us/oIPMwOzmIfAIEwAYbChkXoCFgNUptIwCybd7og/?a=1988&amp;bti=ODszNWYuMDE6&amp;ch=0&amp;cr=3&amp;dr=0&amp;lr=all&amp;cd=0%7C0%7C0%7C&amp;br=212&amp;bt=106&amp;cs=0&amp;ds=3&amp;ft=-Csk_mrMPD12N_hopd-Ux315hY6e3wv25dcAp&amp;mime_type=video_mp4&amp;qs=0&amp;rc=Njs6NDdnMzRpOmVkZDo7ZkBpajMzcGc6Zm07bTMzNzczM0BeMWMuNjAwNjIxNDIxNGBfYSNhbXI0cjRfNS5gLS1kMTZzcw%3D%3D&amp;btag=e000b0000&amp;expire=1763173380&amp;l=20251113102250DC012CE1E68AEAAA2B86&amp;ply_type=2&amp;policy=2&amp;signature=8f6662daea31f07de2a4b458c2d4a562&amp;tk=tt_chain_token</t>
  </si>
  <si>
    <t>https://www.tiktok.com/@abcdaaprendizagem/video/7260511013303356678</t>
  </si>
  <si>
    <t>pedagogia,desenvolvimentoinfantil,saudeemocional,crianças,educacaoinfantil,atividadesludicas,alfabetizacaoeletramento,atividadespedagogicas,saladeaula</t>
  </si>
  <si>
    <t>https://v16-webapp-prime.tiktok.com/video/tos/useast2a/tos-useast2a-v-27dcd7/5a25064863174c2a8c69404135700d23/?a=1988&amp;bti=ODszNWYuMDE6&amp;ch=0&amp;cr=0&amp;dr=0&amp;er=0&amp;lr=default&amp;cd=0%7C0%7C0%7C0&amp;br=250&amp;bt=125&amp;ds=5&amp;ft=GNDpcInz7ThUPKvPXq8Zmo&amp;mime_type=audio_mpeg&amp;qs=13&amp;rc=ajd0ajM6ZjszazMzNzU8M0Bpajd0ajM6ZjszazMzNzU8M0A1MnBscjQwbm9gLS1kMTZzYSM1MnBscjQwbm9gLS1kMTZzcw%3D%3D&amp;btag=e00048000&amp;expire=1764559249&amp;l=202512011020200FFD70C70F6D756DA043&amp;ply_type=3&amp;policy=3&amp;signature=1ce678f13bc0e95d9ee502531fe8b9b1&amp;tk=7571587458748974088</t>
  </si>
  <si>
    <t>https://p77-sign-va.tiktokcdn.com/tos-maliva-avt-0068/987a16edb27b7a366cb5166e4d199e31~tplv-tiktokx-cropcenter:100:100.jpeg?dr=14579&amp;refresh_token=5a92103f&amp;x-expires=1763172000&amp;x-signature=N8HoQXkYw45ILtOSKpsxILDvxZ0%3D&amp;t=4d5b0474&amp;ps=13740610&amp;shp=a5d48078&amp;shcp=81f88b70&amp;idc=my</t>
  </si>
  <si>
    <t>https://v16-webapp-prime.tiktok.com/video/tos/alisg/tos-alisg-v-27dcd7/ooAvBiLhXiAAUKUAE0iB6vfLEAkTwV8cAoK8pE/?a=1988&amp;bti=ODszNWYuMDE6&amp;ch=0&amp;cr=0&amp;dr=0&amp;er=0&amp;lr=default&amp;cd=0%7C0%7C0%7C0&amp;br=250&amp;bt=125&amp;ds=5&amp;ft=GNDpcInz7ThX9-UPXq8Zmo&amp;mime_type=audio_mpeg&amp;qs=13&amp;rc=amVsOnQ5cng7NzMzODU8NEBpamVsOnQ5cng7NzMzODU8NEAyZjReMmRjaTJhLS1kMS1zYSMyZjReMmRjaTJhLS1kMS1zcw%3D%3D&amp;btag=e00060000&amp;expire=1763004565&amp;l=20251113102424EE0F9FCD2CC2B68BE0E2&amp;ply_type=3&amp;policy=3&amp;signature=d1a0c9a77fc489b0939a5c75d764ca6c&amp;tk=7571587458748974088</t>
  </si>
  <si>
    <t>https://v16-webapp-prime.tiktok.com/video/tos/useast2a/tos-useast2a-ve-0068c002/okkvODRIqIv6CDaghywonazCfFtQAASBJE22PZ/?a=1988&amp;bti=ODszNWYuMDE6&amp;ch=0&amp;cr=3&amp;dr=0&amp;lr=all&amp;cd=0%7C0%7C0%7C&amp;cv=1&amp;br=676&amp;bt=338&amp;cs=0&amp;ds=6&amp;ft=I~da4oKyD12Nvi.WS.IxR51NWlBF-UjNSMopiX&amp;mime_type=video_mp4&amp;qs=5&amp;rc=NmY1Njo4aGU7PGgzOTY2PEBpamRkcDU6ZjUzazMzNzczM0AvNTA0MjY2X2AxM2IuYTRgYSMuc2trcjRvbm9gLS1kMTZzcw%3D%3D&amp;btag=e00088000&amp;expire=1764728449&amp;l=202512011020200FFD70C70F6D756DA043&amp;ply_type=2&amp;policy=2&amp;signature=3ab0dbe1723febcd407ca3f04d969a87&amp;tk=tt_chain_token</t>
  </si>
  <si>
    <t>https://v16-webapp-prime.tiktok.com/video/tos/alisg/tos-alisg-pve-0037c001/oIKlCmAUiAH8qc9QBYcEaiiiIQVByCPdPVEBE/?a=1988&amp;bti=ODszNWYuMDE6&amp;ch=0&amp;cr=3&amp;dr=0&amp;lr=all&amp;cd=0%7C0%7C0%7C&amp;br=2014&amp;bt=1007&amp;cs=0&amp;ds=3&amp;ft=-Csk_mrMPD12N-copd-Ux7~2bY6e3wv25bcAp&amp;mime_type=video_mp4&amp;qs=0&amp;rc=Zmk7PGU0NTtlZjM8aDppaUBpMzVvcXc5cjk7NzMzODczNEA1Mi8wLjMtNS0xLzUvY15eYSMuNjA0MmQ0YzJhLS1kMTFzcw%3D%3D&amp;btag=e000a0000&amp;expire=1763173766&amp;l=20251113102424EE0F9FCD2CC2B68BE0E2&amp;ply_type=2&amp;policy=2&amp;signature=f16235b392cb4226fba3faf5b9c090c4&amp;tk=tt_chain_token</t>
  </si>
  <si>
    <t>7224647923882020101</t>
  </si>
  <si>
    <t>https://p77-sign-va.tiktokcdn.com/tos-maliva-avt-0068/00f6ab8b637b29865ceebe24b10fef4a~tplv-tiktokx-cropcenter:100:100.jpeg?dr=14579&amp;refresh_token=4b53d85e&amp;x-expires=1764727200&amp;x-signature=dFwXDxTx3ETWELw0GrgO%2FDfypX4%3D&amp;t=4d5b0474&amp;ps=13740610&amp;shp=a5d48078&amp;shcp=81f88b70&amp;idc=my</t>
  </si>
  <si>
    <t xml:space="preserve">3 COISAS QUE QUEM TEM TDAH FAZ.  Eai, se identificou com alguma né? comenta aqui alguma situação que já passou! #tdah #tdahadulto #rotina #habitos #psicologia #psicologa #terapia </t>
  </si>
  <si>
    <t>6827446890867460097</t>
  </si>
  <si>
    <t>https://sf16-ies-music-sg.tiktokcdn.com/obj/tos-alisg-ve-2774/dc03c985ace24a7398e5acfdaf3ceaed</t>
  </si>
  <si>
    <t>https://p77-sign-va.tiktokcdn.com/tos-maliva-avt-0068/ab9e8e2664fe95dc4ce1070394adf3ea~tplv-tiktokx-cropcenter:100:100.jpeg?dr=14579&amp;refresh_token=d622767b&amp;x-expires=1763172000&amp;x-signature=wP8XnBQvn6ikHXtJKrdWXuILLWM%3D&amp;t=4d5b0474&amp;ps=13740610&amp;shp=a5d48078&amp;shcp=81f88b70&amp;idc=my</t>
  </si>
  <si>
    <t>https://v16-webapp-prime.tiktok.com/video/tos/alisg/tos-alisg-pve-0037c001/oshGEJxtxNDIwFERfbQk9Qfr5HszdoQBAKDLnB/?a=1988&amp;bti=ODszNWYuMDE6&amp;ch=0&amp;cr=3&amp;dr=0&amp;lr=all&amp;cd=0%7C0%7C0%7C&amp;cv=1&amp;br=2196&amp;bt=1098&amp;cs=0&amp;ds=3&amp;ft=I~da4oKyD12Nvm1WS.IxR~kNglBF-UjNSEopiX&amp;mime_type=video_mp4&amp;qs=0&amp;rc=NzVlaTs6ZDRoOjlmPDg7N0BpajYzcTY6ZnlrazMzNzczM0A1MzAxYTNeNl8xMjA0MzZhYSNwaGJycjRvaS5gLS1kMTZzcw%3D%3D&amp;btag=e00088000&amp;expire=1764728509&amp;l=2025120110210868B8F68F0D0B7F5CDC9D&amp;ply_type=2&amp;policy=2&amp;signature=7c24a4cf5f349e902228c255b4ea2cdc&amp;tk=tt_chain_token</t>
  </si>
  <si>
    <t>https://v16-webapp-prime.tiktok.com/video/tos/useast2a/tos-useast2a-v-27dcd7/o0CUxN82oQnpjaAC3UAQbGDHkoQOJs8BJAejeB/?a=1988&amp;bti=ODszNWYuMDE6&amp;ch=0&amp;cr=0&amp;dr=0&amp;er=0&amp;lr=default&amp;cd=0%7C0%7C0%7C0&amp;br=250&amp;bt=125&amp;ds=5&amp;ft=GNDpcInz7ThX9-UPXq8Zmo&amp;mime_type=audio_mpeg&amp;qs=13&amp;rc=anR2djk6ZnI2bTMzNzU8M0BpanR2djk6ZnI2bTMzNzU8M0AvbGFkcjRvb2FgLS1kMTZzYSMvbGFkcjRvb2FgLS1kMTZzcw%3D%3D&amp;btag=e00050000&amp;expire=1763004383&amp;l=20251113102424EE0F9FCD2CC2B68BE0E2&amp;ply_type=3&amp;policy=3&amp;signature=46cb4121fbbe20465cda18f0f03ea8c6&amp;tk=7571587458748974088</t>
  </si>
  <si>
    <t>https://www.tiktok.com/@psi.carolynedestefani/video/7224647923882020101</t>
  </si>
  <si>
    <t>tdah,tdahadulto,rotina,habitos,psicologia,psicologa,terapia</t>
  </si>
  <si>
    <t>https://v16-webapp-prime.tiktok.com/video/tos/useast2a/tos-useast2a-v-27dcd7/oEYBpmDOFBQdNG3MXJNCCBtU8eRIMJQfQox2qE/?a=1988&amp;bti=ODszNWYuMDE6&amp;ch=0&amp;cr=0&amp;dr=0&amp;er=0&amp;lr=default&amp;cd=0%7C0%7C0%7C0&amp;br=250&amp;bt=125&amp;ft=GNDpcInz7ThAzKvPXq8Zmo&amp;mime_type=audio_mpeg&amp;qs=6&amp;rc=aWY6NTtlNTRpODRlZzg0NkBpM2o5Z3g5cnFrMzMzNzU8M0AxY141MjQuXzQxLjBgYS4xYSMubmZyMmRjaG9hLS1kMTZzcw%3D%3D&amp;btag=e00090000&amp;expire=1764559387&amp;l=202512011021380CC83080A64AA152B5B8&amp;ply_type=3&amp;policy=3&amp;signature=10e05875cb3b9f9861ada9ad67cb6a0b&amp;tk=7571587458748974088</t>
  </si>
  <si>
    <t>https://p16-sign-va.tiktokcdn.com/tos-maliva-avt-0068/ab9e8e2664fe95dc4ce1070394adf3ea~tplv-tiktokx-cropcenter:1080:1080.jpeg?dr=14579&amp;refresh_token=52a30f84&amp;x-expires=1763172000&amp;x-signature=qRgH0YIOo%2BtrJR%2FHDuJO9EGwjtk%3D&amp;t=4d5b0474&amp;ps=13740610&amp;shp=a5d48078&amp;shcp=81f88b70&amp;idc=my</t>
  </si>
  <si>
    <t>https://v16-webapp-prime.tiktok.com/video/tos/alisg/tos-alisg-ve-37c813-sg/o4eeQzfPZEUfrRyziocgNFSBfA7ABLmloNYAft/?a=1988&amp;bti=ODszNWYuMDE6&amp;ch=0&amp;cr=3&amp;dr=0&amp;lr=all&amp;cd=0%7C0%7C0%7C&amp;cv=1&amp;br=1346&amp;bt=673&amp;cs=0&amp;ds=3&amp;ft=-Csk_mrMPD12N-copd-Ux7~2bY6e3wv25bcAp&amp;mime_type=video_mp4&amp;qs=0&amp;rc=PDhnOzw2PDxkNzZmNWQ0Z0BpM3lsdmY6ZmU2bTMzNzczM0AuM19hLy5gXl8xYjE0YF9hYSNscmFrcjRnbGFgLS1kMTZzcw%3D%3D&amp;btag=e00090000&amp;expire=1763173583&amp;l=20251113102424EE0F9FCD2CC2B68BE0E2&amp;ply_type=2&amp;policy=2&amp;signature=9a2ff309c122c1615ac5dc4501d65e24&amp;tk=tt_chain_token</t>
  </si>
  <si>
    <t>https://v16-webapp-prime.tiktok.com/video/tos/useast2a/tos-useast2a-ve-0068c004/oc8TDQrAEIHEiB3BHU0SQEO3SUPoa2am87iGc/?a=1988&amp;bti=ODszNWYuMDE6&amp;ch=0&amp;cr=3&amp;dr=0&amp;lr=all&amp;cd=0%7C0%7C0%7C&amp;cv=1&amp;br=1398&amp;bt=699&amp;cs=0&amp;ds=3&amp;ft=-Csk_mrMPD12NaDh5d-Uxq42hY6e3wv25IcAp&amp;mime_type=video_mp4&amp;qs=0&amp;rc=ODc3OjYzODUzOzY5ZTg7ZUBpMzpydHY5cm1rMzMzNzczM0A1LjAvNDBiXjUxNDAzYDRiYSNyNW1vMmQ0aG9hLS1kMTZzcw%3D%3D&amp;btag=e00090000&amp;expire=1764728587&amp;l=202512011021380CC83080A64AA152B5B8&amp;ply_type=2&amp;policy=2&amp;signature=1c7b6f9756f9bb19c3ad20b1811e4300&amp;tk=tt_chain_token</t>
  </si>
  <si>
    <t>7256233694829055237</t>
  </si>
  <si>
    <t>tdahmemes</t>
  </si>
  <si>
    <t>Tudo sobre TDAH</t>
  </si>
  <si>
    <t>https://p77-sign-va.tiktokcdn.com/tos-maliva-avt-0068/522bf3dd8faecdd86dec50c8be422f69~tplv-tiktokx-cropcenter:100:100.jpeg?dr=14579&amp;refresh_token=c9199c89&amp;x-expires=1763172000&amp;x-signature=XzQP8vo20h8Y27pBq%2BIa6uruo6g%3D&amp;t=4d5b0474&amp;ps=13740610&amp;shp=a5d48078&amp;shcp=81f88b70&amp;idc=my</t>
  </si>
  <si>
    <t>https://p16-sign-va.tiktokcdn.com/tos-maliva-avt-0068/23b777db124c1b95b2dc2d822ec8df52~tplv-tiktokx-cropcenter:100:100.jpeg?dr=14579&amp;refresh_token=15a053a3&amp;x-expires=1764727200&amp;x-signature=N14nldDu8fcg%2FOLecaF%2BYeKV0tM%3D&amp;t=4d5b0474&amp;ps=13740610&amp;shp=a5d48078&amp;shcp=81f88b70&amp;idc=my</t>
  </si>
  <si>
    <t>É cada cilada que a gente passa né?! @tdahzando #psicologia #psicopedagogia #educa #pedagogia #tdahinfantil #hiperatividade #tdahadulto #saudemental #ansiedade #deficitdeatencao #desenvolvimentoinfantil #aprendizagem #neurodivergente #neurodiversidade #meme #memesbrasil #videosengracados #comedia #humor #humorbrasil #engracado #produtividade #procrastinacao #concentração</t>
  </si>
  <si>
    <t>Mas Existe um Lugar</t>
  </si>
  <si>
    <t>7213079487498422274</t>
  </si>
  <si>
    <t>https://sf16-ies-music-sg.tiktokcdn.com/obj/tos-alisg-ve-2774/oQNyjPsEWRzEFiohyMfjlIScAF5SUwACRmEoBB</t>
  </si>
  <si>
    <t>https://v16-webapp-prime.tiktok.com/video/tos/useast2a/tos-useast2a-v-27dcd7/oweiAneEOAeXC6gbogSmvSK6vAT1TEX1DEQCAA/?a=1988&amp;bti=ODszNWYuMDE6&amp;ch=0&amp;cr=0&amp;dr=0&amp;er=0&amp;lr=default&amp;cd=0%7C0%7C0%7C0&amp;br=250&amp;bt=125&amp;ds=5&amp;ft=GNDpcInz7ThUPKvPXq8Zmo&amp;mime_type=audio_mpeg&amp;qs=13&amp;rc=M3g0bzw6ZjtlbjMzNzU8M0BpM3g0bzw6ZjtlbjMzNzU8M0A0aXE1cjQwc2dgLS1kMTZzYSM0aXE1cjQwc2dgLS1kMTZzcw%3D%3D&amp;btag=e00050000&amp;expire=1764559280&amp;l=202512011020200FFD70C70F6D756DA043&amp;ply_type=3&amp;policy=3&amp;signature=fb51bdd367f3d65523a2a30a56c18a2d&amp;tk=7571587458748974088</t>
  </si>
  <si>
    <t>https://p77-sg.tiktokcdn.com/aweme/720x720/tos-alisg-v-2774/375adba142a84ec3809eb35e5a43d649.jpeg</t>
  </si>
  <si>
    <t>Cryzin &amp; Kaio Viana &amp; Noemi Leal</t>
  </si>
  <si>
    <t>https://v16-webapp-prime.tiktok.com/video/tos/alisg/tos-alisg-pve-0037c001/o4SZOkVgbABCAynxEfbsDiRQ08Re1sQKsJDgB0/?a=1988&amp;bti=ODszNWYuMDE6&amp;ch=0&amp;cr=3&amp;dr=0&amp;lr=all&amp;cd=0%7C0%7C0%7C&amp;br=1886&amp;bt=943&amp;cs=0&amp;ds=2&amp;ft=-Csk_mrMPD12N8hopd-Ux~v2bY6e3wv251cAp&amp;mime_type=video_mp4&amp;qs=0&amp;rc=ZDk8ZTw2ZGhoNGk3NDM3ZUBpajduZTk6ZnZvbDMzNzczM0BhXy4uMi9gNi4xXjYvNDVeYSNqajJgcjRfLm1gLS1kMTZzcw%3D%3D&amp;btag=e000b8000&amp;expire=1763173378&amp;l=202511131022406C90E0DA9AAAC98C2302&amp;ply_type=2&amp;policy=2&amp;signature=3b170eae1312b198e75be71b8719b0fb&amp;tk=tt_chain_token</t>
  </si>
  <si>
    <t>https://p16-sign-va.tiktokcdn.com/tos-maliva-avt-0068/23b777db124c1b95b2dc2d822ec8df52~tplv-tiktokx-cropcenter:1080:1080.jpeg?dr=14579&amp;refresh_token=ea9950ee&amp;x-expires=1764727200&amp;x-signature=78Ma432%2FyAQKZAOwdxRYRCna%2Fk8%3D&amp;t=4d5b0474&amp;ps=13740610&amp;shp=a5d48078&amp;shcp=81f88b70&amp;idc=my</t>
  </si>
  <si>
    <t>https://www.tiktok.com/@tdahmemes/video/7256233694829055237</t>
  </si>
  <si>
    <t>psicologia,psicopedagogia,educa,pedagogia,tdahinfantil,hiperatividade,tdahadulto,saudemental,ansiedade,deficitdeatencao,desenvolvimentoinfantil,aprendizagem,neurodivergente,neurodiversidade,meme,memesbrasil,videosengracados,comedia,humor,humorbrasil,engracado,produtividade,procrastinacao,concentração</t>
  </si>
  <si>
    <t>https://v16-webapp-prime.tiktok.com/video/tos/useast2a/tos-useast2a-pve-0068/o4TAgCHXeqPgjagI4XfC4ANC2FSAJKRImagqfz/?a=1988&amp;bti=ODszNWYuMDE6&amp;ch=0&amp;cr=3&amp;dr=0&amp;lr=all&amp;cd=0%7C0%7C0%7C&amp;cv=1&amp;br=2248&amp;bt=1124&amp;cs=0&amp;ds=3&amp;ft=I~da4oKyD12Nvi.WS.IxR51NWlBF-UjNSMopiX&amp;mime_type=video_mp4&amp;qs=0&amp;rc=ZTY6aTY5Z2Y6Mzs6NTs7NkBpMzV0aTM6ZjhlbjMzNzczM0BgYS0vYzAyNWAxMC9jMl4zYSMxLnJpcjRfcmdgLS1kMTZzcw%3D%3D&amp;btag=e00090000&amp;expire=1764728480&amp;l=202512011020200FFD70C70F6D756DA043&amp;ply_type=2&amp;policy=2&amp;signature=78e6d9c291d396bbeaf17ec261d87c34&amp;tk=tt_chain_token</t>
  </si>
  <si>
    <t>7476623603304303878</t>
  </si>
  <si>
    <t>rosane.piscologia</t>
  </si>
  <si>
    <t>Rosane Moura | TDAH 🧠</t>
  </si>
  <si>
    <t>https://p16-sign-va.tiktokcdn.com/tos-maliva-avt-0068/57bbd31068c1a08746eac939ea1daaf8~tplv-tiktokx-cropcenter:100:100.jpeg?dr=14579&amp;refresh_token=f689e2ea&amp;x-expires=1763172000&amp;x-signature=mdnoUY%2Bmv2mi6SRGtzmaL8yWE5o%3D&amp;t=4d5b0474&amp;ps=13740610&amp;shp=a5d48078&amp;shcp=81f88b70&amp;idc=my</t>
  </si>
  <si>
    <t xml:space="preserve">Mulheres com TDAH muitas vezes enfrentam desafios silenciosos, como a dificuldade em reconhecer e sair de relações abusivas ou de dependência emocional. A desatenção, impulsividade e baixa autoestima podem criar um ciclo de vulnerabilidade.  É importante lembrar que, com o diagnóstico correto e apoio adequado, é possível quebrar esse ciclo e encontrar equilíbrio emocional. Não é fraqueza, é um reflexo do que precisa ser entendido e acolhido. 💙✨ #mulheres #mulherescomtdah #tdah #tdahadulto #terapia #psico #psicologa </t>
  </si>
  <si>
    <t>Clocks (Piano Instrumental)</t>
  </si>
  <si>
    <t>6862767056685631489</t>
  </si>
  <si>
    <t>https://sf16-ies-music-sg.tiktokcdn.com/obj/tos-alisg-ve-2774/ooBrqo0B6lnEtkFZ1SYdPlCQ9SgfaW73eNdQdD</t>
  </si>
  <si>
    <t>https://p77-sg.tiktokcdn.com/aweme/720x720/tos-alisg-v-2774/97ebf018613c4a8abbf9e55690232f42.jpeg</t>
  </si>
  <si>
    <t>https://p77-sign-va.tiktokcdn.com/tos-maliva-avt-0068/f33c918b025334118e01aa37b2cabd9d~tplv-tiktokx-cropcenter:100:100.jpeg?dr=14579&amp;refresh_token=06e085d8&amp;x-expires=1764727200&amp;x-signature=va1aZN%2FwouWhw0Ml6vm8SSwwA6c%3D&amp;t=4d5b0474&amp;ps=13740610&amp;shp=a5d48078&amp;shcp=81f88b70&amp;idc=my</t>
  </si>
  <si>
    <t>Piano Queen</t>
  </si>
  <si>
    <t>https://v16-webapp-prime.tiktok.com/video/tos/alisg/tos-alisg-ve-37c813-sg/oQGEvnsFQ9oEJGwBpEYDfBGR1sAFgrkQTetnIn/?a=1988&amp;bti=ODszNWYuMDE6&amp;ch=0&amp;cr=3&amp;dr=0&amp;lr=all&amp;cd=0%7C0%7C0%7C&amp;cv=1&amp;br=2546&amp;bt=1273&amp;cs=0&amp;ds=3&amp;ft=I~da4oKyD12NviW0i.IxRHqNglBF-UjNSqopiX&amp;mime_type=video_mp4&amp;qs=0&amp;rc=M2RlaDw2NDs6ZTwzPDY0Z0Bpam55Zm45cnU3eTMzNzczM0A2YF81NjE1NS0xMTAyYC1iYSNlYHJjMmQ0bi5gLS1kMTZzcw%3D%3D&amp;btag=e00090000&amp;expire=1763173411&amp;l=202511131022270BBA173F4561DD71A814&amp;ply_type=2&amp;policy=2&amp;signature=3232818595a192cb01a6e4cb530bbe19&amp;tk=tt_chain_token</t>
  </si>
  <si>
    <t>https://v16-webapp-prime.tiktok.com/video/tos/maliva/tos-maliva-ve-0068c801-us/oAyQg5DgYILMFfIf0SfCjh60RnQwMFI7AECS0Q/?a=1988&amp;bti=ODszNWYuMDE6&amp;ch=0&amp;cr=3&amp;dr=0&amp;lr=all&amp;cd=0%7C0%7C0%7C&amp;cv=1&amp;br=1570&amp;bt=785&amp;cs=0&amp;ds=3&amp;ft=I~da4oKyD12Nvl.WS.IxR51NWlBF-UjNSMopiX&amp;mime_type=video_mp4&amp;qs=0&amp;rc=M2Y6OTk8ZTo8OGloZzZnN0BpajtwZG05cng1cTMzNzczM0A2MzZjNF4yX2ExMTQ1Yl8wYSMxNTBsMmRrc21gLS1kMTZzcw%3D%3D&amp;btag=e00090000&amp;expire=1764728478&amp;l=2025120110201396469B6E0854EC6377C0&amp;ply_type=2&amp;policy=2&amp;signature=0d7b921dd136f3b9b57fc5aa200dbdae&amp;tk=tt_chain_token</t>
  </si>
  <si>
    <t>https://www.tiktok.com/@rosane.piscologia/video/7476623603304303878</t>
  </si>
  <si>
    <t>mulheres,mulherescomtdah,tdah,tdahadulto,terapia,psico,psicologa</t>
  </si>
  <si>
    <t>7407958496542559494</t>
  </si>
  <si>
    <t>Você se identifica? #viralvideo #viral #oqueetdah #comoacabarcomotdah #homenscomtdah #tdahadulto #sintomasdotdah</t>
  </si>
  <si>
    <t>Gods creation</t>
  </si>
  <si>
    <t>7122459821244155906</t>
  </si>
  <si>
    <t>https://p16-sign-sg.tiktokcdn.com/tos-alisg-v-2774/o0AAn7bAAiEqARBOpaBpYUPuiW2QA5mlri7Em~720x720.jpeg?lk3s=08d74b56&amp;x-expires=1763022148&amp;x-signature=t0pqdb%2Forn4KtBHWE8A3CzWCXbk%3D</t>
  </si>
  <si>
    <t>daniel.mp3</t>
  </si>
  <si>
    <t>https://v16-webapp-prime.tiktok.com/video/tos/maliva/tos-maliva-ve-0068c801-us/osTg20tHA4QIL2SNjegCCGeglQRZgAXcAekn8M/?a=1988&amp;bti=ODszNWYuMDE6&amp;ch=0&amp;cr=3&amp;dr=0&amp;lr=all&amp;cd=0%7C0%7C0%7C&amp;cv=1&amp;br=1340&amp;bt=670&amp;cs=0&amp;ds=3&amp;ft=I~da4oKyD12NviW0i.IxRHqNglBF-UjNSqopiX&amp;mime_type=video_mp4&amp;qs=0&amp;rc=Mzw1MzdpZWRlaGZpPDU7M0BpM2d4a3g5cjM4dTMzNzczM0AuNWAuYC42NS0xMWMzMl8vYSMxMGpvMmRzaDRgLS1kMTZzcw%3D%3D&amp;btag=e00090000&amp;expire=1763173457&amp;l=202511131022270BBA173F4561DD71A814&amp;ply_type=2&amp;policy=2&amp;signature=3151e677bd3aff7446b9dd7ed9028fc2&amp;tk=tt_chain_token</t>
  </si>
  <si>
    <t>7407950589566504197</t>
  </si>
  <si>
    <t>Voce muda muito de opinião?? #tdah #tdahadulto #tdahtiktok #tdahmemes #tdahdescomplicado #terapeuta #az30</t>
  </si>
  <si>
    <t>7407950679489612550</t>
  </si>
  <si>
    <t>https://v16-webapp-prime.tiktok.com/video/tos/useast2a/tos-useast2a-v-27dcd7/oIUhRrIQJyCFaElpGvJY1zfrAPD0BBAINAem6c/?a=1988&amp;bti=ODszNWYuMDE6&amp;ch=0&amp;cr=0&amp;dr=0&amp;er=0&amp;lr=default&amp;cd=0%7C0%7C0%7C0&amp;br=250&amp;bt=125&amp;ds=5&amp;ft=GNDpcInz7Th.pKvPXq8Zmo&amp;mime_type=audio_mpeg&amp;qs=13&amp;rc=amY1b3Q5cnQ4dTMzNzU8M0BpamY1b3Q5cnQ4dTMzNzU8M0AzYWJyMmRzNDRgLS1kMTZzYSMzYWJyMmRzNDRgLS1kMTZzcw%3D%3D&amp;btag=e00050000&amp;expire=1764559708&amp;l=2025120110255511562FBEB39684549774&amp;ply_type=3&amp;policy=3&amp;signature=403b7a4647e6fc0e9ac52f3f1099ca61&amp;tk=7571587458748974088</t>
  </si>
  <si>
    <t>https://www.tiktok.com/@liberdade.mentall/video/7407958496542559494</t>
  </si>
  <si>
    <t>viralvideo,viral,oqueetdah,comoacabarcomotdah,homenscomtdah,tdahadulto,sintomasdotdah</t>
  </si>
  <si>
    <t>https://p77-sign-va.tiktokcdn.com/tos-maliva-avt-0068/8ca82cc9ed150d573b3fc912a90379f5~tplv-tiktokx-cropcenter:100:100.jpeg?dr=14579&amp;refresh_token=7178cb65&amp;x-expires=1763172000&amp;x-signature=Sdmi8tCbDiuuxH2%2BHrJWBXBIVIc%3D&amp;t=4d5b0474&amp;ps=13740610&amp;shp=a5d48078&amp;shcp=81f88b70&amp;idc=my</t>
  </si>
  <si>
    <t>https://p77-sign-sg.tiktokcdn.com/tos-alisg-avt-0068/9832aa685b2cfe94db09e06f702f0a77~tplv-tiktokx-cropcenter:1080:1080.jpeg?dr=14579&amp;refresh_token=cbc27eaf&amp;x-expires=1764727200&amp;x-signature=TapJJQiJYUHxQycFVPQWIIIjK%2Fc%3D&amp;t=4d5b0474&amp;ps=13740610&amp;shp=a5d48078&amp;shcp=81f88b70&amp;idc=my</t>
  </si>
  <si>
    <t>https://v16-webapp-prime.tiktok.com/video/tos/maliva/tos-maliva-ve-68c800-us/o8mmIkxQWBACVyWNWyi5gIzQXCroZAXZEJfCOi/?a=1988&amp;bti=ODszNWYuMDE6&amp;ch=0&amp;cr=3&amp;dr=0&amp;lr=all&amp;cd=0%7C0%7C0%7C&amp;cv=1&amp;br=2382&amp;bt=1191&amp;cs=0&amp;ds=3&amp;ft=-Csk_mrMPD12Nrgh5d-UxXS5hY6e3wv25bcAp&amp;mime_type=video_mp4&amp;qs=0&amp;rc=Zjc0ODg2N2g4ODs6OztlZEBpanM5ZnM5cmU4dTMzNzczM0AxXzVfLTQ2X2ExXmEwMi8vYSNsamU1MmRjMzRgLS1kMTZzcw%3D%3D&amp;btag=e00090000&amp;expire=1764728908&amp;l=2025120110255511562FBEB39684549774&amp;ply_type=2&amp;policy=2&amp;signature=a8e944c67cd2f788575ecd7155985a6a&amp;tk=tt_chain_token</t>
  </si>
  <si>
    <t>https://v16-webapp-prime.tiktok.com/video/tos/useast2a/tos-useast2a-v-27dcd7/o0BAAlqBhfqDUteJX1EAXqCJGqQbhKGmAAJEon/?a=1988&amp;bti=ODszNWYuMDE6&amp;ch=0&amp;cr=0&amp;dr=0&amp;er=0&amp;lr=default&amp;cd=0%7C0%7C0%7C0&amp;br=250&amp;bt=125&amp;ds=5&amp;ft=GNDpcInz7ThVY-UPXq8Zmo&amp;mime_type=audio_mpeg&amp;qs=13&amp;rc=am9nOzY6ZjVkbjMzNzU8M0Bpam9nOzY6ZjVkbjMzNzU8M0Bkcy01cjRnaWdgLS1kMTZzYSNkcy01cjRnaWdgLS1kMTZzcw%3D%3D&amp;btag=e00058000&amp;expire=1763004687&amp;l=202511131026378F10DAFBB0AF239B249B&amp;ply_type=3&amp;policy=3&amp;signature=69b40fb1603c76c1f62a8808cb143b4d&amp;tk=7571587458748974088</t>
  </si>
  <si>
    <t>https://www.tiktok.com/@claralisle/video/7407950589566504197</t>
  </si>
  <si>
    <t>https://p16-sign-va.tiktokcdn.com/tos-maliva-avt-0068/8ca82cc9ed150d573b3fc912a90379f5~tplv-tiktokx-cropcenter:1080:1080.jpeg?dr=14579&amp;refresh_token=e86e1540&amp;x-expires=1763172000&amp;x-signature=nYn%2FZp8TuKWnNwwNkyGPkfGfBXc%3D&amp;t=4d5b0474&amp;ps=13740610&amp;shp=a5d48078&amp;shcp=81f88b70&amp;idc=my</t>
  </si>
  <si>
    <t>tdah,tdahadulto,tdahtiktok,tdahmemes,tdahdescomplicado,terapeuta,az30</t>
  </si>
  <si>
    <t>https://v16-webapp-prime.tiktok.com/video/tos/useast2a/tos-useast2a-v-27dcd7/oUIA6ONoXCSAlgTj1tIEDFECXSDRpfAPxfSzfS/?a=1988&amp;bti=ODszNWYuMDE6&amp;ch=0&amp;cr=0&amp;dr=0&amp;er=0&amp;lr=default&amp;cd=0%7C0%7C0%7C0&amp;br=250&amp;bt=125&amp;ds=5&amp;ft=GNDpcInz7ThIPKvPXq8Zmo&amp;mime_type=audio_mpeg&amp;qs=13&amp;rc=am50ZnQ5cnZsdzMzNzU8M0Bpam50ZnQ5cnZsdzMzNzU8M0BoYWJwMmRzX3JgLS1kMTZzYSNoYWJwMmRzX3JgLS1kMTZzcw%3D%3D&amp;btag=e00050000&amp;expire=1764559309&amp;l=20251201102014E2CB5F4C19000C61E683&amp;ply_type=3&amp;policy=3&amp;signature=1bb9c155fb97c7b8e4f8d8a04c58c9ed&amp;tk=7571587458748974088</t>
  </si>
  <si>
    <t>https://v16-webapp-prime.tiktok.com/video/tos/alisg/tos-alisg-ve-37c813-sg/okANRqiolQJ3EPBfXBJ8JJkDIFngyYADJQbfFz/?a=1988&amp;bti=ODszNWYuMDE6&amp;ch=0&amp;cr=3&amp;dr=0&amp;lr=all&amp;cd=0%7C0%7C0%7C&amp;br=1562&amp;bt=781&amp;cs=0&amp;ds=3&amp;ft=-Csk_mrMPD12NY_opd-Uxz42hY6e3wv25ycAp&amp;mime_type=video_mp4&amp;qs=0&amp;rc=Nzc2aWQ3NWhlMzRmODdnZkBpajNkcGk6ZjVkbjMzNzczM0BiMmExNi8uNTMxLzZgNWIvYSM1MGBwcjRfZmdgLS1kMTZzcw%3D%3D&amp;btag=e00098000&amp;expire=1763173887&amp;l=202511131026378F10DAFBB0AF239B249B&amp;ply_type=2&amp;policy=2&amp;signature=bed34e251b5bdbb5a4745b0a74e9096e&amp;tk=tt_chain_token</t>
  </si>
  <si>
    <t>https://v16-webapp-prime.tiktok.com/video/tos/useast2a/tos-useast2a-ve-0068c001/o8yjfADfOJpCgFj0OernXQSIgIs9C0jEDmtSET/?a=1988&amp;bti=ODszNWYuMDE6&amp;ch=0&amp;cr=3&amp;dr=0&amp;lr=all&amp;cd=0%7C0%7C0%7C&amp;cv=1&amp;br=622&amp;bt=311&amp;cs=0&amp;ds=6&amp;ft=-Csk_mrMPD12N0dh5d-UxPO2hY6e3wv252cAp&amp;mime_type=video_mp4&amp;qs=5&amp;rc=NjxoPDQ7NDs2OTlpaDw2aUBpM2VrZ3A5cnNsdzMzNzczM0A0MS5eYF9hNS4xMmNiYmIzYSM0NDNzMmRzX3JgLS1kMTZzcw%3D%3D&amp;btag=e00090000&amp;expire=1764728509&amp;l=20251201102014E2CB5F4C19000C61E683&amp;ply_type=2&amp;policy=2&amp;signature=082fe3f84e7f8ff5c32bdcc7385bddfe&amp;tk=tt_chain_token</t>
  </si>
  <si>
    <t>https://p77-sign-va.tiktokcdn.com/tos-maliva-avt-0068/889071946a8680cf43388c6e7048691b~tplv-tiktokx-cropcenter:100:100.jpeg?dr=14579&amp;refresh_token=716f867c&amp;x-expires=1763172000&amp;x-signature=frriFJNmayKEzYO%2BHm7wh5Zkr2A%3D&amp;t=4d5b0474&amp;ps=13740610&amp;shp=a5d48078&amp;shcp=81f88b70&amp;idc=my</t>
  </si>
  <si>
    <t>https://v16-webapp-prime.tiktok.com/video/tos/useast2a/tos-useast2a-v-27dcd7/oMNq5iAEkByD5ZKDIoAIB7ZOEfSInFgi7YEApA/?a=1988&amp;bti=ODszNWYuMDE6&amp;ch=0&amp;cr=0&amp;dr=0&amp;er=0&amp;lr=default&amp;cd=0%7C0%7C0%7C0&amp;br=250&amp;bt=125&amp;ds=5&amp;ft=GNDpcInz7ThaK-UPXq8Zmo&amp;mime_type=audio_mpeg&amp;qs=13&amp;rc=M2w3bHM5cjdscTMzNzU8M0BpM2w3bHM5cjdscTMzNzU8M0BpcDBnMmRjMDNgLS1kMTZzYSNpcDBnMmRjMDNgLS1kMTZzcw%3D%3D&amp;btag=e00078000&amp;expire=1763004183&amp;l=202511131022406C90E0DA9AAAC98C2302&amp;ply_type=3&amp;policy=3&amp;signature=18204efbf3042eebe955e8d56fd07441&amp;tk=7571587458748974088</t>
  </si>
  <si>
    <t>7419481334457978118</t>
  </si>
  <si>
    <t>#tdah #saudemental #psicologoonline #psicoterapia #fyp #foryou #foryoupage</t>
  </si>
  <si>
    <t>4 AÇÕES “REPETITIVAS” de um ADULTO COM TDAH 1- REPETIR MOVIMENTO COM OS PÉS  2- FALAR SOZINHO Use o cupom PSIIGOR  Me chame no Direct que lhe envio o LINK
 3- VAI REPETIR PERGUNTAS 4- REPETE TAREFAS EM BUSCA DA PERFEIÇÃO </t>
  </si>
  <si>
    <t>7419481379018197765</t>
  </si>
  <si>
    <t>https://v16-webapp-prime.tiktok.com/video/tos/useast2a/tos-useast2a-v-27dcd7/oQDWEJNZEBCwSpAlA6i0BJmADUPQ1BgeEZfZ3i/?a=1988&amp;bti=ODszNWYuMDE6&amp;ch=0&amp;cr=0&amp;dr=0&amp;er=0&amp;lr=default&amp;cd=0%7C0%7C0%7C0&amp;br=250&amp;bt=125&amp;ds=5&amp;ft=GNDpcInz7ThpgKvPXq8Zmo&amp;mime_type=audio_mpeg&amp;qs=13&amp;rc=am83dG45cjVudTMzNzU8M0Bpam83dG45cjVudTMzNzU8M0Azc19gMmRjam9gLS1kMTZzYSMzc19gMmRjam9gLS1kMTZzcw%3D%3D&amp;btag=e00050000&amp;expire=1764559489&amp;l=202512011023380569D1C6B730C3EFE5B4&amp;ply_type=3&amp;policy=3&amp;signature=8ca7dcb542aa9e48cc37a773cecdc0e4&amp;tk=7571587458748974088</t>
  </si>
  <si>
    <t>https://p77-sign-va.tiktokcdn.com/tos-maliva-avt-0068/889071946a8680cf43388c6e7048691b~tplv-tiktokx-cropcenter:1080:1080.jpeg?dr=14579&amp;refresh_token=0fb63b72&amp;x-expires=1763172000&amp;x-signature=7If3EW4Tt5WpV7YYQC7piz4F%2BgA%3D&amp;t=4d5b0474&amp;ps=13740610&amp;shp=a5d48078&amp;shcp=81f88b70&amp;idc=my</t>
  </si>
  <si>
    <t>https://webapp-va.tiktok.com/990785c255dcf1b91c3c9c82d2abfcd0/6917e407/kmoat/mps/logo/v2/r/p/v09044g40000cn6i30nog65pmfhjqokg/229a272922174a8db059133f6f296fab/abf565848893e6abc63cf79db99a3b70/mp4/main.mp4?a=1988&amp;bti=ODszNWYuMDE6&amp;ch=0&amp;cr=3&amp;dr=0&amp;lr=all&amp;cd=0%7C0%7C0%7C&amp;br=0&amp;bt=0&amp;cs=0&amp;ds=3&amp;eid=1286&amp;ft=bLZkJmrMPD12N8hopd-Ux~v2bY6e3wv251cAp&amp;mime_type=video_mp4&amp;qs=0&amp;rc=cnF8b2hsc2d3SkBwaHIxaDFybndmZWk8aWk2PDNnZDo1PDpkNUBpanJtaXM5cjNscTMzNzczM0BjRl5Nc3FePmJKYSNvYF90aHFmOiNeMy8zMC4yXzUxLi8vLzYvYSNobmVqMmRrMDNgLS1kMTZzcw%3D%3D&amp;btag=e000b8000&amp;definition=720p&amp;du=23&amp;item_id=7335556234138995974&amp;l=202511131022406C90E0DA9AAAC98C2302&amp;logo_type=tiktok_m&amp;ply_type=2&amp;policy=eyJ2bSI6MiwiY2siOiJ0dF9jaGFpbl90b2tlbiJ9&amp;user_text=isaquecampos21</t>
  </si>
  <si>
    <t>https://v16-webapp-prime.tiktok.com/video/tos/alisg/tos-alisg-pve-0037c001/oASJreQHIESb3mKB0pmEjDOB9EdiJFafQAkFgR/?a=1988&amp;bti=ODszNWYuMDE6&amp;ch=0&amp;cr=3&amp;dr=0&amp;lr=all&amp;cd=0%7C0%7C0%7C&amp;cv=1&amp;br=2248&amp;bt=1124&amp;cs=0&amp;ds=3&amp;ft=-Csk_mrMPD12NgZh5d-Ux3t2SY6e3wv25HcAp&amp;mime_type=video_mp4&amp;qs=0&amp;rc=Nzo5Z2U3aDxoZDczNDs8ZkBpamxmO3g5cmxudTMzNzczM0A1Xl42Y14vXzUxYC9gNi82YSMwXmdmMmRjaW9gLS1kMTZzcw%3D%3D&amp;btag=e00090000&amp;expire=1764728689&amp;l=202512011023380569D1C6B730C3EFE5B4&amp;ply_type=2&amp;policy=2&amp;signature=7ee15480a38b0a9f271902fc414e15bf&amp;tk=tt_chain_token</t>
  </si>
  <si>
    <t>https://www.tiktok.com/@igorpsicologo/video/7419481334457978118</t>
  </si>
  <si>
    <t>tdah,saudemental,psicologoonline,psicoterapia,fyp,foryou,foryoupage</t>
  </si>
  <si>
    <t>7535995592644889912</t>
  </si>
  <si>
    <t>elainiellefonseca</t>
  </si>
  <si>
    <t>Elainielle Fonseca</t>
  </si>
  <si>
    <t>https://p77-sign-va.tiktokcdn.com/tos-maliva-avt-0068/7324274213211734022~tplv-tiktokx-cropcenter:100:100.jpeg?dr=14579&amp;refresh_token=699436ce&amp;x-expires=1764727200&amp;x-signature=q2r2Qja7%2B06ySymH0xS0fDD2JXA%3D&amp;t=4d5b0474&amp;ps=13740610&amp;shp=a5d48078&amp;shcp=81f88b70&amp;idc=my</t>
  </si>
  <si>
    <t>7292763541839301894</t>
  </si>
  <si>
    <t>theericastefany</t>
  </si>
  <si>
    <t>É𝐫𝐢𝐜𝐚</t>
  </si>
  <si>
    <t>https://p77-sign-sg.tiktokcdn.com/tos-alisg-avt-0068/2435be54898e0c2a1441f761b3a1dfde~tplv-tiktokx-cropcenter:100:100.jpeg?dr=14579&amp;refresh_token=11841b74&amp;x-expires=1763172000&amp;x-signature=1RjIqWDuQ%2BN8f4T06w4zsjlkLLM%3D&amp;t=4d5b0474&amp;ps=13740610&amp;shp=a5d48078&amp;shcp=81f88b70&amp;idc=my</t>
  </si>
  <si>
    <t>#tdah   #tdahadulto #problemas  #saudemental🧠  #oquefazer  #tadificil   #complicado</t>
  </si>
  <si>
    <t xml:space="preserve">
Parte 2 Será que to bem?</t>
  </si>
  <si>
    <t>7535995596469996294</t>
  </si>
  <si>
    <t>https://v16-webapp-prime.tiktok.com/video/tos/useast2a/tos-useast2a-v-27dcd7/oIAXPnruGECBfVegEnLASsT11CeLRACEI6gCoK/?a=1988&amp;bti=ODszNWYuMDE6&amp;ch=0&amp;cr=0&amp;dr=0&amp;er=0&amp;lr=default&amp;cd=0%7C0%7C0%7C0&amp;br=250&amp;bt=125&amp;ds=5&amp;ft=GNDpcInz7ThGPKvPXq8Zmo&amp;mime_type=audio_mpeg&amp;qs=13&amp;rc=anRpank5cjltNTMzNzU8M0BpanRpank5cjltNTMzNzU8M0BzNDZfMmRrbF5hLS1kMTZzYSNzNDZfMmRrbF5hLS1kMTZzcw%3D%3D&amp;btag=e00048000&amp;expire=1764559257&amp;l=202512011020239FD63C9B4E4C976A9E36&amp;ply_type=3&amp;policy=3&amp;signature=6ef847ecb768b7d5df7ddaf897a2c4b0&amp;tk=7571587458748974088</t>
  </si>
  <si>
    <t>https://v16-webapp-prime.tiktok.com/video/tos/maliva/tos-maliva-ve-0068c801-us/ooJAaKu2ELgSoz0P1TiUQ1IcVlUciAZQS5DDB/?a=1988&amp;bti=ODszNWYuMDE6&amp;ch=0&amp;cr=3&amp;dr=0&amp;lr=all&amp;cd=0%7C0%7C0%7C&amp;cv=1&amp;br=578&amp;bt=289&amp;cs=0&amp;ds=3&amp;ft=I~da4oKyD12NvuA0i.IxREJNglBF-UjNSmopiX&amp;mime_type=video_mp4&amp;qs=0&amp;rc=Z2c3NDlkZzs0OjlnZ2g3OEBpMztvaG05cm9rbjMzNzgzM0A2L2NgMmFiNi0xMi9iYi5fYSMyaWJkMmQ0bG5gLS1kLzZzcw%3D%3D&amp;btag=e00090000&amp;expire=1763173563&amp;l=202511131024337F554789EF0D09A1F8EB&amp;ply_type=2&amp;policy=2&amp;signature=abe032c648728ff0dc47e84ff4b3cdaa&amp;tk=tt_chain_token</t>
  </si>
  <si>
    <t>https://p77-sign-va.tiktokcdn.com/tos-maliva-avt-0068/7324274213211734022~tplv-tiktokx-cropcenter:1080:1080.jpeg?dr=14579&amp;refresh_token=5ebe9059&amp;x-expires=1764727200&amp;x-signature=q5DUjF2gq4A4JTaByrZTgdfO9Rg%3D&amp;t=4d5b0474&amp;ps=13740610&amp;shp=a5d48078&amp;shcp=81f88b70&amp;idc=my</t>
  </si>
  <si>
    <t>https://www.tiktok.com/@theericastefany/video/7292763541839301894</t>
  </si>
  <si>
    <t>7569742618993773845</t>
  </si>
  <si>
    <t>https://v16-webapp-prime.tiktok.com/video/tos/useast2a/tos-useast2a-pve-0068/o0LIHTUQEia5BIiT7CBkDECUPQnMSKPv6AVkJ/?a=1988&amp;bti=ODszNWYuMDE6&amp;ch=0&amp;cr=3&amp;dr=0&amp;lr=all&amp;cd=0%7C0%7C0%7C&amp;cv=1&amp;br=1546&amp;bt=773&amp;cs=0&amp;ds=2&amp;ft=I~da4oKyD12Nvz.WS.IxRjkNWlBF-UjNSRopiX&amp;mime_type=video_mp4&amp;qs=0&amp;rc=NzdkZjY0Zzs6aDY3O2g0aEBpMztnPHM5cjptNTMzNzczM0BgNjI2YmAuNjMxNDQ2X18uYSMuMy8yMmQ0a15hLS1kMTZzcw%3D%3D&amp;btag=e00088000&amp;expire=1764728457&amp;l=202512011020239FD63C9B4E4C976A9E36&amp;ply_type=2&amp;policy=2&amp;signature=b865c539396412a867741fe3242fdbf0&amp;tk=tt_chain_token</t>
  </si>
  <si>
    <t xml:space="preserve">🧠✨ O TDAH não é só um transtorno de foco, mas uma dificuldade de regulação. O cérebro está sempre em alerta, gerando exaustão sem esforço físico e apagões mentais, que não são preguiça, mas um custo invisível. 💭💔 Vamos ser gentis conosco e reconhecer a necessidade de pausas. 🌿💪  #TDAH #bipolaridade #neurodivergente #tdahadulto #tiktokbrazil </t>
  </si>
  <si>
    <t>MENTE TDAH EM 
CURTO-CIRCUITO</t>
  </si>
  <si>
    <t>7569742660480256786</t>
  </si>
  <si>
    <t>https://v16-webapp-prime.tiktok.com/video/tos/alisg/tos-alisg-v-27dcd7/oQBtEAnNA3N7VAA0ClvIMAAUipavI2YSgiQEC/?a=1988&amp;bti=ODszNWYuMDE6&amp;ch=0&amp;cr=0&amp;dr=0&amp;er=0&amp;lr=default&amp;cd=0%7C0%7C0%7C0&amp;br=250&amp;bt=125&amp;ds=5&amp;ft=GNDpcInz7Th49-UPXq8Zmo&amp;mime_type=audio_mpeg&amp;qs=13&amp;rc=amZkeHE5cnBsNzMzODU8NEBpamZkeHE5cnBsNzMzODU8NEBqYm5rMmRrLjNhLS1kMS1zYSNqYm5rMmRrLjNhLS1kMS1zcw%3D%3D&amp;btag=e00048000&amp;expire=1763004314&amp;l=20251113102415EC11E565E652E77F00C9&amp;ply_type=3&amp;policy=3&amp;signature=4d9c1d47f7112700df9871bd0600c1a1&amp;tk=7571587458748974088</t>
  </si>
  <si>
    <t>https://www.tiktok.com/@elainiellefonseca/video/7535995592644889912</t>
  </si>
  <si>
    <t>https://v16-webapp-prime.tiktok.com/video/tos/alisg/tos-alisg-pve-0037c001/os9EagiDOIBT11QAf1LgfUiHpNEJRwGBpGORIB/?a=1988&amp;bti=ODszNWYuMDE6&amp;ch=0&amp;cr=3&amp;dr=0&amp;lr=all&amp;cd=0%7C0%7C0%7C&amp;cv=1&amp;br=1730&amp;bt=865&amp;cs=0&amp;ds=3&amp;ft=-Csk_mrMPD12Nycopd-UxG4vXY6e3wv25McAp&amp;mime_type=video_mp4&amp;qs=0&amp;rc=NDZmOjNoNWQ2NmU6Z2Y8OUBpamhzb285cnRrNzMzODczNUBiLTReLS40Xi4xLWAwYDEtYSNuaC0wMmRzczNhLS1kMTZzcw%3D%3D&amp;btag=e00088000&amp;expire=1763173514&amp;l=20251113102415EC11E565E652E77F00C9&amp;ply_type=2&amp;policy=2&amp;signature=33ebff0fdb96d521fb0fa2c5b8da1dcd&amp;tk=tt_chain_token</t>
  </si>
  <si>
    <t>tdah,tdahadulto,problemas,saudemental🧠,oquefazer,tadificil,complicado</t>
  </si>
  <si>
    <t>https://v16-webapp-prime.tiktok.com/video/tos/useast2a/tos-useast2a-v-27dcd7/okasSzU9EBkQhEAKFgjhLAbACECEoAf0ylAb4N/?a=1988&amp;bti=ODszNWYuMDE6&amp;ch=0&amp;cr=0&amp;dr=0&amp;er=0&amp;lr=default&amp;cd=0%7C0%7C0%7C0&amp;br=250&amp;bt=125&amp;ds=5&amp;ft=GNDpcInz7ThezKvPXq8Zmo&amp;mime_type=audio_mpeg&amp;qs=13&amp;rc=MzdqcDg6ZjtybDMzNzU8M0BpMzdqcDg6ZjtybDMzNzU8M0BwLXJkcjQwb2ZgLS1kMTZzYSNwLXJkcjQwb2ZgLS1kMTZzcw%3D%3D&amp;btag=e00050000&amp;expire=1764559355&amp;l=202512011021342A4EB9620CED315EA2E7&amp;ply_type=3&amp;policy=3&amp;signature=5ba47bd6102626f9655bc190b73b181e&amp;tk=7571587458748974088</t>
  </si>
  <si>
    <t>https://www.tiktok.com/@terapiadafe/video/7569742618993773845</t>
  </si>
  <si>
    <t>tdah,bipolaridade,neurodivergente,tdahadulto,tiktokbrazil</t>
  </si>
  <si>
    <t>7459377078920563974</t>
  </si>
  <si>
    <t>patriciats91</t>
  </si>
  <si>
    <t>🦇 Patrícia 🦇</t>
  </si>
  <si>
    <t>https://p16-sign-va.tiktokcdn.com/tos-maliva-avt-0068/b3e6dfe8b52a56e509e3243a43a51a53~tplv-tiktokx-cropcenter:100:100.jpeg?dr=14579&amp;refresh_token=2ee4d2b4&amp;x-expires=1763172000&amp;x-signature=5Z%2BmJ8HpGB6DDhIsPkHvt%2FmhYw0%3D&amp;t=4d5b0474&amp;ps=13740610&amp;shp=a5d48078&amp;shcp=81f88b70&amp;idc=my</t>
  </si>
  <si>
    <t>https://p16-sign-va.tiktokcdn.com/tos-maliva-avt-0068/32df75d3b89fa1e2fb023193ee39e5b7~tplv-tiktokx-cropcenter:1080:1080.jpeg?dr=14579&amp;refresh_token=52a5e53f&amp;x-expires=1764727200&amp;x-signature=AJYtiGx4iInZJ9SVARgQEXA4RDE%3D&amp;t=4d5b0474&amp;ps=13740610&amp;shp=a5d48078&amp;shcp=81f88b70&amp;idc=my</t>
  </si>
  <si>
    <t>#tdah #tdahadulto #tdahtiktok #toque #sai #grude #sendibilidade #hipersensibilidadsensorial</t>
  </si>
  <si>
    <t>7459377094404705030</t>
  </si>
  <si>
    <t>https://v16-webapp-prime.tiktok.com/video/tos/useast2a/tos-useast2a-v-27dcd7/o8EE7DpfINioSQCCnKYDfCCTf2EFAAggAkUPIr/?a=1988&amp;bti=ODszNWYuMDE6&amp;ch=0&amp;cr=0&amp;dr=0&amp;er=0&amp;lr=default&amp;cd=0%7C0%7C0%7C0&amp;br=250&amp;bt=125&amp;ds=5&amp;ft=GNDpcInz7ThRK-UPXq8Zmo&amp;mime_type=audio_mpeg&amp;qs=13&amp;rc=am1xZ2s5cndqeDMzNzU8M0Bpam1xZ2s5cndqeDMzNzU8M0BkNmMwMmRrYy9gLS1kMTZzYSNkNmMwMmRrYy9gLS1kMTZzcw%3D%3D&amp;btag=e00078000&amp;expire=1763004159&amp;l=202511131022245A53A91EDE77CC8B0DB4&amp;ply_type=3&amp;policy=3&amp;signature=53ef70fad0bd94bfc66763583ffc37ac&amp;tk=7571587458748974088</t>
  </si>
  <si>
    <t>https://v16-webapp-prime.tiktok.com/video/tos/maliva/tos-maliva-ve-68c800-us/os1xBjbnJQX4RmkETjAeqphYlBaAPDzf8gDUIQ/?a=1988&amp;bti=ODszNWYuMDE6&amp;ch=0&amp;cr=3&amp;dr=0&amp;lr=all&amp;cd=0%7C0%7C0%7C&amp;cv=1&amp;br=540&amp;bt=270&amp;cs=0&amp;ds=3&amp;ft=-Csk_mrMPD12N6Dh5d-Uxq42hY6e3wv25IcAp&amp;mime_type=video_mp4&amp;qs=0&amp;rc=M2dlPGQ4ZjY3NDw5OWg2OEBpajs2aTg6Zm9ybDMzNzczM0BiMTAuMC9jXzIxLjMtYTBjYSNjZzBucjQwbWZgLS1kMTZzcw%3D%3D&amp;btag=e00090000&amp;expire=1764728555&amp;l=202512011021342A4EB9620CED315EA2E7&amp;ply_type=2&amp;policy=2&amp;signature=fad000c085e51997ddee08dc481205d0&amp;tk=tt_chain_token</t>
  </si>
  <si>
    <t>https://p16-sign-va.tiktokcdn.com/tos-maliva-avt-0068/b3e6dfe8b52a56e509e3243a43a51a53~tplv-tiktokx-cropcenter:1080:1080.jpeg?dr=14579&amp;refresh_token=d2204308&amp;x-expires=1763172000&amp;x-signature=CR6rF3foPMrP59nY%2B8ASun6zlok%3D&amp;t=4d5b0474&amp;ps=13740610&amp;shp=a5d48078&amp;shcp=81f88b70&amp;idc=my</t>
  </si>
  <si>
    <t>https://www.tiktok.com/@patriciats91/video/7459377078920563974</t>
  </si>
  <si>
    <t>tdah,tdahadulto,tdahtiktok,toque,sai,grude,sendibilidade,hipersensibilidadsensorial</t>
  </si>
  <si>
    <t>7276648310188887301</t>
  </si>
  <si>
    <t>psicofisiocuidado</t>
  </si>
  <si>
    <t>7376224055265037574</t>
  </si>
  <si>
    <t>https://p77-sign-va.tiktokcdn.com/tos-maliva-avt-0068/3b4c93f11ab91ab662692017c3327107~tplv-tiktokx-cropcenter:100:100.jpeg?dr=14579&amp;refresh_token=32f8da62&amp;x-expires=1764727200&amp;x-signature=iI%2F5hcP5UHua7THmv49%2F%2BcU29Ss%3D&amp;t=4d5b0474&amp;ps=13740610&amp;shp=a5d48078&amp;shcp=81f88b70&amp;idc=my</t>
  </si>
  <si>
    <t>tdahadulto</t>
  </si>
  <si>
    <t>TdahAdultonodiadia</t>
  </si>
  <si>
    <t>https://p77-sign-va.tiktokcdn.com/tos-maliva-avt-0068/6ab08493d79690026fe801eb75b12c68~tplv-tiktokx-cropcenter:100:100.jpeg?dr=14579&amp;refresh_token=f77f951c&amp;x-expires=1763172000&amp;x-signature=UI3gI62IbHaq5cfEANMbTpr7MH4%3D&amp;t=4d5b0474&amp;ps=13740610&amp;shp=a5d48078&amp;shcp=81f88b70&amp;idc=my</t>
  </si>
  <si>
    <t>TDAH adulto  sintomas  #tdahadulto #toc #tdahparatodalavida #concerta #venvanse #ritalina #dopamina #adrenalina</t>
  </si>
  <si>
    <t>#psicologia #tdah #tdahadulto #tdahtiktok #bemestar #saudemental #transtornodeficitdeatencao</t>
  </si>
  <si>
    <t>Sinais TDAH em adultos: Dificuldade em manter o foco em tarefas longas ou chatas. Impulsividade, como tomar decisões precipitadas. Dificuldade em organizar tarefas e atividades. Esquecimento frequente de compromissos e prazos. Dificuldade em seguir instruções detalhadas. Inquietação e incapacidade de relaxar. Fala excessivamente ou interrompe conversas. Dificuldade em lidar com o estresse.</t>
  </si>
  <si>
    <t>Fighter (Instrumental)</t>
  </si>
  <si>
    <t>7093659515011794946</t>
  </si>
  <si>
    <t>https://sf16-ies-music-sg.tiktokcdn.com/obj/tos-alisg-ve-2774/oAct8xFbCID8upGC0VzgfeEDltMGZvoBQMTYjB</t>
  </si>
  <si>
    <t>https://v16-webapp-prime.tiktok.com/video/tos/maliva/tos-maliva-ve-0068c801-us/oYrOh9regtLjAIxSJmEHXPfAIKC7SeN2CoOGzh/?a=1988&amp;bti=ODszNWYuMDE6&amp;ch=0&amp;cr=3&amp;dr=0&amp;lr=all&amp;cd=0%7C0%7C0%7C&amp;cv=1&amp;br=354&amp;bt=177&amp;cs=0&amp;ds=3&amp;ft=-Csk_mrMPD12NXdh5d-Uxe42hY6e3wv25XcAp&amp;mime_type=video_mp4&amp;qs=0&amp;rc=MzdmZTRlOzY8NjhpOWQ6aUBpMzs3b2U6Zm93bTMzNzczM0BfNDIuLmEvNl4xLjZiNC4yYSMwaXJycjRnYXFgLS1kMTZzcw%3D%3D&amp;btag=e00088000&amp;expire=1764728458&amp;l=202512011020161DC26370CAB01566B4BC&amp;ply_type=2&amp;policy=2&amp;signature=cb5cf09e263e6fee642adece2998cdf0&amp;tk=tt_chain_token</t>
  </si>
  <si>
    <t>https://p16-sg.tiktokcdn.com/aweme/720x720/tos-alisg-v-2774/o0EVEAAAsiNCBNBzBiAdfP5JdU4WRiAwoGsiAl.jpeg</t>
  </si>
  <si>
    <t>ROKKA</t>
  </si>
  <si>
    <t>https://webapp-va.tiktok.com/5025c234ea8192ed5816ab130c6cfe19/6917e3fa/kmoat/mps/logo/v3/r/p/v09044g40000cpepodnog65vr4bsdovg/7a48aaf36ae040878605caa7d299d59a/d936bbe4b634bffa9fcdc1e141d9efd1/mp4/main.mp4?a=1988&amp;bti=ODszNWYuMDE6&amp;ch=0&amp;cr=3&amp;dr=0&amp;lr=all&amp;cd=0%7C0%7C0%7C&amp;cv=1&amp;br=0&amp;bt=0&amp;cs=0&amp;ds=3&amp;ft=bLZkJmrMPD12N8hopd-Ux~v2bY6e3wv251cAp&amp;mime_type=video_mp4&amp;qs=0&amp;rc=cnF8b2hsc2d3SkBwaHIxaDFybndmZDg8NTpkODk6MzNkNmQ7ZEBpanJ2N3k5cmdzczMzNzczM0BjRl5Nc3FePmJKYSNvYF90aHFmOiM2YTZhXmAtNTUxYjNjXjE0YSNzYV9vMmRrbGJgLS1kMTZzcw%3D%3D&amp;btag=e000b0000&amp;definition=720p&amp;du=10&amp;item_id=7376224055265037574&amp;l=202511131022406C90E0DA9AAAC98C2302&amp;logo_type=tiktok_creator&amp;ply_type=2&amp;policy=eyJ2bSI6MiwiY2siOiJ0dF9jaGFpbl90b2tlbiJ9&amp;sign_params=item_id%2Cuser_text&amp;user_text=tdahadulto</t>
  </si>
  <si>
    <t>https://www.tiktok.com/@psicofisiocuidado/video/7276648310188887301</t>
  </si>
  <si>
    <t>psicologia,tdah,tdahadulto,tdahtiktok,bemestar,saudemental,transtornodeficitdeatencao</t>
  </si>
  <si>
    <t>https://p16-sign-va.tiktokcdn.com/tos-maliva-avt-0068/57bbd31068c1a08746eac939ea1daaf8~tplv-tiktokx-cropcenter:100:100.jpeg?dr=14579&amp;refresh_token=a0ff98ac&amp;x-expires=1764727200&amp;x-signature=D%2BpL0Yov%2BYZocfvrZvv0fe6SuPA%3D&amp;t=4d5b0474&amp;ps=13740610&amp;shp=a5d48078&amp;shcp=81f88b70&amp;idc=my</t>
  </si>
  <si>
    <t>https://www.tiktok.com/@tdahadulto/video/7376224055265037574</t>
  </si>
  <si>
    <t>tdahadulto,toc,tdahparatodalavida,concerta,venvanse,ritalina,dopamina,adrenalina</t>
  </si>
  <si>
    <t>https://p16-sign-va.tiktokcdn.com/tos-maliva-avt-0068/3f2851fddee89c918e3a69c28ed31a70~tplv-tiktokx-cropcenter:100:100.jpeg?dr=14579&amp;refresh_token=68bd2df2&amp;x-expires=1763172000&amp;x-signature=MOIrIx7TMTU%2BZK3m0Wj4qNdWo%2Fk%3D&amp;t=4d5b0474&amp;ps=13740610&amp;shp=a5d48078&amp;shcp=81f88b70&amp;idc=my</t>
  </si>
  <si>
    <t>https://v16-webapp-prime.tiktok.com/video/tos/alisg/tos-alisg-v-27dcd7/ocj2YAUiaPBCABGMAArwhAEqI8QAEAjLl6ivU/?a=1988&amp;bti=ODszNWYuMDE6&amp;ch=0&amp;cr=0&amp;dr=0&amp;er=0&amp;lr=default&amp;cd=0%7C0%7C0%7C0&amp;br=250&amp;bt=125&amp;ds=5&amp;ft=GNDpcInz7ThGD-UPXq8Zmo&amp;mime_type=audio_mpeg&amp;qs=13&amp;rc=amRya3Y5cjNoNzMzODU8NEBpamRya3Y5cjNoNzMzODU8NEBrbWplMmQ0ajFhLS1kMS1zYSNrbWplMmQ0ajFhLS1kMS1zcw%3D%3D&amp;btag=e00050000&amp;expire=1763004416&amp;l=2025111310254344385823DD6566920070&amp;ply_type=3&amp;policy=3&amp;signature=81e4a7c805ce79c89c2d1ea68673a756&amp;tk=7571587458748974088</t>
  </si>
  <si>
    <t>https://v16-webapp-prime.tiktok.com/video/tos/alisg/tos-alisg-ve-37c813-sg/oQGEvnsFQ9oEJGwBpEYDfBGR1sAFgrkQTetnIn/?a=1988&amp;bti=ODszNWYuMDE6&amp;ch=0&amp;cr=3&amp;dr=0&amp;lr=all&amp;cd=0%7C0%7C0%7C&amp;cv=1&amp;br=2546&amp;bt=1273&amp;cs=0&amp;ds=3&amp;ft=I~da4oKyD12Nvb.WS.IxRnTNWlBF-UjNS3opiX&amp;mime_type=video_mp4&amp;qs=0&amp;rc=M2RlaDw2NDs6ZTwzPDY0Z0Bpam55Zm45cnU3eTMzNzczM0A2YF81NjE1NS0xMTAyYC1iYSNlYHJjMmQ0bi5gLS1kMTZzcw%3D%3D&amp;btag=e00090000&amp;expire=1764728509&amp;l=20251201102046E8B89E886773854715A1&amp;ply_type=2&amp;policy=2&amp;signature=f033a5f43db3976129b0f90b5c1e4045&amp;tk=tt_chain_token</t>
  </si>
  <si>
    <t>https://p77-sign-va.tiktokcdn.com/tos-maliva-avt-0068/3f2851fddee89c918e3a69c28ed31a70~tplv-tiktokx-cropcenter:1080:1080.jpeg?dr=14579&amp;refresh_token=50fef0bb&amp;x-expires=1763172000&amp;x-signature=m1tvTCrpvcxusOuiCsPZStSI2uA%3D&amp;t=4d5b0474&amp;ps=13740610&amp;shp=a5d48078&amp;shcp=81f88b70&amp;idc=my</t>
  </si>
  <si>
    <t>https://v16-webapp-prime.tiktok.com/video/tos/alisg/tos-alisg-pve-0037c001/ogRJgCDg9IpXFgVqUcfBROwJxo4ceOErAEBwwQ/?a=1988&amp;bti=ODszNWYuMDE6&amp;ch=0&amp;cr=3&amp;dr=0&amp;lr=all&amp;cd=0%7C0%7C0%7C&amp;cv=1&amp;br=2716&amp;bt=1358&amp;cs=0&amp;ds=3&amp;ft=-Csk_mrMPD12Nn.opd-UxJTFGY6e3wv25bcAp&amp;mime_type=video_mp4&amp;qs=0&amp;rc=ZTw1ODw7ZWU2aGQ7Zmc6OUBpM3Zwa245cmZoNzMzODczNEBiXy00MTFeNmIxYF8tLzBgYSNgaTMwMmQ0aTFhLS1kMWBzcw%3D%3D&amp;btag=e00090000&amp;expire=1763173616&amp;l=2025111310254344385823DD6566920070&amp;ply_type=2&amp;policy=2&amp;signature=1a8393a66c10c448551ef62ca0ed91a9&amp;tk=tt_chain_token</t>
  </si>
  <si>
    <t>https://sf16-ies-music-sg.tiktokcdn.com/obj/tos-alisg-ve-2774/oERHw6BOqMz1iLjMbovAszeKn2iy5PWuBiATYI</t>
  </si>
  <si>
    <t>https://p77-sg.tiktokcdn.com/aweme/720x720/tos-alisg-v-2774/owQAsSGa6CgAfAz5mzQFBLIDUCGf4NAJ4e4xmg.jpeg</t>
  </si>
  <si>
    <t>https://v16-webapp-prime.tiktok.com/video/tos/maliva/tos-maliva-ve-0068c801-us/osTg20tHA4QIL2SNjegCCGeglQRZgAXcAekn8M/?a=1988&amp;bti=ODszNWYuMDE6&amp;ch=0&amp;cr=3&amp;dr=0&amp;lr=all&amp;cd=0%7C0%7C0%7C&amp;cv=1&amp;br=1340&amp;bt=670&amp;cs=0&amp;ds=3&amp;ft=-Csk_mrMPD12NXdh5d-Uxe42hY6e3wv25XcAp&amp;mime_type=video_mp4&amp;qs=0&amp;rc=Mzw1MzdpZWRlaGZpPDU7M0BpM2d4a3g5cjM4dTMzNzczM0AuNWAuYC42NS0xMWMzMl8vYSMxMGpvMmRzaDRgLS1kMTZzcw%3D%3D&amp;btag=e00090000&amp;expire=1764728525&amp;l=202512011020161DC26370CAB01566B4BC&amp;ply_type=2&amp;policy=2&amp;signature=ef065cccf94a123f269f852bce08852f&amp;tk=tt_chain_token</t>
  </si>
  <si>
    <t>7306536318371204357</t>
  </si>
  <si>
    <t>podzzera</t>
  </si>
  <si>
    <t>PODZERA</t>
  </si>
  <si>
    <t>https://p77-sign-va.tiktokcdn.com/tos-maliva-avt-0068/3403ddfcebd64115e73e8071a88d6b95~tplv-tiktokx-cropcenter:100:100.jpeg?dr=14579&amp;refresh_token=f0e971de&amp;x-expires=1763172000&amp;x-signature=JTMxFqP%2FmdDxu%2Brc1bmrGh8L5mw%3D&amp;t=4d5b0474&amp;ps=13740610&amp;shp=a5d48078&amp;shcp=81f88b70&amp;idc=my</t>
  </si>
  <si>
    <t>TDHA É ASSIM - #Psicologia #TDAH #TDAHADULTO #Cortespodcast #anabeatrizbarbosa #Podcast #tdahadulto #tdah</t>
  </si>
  <si>
    <t>TODO TDAH 
É ASSIM 😩👀</t>
  </si>
  <si>
    <t>7306536349408054022</t>
  </si>
  <si>
    <t>https://v16-webapp-prime.tiktok.com/video/tos/useast2a/tos-useast2a-v-27dcd7/oYDAISIGAeeCVdcAEKBMonKIDALoNTEzF3CBeg/?a=1988&amp;bti=ODszNWYuMDE6&amp;ch=0&amp;cr=0&amp;dr=0&amp;er=0&amp;lr=default&amp;cd=0%7C0%7C0%7C0&amp;br=250&amp;bt=125&amp;ds=5&amp;ft=GNDpcInz7Th29-UPXq8Zmo&amp;mime_type=audio_mpeg&amp;qs=13&amp;rc=am1ka3E5cjkzbzMzNzU8M0Bpam1ka3E5cjkzbzMzNzU8M0BmaWhjMmRzZGdgLS1kMTZzYSNmaWhjMmRzZGdgLS1kMTZzcw%3D%3D&amp;btag=e00050000&amp;expire=1763004359&amp;l=20251113102443BFAC5C39F8934C8F8E6A&amp;ply_type=3&amp;policy=3&amp;signature=495cba8c7f1985d6cad44e06aab24d7b&amp;tk=7571587458748974088</t>
  </si>
  <si>
    <t>7501728670701063430</t>
  </si>
  <si>
    <t>thaisgarciaterapeuta</t>
  </si>
  <si>
    <t>https://p16-sign-va.tiktokcdn.com/tos-maliva-avt-0068/1b2cbd4cbd8b9322457b2c2f8a0f3593~tplv-tiktokx-cropcenter:100:100.jpeg?dr=14579&amp;refresh_token=832ea0cb&amp;x-expires=1764727200&amp;x-signature=57NhgmrleZvlk3E18f79ZgPl%2FrY%3D&amp;t=4d5b0474&amp;ps=13740610&amp;shp=a5d48078&amp;shcp=81f88b70&amp;idc=my</t>
  </si>
  <si>
    <t>https://p77-sign-va.tiktokcdn.com/tos-maliva-avt-0068/3403ddfcebd64115e73e8071a88d6b95~tplv-tiktokx-cropcenter:1080:1080.jpeg?dr=14579&amp;refresh_token=4c32e19e&amp;x-expires=1763172000&amp;x-signature=RXcVuQoiGEH4yyF9bG0U60FRvJs%3D&amp;t=4d5b0474&amp;ps=13740610&amp;shp=a5d48078&amp;shcp=81f88b70&amp;idc=my</t>
  </si>
  <si>
    <t>Eu tenho TDAH, eu sou assim. #tdahtiktok#tdah#saudemental#saudeemocional#emoção#transtornos#tdah#</t>
  </si>
  <si>
    <t>Mande para alguém que 
precisa entender como você é.   EU TENHO TDAH
  E você precisa saber que… Se você convive com alguém 
com TDAH, lembre-se:
não é bagunça.
É um cérebro que funciona diferente. 
E que precisa de compreensão, 
não de cobrança.”</t>
  </si>
  <si>
    <t>https://v16-webapp-prime.tiktok.com/video/tos/useast2a/tos-useast2a-v-2370-euttp/o0VAjGfE2gd2Mj5eZEENTbEoAYEOFcoADeAe47/?a=1988&amp;bti=ODszNWYuMDE6&amp;ch=0&amp;cr=0&amp;dr=0&amp;er=0&amp;lr=default&amp;cd=0%7C0%7C0%7C0&amp;br=250&amp;bt=125&amp;ds=5&amp;ft=GNDpcInz7Th8zKvPXq8Zmo&amp;mime_type=audio_mpeg&amp;qs=13&amp;rc=ajZrcHg5cnJ4cjMzZjU8M0BpajZrcHg5cnJ4cjMzZjU8M0BwazBgMmRzM3FgLS1kMWNzYSNwazBgMmRzM3FgLS1kMWNzcw%3D%3D&amp;btag=e00058000&amp;expire=1764559500&amp;l=202512011020485614ECD0EEDB8C5FDDDB&amp;ply_type=3&amp;policy=3&amp;signature=dbcff92905dcffbbda3f4e72b535106b&amp;tk=7571587458748974088</t>
  </si>
  <si>
    <t>https://www.tiktok.com/@podzzera/video/7306536318371204357</t>
  </si>
  <si>
    <t>psicologia,tdah,tdahadulto,cortespodcast,anabeatrizbarbosa,podcast,tdahadulto,tdah</t>
  </si>
  <si>
    <t>psicologia,tdah,tdahadulto,cortespodcast,anabeatrizbarbosa,podcast</t>
  </si>
  <si>
    <t>https://p77-sign-va.tiktokcdn.com/tos-maliva-avt-0068/ff6e3eda5e04d647bbc778c2ac26b3f4~tplv-tiktokx-cropcenter:100:100.jpeg?dr=14579&amp;refresh_token=e5e5daf8&amp;x-expires=1763172000&amp;x-signature=IOjcdmN3Yo%2FcEus1A08u%2BiiG%2B0o%3D&amp;t=4d5b0474&amp;ps=13740610&amp;shp=a5d48078&amp;shcp=81f88b70&amp;idc=my</t>
  </si>
  <si>
    <t>https://v16-webapp-prime.tiktok.com/video/tos/alisg/tos-alisg-ve-37c813-sg/oQNtROhIw0jXARcgfCLQAfBGgMSlZCsTevNITW/?a=1988&amp;bti=ODszNWYuMDE6&amp;ch=0&amp;cr=3&amp;dr=0&amp;lr=all&amp;cd=0%7C0%7C0%7C&amp;cv=1&amp;br=1054&amp;bt=527&amp;cs=0&amp;ds=3&amp;ft=-Csk_mrMPD12NxDh5d-UxIS5hY6e3wv25ycAp&amp;mime_type=video_mp4&amp;qs=0&amp;rc=ZTpmMzU1aGVnPDs2PGg7ZUBpam1xdW85cmRxMzMzNzczM0AzNF4tYi9gX2MxL2JeYC0vYSM2NjVlMmQ0bGFhLS1kMTZzcw%3D%3D&amp;btag=e00090000&amp;expire=1764728548&amp;l=202512011020485614ECD0EEDB8C5FDDDB&amp;ply_type=2&amp;policy=2&amp;signature=6f29dec6c20baa1b47323ff13eea944d&amp;tk=tt_chain_token</t>
  </si>
  <si>
    <t>https://v16-webapp-prime.tiktok.com/video/tos/useast2a/tos-useast2a-v-27dcd7/oM4KgvBkYEBi4AEJ3YW38fANgoi0ZABBzEEEAi/?a=1988&amp;bti=ODszNWYuMDE6&amp;ch=0&amp;cr=0&amp;dr=0&amp;er=0&amp;lr=default&amp;cd=0%7C0%7C0%7C0&amp;br=250&amp;bt=125&amp;ds=5&amp;ft=GNDpcInz7ThMV-UPXq8Zmo&amp;mime_type=audio_mpeg&amp;qs=13&amp;rc=M3JtbG45cjM4dzMzNzU8M0BpM3JtbG45cjM4dzMzNzU8M0BkYzVgMmRza3JgLS1kMTZzYSNkYzVgMmRza3JgLS1kMTZzcw%3D%3D&amp;btag=e00048000&amp;expire=1763004244&amp;l=2025111310232002E5437D242CEA8409F2&amp;ply_type=3&amp;policy=3&amp;signature=566c60257788b72b3e02e8c90aec5869&amp;tk=7571587458748974088</t>
  </si>
  <si>
    <t>https://www.tiktok.com/@thaisgarciaterapeuta/video/7501728670701063430</t>
  </si>
  <si>
    <t>tdahtiktok,tdah,saudemental,saudeemocional,emoção,transtornos,tdah</t>
  </si>
  <si>
    <t>https://p77-sign-va.tiktokcdn.com/tos-maliva-avt-0068/ff6e3eda5e04d647bbc778c2ac26b3f4~tplv-tiktokx-cropcenter:1080:1080.jpeg?dr=14579&amp;refresh_token=27a39e2d&amp;x-expires=1763172000&amp;x-signature=sqMi5St7Bt4gATfe6aYtVlDvkRo%3D&amp;t=4d5b0474&amp;ps=13740610&amp;shp=a5d48078&amp;shcp=81f88b70&amp;idc=my</t>
  </si>
  <si>
    <t>tdahtiktok,tdah,saudemental,saudeemocional,emoção,transtornos</t>
  </si>
  <si>
    <t>7256764264583630085</t>
  </si>
  <si>
    <t>thiagorodrigopsiquiatra</t>
  </si>
  <si>
    <t>Dr Thiago Rodrigo | Psiquiatra</t>
  </si>
  <si>
    <t>https://p77-sign-va.tiktokcdn.com/tos-maliva-avt-0068/6f3d0900e711aa796f2c0d7770710a90~tplv-tiktokx-cropcenter:100:100.jpeg?dr=14579&amp;refresh_token=5c431d67&amp;x-expires=1764727200&amp;x-signature=WDKpSlgjtqCKNGNBuDI9gNj7zVI%3D&amp;t=4d5b0474&amp;ps=13740610&amp;shp=a5d48078&amp;shcp=81f88b70&amp;idc=my</t>
  </si>
  <si>
    <t xml:space="preserve">A mulher com TDAH costuma ter algumas características peculiares e que podem passar desapercebidas, o que pode gerar um intenso sofrimento por anos até ter um diagnóstico.  Ter TDAH sem tratamento é gravíssimo gente…  Procure um psiquiatra especialista URGENTE para te ajudar!!  Compartilhe com seus amigos e familiares. Vamos juntos SALVAR VIDAS!! Com amor,  DR. THIAGO RODRIGO - Médico Psiquiatra  CRMMG 63163 - RQE 41209 Telefone para marcação de consultas on-line para todo o Brasil e exterior: (98) 98173-6556 #tdah #tdahadulto #tdahinfantil #thiagorodrigopsiquiatra #tdahnoadulto #tdahidoso #barbie </t>
  </si>
  <si>
    <t>https://v16-webapp-prime.tiktok.com/video/tos/alisg/tos-alisg-pve-0037c001/oMIneBi1TEVK8fSgQgFmDb8ZJwtlkIAbNBxRQ0/?a=1988&amp;bti=ODszNWYuMDE6&amp;ch=0&amp;cr=3&amp;dr=0&amp;lr=all&amp;cd=0%7C0%7C0%7C&amp;cv=1&amp;br=1632&amp;bt=816&amp;cs=0&amp;ds=3&amp;ft=I~da4oKyD12Nvu.WS.IxRntNWlBF-UjNSMopiX&amp;mime_type=video_mp4&amp;qs=0&amp;rc=OThlMzY6ZzhlOzU8Njo2NkBpM3g4ZWQ6ZjltbDMzNzczM0AtXi1fMGEtNl8xLi1eNTQvYSNjZWJxcjRfNm5gLS1kMTZzcw%3D%3D&amp;btag=e000b8000&amp;expire=1764728439&amp;l=20251201102018B39B5434B49F795A75FD&amp;ply_type=2&amp;policy=2&amp;signature=9ca7f6d127063e6310768477a1689aa9&amp;tk=tt_chain_token</t>
  </si>
  <si>
    <t>7474303434699705655</t>
  </si>
  <si>
    <t>naiara.souzaa1</t>
  </si>
  <si>
    <t>Nay</t>
  </si>
  <si>
    <t>https://p77-sign-va.tiktokcdn.com/tos-maliva-avt-0068/145b5f38168e6aa56f1ec1bd7d93aa6d~tplv-tiktokx-cropcenter:100:100.jpeg?dr=14579&amp;refresh_token=b8864211&amp;x-expires=1763172000&amp;x-signature=OC7bmuos%2Bun%2Fq0SpNNq1XgaAwqI%3D&amp;t=4d5b0474&amp;ps=13740610&amp;shp=a5d48078&amp;shcp=81f88b70&amp;idc=my</t>
  </si>
  <si>
    <t>https://www.tiktok.com/@thiagorodrigopsiquiatra/video/7256764264583630085</t>
  </si>
  <si>
    <t>O meu tá avançado 😂😂😂 . . . #humor #tdah #memestiktok #fyp #explore #foryoupage</t>
  </si>
  <si>
    <t>O meu:🤣 Qual é o nível do seu TDAH?</t>
  </si>
  <si>
    <t>7370113741930679045</t>
  </si>
  <si>
    <t>https://v16-webapp-prime.tiktok.com/video/tos/useast2a/tos-useast2a-v-27dcd7/ok6TfjEBEAdykHS2osdp5ZgEDfE1FCASOCAMeE/?a=1988&amp;bti=ODszNWYuMDE6&amp;ch=0&amp;cr=0&amp;dr=0&amp;er=0&amp;lr=default&amp;cd=0%7C0%7C0%7C0&amp;br=250&amp;bt=125&amp;ds=5&amp;ft=GNDpcInz7ThPV-UPXq8Zmo&amp;mime_type=audio_mpeg&amp;qs=13&amp;rc=M2xqdXk5cnR4czMzNzU8M0BpM2xqdXk5cnR4czMzNzU8M0BxcC1iMmRjYjBgLS1kMTZzYSNxcC1iMmRjYjBgLS1kMTZzcw%3D%3D&amp;btag=e00050000&amp;expire=1763004242&amp;l=202511131023026989DBCE704A6574DC2E&amp;ply_type=3&amp;policy=3&amp;signature=29398719ea70bc0f477224fdb27bf6b7&amp;tk=7571587458748974088</t>
  </si>
  <si>
    <t>tdah,tdahadulto,tdahinfantil,thiagorodrigopsiquiatra,tdahnoadulto,tdahidoso,barbie</t>
  </si>
  <si>
    <t>https://v16-webapp-prime.tiktok.com/video/tos/useast2a/tos-useast2a-v-27dcd7/ooeb2PEzE7CsEFyDaASEAgCZIeAtC1D5oEtfTm/?a=1988&amp;bti=ODszNWYuMDE6&amp;ch=0&amp;cr=0&amp;dr=0&amp;er=0&amp;lr=default&amp;cd=0%7C0%7C0%7C0&amp;br=250&amp;bt=125&amp;ds=5&amp;ft=GNDpcInz7Th6zKvPXq8Zmo&amp;mime_type=audio_mpeg&amp;qs=13&amp;rc=ajlzcnY5cnFweTMzNzU8M0BpajlzcnY5cnFweTMzNzU8M0BuaWdwMmRrYWFgLS1kMTZzYSNuaWdwMmRrYWFgLS1kMTZzcw%3D%3D&amp;btag=e00050000&amp;expire=1764559371&amp;l=202512011021446E702D323C03BE6BD085&amp;ply_type=3&amp;policy=3&amp;signature=d6589fc697ec3856080aa92ec5a2f53c&amp;tk=7571587458748974088</t>
  </si>
  <si>
    <t>https://p77-sign-va.tiktokcdn.com/tos-maliva-avt-0068/0880d115a44d0757ef47ec29dfba07b6~tplv-tiktokx-cropcenter:1080:1080.jpeg?dr=14579&amp;refresh_token=ac4f9b3a&amp;x-expires=1763172000&amp;x-signature=Y%2FiXEqvTxR8sujb0PCEkva3O3lU%3D&amp;t=4d5b0474&amp;ps=13740610&amp;shp=a5d48078&amp;shcp=81f88b70&amp;idc=my</t>
  </si>
  <si>
    <t>Ritmosmusicais</t>
  </si>
  <si>
    <t>https://v16-webapp-prime.tiktok.com/video/tos/useast2a/tos-useast2a-ve-0068c004/okhZP8EjiUm9BvrJvTvkiQpqSbHtAEzIQZBL7/?a=1988&amp;bti=ODszNWYuMDE6&amp;ch=0&amp;cr=3&amp;dr=0&amp;lr=all&amp;cd=0%7C0%7C0%7C&amp;cv=1&amp;br=2592&amp;bt=1296&amp;cs=0&amp;ds=3&amp;ft=-Csk_mrMPD12NVDh5d-UxIS5hY6e3wv25ocAp&amp;mime_type=video_mp4&amp;qs=0&amp;rc=NTk8aTw4ZjM7aTNoMzRkZ0BpamU4eXU5cm1weTMzNzczM0AxXy41YC4xXmExYy40YjUvYSNrNDBoMmRrNmFgLS1kMTZzcw%3D%3D&amp;btag=e00090000&amp;expire=1764728571&amp;l=202512011021446E702D323C03BE6BD085&amp;ply_type=2&amp;policy=2&amp;signature=ee0f89b6bbd26e582400a1b5ec73a803&amp;tk=tt_chain_token</t>
  </si>
  <si>
    <t>https://v16-webapp-prime.tiktok.com/video/tos/useast2a/tos-useast2a-ve-0068c002/okAGpLCjSGPVdeI1jgE3AqycQeLDYUCIgeIBBg/?a=1988&amp;bti=ODszNWYuMDE6&amp;ch=0&amp;cr=3&amp;dr=0&amp;lr=all&amp;cd=0%7C0%7C0%7C&amp;cv=1&amp;br=1640&amp;bt=820&amp;cs=0&amp;ds=3&amp;ft=-Csk_mrMPD12NdYopd-UxMTFGY6e3wv25LcAp&amp;mime_type=video_mp4&amp;qs=0&amp;rc=ZDQ4MzQ0N2VpNDs5ZDxlN0Bpajh2NnQ5cjszeDMzNzczM0AwMGAxYGMzX2IxNi0uYzI0YSNlcGNfMmRjcXFgLS1kMTZzcw%3D%3D&amp;btag=e000b8000&amp;expire=1763173398&amp;l=202511131023026989DBCE704A6574DC2E&amp;ply_type=2&amp;policy=2&amp;signature=467d8b0995ef50b3ab9a7f2ae1648c06&amp;tk=tt_chain_token</t>
  </si>
  <si>
    <t>https://www.tiktok.com/@naiara.souzaa1/video/7474303434699705655</t>
  </si>
  <si>
    <t>humor,tdah,memestiktok,fyp,explore,foryoupage</t>
  </si>
  <si>
    <t>7256904953757699333</t>
  </si>
  <si>
    <t>O fluxo de pensamentos nas pessoas com #TDAH é caracterizado por uma atividade mental intensa, com pensamentos que pulam rapidamente de uma ideia para outra. Embora isso possa dificultar a concentração e a conclusão de tarefas, também traz uma mente ágil, criativa e capaz de fazer conexões inovadoras. Ao compreender e abraçar essa dinâmica cognitiva, as pessoas com TDAH podem encontrar estratégias que funcionem melhor para elas e aproveitar ao máximo suas habilidades únicas. O fluxo de pensamentos n</t>
  </si>
  <si>
    <t>https://p16-sign-sg.tiktokcdn.com/tos-alisg-v-2774/oEfLEaCXE3zgB2AJEeCylEoeOsARhGQOyAIAFD~720x720.jpeg?lk3s=08d74b56&amp;x-expires=1763022236&amp;x-signature=7AvTebbqkTU1mo2PHVeaELm8PnY%3D</t>
  </si>
  <si>
    <t>https://v16-webapp-prime.tiktok.com/video/tos/useast2a/tos-useast2a-v-27dcd7/o0EAuyuKxAwAooEz6LEBBiigtFBbQtAspf9Vqk/?a=1988&amp;bti=ODszNWYuMDE6&amp;ch=0&amp;cr=0&amp;dr=0&amp;er=0&amp;lr=default&amp;cd=0%7C0%7C0%7C0&amp;br=250&amp;bt=125&amp;ds=5&amp;ft=GNDpcInz7ThoPKvPXq8Zmo&amp;mime_type=audio_mpeg&amp;qs=13&amp;rc=ampodnQ5cmQ0bzMzNzU8M0BpampodnQ5cmQ0bzMzNzU8M0BycG1oMmRzYWtgLS1kMTZzYSNycG1oMmRzYWtgLS1kMTZzcw%3D%3D&amp;btag=e00050000&amp;expire=1764559267&amp;l=202512011020068133AB7BCB086C5F4CDC&amp;ply_type=3&amp;policy=3&amp;signature=a1d23860facbcc0c13f2ea843bd82d6f&amp;tk=7571587458748974088</t>
  </si>
  <si>
    <t>https://v16-webapp-prime.tiktok.com/video/tos/alisg/tos-alisg-pve-0037c001/o8LHLEoWNAItFoW6QzIyapAT7hgkfCqc4tCEcF/?a=1988&amp;bti=ODszNWYuMDE6&amp;ch=0&amp;cr=3&amp;dr=0&amp;lr=all&amp;cd=0%7C0%7C0%7C&amp;br=2034&amp;bt=1017&amp;cs=0&amp;ds=2&amp;ft=-Csk_mrMPD12N3Yopd-Ux24FaY6e3wv25WcAp&amp;mime_type=video_mp4&amp;qs=0&amp;rc=NGZkZ2ZmODszaThoNjVmPEBpajdnOTg6Zjh1bDMzNzczM0AwMV5fXmIzXl8xYzYzY2MuYSM2bGVwcjRnNW5gLS1kMTZzcw%3D%3D&amp;btag=e000b8000&amp;expire=1763173453&amp;l=2025111310235634FE9FF2AA2A079ADB1D&amp;ply_type=2&amp;policy=2&amp;signature=619f311e352a6fbc7cef4350912d9511&amp;tk=tt_chain_token</t>
  </si>
  <si>
    <t>https://www.tiktok.com/@tdahmemes/video/7256904953757699333</t>
  </si>
  <si>
    <t>https://p16-sign-va.tiktokcdn.com/tos-maliva-avt-0068/1b2cbd4cbd8b9322457b2c2f8a0f3593~tplv-tiktokx-cropcenter:100:100.jpeg?dr=14579&amp;refresh_token=edded554&amp;x-expires=1763172000&amp;x-signature=AEG6PvQtZLCQ%2Fd0B48bZAjuDhSU%3D&amp;t=4d5b0474&amp;ps=13740610&amp;shp=a5d48078&amp;shcp=81f88b70&amp;idc=my</t>
  </si>
  <si>
    <t>6989624470734523653</t>
  </si>
  <si>
    <t>#aprendendocomtiktok #foryoupage #fy #aprendendotiktok #tdah #tdahcheck #tdahadultos #aprendendonotiktok</t>
  </si>
  <si>
    <t>Inspiration</t>
  </si>
  <si>
    <t>6819512583393904641</t>
  </si>
  <si>
    <t>https://sf16-ies-music-sg.tiktokcdn.com/obj/tos-alisg-ve-2774/8308f094f4fb439b9cb30e9bf09f2081</t>
  </si>
  <si>
    <t>https://p16-sg.tiktokcdn.com/aweme/720x720/tos-alisg-v-2774/15c65a6fc7f94aedb80a2f1a79fc34f2.jpeg</t>
  </si>
  <si>
    <t>https://v16-webapp-prime.tiktok.com/video/tos/useast2a/tos-useast2a-v-2370-euttp/o0VAjGfE2gd2Mj5eZEENTbEoAYEOFcoADeAe47/?a=1988&amp;bti=ODszNWYuMDE6&amp;ch=0&amp;cr=0&amp;dr=0&amp;er=0&amp;lr=default&amp;cd=0%7C0%7C0%7C0&amp;br=250&amp;bt=125&amp;ds=5&amp;ft=GNDpcInz7ThSY-UPXq8Zmo&amp;mime_type=audio_mpeg&amp;qs=13&amp;rc=ajZrcHg5cnJ4cjMzZjU8M0BpajZrcHg5cnJ4cjMzZjU8M0BwazBgMmRzM3FgLS1kMWNzYSNwazBgMmRzM3FgLS1kMWNzcw%3D%3D&amp;btag=e00058000&amp;expire=1763004627&amp;l=20251113102614E0AE0D1C94494C7B69A1&amp;ply_type=3&amp;policy=3&amp;signature=2cad3183fe19af5ecfd9da86e8510a85&amp;tk=7571587458748974088</t>
  </si>
  <si>
    <t>WavebeatsMusic</t>
  </si>
  <si>
    <t>https://v16-webapp-prime.tiktok.com/video/tos/maliva/tos-maliva-ve-0068c800-us/ad222ec3063242f4bf1b26572dc527dd/?a=1988&amp;bti=ODszNWYuMDE6&amp;ch=0&amp;cr=3&amp;dr=0&amp;lr=all&amp;cd=0%7C0%7C0%7C&amp;cv=1&amp;br=2766&amp;bt=1383&amp;cs=0&amp;ds=3&amp;ft=ytpHh9DfxxOusd.YtDKt8lcLVWOuRx_HFKKMNOWCuJETJDz7T&amp;mime_type=video_mp4&amp;qs=0&amp;rc=Omg5OmU2aGg4MzU8M2c4N0BpMzg8bzg6ZnM1NzMzNzczM0BhY15jMzU0XzUxYzIxMS1fYSMyXmJtcjRfMS1gLS1kMTZzcw%3D%3D&amp;btag=e000b8000&amp;expire=1764728449&amp;l=202512011020211DC26370CAB01566B5CA&amp;ply_type=2&amp;policy=2&amp;signature=08af1f4f08af006f767f10fd8f43f501&amp;tk=tt_chain_token</t>
  </si>
  <si>
    <t>https://v16-webapp-prime.tiktok.com/video/tos/alisg/tos-alisg-ve-37c813-sg/oQNtROhIw0jXARcgfCLQAfBGgMSlZCsTevNITW/?a=1988&amp;bti=ODszNWYuMDE6&amp;ch=0&amp;cr=3&amp;dr=0&amp;lr=all&amp;cd=0%7C0%7C0%7C&amp;cv=1&amp;br=1054&amp;bt=527&amp;cs=0&amp;ds=3&amp;ft=-Csk_mrMPD12NF_opd-UxbX5bY6e3wv25zcAp&amp;mime_type=video_mp4&amp;qs=0&amp;rc=ZTpmMzU1aGVnPDs2PGg7ZUBpam1xdW85cmRxMzMzNzczM0AzNF4tYi9gX2MxL2JeYC0vYSM2NjVlMmQ0bGFhLS1kMTZzcw%3D%3D&amp;btag=e00090000&amp;expire=1763173675&amp;l=20251113102614E0AE0D1C94494C7B69A1&amp;ply_type=2&amp;policy=2&amp;signature=1741e4a1a488866596284b23e14bc864&amp;tk=tt_chain_token</t>
  </si>
  <si>
    <t>https://www.tiktok.com/@veigasaymon/video/6989624470734523653</t>
  </si>
  <si>
    <t>aprendendocomtiktok,foryoupage,fy,aprendendotiktok,tdah,tdahcheck,tdahadultos,aprendendonotiktok</t>
  </si>
  <si>
    <t>7493272622852017413</t>
  </si>
  <si>
    <t>fatosocultox</t>
  </si>
  <si>
    <t>Fatos Ocultos</t>
  </si>
  <si>
    <t>https://p77-sign-va.tiktokcdn.com/tos-maliva-avt-0068/12bef02487e5a59671608efc8a1f1343~tplv-tiktokx-cropcenter:100:100.jpeg?dr=14579&amp;refresh_token=e46d2904&amp;x-expires=1764727200&amp;x-signature=xstehjf5s1hMo1fIUMJNhUee68o%3D&amp;t=4d5b0474&amp;ps=13740610&amp;shp=a5d48078&amp;shcp=81f88b70&amp;idc=my</t>
  </si>
  <si>
    <t xml:space="preserve">"TDAH não é um estilo de vida glamouroso – é um grito por ajuda, uma realidade crua. Não se engane com o hype do 'hiperfoco': o que existe é uma batalha interna diária com projetos abandonados, relacionamentos em frangalhos e a autodestruição. Se você convive com isso ou conhece alguém que luta diariamente, esse vídeo é pra você. Hora de tirar a máscara e falar a real sobre o transtorno!" 🧠 #TDAHReal #SaúdeMental #RealTalk #ChamadaDeAtenção #VidaSemFiltro #NãoÉCharme #AcordaBro #Autoajuda  @psifologia </t>
  </si>
  <si>
    <t>7493272665585978167</t>
  </si>
  <si>
    <t>https://v16-webapp-prime.tiktok.com/video/tos/useast2a/tos-useast2a-v-27dcd7/oEMBzfQwROz1KAu9PUzg5wABiPk994CInoPiEc/?a=1988&amp;bti=ODszNWYuMDE6&amp;ch=0&amp;cr=0&amp;dr=0&amp;er=0&amp;lr=default&amp;cd=0%7C0%7C0%7C0&amp;br=250&amp;bt=125&amp;ft=GNDpcInz7ThvFKvPXq8Zmo&amp;mime_type=audio_mpeg&amp;qs=6&amp;rc=Njw8ZGk3O2VlaTpnZWQ2N0BpM3J1c2o5cm1xeTMzNzU8M0A2YjViXmNhNWIxMDFiYmFfYSNrLm1yMmQ0NHJgLS1kMTZzcw%3D%3D&amp;btag=e00090000&amp;expire=1764559452&amp;l=2025120110220104295D62D2C47867A675&amp;ply_type=3&amp;policy=3&amp;signature=5ea719011f107043ae77ef3486d345b6&amp;tk=7571587458748974088</t>
  </si>
  <si>
    <t>https://v16-webapp-prime.tiktok.com/video/tos/useast2a/tos-useast2a-v-27dcd7/o4CAeQHCR4yQokWTfsh38EESUfg85pTgi20BLM/?a=1988&amp;bti=ODszNWYuMDE6&amp;ch=0&amp;cr=0&amp;dr=0&amp;er=0&amp;lr=default&amp;cd=0%7C0%7C0%7C0&amp;br=250&amp;bt=125&amp;ft=GNDpcInz7ThGD-UPXq8Zmo&amp;mime_type=audio_mpeg&amp;qs=6&amp;rc=OjQ8PDU3ZmU2ZjU7ZTlkZUBpajhkNWw5cm82NDMzNzU8M0BiLmM0Nl8vNmExLzFiMTUwYSNnYi1hMmQ0cGhhLS1kMTZzcw%3D%3D&amp;btag=e00090000&amp;expire=1763004405&amp;l=2025111310254344385823DD6566920070&amp;ply_type=3&amp;policy=3&amp;signature=f04f768f24a9c4f9466890b8186ad427&amp;tk=7571587458748974088</t>
  </si>
  <si>
    <t>https://p77-sign-va.tiktokcdn.com/tos-maliva-avt-0068/12bef02487e5a59671608efc8a1f1343~tplv-tiktokx-cropcenter:1080:1080.jpeg?dr=14579&amp;refresh_token=d4df2e38&amp;x-expires=1764727200&amp;x-signature=d2rosnjLpPd4AXu5kNtBiweMoQA%3D&amp;t=4d5b0474&amp;ps=13740610&amp;shp=a5d48078&amp;shcp=81f88b70&amp;idc=my</t>
  </si>
  <si>
    <t>https://v16-webapp-prime.tiktok.com/video/tos/useast2a/tos-useast2a-ve-0068c003/ooocCUinEQ3g28BAiS7GsPamhApQ5EdPzIl4v/?a=1988&amp;bti=ODszNWYuMDE6&amp;ch=0&amp;cr=3&amp;dr=0&amp;lr=all&amp;cd=0%7C0%7C0%7C&amp;cv=1&amp;br=782&amp;bt=391&amp;cs=0&amp;ds=3&amp;ft=-Csk_mrMPD12Nn.opd-UxJTFGY6e3wv25bcAp&amp;mime_type=video_mp4&amp;qs=0&amp;rc=OzczODQ3Z2c8ODVkODpmNkBpM3NxcnA5cjk2NDMzNzgzM0AwYjQwMS5gNTExXzItLy41YSNiZV9rMmQ0bWhhLS1kLzZzcw%3D%3D&amp;btag=e00090000&amp;expire=1763173605&amp;l=2025111310254344385823DD6566920070&amp;ply_type=2&amp;policy=2&amp;signature=cec5a6d142aec87531768c2dee4fa387&amp;tk=tt_chain_token</t>
  </si>
  <si>
    <t>https://v16-webapp-prime.tiktok.com/video/tos/useast2a/tos-useast2a-ve-0068c004/oUp9gf60DCfPFmlI79EkXoQhfCSIAqPgwpjFHA/?a=1988&amp;bti=ODszNWYuMDE6&amp;ch=0&amp;cr=3&amp;dr=0&amp;lr=all&amp;cd=0%7C0%7C0%7C&amp;cv=1&amp;br=2596&amp;bt=1298&amp;cs=0&amp;ds=3&amp;ft=-Csk_mrMPD12NOBh5d-Uxbt2hY6e3wv25HcAp&amp;mime_type=video_mp4&amp;qs=0&amp;rc=Nmc0ZmY6PDU2aGk2Mzg0OkBpandkOXI5cnhxeTMzNzczM0A2YGIyLTYtXy8xX2M2MjYzYSNeY2YtMmRzMHJgLS1kMTZzcw%3D%3D&amp;btag=e00090000&amp;expire=1764728653&amp;l=2025120110220104295D62D2C47867A675&amp;ply_type=2&amp;policy=2&amp;signature=0d20ea162abff38764d9091758dad531&amp;tk=tt_chain_token</t>
  </si>
  <si>
    <t>https://p16-sign-va.tiktokcdn.com/tos-maliva-avt-0068/433505c341713a94d8cfecbc28e821d5~tplv-tiktokx-cropcenter:100:100.jpeg?dr=14579&amp;refresh_token=87d10ddb&amp;x-expires=1763172000&amp;x-signature=OHgjk4lS0YEZbApFxMpohOow4YQ%3D&amp;t=4d5b0474&amp;ps=13740610&amp;shp=a5d48078&amp;shcp=81f88b70&amp;idc=my</t>
  </si>
  <si>
    <t>https://www.tiktok.com/@fatosocultox/video/7493272622852017413</t>
  </si>
  <si>
    <t>tdahreal,saúdemental,realtalk,chamadadeatenção,vidasemfiltro,nãoécharme,acordabro,autoajuda</t>
  </si>
  <si>
    <t>7506325510708858168</t>
  </si>
  <si>
    <t>joy.oliveirap</t>
  </si>
  <si>
    <t>joyjoy</t>
  </si>
  <si>
    <t>https://p77-sign-va.tiktokcdn.com/tos-maliva-avt-0068/175cef6cdad041033ab3408e9f9bbb30~tplv-tiktokx-cropcenter:100:100.jpeg?dr=14579&amp;refresh_token=3d83ba20&amp;x-expires=1764727200&amp;x-signature=fQLskNg6xfGxqnj8PmgzOff1J0E%3D&amp;t=4d5b0474&amp;ps=13740610&amp;shp=a5d48078&amp;shcp=81f88b70&amp;idc=my</t>
  </si>
  <si>
    <t>https://p77-sg.tiktokcdn.com/aweme/720x720/tos-alisg-v-2774/443e43fd468f4d7a93eaf00493c1dcef.jpeg</t>
  </si>
  <si>
    <t>quem tb já passou por isso? #fyp #fypシ゚ #lgbtqia #lesbicasbrasil #🏳️‍🌈 #🌈 #tdah #tdahadulto</t>
  </si>
  <si>
    <t>Quem tem TDAH não sente saudade?</t>
  </si>
  <si>
    <t>7506325522676189958</t>
  </si>
  <si>
    <t>https://v16-webapp-prime.tiktok.com/video/tos/useast2a/tos-useast2a-v-27dcd7/oAcUNkAjEESYT2AB90oUrD1BKEveJOAfQCiFAJ/?a=1988&amp;bti=ODszNWYuMDE6&amp;ch=0&amp;cr=0&amp;dr=0&amp;er=0&amp;lr=default&amp;cd=0%7C0%7C0%7C0&amp;br=250&amp;bt=125&amp;ds=5&amp;ft=GNDpcInz7ThezKvPXq8Zmo&amp;mime_type=audio_mpeg&amp;qs=13&amp;rc=amwzcWw5cm93MzMzNzU8M0BpamwzcWw5cm93MzMzNzU8M0BlcGc1MmQ0M2lhLS1kMTZzYSNlcGc1MmQ0M2lhLS1kMTZzcw%3D%3D&amp;btag=e00058000&amp;expire=1764559529&amp;l=202512011021342A4EB9620CED315EA2E7&amp;ply_type=3&amp;policy=3&amp;signature=a9f843ac5f3315f853824f069e345c32&amp;tk=7571587458748974088</t>
  </si>
  <si>
    <t>https://v16-webapp-prime.tiktok.com/video/tos/alisg/tos-alisg-ve-37c813-sg/o0AA8QkzyAgBL3zfhFPsNAI2Cg8lNktooIEKc8/?a=1988&amp;bti=ODszNWYuMDE6&amp;ch=0&amp;cr=3&amp;dr=0&amp;lr=all&amp;cd=0%7C0%7C0%7C&amp;cv=1&amp;br=1734&amp;bt=867&amp;cs=0&amp;ds=3&amp;ft=-Csk_mrMPD12NdYopd-UxMTFGY6e3wv25LcAp&amp;mime_type=video_mp4&amp;qs=0&amp;rc=OWg8aTxoOzw3MzY7ZDVkOkBpM2VtZDQ6ZnhybjMzNzczM0BhYF5hYTMuNS4xYmEwYzReYSMtMzRvcjQwLWZgLS1kMTZzcw%3D%3D&amp;btag=e00088000&amp;expire=1763173431&amp;l=202511131023026989DBCE704A6574DC2E&amp;ply_type=2&amp;policy=2&amp;signature=b10577201214ea097a3e604974e3e7b5&amp;tk=tt_chain_token</t>
  </si>
  <si>
    <t>https://p16-sign-va.tiktokcdn.com/tos-maliva-avt-0068/175cef6cdad041033ab3408e9f9bbb30~tplv-tiktokx-cropcenter:1080:1080.jpeg?dr=14579&amp;refresh_token=daf0c93d&amp;x-expires=1764727200&amp;x-signature=%2BXYkRsOvsfOYxaKahKtesVIGZUo%3D&amp;t=4d5b0474&amp;ps=13740610&amp;shp=a5d48078&amp;shcp=81f88b70&amp;idc=my</t>
  </si>
  <si>
    <t>https://p77-sign-va.tiktokcdn.com/tos-maliva-avt-0068/dfb17618f7733cea51340f9a9b37285c~tplv-tiktokx-cropcenter:100:100.jpeg?dr=14579&amp;refresh_token=3ebf4b34&amp;x-expires=1763172000&amp;x-signature=Tpl46Cjzfn35m0lC4bYpjTlbxLM%3D&amp;t=4d5b0474&amp;ps=13740610&amp;shp=a5d48078&amp;shcp=81f88b70&amp;idc=my</t>
  </si>
  <si>
    <t>https://v16-webapp-prime.tiktok.com/video/tos/useast2a/tos-useast2a-pve-0068/o0a6KiQSIEFehnXB90oErD3BKEvDJwVfQAqFQR/?a=1988&amp;bti=ODszNWYuMDE6&amp;ch=0&amp;cr=3&amp;dr=0&amp;lr=all&amp;cd=0%7C0%7C0%7C&amp;cv=1&amp;br=1632&amp;bt=816&amp;cs=0&amp;ds=3&amp;ft=-Csk_mrMPD12N6Dh5d-Uxq42hY6e3wv25IcAp&amp;mime_type=video_mp4&amp;qs=0&amp;rc=aWloNmU0NmZlZmdlZDQ7M0BpMzh1ams5cmh3MzMzNzczM0BgMS5fNjFfNjQxMjEwNWEvYSM2LWNeMmRrMmlhLS1kMTZzcw%3D%3D&amp;btag=e00098000&amp;expire=1764728729&amp;l=202512011021342A4EB9620CED315EA2E7&amp;ply_type=2&amp;policy=2&amp;signature=2c07fe1e423bfc89ed4bf7acb03d3434&amp;tk=tt_chain_token</t>
  </si>
  <si>
    <t>https://v16-webapp-prime.tiktok.com/video/tos/useast2a/tos-useast2a-v-27dcd7/oARsGRbjIAIuCI1oI9AweCEaATL33SeeJgkG9I/?a=1988&amp;bti=ODszNWYuMDE6&amp;ch=0&amp;cr=0&amp;dr=0&amp;er=0&amp;lr=default&amp;cd=0%7C0%7C0%7C0&amp;br=250&amp;bt=125&amp;ds=5&amp;ft=GNDpcInz7ThaK-UPXq8Zmo&amp;mime_type=audio_mpeg&amp;qs=13&amp;rc=amc7cW45cmk3NjMzNzU8M0Bpamc7cW45cmk3NjMzNzU8M0BvNW5iMmRrY2BhLS1kMTZzYSNvNW5iMmRrY2BhLS1kMTZzcw%3D%3D&amp;btag=e00050000&amp;expire=1763004219&amp;l=202511131022406C90E0DA9AAAC98C2302&amp;ply_type=3&amp;policy=3&amp;signature=e62a583df71b0f62836a23c9ac218598&amp;tk=7571587458748974088</t>
  </si>
  <si>
    <t>https://www.tiktok.com/@joy.oliveirap/video/7506325510708858168</t>
  </si>
  <si>
    <t>fyp,fypシ゚,lgbtqia,lesbicasbrasil,🏳️‍🌈,🌈,tdah,tdahadulto</t>
  </si>
  <si>
    <t>https://p16-sign-va.tiktokcdn.com/tos-maliva-avt-0068/dfb17618f7733cea51340f9a9b37285c~tplv-tiktokx-cropcenter:1080:1080.jpeg?dr=14579&amp;refresh_token=cdbb0bdb&amp;x-expires=1763172000&amp;x-signature=Vfco6burSaU4rEN3auCT9rS5upI%3D&amp;t=4d5b0474&amp;ps=13740610&amp;shp=a5d48078&amp;shcp=81f88b70&amp;idc=my</t>
  </si>
  <si>
    <t>https://p77-sg.tiktokcdn.com/aweme/720x720/tos-alisg-v-2774/oYHMADhIgAFdBaDftgrjLQoIsFZSsCeZEIpBAa.jpeg</t>
  </si>
  <si>
    <t>https://v16-webapp-prime.tiktok.com/video/tos/alisg/tos-alisg-ve-37c813-sg/oEBrARd2tFfUIEEaQoEDo8fEIBV9QdWzBJY3oR/?a=1988&amp;bti=ODszNWYuMDE6&amp;ch=0&amp;cr=3&amp;dr=0&amp;lr=all&amp;cd=0%7C0%7C0%7C&amp;cv=1&amp;br=226&amp;bt=113&amp;cs=0&amp;ds=3&amp;ft=-Csk_mrMPD12N8hopd-Ux~v2bY6e3wv251cAp&amp;mime_type=video_mp4&amp;qs=0&amp;rc=M2c1ZzNnOzNmODVnNDQ5aEBpM2hnOW45cnc3NjMzNzczM0A1MjYvYGM2XmAxMV4uNDNfYSNlNWEvMmRzYmBhLS1kMTZzcw%3D%3D&amp;btag=e00090000&amp;expire=1763173419&amp;l=202511131022406C90E0DA9AAAC98C2302&amp;ply_type=2&amp;policy=2&amp;signature=33bde6d730abbe8be0eb8db9803b9213&amp;tk=tt_chain_token</t>
  </si>
  <si>
    <t>https://v16-webapp-prime.tiktok.com/video/tos/maliva/tos-maliva-ve-0068c801-us/ooblQS6XpnAsefQqwH85CjJg3IngrCdfIIbt4D/?a=1988&amp;bti=ODszNWYuMDE6&amp;ch=0&amp;cr=3&amp;dr=0&amp;lr=all&amp;cd=0%7C0%7C0%7C&amp;cv=1&amp;br=1654&amp;bt=827&amp;cs=0&amp;ds=3&amp;ft=-Csk_mrMPD12NxDh5d-UxIS5hY6e3wv25ycAp&amp;mime_type=video_mp4&amp;qs=0&amp;rc=ZTk7N2Y5Z2U6ZTNkPDloZUBpam9reWg6ZnQ6bTMzNzczM0AyMV40Yi42NjQxNDQ2XjVhYSNyNHBecjRfZnJgLS1kMTZzcw%3D%3D&amp;btag=e00090000&amp;expire=1764728531&amp;l=202512011020485614ECD0EEDB8C5FDDDB&amp;ply_type=2&amp;policy=2&amp;signature=d5f8edffa2011e682574eade9124cf79&amp;tk=tt_chain_token</t>
  </si>
  <si>
    <t>7250129866052472069</t>
  </si>
  <si>
    <t>#tdah #tdahadulto #tdahmemes #adhd #ansiedade #psicologia #psiquiatria #tdahtiktok</t>
  </si>
  <si>
    <t>QUEM TEM TDAH SOFRE MUITO COM ISSO</t>
  </si>
  <si>
    <t>Sad Music</t>
  </si>
  <si>
    <t>6925246939554383873</t>
  </si>
  <si>
    <t>https://v16-webapp-prime.tiktok.com/video/tos/useast2a/tos-useast2a-v-27dcd7/oEDEzyvEE7eUJV2BEZ0DfB2JhNCFAAcQAMomEL/?a=1988&amp;bti=ODszNWYuMDE6&amp;ch=0&amp;cr=0&amp;dr=0&amp;er=0&amp;lr=default&amp;cd=0%7C0%7C0%7C0&amp;br=250&amp;bt=125&amp;ds=5&amp;ft=GNDpcInz7Th8Y-UPXq8Zmo&amp;mime_type=audio_mpeg&amp;qs=13&amp;rc=MzdobHg5cm12dTMzNzU8M0BpMzdobHg5cm12dTMzNzU8M0BvcnJxMmRjZGBgLS1kMTZzYSNvcnJxMmRjZGBgLS1kMTZzcw%3D%3D&amp;btag=e00048000&amp;expire=1763004400&amp;l=20251113102607CD4452BD4E07158E0822&amp;ply_type=3&amp;policy=3&amp;signature=3b8dcae5630534ed7e7c9b1bca404989&amp;tk=7571587458748974088</t>
  </si>
  <si>
    <t>https://sf16-ies-music-sg.tiktokcdn.com/obj/tos-alisg-ve-2774/oQLoBUI1EqqFYItCOgTIFgemZahbDBOutf4MTQ</t>
  </si>
  <si>
    <t>https://p16-sg.tiktokcdn.com/aweme/720x720/tos-alisg-v-2774/ooO6iAFUaWsv4YIOAXrwiyAEAABiPBoZPgAnE.jpeg</t>
  </si>
  <si>
    <t>Max-Music</t>
  </si>
  <si>
    <t>https://v16-webapp-prime.tiktok.com/video/tos/maliva/tos-maliva-ve-0068c801-us/oQMC8afTtIzALEQAFQ0otBh8ydUPIaNgkOttoA/?a=1988&amp;bti=ODszNWYuMDE6&amp;ch=0&amp;cr=3&amp;dr=0&amp;lr=all&amp;cd=0%7C0%7C0%7C&amp;cv=1&amp;br=3360&amp;bt=1680&amp;cs=0&amp;ds=3&amp;ft=-Csk_mrMPD12Nmgh5d-UxX42hY6e3wv25bcAp&amp;mime_type=video_mp4&amp;qs=0&amp;rc=OWU0NTtlZjQzaDxnZGk1aUBpM2dxMzc6Zjh0bDMzNzczM0BfYmEtYF4tXjAxNjYyMmIwYSM1bTZycjRvMmJgLS1kMTZzcw%3D%3D&amp;btag=e00090000&amp;expire=1764728825&amp;l=20251201102553E78667D9CAE2E66994E0&amp;ply_type=2&amp;policy=2&amp;signature=7d69ea21908854d710d391efb1550b36&amp;tk=tt_chain_token</t>
  </si>
  <si>
    <t>https://p77-sign-va.tiktokcdn.com/tos-maliva-avt-0068/351617397cb25a2a8754aa256e7690b2~tplv-tiktokx-cropcenter:1080:1080.jpeg?dr=14579&amp;refresh_token=1c9c403c&amp;x-expires=1763172000&amp;x-signature=0h84Xn9ITo5flwUYWHNmWuhgFNc%3D&amp;t=4d5b0474&amp;ps=13740610&amp;shp=a5d48078&amp;shcp=81f88b70&amp;idc=my</t>
  </si>
  <si>
    <t>https://v16-webapp-prime.tiktok.com/video/tos/useast2a/tos-useast2a-ve-0068c004/oACqZA8KcJQOkEEmn2FfBBQtt0OGgsIfRCD4E4/?a=1988&amp;bti=ODszNWYuMDE6&amp;ch=0&amp;cr=3&amp;dr=0&amp;lr=all&amp;cd=0%7C0%7C0%7C&amp;cv=1&amp;br=1054&amp;bt=527&amp;cs=0&amp;ds=3&amp;ft=-Csk_mrMPD12Nx_opd-Ux7o2aY6e3wv25zcAp&amp;mime_type=video_mp4&amp;qs=0&amp;rc=Ozw7aGVlPDo4Mzw6aGQ5Z0BpM2dtanY5cmh2dTMzNzczM0A0NDIyYF82NjAxMS0vX2NiYSNqbWhjMmQ0ZGBgLS1kMTZzcw%3D%3D&amp;btag=e00088000&amp;expire=1763173600&amp;l=20251113102607CD4452BD4E07158E0822&amp;ply_type=2&amp;policy=2&amp;signature=5b8f467d14e4d9c59f750609fbb21fc5&amp;tk=tt_chain_token</t>
  </si>
  <si>
    <t>https://www.tiktok.com/@veigasaymon/video/7250129866052472069</t>
  </si>
  <si>
    <t>tdah,tdahadulto,tdahmemes,adhd,ansiedade,psicologia,psiquiatria,tdahtiktok</t>
  </si>
  <si>
    <t>7456252484391144710</t>
  </si>
  <si>
    <t>yiseltoledoj</t>
  </si>
  <si>
    <t>Yisel🔆</t>
  </si>
  <si>
    <t>https://p16-sign-va.tiktokcdn.com/tos-maliva-avt-0068/1671348510c61be4180b2f2fb28910e3~tplv-tiktokx-cropcenter:100:100.jpeg?dr=14579&amp;refresh_token=a1c488d2&amp;x-expires=1764727200&amp;x-signature=%2BXjFiJE%2BYgrobwxkELQi%2F%2F5WEeY%3D&amp;t=4d5b0474&amp;ps=13740610&amp;shp=a5d48078&amp;shcp=81f88b70&amp;idc=my</t>
  </si>
  <si>
    <t>7412790904672636166</t>
  </si>
  <si>
    <t>dicas_descontos</t>
  </si>
  <si>
    <t>✅ Dicas &amp; Descontos💲</t>
  </si>
  <si>
    <t>https://p16-sign-va.tiktokcdn.com/tos-maliva-avt-0068/a3dbb624410916b410c542b581ad35e2~tplv-tiktokx-cropcenter:100:100.jpeg?dr=14579&amp;refresh_token=e65183ba&amp;x-expires=1763172000&amp;x-signature=E9Y3Glkqe7khPDxG4tOal3MuzVs%3D&amp;t=4d5b0474&amp;ps=13740610&amp;shp=a5d48078&amp;shcp=81f88b70&amp;idc=my</t>
  </si>
  <si>
    <t>#saludfisica #tdh#todos #vida #sindrometdh#psicolgiayvida #cortezaprefrontal #marianrojasestape</t>
  </si>
  <si>
    <t>TDH</t>
  </si>
  <si>
    <t>sonido original</t>
  </si>
  <si>
    <t>7456252506838354694</t>
  </si>
  <si>
    <t>https://v16-webapp-prime.tiktok.com/video/tos/useast2a/tos-useast2a-v-27dcd7/oYAfPicaBiiE3BxMEV7gWGAlB5iKvzYkoAA5E1/?a=1988&amp;bti=ODszNWYuMDE6&amp;ch=0&amp;cr=0&amp;dr=0&amp;er=0&amp;lr=default&amp;cd=0%7C0%7C0%7C0&amp;br=250&amp;bt=125&amp;ds=5&amp;ft=GNDpcInz7ThszKvPXq8Zmo&amp;mime_type=audio_mpeg&amp;qs=13&amp;rc=amZwZ2s5cmV4dzMzNzU8M0BpamZwZ2s5cmV4dzMzNzU8M0BeMWAwMmRjcHBgLS1kMTZzYSNeMWAwMmRjcHBgLS1kMTZzcw%3D%3D&amp;btag=e00050000&amp;expire=1764559335&amp;l=20251201102055111140D50F38376E882B&amp;ply_type=3&amp;policy=3&amp;signature=61da6ae5705561feca6cea9f4deff688&amp;tk=7571587458748974088</t>
  </si>
  <si>
    <t>TDAH parte 3 ! Recebendo ordens! #tdah #tdahadulto #tdahtiktok #tdahinfantil #hiperatividade #atenção #goviral #psicologoalexandrebinbanco</t>
  </si>
  <si>
    <t>Funny</t>
  </si>
  <si>
    <t>6927016038370428930</t>
  </si>
  <si>
    <t>https://sf16-ies-music-sg.tiktokcdn.com/obj/tos-alisg-ve-2774/oMJHApG7VwRWLtUqfgeCz75HXHdf1OaGFIDAXg</t>
  </si>
  <si>
    <t>https://p77-sg.tiktokcdn.com/aweme/720x720/tos-alisg-v-2774/osNCgWMDzaDdEIAvvsQIzvCF2A1AfVA6rR8eeG.jpeg</t>
  </si>
  <si>
    <t>https://p16-sign-va.tiktokcdn.com/tos-maliva-avt-0068/1671348510c61be4180b2f2fb28910e3~tplv-tiktokx-cropcenter:1080:1080.jpeg?dr=14579&amp;refresh_token=40b19cda&amp;x-expires=1764727200&amp;x-signature=OYUpPUzFNTfgeLPM6UvZHGF4hl0%3D&amp;t=4d5b0474&amp;ps=13740610&amp;shp=a5d48078&amp;shcp=81f88b70&amp;idc=my</t>
  </si>
  <si>
    <t>Gold-Tiger</t>
  </si>
  <si>
    <t>https://webapp-va.tiktok.com/c88614147ee832ff3b01f052ef647fd2/6917e41a/kmoat/mps/logo/v2/r/p/v09044g40000crfoaqvog65rb8jqtak0/a571fd7de91042e1b9e062ce1a71e0eb/f4639ffe09bd0dde351bf8ffedfd7b8e/mp4/main.mp4?a=1988&amp;bti=ODszNWYuMDE6&amp;ch=0&amp;cr=3&amp;dr=0&amp;lr=all&amp;cd=0%7C0%7C0%7C&amp;cv=1&amp;br=0&amp;bt=0&amp;cs=0&amp;ds=3&amp;eid=1286&amp;ft=bLZkJmrMPD12N4Yopd-Ux9T2bY6e3wv25IcAp&amp;mime_type=video_mp4&amp;qs=0&amp;rc=cnF8b2hsc2d3SkBwaHIxaDFybndmZTM0ZGg1Mzw0NTM8Z2c0OEBpM2R0O3U5cnRydTMzNzczM0BjRl5Nc3FePmJKYSNvYF90aHFmOiNiYjQuYDNiX2IxLmI0YzReYSNocWdfMmRzXmNgLS1kMTZzcw%3D%3D&amp;btag=e000b8000&amp;definition=720p&amp;du=26&amp;item_id=7412790904672636166&amp;l=20251113102257F8D01E3BFCE9B2911856&amp;logo_type=tiktok_m&amp;ply_type=2&amp;policy=eyJ2bSI6MiwiY2siOiJ0dF9jaGFpbl90b2tlbiJ9&amp;user_text=dicas_descontos</t>
  </si>
  <si>
    <t>https://v16-webapp-prime.tiktok.com/video/tos/useast2a/tos-useast2a-ve-0068c003/oUe1eZkt9OMPQgIB7hfLYIIGCgOs8Ij5sUSAgC/?a=1988&amp;bti=ODszNWYuMDE6&amp;ch=0&amp;cr=3&amp;dr=0&amp;lr=all&amp;cd=0%7C0%7C0%7C&amp;br=1546&amp;bt=773&amp;cs=0&amp;ds=3&amp;ft=-Csk_mrMPD12NbDh5d-UxPR2SY6e3wv25IcAp&amp;mime_type=video_mp4&amp;qs=0&amp;rc=ODxoZzM5ZWUzaGQ7PGQ1M0BpM2Y0M285cjl4dzMzNzczM0AwMjI2XjMtNmMxNi41NmNgYSNvc20wMmRrb3BgLS1kMTZzcw%3D%3D&amp;btag=e00090000&amp;expire=1764728535&amp;l=20251201102055111140D50F38376E882B&amp;ply_type=2&amp;policy=2&amp;signature=01ee7a8ff8c636b749b29dcb682c5f94&amp;tk=tt_chain_token</t>
  </si>
  <si>
    <t>https://www.tiktok.com/@dicas_descontos/video/7412790904672636166</t>
  </si>
  <si>
    <t>https://www.tiktok.com/@yiseltoledoj/video/7456252484391144710</t>
  </si>
  <si>
    <t>tdah,tdahadulto,tdahtiktok,tdahinfantil,hiperatividade,atenção,goviral,psicologoalexandrebinbanco</t>
  </si>
  <si>
    <t>7322885689375296773</t>
  </si>
  <si>
    <t>trintadedobemestar</t>
  </si>
  <si>
    <t>trindade do bem estár</t>
  </si>
  <si>
    <t>https://p16-sign-va.tiktokcdn.com/tos-maliva-avt-0068/af2e626856556626c46fc495e4da441c~tplv-tiktokx-cropcenter:100:100.jpeg?dr=14579&amp;refresh_token=7122678c&amp;x-expires=1763172000&amp;x-signature=63fVYJ%2B44y%2BwVvEqS9R5lCjGbOY%3D&amp;t=4d5b0474&amp;ps=13740610&amp;shp=a5d48078&amp;shcp=81f88b70&amp;idc=my</t>
  </si>
  <si>
    <t>saludfisica,tdh,todos,vida,sindrometdh,psicolgiayvida,cortezaprefrontal,marianrojasestape</t>
  </si>
  <si>
    <t>https://p16-sign-va.tiktokcdn.com/tos-maliva-avt-0068/b3e6dfe8b52a56e509e3243a43a51a53~tplv-tiktokx-cropcenter:100:100.jpeg?dr=14579&amp;refresh_token=88daf728&amp;x-expires=1764727200&amp;x-signature=9XqqvcbdA2Z1Ts2g62yYqwJA%2FBU%3D&amp;t=4d5b0474&amp;ps=13740610&amp;shp=a5d48078&amp;shcp=81f88b70&amp;idc=my</t>
  </si>
  <si>
    <t>Quais sintomas de TDAH em Adulto? #tdahadulto  #sintomastdah  #desatenção  #hiperatividade  #impulsividade  #DificuldadeConcentração  #procrastinação #esquecimento  #inquietude #desorganização  #DificuldadeTomarDecisões  #frustração  #BaixaTolerânciaFrustração  #distração  #impaciência  #VariaçãoHumor</t>
  </si>
  <si>
    <t>7301289217303284522</t>
  </si>
  <si>
    <t>https://v16-webapp-prime.tiktok.com/video/tos/maliva/tos-maliva-ve-27dcd7c799-us/owJDxPlBSxJxEcUUF2CCSQYDmgCSUu6BGBf2eg/?a=1988&amp;bti=ODszNWYuMDE6&amp;ch=0&amp;cr=0&amp;dr=0&amp;er=0&amp;lr=default&amp;cd=0%7C0%7C0%7C0&amp;br=250&amp;bt=125&amp;ft=GNDpcInz7ThbK-UPXq8Zmo&amp;mime_type=audio_mpeg&amp;qs=6&amp;rc=Zmc8OTw4Zzg7aWZmOTNoNUBpanI2M2o5cnFwbzMzZzU8NEAtYF8uLjM1XzExLS80NGBfYSNlbjQyMmQ0NDZgLS1kMS9zcw%3D%3D&amp;btag=e00088000&amp;expire=1763004201&amp;l=202511131022442EE54DE47B86CCA867A8&amp;ply_type=3&amp;policy=3&amp;signature=52f6251978ad37c6a3b665c58b2724c5&amp;tk=7571587458748974088</t>
  </si>
  <si>
    <t>https://v16-webapp-prime.tiktok.com/video/tos/useast2a/tos-useast2a-v-27dcd7/o8EE7DpfINioSQCCnKYDfCCTf2EFAAggAkUPIr/?a=1988&amp;bti=ODszNWYuMDE6&amp;ch=0&amp;cr=0&amp;dr=0&amp;er=0&amp;lr=default&amp;cd=0%7C0%7C0%7C0&amp;br=250&amp;bt=125&amp;ds=5&amp;ft=GNDpcInz7ThRPKvPXq8Zmo&amp;mime_type=audio_mpeg&amp;qs=13&amp;rc=am1xZ2s5cndqeDMzNzU8M0Bpam1xZ2s5cndqeDMzNzU8M0BkNmMwMmRrYy9gLS1kMTZzYSNkNmMwMmRrYy9gLS1kMTZzcw%3D%3D&amp;btag=e00078000&amp;expire=1764559231&amp;l=202512011020161DC26370CAB01566B4BC&amp;ply_type=3&amp;policy=3&amp;signature=21ef7a2dfe0c6e589aeb756989ec8b8b&amp;tk=7571587458748974088</t>
  </si>
  <si>
    <t>https://p16-sign-va.tiktokcdn.com/tos-maliva-avt-0068/372c8194bccc408b29e0a731a3f80e46~tplv-tiktokx-cropcenter:1080:1080.jpeg?dr=14579&amp;refresh_token=3283e59c&amp;x-expires=1763172000&amp;x-signature=aNapVRSgQRjB5O2yKeWp4b%2F9Etg%3D&amp;t=4d5b0474&amp;ps=13740610&amp;shp=a5d48078&amp;shcp=81f88b70&amp;idc=my</t>
  </si>
  <si>
    <t>https://p77-sign-va.tiktokcdn.com/tos-maliva-avt-0068/b3e6dfe8b52a56e509e3243a43a51a53~tplv-tiktokx-cropcenter:1080:1080.jpeg?dr=14579&amp;refresh_token=f2bb4303&amp;x-expires=1764727200&amp;x-signature=g%2FcjCa78GmmhynegEuOCls%2Fk0%2B0%3D&amp;t=4d5b0474&amp;ps=13740610&amp;shp=a5d48078&amp;shcp=81f88b70&amp;idc=my</t>
  </si>
  <si>
    <t>Seph Schlueter</t>
  </si>
  <si>
    <t>https://v16-webapp-prime.tiktok.com/video/tos/maliva/tos-maliva-ve-0068c801-us/ocHSnHLfVlEMXJBpBeDknFFNTd95QA5Inz8tEC/?a=1988&amp;bti=ODszNWYuMDE6&amp;ch=0&amp;cr=3&amp;dr=0&amp;lr=all&amp;cd=0%7C0%7C0%7C&amp;br=864&amp;bt=432&amp;cs=0&amp;ds=3&amp;ft=-Csk_mrMPD12Nzhopd-UxfeFaY6e3wv25HcAp&amp;mime_type=video_mp4&amp;qs=0&amp;rc=cnF8b2hsc2d3SkBwaHIxaDFybndmNDk0ODplZzZlNDQ4M2g3OUBpamx0dnY5cmtncTMzNzgzM0BjRl5Nc3FePmJKYSNvYF90aHFmOiMzMC8wYGAxXzExMy82MTRhYSMyYnNtMmRzL2ZgLS1kLzZzcw%3D%3D&amp;btag=e000b0000&amp;expire=1763173373&amp;l=202511131022442EE54DE47B86CCA867A8&amp;ply_type=2&amp;policy=2&amp;signature=aec120c64679a545ae48bd72f80ac629&amp;tk=tt_chain_token</t>
  </si>
  <si>
    <t>TdahAdultoVidaReal</t>
  </si>
  <si>
    <t>https://p16-sign-va.tiktokcdn.com/tos-maliva-avt-0068/6ab08493d79690026fe801eb75b12c68~tplv-tiktokx-cropcenter:100:100.jpeg?dr=14579&amp;refresh_token=2cd1cfbb&amp;x-expires=1764727200&amp;x-signature=UGGNa5lSbTagcLz1TvVmGCPIyLI%3D&amp;t=4d5b0474&amp;ps=13740610&amp;shp=a5d48078&amp;shcp=81f88b70&amp;idc=my</t>
  </si>
  <si>
    <t>https://www.tiktok.com/@trintadedobemestar/video/7322885689375296773</t>
  </si>
  <si>
    <t>tdahadulto,sintomastdah,desatenção,hiperatividade,impulsividade,dificuldadeconcentração,procrastinação,esquecimento,inquietude,desorganização,dificuldadetomardecisões,frustração,baixatolerânciafrustração,distração,impaciência,variaçãohumor</t>
  </si>
  <si>
    <t>https://p77-sign-va.tiktokcdn.com/tos-maliva-avt-0068/fa233712dfcf05abd3a56a8d8aa1b5c6~tplv-tiktokx-cropcenter:100:100.jpeg?dr=14579&amp;refresh_token=60c48fcf&amp;x-expires=1763172000&amp;x-signature=s74cMnVCzmPUsWg%2F4r8JhaMlBxA%3D&amp;t=4d5b0474&amp;ps=13740610&amp;shp=a5d48078&amp;shcp=81f88b70&amp;idc=my</t>
  </si>
  <si>
    <t>https://v16-webapp-prime.tiktok.com/video/tos/maliva/tos-maliva-ve-0068c801-us/owQ7IKCnjO8uArMMZXS08jfFehfItQKgSbzXCj/?a=1988&amp;bti=ODszNWYuMDE6&amp;ch=0&amp;cr=3&amp;dr=0&amp;lr=all&amp;cd=0%7C0%7C0%7C&amp;cv=1&amp;br=520&amp;bt=260&amp;cs=0&amp;ds=3&amp;ft=-Csk_mrMPD12NLdh5d-Uxbt2hY6e3wv25HcAp&amp;mime_type=video_mp4&amp;qs=0&amp;rc=O2U0NTo4ZmQ0OmdoZmRnN0BpanJ2N3k5cmdzczMzNzczM0AvYjVfXjQyXjMxXmM0Xi9gYSNzYV9vMmRrbGJgLS1kMTZzcw%3D%3D&amp;btag=e000b0000&amp;expire=1764728433&amp;l=202512011020239FD63C9B4E4C976A9DFE&amp;ply_type=2&amp;policy=2&amp;signature=45c3b16c944c99a53f24726dbc72e513&amp;tk=tt_chain_token</t>
  </si>
  <si>
    <t>https://v16-webapp-prime.tiktok.com/video/tos/alisg/tos-alisg-ve-37c813-sg/o4CBd7ouQcRZEM6EFWAySIED9QDJvmVBnHf3Fe/?a=1988&amp;bti=ODszNWYuMDE6&amp;ch=0&amp;cr=3&amp;dr=0&amp;lr=all&amp;cd=0%7C0%7C0%7C&amp;cv=1&amp;br=816&amp;bt=408&amp;cs=0&amp;ds=3&amp;ft=-Csk_mrMPD12N8hopd-Ux~v2bY6e3wv251cAp&amp;mime_type=video_mp4&amp;qs=0&amp;rc=OGQ2NDRmaGc6aTVoPDlmZkBpanNvZXg5cm1wNTMzNzczM0BhNjBhXy4xNTAxYC4vNi1iYSNnXmdxMmQ0cXJhLS1kMTZzcw%3D%3D&amp;btag=e00088000&amp;expire=1763173412&amp;l=202511131022406C90E0DA9AAAC98C2302&amp;ply_type=2&amp;policy=2&amp;signature=64738f4377a56d9c5f02e1ea18798f5e&amp;tk=tt_chain_token</t>
  </si>
  <si>
    <t>https://p77-sign-va.tiktokcdn.com/tos-maliva-avt-0068/3403ddfcebd64115e73e8071a88d6b95~tplv-tiktokx-cropcenter:100:100.jpeg?dr=14579&amp;refresh_token=41727413&amp;x-expires=1764727200&amp;x-signature=SCjVr8ho14nXLZjhdRhEh0o1ImI%3D&amp;t=4d5b0474&amp;ps=13740610&amp;shp=a5d48078&amp;shcp=81f88b70&amp;idc=my</t>
  </si>
  <si>
    <t>7265075837878144261</t>
  </si>
  <si>
    <t>frangaesforcada</t>
  </si>
  <si>
    <t>franga esforçada</t>
  </si>
  <si>
    <t>https://p77-sign-va.tiktokcdn.com/tos-maliva-avt-0068/c1ee97d6f774e6680b42d29a8376eac3~tplv-tiktokx-cropcenter:100:100.jpeg?dr=14579&amp;refresh_token=d87e9a2e&amp;x-expires=1763172000&amp;x-signature=EV3grDxg9n27IWT4KtAkVDJto%2B4%3D&amp;t=4d5b0474&amp;ps=13740610&amp;shp=a5d48078&amp;shcp=81f88b70&amp;idc=my</t>
  </si>
  <si>
    <t>https://v16-webapp-prime.tiktok.com/video/tos/useast2a/tos-useast2a-v-27dcd7/oYDAISIGAeeCVdcAEKBMonKIDALoNTEzF3CBeg/?a=1988&amp;bti=ODszNWYuMDE6&amp;ch=0&amp;cr=0&amp;dr=0&amp;er=0&amp;lr=default&amp;cd=0%7C0%7C0%7C0&amp;br=250&amp;bt=125&amp;ds=5&amp;ft=GNDpcInz7ThrzKvPXq8Zmo&amp;mime_type=audio_mpeg&amp;qs=13&amp;rc=am1ka3E5cjkzbzMzNzU8M0Bpam1ka3E5cjkzbzMzNzU8M0BmaWhjMmRzZGdgLS1kMTZzYSNmaWhjMmRzZGdgLS1kMTZzcw%3D%3D&amp;btag=e00050000&amp;expire=1764559327&amp;l=20251201102050B730D50024D84153D9E5&amp;ply_type=3&amp;policy=3&amp;signature=d573b6ec1b3bc20a8a0699785785fe38&amp;tk=7571587458748974088</t>
  </si>
  <si>
    <t xml:space="preserve">Isso faz parte de minha realidade há 32 anos. posto como se fosse fácil, mas não é. A bagunça diz muito sobre a minha vida. 😔 #tdah #tdahadulto #tdahtiktok </t>
  </si>
  <si>
    <t>Quarto de uma pessoa com TDAH</t>
  </si>
  <si>
    <t>Tdah</t>
  </si>
  <si>
    <t>6702742452324812802</t>
  </si>
  <si>
    <t>https://sf16-ies-music-sg.tiktokcdn.com/obj/tos-alisg-ve-2774/owQVYdBDZKlqCGDnmFt9fUs6iQqt1ErgQkpHBf</t>
  </si>
  <si>
    <t>https://p16-sg.tiktokcdn.com/aweme/720x720/tos-alisg-v-2774/oEy9IcDCEFCwEDBqgAEQAjtABoo4fZ8qnfACgL.jpeg</t>
  </si>
  <si>
    <t>https://p16-sign-va.tiktokcdn.com/tos-maliva-avt-0068/3403ddfcebd64115e73e8071a88d6b95~tplv-tiktokx-cropcenter:1080:1080.jpeg?dr=14579&amp;refresh_token=72236f03&amp;x-expires=1764727200&amp;x-signature=5abEor37t2LvIFB%2BmWR23y0agac%3D&amp;t=4d5b0474&amp;ps=13740610&amp;shp=a5d48078&amp;shcp=81f88b70&amp;idc=my</t>
  </si>
  <si>
    <t>Daniel Cancello</t>
  </si>
  <si>
    <t>https://webapp-va.tiktok.com/bec3ebf23ddb6c6fb50e7bb153ea22f1/6917e419/kmoat/mps/logo/v2/r/p/v09044g40000cj9bm9rc77u27j5d3ljg/2eb26c6d0a5744318076a933c9c05669/f60396c42eefe470b0c924f85da74e80/mp4/main.mp4?a=1988&amp;bti=ODszNWYuMDE6&amp;ch=0&amp;cr=3&amp;dr=0&amp;lr=all&amp;cd=0%7C0%7C0%7C&amp;cv=1&amp;br=0&amp;bt=0&amp;cs=0&amp;ds=3&amp;eid=1286&amp;ft=bLZkJmrMPD12NOYopd-Uxtv5GY6e3wv252cAp&amp;mime_type=video_mp4&amp;qs=0&amp;rc=cnF8b2hsc2d3SkBwaHIxaDFybndmPDkzPDY8OTM0NzpkZ2Y1aEBpam9nbTU6ZjxlbTMzNzczM0BjRl5Nc3FePmJKYSNvYF90aHFmOiMzMmBgMF40NTAxMi0zM18vYSNnMDI0cjRvajZgLS1kMTZzcw%3D%3D&amp;btag=e000b8000&amp;definition=720p&amp;du=15&amp;item_id=7265075837878144261&amp;l=20251113102306B19E1F5BC676BF8CC05E&amp;logo_type=tiktok_m&amp;ply_type=2&amp;policy=eyJ2bSI6MiwiY2siOiJ0dF9jaGFpbl90b2tlbiJ9&amp;user_text=frangaesforcada</t>
  </si>
  <si>
    <t>https://p16-sign-va.tiktokcdn.com/tos-maliva-avt-0068/a3dbb624410916b410c542b581ad35e2~tplv-tiktokx-cropcenter:100:100.jpeg?dr=14579&amp;refresh_token=c04cbf27&amp;x-expires=1764727200&amp;x-signature=6O0IgH59pmnCjVgOHmfgD9P6c2g%3D&amp;t=4d5b0474&amp;ps=13740610&amp;shp=a5d48078&amp;shcp=81f88b70&amp;idc=my</t>
  </si>
  <si>
    <t>https://www.tiktok.com/@frangaesforcada/video/7265075837878144261</t>
  </si>
  <si>
    <t>tdah,tdahadulto,tdahtiktok</t>
  </si>
  <si>
    <t>https://sf16-ies-music-sg.tiktokcdn.com/obj/tos-alisg-ve-2774/o4BwIxBpBgSM2UZjPE5CfOxCgqRDIF3QEQhRet</t>
  </si>
  <si>
    <t>https://v16-webapp-prime.tiktok.com/video/tos/alisg/tos-alisg-ve-37c813-sg/oIQeRXGRAFA8riLeAieAcxoLkEWltqfMq8tlcJ/?a=1988&amp;bti=ODszNWYuMDE6&amp;ch=0&amp;cr=3&amp;dr=0&amp;lr=all&amp;cd=0%7C0%7C0%7C&amp;br=792&amp;bt=396&amp;cs=0&amp;ds=3&amp;ft=-Csk_mrMPD12Nzhopd-UxfeFaY6e3wv25HcAp&amp;mime_type=video_mp4&amp;qs=0&amp;rc=NzY4ZmQzZDZnNGdkaWc5ZUBpM3c7ams5cmZvNTMzNzczM0AtYDMwNDRjNWIxMWE1NC4uYSNrZnAzMmRrNnNhLS1kMTZzcw%3D%3D&amp;btag=e00090000&amp;expire=1763173425&amp;l=202511131022442EE54DE47B86CCA867A8&amp;ply_type=2&amp;policy=2&amp;signature=0533c076977ef8bbf7cdb08b8233ddc5&amp;tk=tt_chain_token</t>
  </si>
  <si>
    <t>https://p77-sg.tiktokcdn.com/aweme/720x720/tos-alisg-v-2774/osEig5E4WiFWAkUsAYABrYhIAEBdRsAagSrPA.jpeg</t>
  </si>
  <si>
    <t>https://webapp-va.tiktok.com/d701055c3b89158dc5e08b1a6803c660/692f9e97/kmoat/mps/logo/v2/r/p/v09044g40000crfoaqvog65rb8jqtak0/a571fd7de91042e1b9e062ce1a71e0eb/f4639ffe09bd0dde351bf8ffedfd7b8e/mp4/main.mp4?a=1988&amp;bti=ODszNWYuMDE6&amp;ch=0&amp;cr=3&amp;dr=0&amp;lr=all&amp;cd=0%7C0%7C0%7C&amp;cv=1&amp;br=0&amp;bt=0&amp;cs=0&amp;ds=3&amp;eid=1286&amp;ft=LrmaEoKyD12Nvb.WS.IxRnTNWlBF-UjNS3opiX&amp;mime_type=video_mp4&amp;qs=0&amp;rc=cnF8b2hsc2d3SkBwaHIxaDFybndmZTM0ZGg1Mzw0NTM8Z2c0OEBpM2R0O3U5cnRydTMzNzczM0BjRl5Nc3FePmJKYSNvYF90aHFmOiNiYjQuYDNiX2IxLmI0YzReYSNocWdfMmRzXmNgLS1kMTZzcw%3D%3D&amp;btag=e000b8000&amp;definition=720p&amp;du=26&amp;item_id=7412790904672636166&amp;l=20251201102046E8B89E886773854715A1&amp;logo_type=tiktok_m&amp;ply_type=2&amp;policy=eyJ2bSI6MiwiY2siOiJ0dF9jaGFpbl90b2tlbiJ9&amp;user_text=dicas_descontos</t>
  </si>
  <si>
    <t>7291618027433479429</t>
  </si>
  <si>
    <t>https://p16-sign-va.tiktokcdn.com/tos-maliva-avt-0068/522bf3dd8faecdd86dec50c8be422f69~tplv-tiktokx-cropcenter:100:100.jpeg?dr=14579&amp;refresh_token=d5657c41&amp;x-expires=1763172000&amp;x-signature=4cqRnHKiNu1sf5U15G8zZ0RbhGE%3D&amp;t=4d5b0474&amp;ps=13740610&amp;shp=a5d48078&amp;shcp=81f88b70&amp;idc=my</t>
  </si>
  <si>
    <t>Eles fizeram uma pausa pra ela! #psicologia #psicopedagogia #educa #pedagogia #hiperatividade #tdahadulto #saudemental #deficitdeatencao #meme #memesbrasil #videosengracados #comedia #humor #humorbrasil #engracado #procrastinacao #concentração #impulsividade #foco #viralizou #cachorro Video: @thecrazydoggirl</t>
  </si>
  <si>
    <t>7291618042505808645</t>
  </si>
  <si>
    <t>https://v16-webapp-prime.tiktok.com/video/tos/useast2a/tos-useast2a-v-27dcd7/o0BUEE7AQ5fW2DHJfAJQxIsAmfe6MFAQQ8jQsk/?a=1988&amp;bti=ODszNWYuMDE6&amp;ch=0&amp;cr=0&amp;dr=0&amp;er=0&amp;lr=default&amp;cd=0%7C0%7C0%7C0&amp;br=250&amp;bt=125&amp;ds=5&amp;ft=GNDpcInz7ThMV-UPXq8Zmo&amp;mime_type=audio_mpeg&amp;qs=13&amp;rc=M2V0c2w5cnlqbjMzNzU8M0BpM2V0c2w5cnlqbjMzNzU8M0Aub3EvMmQ0Y2xgLS1kMTZzYSMub3EvMmQ0Y2xgLS1kMTZzcw%3D%3D&amp;btag=e00078000&amp;expire=1763004221&amp;l=2025111310232002E5437D242CEA8409F2&amp;ply_type=3&amp;policy=3&amp;signature=6a6a5454efae53fca70c7152323375b9&amp;tk=7571587458748974088</t>
  </si>
  <si>
    <t>7522876051920325944</t>
  </si>
  <si>
    <t xml:space="preserve">SIGA E COMPARTILHE COM QUEM PRECISA! Palavras-chave: TDAH adulto, Sintomas TDAH, Vida adulta com TDAH, Produtividade TDAH, Foco TDAH, Dicas TDAH, Organização TDAH, Procrastinação, Procrastinar, Neurodivergente, Hiperfoco, Desatenção, Impulsividade, Memória TDAH, Diagnóstico TDAH, Saúde mental, TDAH e ansiedade, TDAH no trabalho, Manejo do TDAH Hashtags: #tdahadulto #tdah #foryoupage #rotina #following #fyp #fypシ゚viral🖤tiktok  #PremierRendiplus </t>
  </si>
  <si>
    <t>5 PENSAMENTOS QUE TODA PESSOA COM TDAH JÁ TEVE OU VAI TER</t>
  </si>
  <si>
    <t>Airplane Mode</t>
  </si>
  <si>
    <t>7488813309846276097</t>
  </si>
  <si>
    <t>https://sf16-ies-music-sg.tiktokcdn.com/obj/tos-alisg-ve-2774/oAFyDaNPgQl6jzfwhY28CXc2uMfY0zgAfRLGiA</t>
  </si>
  <si>
    <t>https://p77-sg.tiktokcdn.com/aweme/720x720/tos-alisg-v-2774/o869ooAAfCBrAJDntEhHAHIgVFZe9A8AbQEIBQ.jpeg</t>
  </si>
  <si>
    <t>https://p16-sign-va.tiktokcdn.com/tos-maliva-avt-0068/522bf3dd8faecdd86dec50c8be422f69~tplv-tiktokx-cropcenter:1080:1080.jpeg?dr=14579&amp;refresh_token=fca8ae0b&amp;x-expires=1763172000&amp;x-signature=DyU3Xdjsxouw1FGIp0I%2BRMg7%2FJ8%3D&amp;t=4d5b0474&amp;ps=13740610&amp;shp=a5d48078&amp;shcp=81f88b70&amp;idc=my</t>
  </si>
  <si>
    <t>EliemiDabs</t>
  </si>
  <si>
    <t>https://v16-webapp-prime.tiktok.com/video/tos/useast2a/tos-useast2a-ve-0068c002/oQQzLNicILTeCBOIQJFNnCAegjLh7Se6RgjG6I/?a=1988&amp;bti=ODszNWYuMDE6&amp;ch=0&amp;cr=3&amp;dr=0&amp;lr=all&amp;cd=0%7C0%7C0%7C&amp;cv=1&amp;br=678&amp;bt=339&amp;cs=0&amp;ds=3&amp;ft=-Csk_mrMPD12NLdh5d-Uxbt2hY6e3wv25HcAp&amp;mime_type=video_mp4&amp;qs=0&amp;rc=OzY0NTZnPDRnNDo8Njo6NkBpanI2dW05cms8NDMzNzczM0A1LS1fYS01X18xYDNjMS5eYSNrLWk2MmQ0cmdhLS1kMTZzcw%3D%3D&amp;btag=e00090000&amp;expire=1764728485&amp;l=202512011020239FD63C9B4E4C976A9DFE&amp;ply_type=2&amp;policy=2&amp;signature=00931cd6d468c0426d0dd9a65a484ae9&amp;tk=tt_chain_token</t>
  </si>
  <si>
    <t>https://v16-webapp-prime.tiktok.com/video/tos/useast2a/tos-useast2a-pve-0068/oM5rcFxIEEOIgUYRgjfffCKAjzoAKDSICQ2ZC7/?a=1988&amp;bti=ODszNWYuMDE6&amp;ch=0&amp;cr=3&amp;dr=0&amp;lr=all&amp;cd=0%7C0%7C0%7C&amp;br=1788&amp;bt=894&amp;cs=0&amp;ds=3&amp;ft=-Csk_mrMPD12N9Yopd-Ux315hY6e3wv25dcAp&amp;mime_type=video_mp4&amp;qs=0&amp;rc=aDw7NjNpZjc5aDM6OmhkM0BpamhqZ285cmxqbjMzNzczM0BjXjFeYGJiNl4xNmAtLzY1YSNjZS1wMmRrY2xgLS1kMTZzcw%3D%3D&amp;btag=e000b8000&amp;expire=1763173421&amp;l=2025111310232002E5437D242CEA8409F2&amp;ply_type=2&amp;policy=2&amp;signature=3603456dcd28be4492b86cc75094b6e8&amp;tk=tt_chain_token</t>
  </si>
  <si>
    <t>https://www.tiktok.com/@tdahcommaisperformance/video/7522876051920325944</t>
  </si>
  <si>
    <t>https://www.tiktok.com/@tdahmemes/video/7291618027433479429</t>
  </si>
  <si>
    <t>psicologia,psicopedagogia,educa,pedagogia,hiperatividade,tdahadulto,saudemental,deficitdeatencao,meme,memesbrasil,videosengracados,comedia,humor,humorbrasil,engracado,procrastinacao,concentração,impulsividade,foco,viralizou,cachorro</t>
  </si>
  <si>
    <t>tdahadulto,tdah,foryoupage,rotina,following,fyp,fypシ゚viral🖤tiktok,premierrendiplus</t>
  </si>
  <si>
    <t>tdahadulto,tdah,foryoupage,rotina,following,fyp,fypシ゚viral🖤tiktok,PremierRendiplus</t>
  </si>
  <si>
    <t>7482824113761897750</t>
  </si>
  <si>
    <t>https://p16-sign-va.tiktokcdn.com/tos-maliva-avt-0068/3a086195329f6cf80b84b44a330f168a~tplv-tiktokx-cropcenter:100:100.jpeg?dr=14579&amp;refresh_token=a901cde0&amp;x-expires=1763172000&amp;x-signature=kXLY0jAGuczu5PEKpDeobLy4pGM%3D&amp;t=4d5b0474&amp;ps=13740610&amp;shp=a5d48078&amp;shcp=81f88b70&amp;idc=my</t>
  </si>
  <si>
    <t>mochileandolo</t>
  </si>
  <si>
    <t>Silvia | UGC MALAGA🎀</t>
  </si>
  <si>
    <t>https://p16-sign-va.tiktokcdn.com/tos-maliva-avt-0068/2dd3e8f72194ae18d3a9971992b8c84b~tplv-tiktokx-cropcenter:100:100.jpeg?dr=14579&amp;refresh_token=16987736&amp;x-expires=1764727200&amp;x-signature=mYIRurUgXmKtisliyIUJNL6OAfU%3D&amp;t=4d5b0474&amp;ps=13740610&amp;shp=a5d48078&amp;shcp=81f88b70&amp;idc=my</t>
  </si>
  <si>
    <t>En la mente de una persona con tdah por menos de dos minutos. ¿Te sientes identificado o identificas a alguien que conozcas en este video? #psicologia #tdah #tda #tdahadulto #neurodivergent #deficitdeatencion #hiperactividad #hiperactivo #CapCut</t>
  </si>
  <si>
    <t>https://v16-webapp-prime.tiktok.com/video/tos/useast2a/tos-useast2a-v-27dcd7/o4vpixaCDrQyCUSAGkDClzMl4iAAOBaiEECA8/?a=1988&amp;bti=ODszNWYuMDE6&amp;ch=0&amp;cr=0&amp;dr=0&amp;er=0&amp;lr=default&amp;cd=0%7C0%7C0%7C0&amp;br=250&amp;bt=125&amp;ds=5&amp;ft=GNDpcInz7Th49-UPXq8Zmo&amp;mime_type=audio_mpeg&amp;qs=13&amp;rc=MzVsPGw5cmVtNjMzNzU8M0BpMzVsPGw5cmVtNjMzNzU8M0AuMWMuMmRrMGhhLS1kMTZzYSMuMWMuMmRrMGhhLS1kMTZzcw%3D%3D&amp;btag=e00050000&amp;expire=1763004341&amp;l=20251113102415EC11E565E652E77F00C9&amp;ply_type=3&amp;policy=3&amp;signature=add0878893cae256c1760866fe6097dc&amp;tk=7571587458748974088</t>
  </si>
  <si>
    <t>Despertador 1</t>
  </si>
  <si>
    <t>6864842985251538945</t>
  </si>
  <si>
    <t>https://p16-sign-sg.tiktokcdn.com/tos-alisg-v-2774/5aeba627c9474576bafeff633901d575~720x720.jpeg?lk3s=08d74b56&amp;x-expires=1764577458&amp;x-signature=BFg7DYgsYNS0eqRWM%2BPUYGALsaI%3D</t>
  </si>
  <si>
    <t>unknown</t>
  </si>
  <si>
    <t>https://v16-webapp-prime.tiktok.com/video/tos/no1a/tos-no1a-ve-0068c001-no/oYjjhsIPOIbPPYIQIfhlV6AIGeA7LLQe1DoPKE/?a=1988&amp;bti=ODszNWYuMDE6&amp;ch=0&amp;cr=3&amp;dr=0&amp;lr=all&amp;cd=0%7C0%7C0%7C&amp;cv=1&amp;br=1320&amp;bt=660&amp;cs=0&amp;ds=3&amp;ft=ytpHh9DfxxOusd.5xDKt8lcLVWOuRx_HFKK56KWH-~FCg0z7T&amp;mime_type=video_mp4&amp;qs=0&amp;rc=OGg7ZDhoaTM2O2Q2Zmc1ZUBpanh3aXI5cmY4eTMzbzczNUAwYl4xXjYvXzMxYzAuNDAwYSNlaXBfMmRrNWBgLS1kMTFzcw%3D%3D&amp;btag=e00090000&amp;expire=1764728765&amp;l=2025120110241886E934FBC7BA65F22BFF&amp;ply_type=2&amp;policy=2&amp;signature=136105d65fea899d45ed69d8f83d8935&amp;tk=tt_chain_token</t>
  </si>
  <si>
    <t>https://p77-sign-va.tiktokcdn.com/tos-maliva-avt-0068/3a086195329f6cf80b84b44a330f168a~tplv-tiktokx-cropcenter:1080:1080.jpeg?dr=14579&amp;refresh_token=1f23cd66&amp;x-expires=1763172000&amp;x-signature=ELf10EEPg5X6uZ21z4T0fyoQNEo%3D&amp;t=4d5b0474&amp;ps=13740610&amp;shp=a5d48078&amp;shcp=81f88b70&amp;idc=my</t>
  </si>
  <si>
    <t>https://v16-webapp-prime.tiktok.com/video/tos/useast2a/tos-useast2a-pve-0068/oEIapOUDivDikzBEA7WVQEB7xUayQnOGx32MS/?a=1988&amp;bti=ODszNWYuMDE6&amp;ch=0&amp;cr=3&amp;dr=0&amp;lr=all&amp;cd=0%7C0%7C0%7C&amp;cv=1&amp;br=610&amp;bt=305&amp;cs=0&amp;ds=2&amp;ft=-Csk_mrMPD12Nycopd-UxG4vXY6e3wv25McAp&amp;mime_type=video_mp4&amp;qs=0&amp;rc=NDo5aDM0PGZnaWk2Nzk6ZEBpanR1NHU5cjptNjMzNzczM0A0MC5gMGEtNjQxYDEyNDVhYSNeYGZtMmRrMGhhLS1kMTZzcw%3D%3D&amp;btag=e00090000&amp;expire=1763173541&amp;l=20251113102415EC11E565E652E77F00C9&amp;ply_type=2&amp;policy=2&amp;signature=ac55fb8cddc591c13540645bff3d40df&amp;tk=tt_chain_token</t>
  </si>
  <si>
    <t>https://www.tiktok.com/@mochileandolo/video/7482824113761897750</t>
  </si>
  <si>
    <t>psicologia,tdah,tda,tdahadulto,neurodivergent,deficitdeatencion,hiperactividad,hiperactivo,capcut</t>
  </si>
  <si>
    <t>psicologia,tdah,tda,tdahadulto,neurodivergent,deficitdeatencion,hiperactividad,hiperactivo,CapCut</t>
  </si>
  <si>
    <t>https://p16-sign-va.tiktokcdn.com/tos-maliva-avt-0068/7326699641977634821~tplv-tiktokx-cropcenter:100:100.jpeg?dr=14579&amp;refresh_token=19edc2b9&amp;x-expires=1764727200&amp;x-signature=o9LZGvw4Ry8DKpSNxfCzZXt0dIc%3D&amp;t=4d5b0474&amp;ps=13740610&amp;shp=a5d48078&amp;shcp=81f88b70&amp;idc=my</t>
  </si>
  <si>
    <t>7553391761620520248</t>
  </si>
  <si>
    <t>https://v16-webapp-prime.tiktok.com/video/tos/useast2a/tos-useast2a-v-27dcd7/oEPXWCTcsJAYeEEnAFFfBBQG6wmAFiExJAD6U2/?a=1988&amp;bti=ODszNWYuMDE6&amp;ch=0&amp;cr=0&amp;dr=0&amp;er=0&amp;lr=default&amp;cd=0%7C0%7C0%7C0&amp;br=250&amp;bt=125&amp;ds=5&amp;ft=GNDpcInz7ThszKvPXq8Zmo&amp;mime_type=audio_mpeg&amp;qs=13&amp;rc=M3RzPHc5cndmdjMzNzU8M0BpM3RzPHc5cndmdjMzNzU8M0BlNHNgMmRrL19gLS1kMTZzYSNlNHNgMmRrL19gLS1kMTZzcw%3D%3D&amp;btag=e00078000&amp;expire=1764559281&amp;l=20251201102055111140D50F38376E882B&amp;ply_type=3&amp;policy=3&amp;signature=0d6808b1efef71311d294017a198c103&amp;tk=7571587458748974088</t>
  </si>
  <si>
    <t>cerebroturbo__</t>
  </si>
  <si>
    <t>Cérebro turbo</t>
  </si>
  <si>
    <t>https://p77-sign-va.tiktokcdn.com/tos-maliva-avt-0068/51cd598376c564c9365627652afcb2c1~tplv-tiktokx-cropcenter:100:100.jpeg?dr=14579&amp;refresh_token=71f0bec9&amp;x-expires=1763172000&amp;x-signature=GAACIHRxYcWgB1D2T49WMM61W%2FM%3D&amp;t=4d5b0474&amp;ps=13740610&amp;shp=a5d48078&amp;shcp=81f88b70&amp;idc=my</t>
  </si>
  <si>
    <t>TDAH não tratado - link na bio 🫶🏻 #tdah #tdahadulto #viral #fyp #viralvideo</t>
  </si>
  <si>
    <t>7553391809456622347</t>
  </si>
  <si>
    <t>https://v16-webapp-prime.tiktok.com/video/tos/useast2a/tos-useast2a-v-27dcd7/og3PMZSclNAiP1CAJCApYTDIBaE8EwUQdAJiS/?a=1988&amp;bti=ODszNWYuMDE6&amp;ch=0&amp;cr=0&amp;dr=0&amp;er=0&amp;lr=default&amp;cd=0%7C0%7C0%7C0&amp;br=250&amp;bt=125&amp;ds=5&amp;ft=GNDpcInz7ThGD-UPXq8Zmo&amp;mime_type=audio_mpeg&amp;qs=13&amp;rc=M2k0NW85cnFqNjMzNzU8M0BpM2k0NW85cnFqNjMzNzU8M0BiZjByMmQ0ZzZhLS1kMTZzYSNiZjByMmQ0ZzZhLS1kMTZzcw%3D%3D&amp;btag=e00050000&amp;expire=1763004450&amp;l=2025111310254344385823DD6566920070&amp;ply_type=3&amp;policy=3&amp;signature=8034b56c3470043a97b25fbea50c4c91&amp;tk=7571587458748974088</t>
  </si>
  <si>
    <t>https://p77-sign-va.tiktokcdn.com/tos-maliva-avt-0068/7326699641977634821~tplv-tiktokx-cropcenter:1080:1080.jpeg?dr=14579&amp;refresh_token=85899b02&amp;x-expires=1764727200&amp;x-signature=lk97pRU0LhvGjoWpT5j01fvvJYA%3D&amp;t=4d5b0474&amp;ps=13740610&amp;shp=a5d48078&amp;shcp=81f88b70&amp;idc=my</t>
  </si>
  <si>
    <t>https://p16-sign-va.tiktokcdn.com/tos-maliva-avt-0068/51cd598376c564c9365627652afcb2c1~tplv-tiktokx-cropcenter:1080:1080.jpeg?dr=14579&amp;refresh_token=3b2380cc&amp;x-expires=1763172000&amp;x-signature=MCnGYwE%2BE87Qt8kHjHgUAT7kcKw%3D&amp;t=4d5b0474&amp;ps=13740610&amp;shp=a5d48078&amp;shcp=81f88b70&amp;idc=my</t>
  </si>
  <si>
    <t>https://v16-webapp-prime.tiktok.com/video/tos/alisg/tos-alisg-pve-0037c001/o0JijYVBiWQ6ZY4IKcPvsBBAkUEEbxVwHSBXl/?a=1988&amp;bti=ODszNWYuMDE6&amp;ch=0&amp;cr=3&amp;dr=0&amp;lr=all&amp;cd=0%7C0%7C0%7C&amp;cv=1&amp;br=376&amp;bt=188&amp;cs=0&amp;ds=6&amp;ft=-Csk_mrMPD12NbDh5d-UxPR2SY6e3wv25IcAp&amp;mime_type=video_mp4&amp;qs=5&amp;rc=ZWk6N2k0Zzs1Z2RnZWc3PEBpM2ZvcHQ5cmRmdjMzNzczM0AuMTMvNmM0Xi0xMzUuNWJjYSNgXzEwMmQ0L19gLS1kMTZzcw%3D%3D&amp;btag=e000b8000&amp;expire=1764728481&amp;l=20251201102055111140D50F38376E882B&amp;ply_type=2&amp;policy=2&amp;signature=4fe38015329f28211aede609a77a2b3f&amp;tk=tt_chain_token</t>
  </si>
  <si>
    <t>https://v16-webapp-prime.tiktok.com/video/tos/alisg/tos-alisg-ve-37c813-sg/ogr0TAzrwJQalEEoj0FfBBQBvJvVnPIfRGDuEK/?a=1988&amp;bti=ODszNWYuMDE6&amp;ch=0&amp;cr=3&amp;dr=0&amp;lr=all&amp;cd=0%7C0%7C0%7C&amp;cv=1&amp;br=972&amp;bt=486&amp;cs=0&amp;ds=3&amp;ft=-Csk_mrMPD12Nn.opd-UxJTFGY6e3wv25bcAp&amp;mime_type=video_mp4&amp;qs=0&amp;rc=PGhpZjg1NThkNzloZTNoZkBpamlxdHE5cmxqNjMzNzczM0AyMzZgMGNeX18xNjFgNmNgYSM0NHBjMmRrZzZhLS1kMTZzcw%3D%3D&amp;btag=e00090000&amp;expire=1763173650&amp;l=2025111310254344385823DD6566920070&amp;ply_type=2&amp;policy=2&amp;signature=ba612c85a82b68a75f1bc2151241d7c1&amp;tk=tt_chain_token</t>
  </si>
  <si>
    <t>7413741015166668065</t>
  </si>
  <si>
    <t>coskostas</t>
  </si>
  <si>
    <t>Cosmin</t>
  </si>
  <si>
    <t>https://p77-sign-va.tiktokcdn.com/tos-maliva-avt-0068/a2a86b413d25e338b9c04c8b4db06e84~tplv-tiktokx-cropcenter:100:100.jpeg?dr=14579&amp;refresh_token=69cf3cd9&amp;x-expires=1764727200&amp;x-signature=cySNJWr58%2FyyodUQRJVyns8VCIo%3D&amp;t=4d5b0474&amp;ps=13740610&amp;shp=a5d48078&amp;shcp=81f88b70&amp;idc=my</t>
  </si>
  <si>
    <t>https://www.tiktok.com/@cerebroturbo__/video/7553391761620520248</t>
  </si>
  <si>
    <t>tdah,tdahadulto,viral,fyp,viralvideo</t>
  </si>
  <si>
    <t>7258377801055653125</t>
  </si>
  <si>
    <t>gabrielafelizardopsi</t>
  </si>
  <si>
    <t>Gabi Felizardo Psicóloga</t>
  </si>
  <si>
    <t>https://p77-sign-va.tiktokcdn.com/tos-maliva-avt-0068/f20e42c97e5018a93045c780ae6d0b58~tplv-tiktokx-cropcenter:100:100.jpeg?dr=14579&amp;refresh_token=cff10dc9&amp;x-expires=1763172000&amp;x-signature=ABNQYDagmtSi0iVkKKaCpfPhth0%3D&amp;t=4d5b0474&amp;ps=13740610&amp;shp=a5d48078&amp;shcp=81f88b70&amp;idc=my</t>
  </si>
  <si>
    <t>Asi se ve TDAH… IG:coskostas #foryou #parati #fyp #viral #foryourpage #TDAH #adulto #salud #saludmental</t>
  </si>
  <si>
    <t>Así se ve el TDAH
En adultos Somos impacientes
en casi cualquier cosa
😡 Podemos vernos o
sentirnos "raros" en
lugares sociales
😔 La atención y La concentración no es lo nuestro Compramos de
manera impulsiva
😅💸 Tenemos que movernos para prestar atención Hacer todo a ultino
tainuto es nuestro
talento
🤦🏻‍♂️ Cuándo algo nos gusta perdemos la noción del tiempo
⏱️ Tenemos muchísima energía 🔋</t>
  </si>
  <si>
    <t>Photograph</t>
  </si>
  <si>
    <t>7104985112206478086</t>
  </si>
  <si>
    <t>https://v16-webapp-prime.tiktok.com/video/tos/useast2a/tos-useast2a-v-27dcd7/566643804e9846d3931c17a4075f64d4/?a=1988&amp;bti=ODszNWYuMDE6&amp;ch=0&amp;cr=0&amp;dr=0&amp;er=0&amp;lr=default&amp;cd=0%7C0%7C0%7C0&amp;br=248&amp;bt=124&amp;ds=5&amp;ft=GNDpcInz7ThqpKvPXq8Zmo&amp;mime_type=audio_mp4&amp;qs=13&amp;rc=M3MzdWU6Zm95ZDMzNzU8M0BpM3MzdWU6Zm95ZDMzNzU8M0BfaGtkcjQwaGBgLS1kMTZzYSNfaGtkcjQwaGBgLS1kMTZzcw%3D%3D&amp;btag=e00050000&amp;expire=1764559629&amp;l=202512011025322E6C790BBAEC294DA202&amp;ply_type=3&amp;policy=3&amp;signature=3564f89ec28008d39421c3efe471a1ce&amp;tk=7571587458748974088</t>
  </si>
  <si>
    <t>Pra esse final de semana! #indicaçaodefilme #tdahadulto #terapiacognitivocomportamental #tdah</t>
  </si>
  <si>
    <t>7258377805604899590</t>
  </si>
  <si>
    <t>https://v16-webapp-prime.tiktok.com/video/tos/useast2a/tos-useast2a-v-27dcd7/oUX8hlzXogMEBENCyAECL4fTKIg6kXN8AMA6zA/?a=1988&amp;bti=ODszNWYuMDE6&amp;ch=0&amp;cr=0&amp;dr=0&amp;er=0&amp;lr=default&amp;cd=0%7C0%7C0%7C0&amp;br=250&amp;bt=125&amp;ds=5&amp;ft=GNDpcInz7ThlV-UPXq8Zmo&amp;mime_type=audio_mpeg&amp;qs=13&amp;rc=M2ZubGY6ZmVpbDMzNzU8M0BpM2ZubGY6ZmVpbDMzNzU8M0BxZG1mcjRnLXFgLS1kMTZzYSNxZG1mcjRnLXFgLS1kMTZzcw%3D%3D&amp;btag=e00078000&amp;expire=1763004204&amp;l=20251113102257F8D01E3BFCE9B2911856&amp;ply_type=3&amp;policy=3&amp;signature=d87b578f87f742c0b4520247da0a4249&amp;tk=7571587458748974088</t>
  </si>
  <si>
    <t>https://p77-sign-va.tiktokcdn.com/tos-maliva-avt-0068/7337092642779430918~tplv-tiktokx-cropcenter:1080:1080.jpeg?dr=14579&amp;refresh_token=07c90e11&amp;x-expires=1764727200&amp;x-signature=GFh0Cr3DD88rmaWIQUl4rLx2%2BkU%3D&amp;t=4d5b0474&amp;ps=13740610&amp;shp=a5d48078&amp;shcp=81f88b70&amp;idc=my</t>
  </si>
  <si>
    <t>https://p16-sign-va.tiktokcdn.com/tos-maliva-avt-0068/f20e42c97e5018a93045c780ae6d0b58~tplv-tiktokx-cropcenter:1080:1080.jpeg?dr=14579&amp;refresh_token=2633645c&amp;x-expires=1763172000&amp;x-signature=ymlBkNH738Etmj%2Bf8E2nWhzZYl0%3D&amp;t=4d5b0474&amp;ps=13740610&amp;shp=a5d48078&amp;shcp=81f88b70&amp;idc=my</t>
  </si>
  <si>
    <t>https://v16-webapp-prime.tiktok.com/video/tos/useast2a/tos-useast2a-ve-0068c001-euttp/o468SDVEubQZ4HcmApgIRxIFCf2eqxEPDDqBQS/?a=1988&amp;bti=ODszNWYuMDE6&amp;ch=0&amp;cr=3&amp;dr=0&amp;lr=all&amp;cd=0%7C0%7C0%7C&amp;cv=1&amp;br=1344&amp;bt=672&amp;cs=0&amp;ds=3&amp;ft=-Csk_mrMPD12NUgh5d-UxIS5hY6e3wv25ycAp&amp;mime_type=video_mp4&amp;qs=0&amp;rc=ZGc7M2g4NWgzOzw5OzQ2OEBpamZyPHc5cnBodTMzZjczM0AwLl8vMy02Xi4xMmJgLzE2YSNuZjBeMmRzXmVgLS1kMWNzcw%3D%3D&amp;btag=e00088000&amp;expire=1764728772&amp;l=202512011025322E6C790BBAEC294DA202&amp;ply_type=2&amp;policy=2&amp;signature=126c478e0b08190bf9a1a01706ad2109&amp;tk=tt_chain_token</t>
  </si>
  <si>
    <t>https://webapp-va.tiktok.com/749bf3e1d3b5b3baa47f51d03036da94/6917e41d/kmoat/mps/logo/v2/r/p/v09044g40000citf0a3c77u78rbrpds0/b9f677b07d514e0e948f6edc12cf0a90/a84459af17d5e3b8d9887a67b9ed09c3/mp4/main.mp4?a=1988&amp;bti=ODszNWYuMDE6&amp;ch=0&amp;cr=3&amp;dr=0&amp;lr=all&amp;cd=0%7C0%7C0%7C&amp;cv=1&amp;br=0&amp;bt=0&amp;cs=0&amp;ds=3&amp;eid=1286&amp;ft=bLZkJmrMPD12N4Yopd-Ux9T2bY6e3wv25IcAp&amp;mime_type=video_mp4&amp;qs=0&amp;rc=cnF8b2hsc2d3SkBwaHIxaDFybndmM2RpNWZoaTdoaDRnMzo5PEBpM2d1dTo6ZmRpbDMzNzczM0BjRl5Nc3FePmJKYSNvYF90aHFmOiM2LWAuYTM1Ni0xMjRfNGNfYSNwbV81cjQwLXFgLS1kMTZzcw%3D%3D&amp;btag=e000b8000&amp;definition=720p&amp;du=28&amp;item_id=7258377801055653125&amp;l=20251113102257F8D01E3BFCE9B2911856&amp;logo_type=tiktok_m&amp;ply_type=2&amp;policy=eyJ2bSI6MiwiY2siOiJ0dF9jaGFpbl90b2tlbiJ9&amp;user_text=gabrielafelizardopsi</t>
  </si>
  <si>
    <t>https://www.tiktok.com/@coskostas/video/7413741015166668065</t>
  </si>
  <si>
    <t>foryou,parati,fyp,viral,foryourpage,tdah,adulto,salud,saludmental</t>
  </si>
  <si>
    <t>https://www.tiktok.com/@gabrielafelizardopsi/video/7258377801055653125</t>
  </si>
  <si>
    <t>https://p16-sign-va.tiktokcdn.com/tos-maliva-avt-0068/91bd50ddc7ab01c8dfdc4361fe4d1101~tplv-tiktokx-cropcenter:100:100.jpeg?dr=14579&amp;refresh_token=c0160065&amp;x-expires=1764727200&amp;x-signature=kB5pkSl83FBYC%2BSEQ5cveO9XoU8%3D&amp;t=4d5b0474&amp;ps=13740610&amp;shp=a5d48078&amp;shcp=81f88b70&amp;idc=my</t>
  </si>
  <si>
    <t>indicaçaodefilme,tdahadulto,terapiacognitivocomportamental,tdah</t>
  </si>
  <si>
    <t>https://v16-webapp-prime.tiktok.com/video/tos/useast2a/tos-useast2a-v-27dcd7/oc1FgofBkE36E7zKrbgEAgHjEASBHiaAiAAWEo/?a=1988&amp;bti=ODszNWYuMDE6&amp;ch=0&amp;cr=0&amp;dr=0&amp;er=0&amp;lr=default&amp;cd=0%7C0%7C0%7C0&amp;br=250&amp;bt=125&amp;ds=5&amp;ft=GNDpcInz7ThUPKvPXq8Zmo&amp;mime_type=audio_mpeg&amp;qs=13&amp;rc=Mzo2a3E5cmU5djMzNzU8M0BpMzo2a3E5cmU5djMzNzU8M0AvamFpMmRjbi9gLS1kMTZzYSMvamFpMmRjbi9gLS1kMTZzcw%3D%3D&amp;btag=e00048000&amp;expire=1764559259&amp;l=202512011020200FFD70C70F6D756DA043&amp;ply_type=3&amp;policy=3&amp;signature=2a5566a7653dd5ab6759bf776e34e2f7&amp;tk=7571587458748974088</t>
  </si>
  <si>
    <t>https://p16-sg.tiktokcdn.com/aweme/720x720/tos-alisg-v-2774/oYQjJ1AofFIJfOGZADzPpxCM5EDgFaAr9fAIcq.jpeg</t>
  </si>
  <si>
    <t>https://v16-webapp-prime.tiktok.com/video/tos/alisg/tos-alisg-ve-37c813-sg/oEJVAf5uwv7PVifAgFgYQw4cRxeSAif2KIdreN/?a=1988&amp;bti=ODszNWYuMDE6&amp;ch=0&amp;cr=3&amp;dr=0&amp;lr=all&amp;cd=0%7C0%7C0%7C&amp;cv=1&amp;br=1010&amp;bt=505&amp;cs=0&amp;ds=3&amp;ft=-Csk_mrMPD12Nzhopd-UxfeFaY6e3wv25HcAp&amp;mime_type=video_mp4&amp;qs=0&amp;rc=NTk7OjszNjk2ZjozODQ0OEBpamhpb3c5cmRxNTMzNzczM0AxNjFhYDE2Xi4xYzMvLjAxYSNfc28tMmRrcG9hLS1kMTZzcw%3D%3D&amp;btag=e00090000&amp;expire=1763173427&amp;l=202511131022442EE54DE47B86CCA867A8&amp;ply_type=2&amp;policy=2&amp;signature=0e33e777666609774b52abe0a5b20db7&amp;tk=tt_chain_token</t>
  </si>
  <si>
    <t>https://p77-sign-va.tiktokcdn.com/tos-maliva-avt-0068/91bd50ddc7ab01c8dfdc4361fe4d1101~tplv-tiktokx-cropcenter:1080:1080.jpeg?dr=14579&amp;refresh_token=d34239b4&amp;x-expires=1764727200&amp;x-signature=W4CMLXWaxjJ4OpsCjQa1YKodmqQ%3D&amp;t=4d5b0474&amp;ps=13740610&amp;shp=a5d48078&amp;shcp=81f88b70&amp;idc=my</t>
  </si>
  <si>
    <t>https://v16-webapp-prime.tiktok.com/video/tos/useast2a/tos-useast2a-ve-0068c001/oAnEBBOJZIAGsK1IUf20IfgWYQEo3BDgnQ2R8F/?a=1988&amp;bti=ODszNWYuMDE6&amp;ch=0&amp;cr=3&amp;dr=0&amp;lr=all&amp;cd=0%7C0%7C0%7C&amp;cv=1&amp;br=2238&amp;bt=1119&amp;cs=0&amp;ds=3&amp;ft=I~da4oKyD12Nvi.WS.IxR51NWlBF-UjNSMopiX&amp;mime_type=video_mp4&amp;qs=0&amp;rc=ZDdkZzwzPDg8NDxkMzs0NkBpM3Bmc245cjY5djMzNzczM0BgLWNgM2JhNTAxNTM2NC0xYSMzaDBhMmRrbi9gLS1kMTZzcw%3D%3D&amp;btag=e00088000&amp;expire=1764728460&amp;l=202512011020200FFD70C70F6D756DA043&amp;ply_type=2&amp;policy=2&amp;signature=70247b2feb207d4a2053f5419ec1ec93&amp;tk=tt_chain_token</t>
  </si>
  <si>
    <t>https://p16-sg.tiktokcdn.com/aweme/720x720/tos-alisg-v-2774/o869ooAAfCBrAJDntEhHAHIgVFZe9A8AbQEIBQ.jpeg</t>
  </si>
  <si>
    <t>https://v16-webapp-prime.tiktok.com/video/tos/useast2a/tos-useast2a-ve-0068c002/oQQzLNicILTeCBOIQJFNnCAegjLh7Se6RgjG6I/?a=1988&amp;bti=ODszNWYuMDE6&amp;ch=0&amp;cr=3&amp;dr=0&amp;lr=all&amp;cd=0%7C0%7C0%7C&amp;cv=1&amp;br=678&amp;bt=339&amp;cs=0&amp;ds=3&amp;ft=-Csk_mrMPD12Nzhopd-UxfeFaY6e3wv25HcAp&amp;mime_type=video_mp4&amp;qs=0&amp;rc=OzY0NTZnPDRnNDo8Njo6NkBpanI2dW05cms8NDMzNzczM0A1LS1fYS01X18xYDNjMS5eYSNrLWk2MmQ0cmdhLS1kMTZzcw%3D%3D&amp;btag=e00090000&amp;expire=1763173426&amp;l=202511131022442EE54DE47B86CCA867A8&amp;ply_type=2&amp;policy=2&amp;signature=1c64483a3a03945fbe5ed73f942c1908&amp;tk=tt_chain_token</t>
  </si>
  <si>
    <t>https://v16-webapp-prime.tiktok.com/video/tos/useast2a/tos-useast2a-ve-0068c001/ocrahQkzxAlGDL3fhE40tAIYCg1mN8YoxIUo7m/?a=1988&amp;bti=ODszNWYuMDE6&amp;ch=0&amp;cr=3&amp;dr=0&amp;lr=all&amp;cd=0%7C0%7C0%7C&amp;cv=1&amp;br=1180&amp;bt=590&amp;cs=0&amp;ds=6&amp;ft=-Csk_mrMPD12N5Dh5d-UxP12hY6e3wv25ocAp&amp;mime_type=video_mp4&amp;qs=5&amp;rc=OzZoaWQzOzg4N2Q6NzRlN0BpajZxZjk6Zm07aTMzNzczM0A2XzUtYC0yXjUxNDZiL2A0YSNpYmJgcjQwbmdgLS1kMTZzcw%3D%3D&amp;btag=e00090000&amp;expire=1764728524&amp;l=2025120110205711DA509A8B9B2F6AA181&amp;ply_type=2&amp;policy=2&amp;signature=6b52c1f1efbd217fc9484dd2c6d82427&amp;tk=tt_chain_token</t>
  </si>
  <si>
    <t>7531442613426081030</t>
  </si>
  <si>
    <t xml:space="preserve">SIGA E COMPARTILHE COM QUEM PRECISA! Palavras-chave: TDAH adulto, Sintomas TDAH, Vida adulta com TDAH, Produtividade TDAH, Foco TDAH, Dicas TDAH, Organização TDAH, Procrastinação, Procrastinar, Neurodivergente, Hiperfoco, Desatenção, Impulsividade, Memória TDAH, Diagnóstico TDAH, Saúde mental, TDAH e ansiedade, TDAH no trabalho, Manejo do TDAH Hashtags: #tdahadulto #tdah #foryoupage #rotina #following #fyp #fypシ #fypシ゚viral #trending #viral #tiktok </t>
  </si>
  <si>
    <t>5 DESAFIOS DIÁRIOS DE UMA PESSOA COM TDAH E VOCÊ TAMBÉM SENTE ESSA DIFICULDADE?</t>
  </si>
  <si>
    <t>Losing Control</t>
  </si>
  <si>
    <t>7506612754071062545</t>
  </si>
  <si>
    <t>https://sf16-ies-music-sg.tiktokcdn.com/obj/tos-alisg-ve-2774/okW1KyACiAlba86NBYtOa6piIOFrc8KgPUMgW</t>
  </si>
  <si>
    <t>https://p77-sg.tiktokcdn.com/aweme/720x720/tos-alisg-v-2774/okEArPBPlAAi6gAWawaINBKWpUiECcAY3Dg8J.jpeg</t>
  </si>
  <si>
    <t>7198515572911443206</t>
  </si>
  <si>
    <t>neurotonico</t>
  </si>
  <si>
    <t>Neurotônico</t>
  </si>
  <si>
    <t>https://p16-sign-va.tiktokcdn.com/tos-maliva-avt-0068/e7d7b3272d64e29c478b4fcba5cf0b16~tplv-tiktokx-cropcenter:100:100.jpeg?dr=14579&amp;refresh_token=afe0bbfc&amp;x-expires=1764727200&amp;x-signature=Wz%2FvVO9cf7jrSx7w2XaNwWYLyLk%3D&amp;t=4d5b0474&amp;ps=13740610&amp;shp=a5d48078&amp;shcp=81f88b70&amp;idc=my</t>
  </si>
  <si>
    <t>Pat Winter</t>
  </si>
  <si>
    <t>https://v16-webapp-prime.tiktok.com/video/tos/alisg/tos-alisg-ve-37c813-sg/oQJzgeNJGCURLCqIBKISh7QHCCSIfg8ggHje3A/?a=1988&amp;bti=ODszNWYuMDE6&amp;ch=0&amp;cr=3&amp;dr=0&amp;lr=all&amp;cd=0%7C0%7C0%7C&amp;cv=1&amp;br=1160&amp;bt=580&amp;cs=0&amp;ds=3&amp;ft=-Csk_mrMPD12Nzhopd-UxfeFaY6e3wv25HcAp&amp;mime_type=video_mp4&amp;qs=0&amp;rc=Z2U3ZWc2Nzs7ZTRkMzplPEBpMzlvc3I5cnJqNTMzNzczM0AvYjEvNS5iNmMxY14tYC1gYSNscDM0MmQ0cS9hLS1kMTZzcw%3D%3D&amp;btag=e00090000&amp;expire=1763173427&amp;l=202511131022442EE54DE47B86CCA867A8&amp;ply_type=2&amp;policy=2&amp;signature=772402aa4caaf078993542a839fb015d&amp;tk=tt_chain_token</t>
  </si>
  <si>
    <t>As Intensidades do TDAH |  Assista o vídeo completo clicando no link da bio do @tudoemmentepodcast #tdah #tdahinfantil #tdahadulto #intensidade #intenso #intensidadetdah #transtorno #tratamento #diagnostico</t>
  </si>
  <si>
    <t>As Intensidades 
do TDAH</t>
  </si>
  <si>
    <t>7198515596093410054</t>
  </si>
  <si>
    <t>https://v16-webapp-prime.tiktok.com/video/tos/useast2a/tos-useast2a-v-27dcd7/4779244af5f0444bb5aa62f60e8d78a0/?a=1988&amp;bti=ODszNWYuMDE6&amp;ch=0&amp;cr=0&amp;dr=0&amp;er=0&amp;lr=default&amp;cd=0%7C0%7C0%7C0&amp;br=250&amp;bt=125&amp;ds=5&amp;ft=GNDpcInz7ThypKvPXq8Zmo&amp;mime_type=audio_mpeg&amp;qs=13&amp;rc=anJ1bTU6Zm03aTMzNzU8M0BpanJ1bTU6Zm03aTMzNzU8M0AvbGRmcjRvNGdgLS1kMTZzYSMvbGRmcjRvNGdgLS1kMTZzcw%3D%3D&amp;btag=e00048000&amp;expire=1764559584&amp;l=202512011025416316FEEDE598E9627C72&amp;ply_type=3&amp;policy=3&amp;signature=8405e02351c18380cb859b87cba15a37&amp;tk=7571587458748974088</t>
  </si>
  <si>
    <t>https://www.tiktok.com/@tdahcommaisperformance/video/7531442613426081030</t>
  </si>
  <si>
    <t>tdahadulto,tdah,foryoupage,rotina,following,fyp,fypシ,fypシ゚viral,trending,viral,tiktok</t>
  </si>
  <si>
    <t>7569211232180260118</t>
  </si>
  <si>
    <t>tdah_adultos</t>
  </si>
  <si>
    <t>Tdah_adultos</t>
  </si>
  <si>
    <t>https://p16-sign-va.tiktokcdn.com/tos-maliva-avt-0068/1d02d4b8d1eb753399e75ad329376f22~tplv-tiktokx-cropcenter:100:100.jpeg?dr=14579&amp;refresh_token=1b342f59&amp;x-expires=1763172000&amp;x-signature=XLMINQQwSr5JZKEeyoxV%2FymXoqE%3D&amp;t=4d5b0474&amp;ps=13740610&amp;shp=a5d48078&amp;shcp=81f88b70&amp;idc=my</t>
  </si>
  <si>
    <t>https://p77-sign-va.tiktokcdn.com/tos-maliva-avt-0068/e7d7b3272d64e29c478b4fcba5cf0b16~tplv-tiktokx-cropcenter:1080:1080.jpeg?dr=14579&amp;refresh_token=a1db429a&amp;x-expires=1764727200&amp;x-signature=UEPCWu5NIQTxNN%2BnPXXM70ulsYM%3D&amp;t=4d5b0474&amp;ps=13740610&amp;shp=a5d48078&amp;shcp=81f88b70&amp;idc=my</t>
  </si>
  <si>
    <t>#ansiedad #depresion #saludmental #psicologia #tdah</t>
  </si>
  <si>
    <t xml:space="preserve">Cuánto daño tuvieron que hacerle a la autora de este LIBRO para que escribiera algo así 🥺
 LLORÉ MIL LÁGRIMAS LEYENDO ESTE LIBRO, PERO VALIÓ LA PENA 🥹
</t>
  </si>
  <si>
    <t>7264753907066505989</t>
  </si>
  <si>
    <t>https://v16-webapp-prime.tiktok.com/video/tos/useast2a/tos-useast2a-v-27dcd7/o4CuEkKsazBzlcAQAMfFgEyADKboKA7aETNSRh/?a=1988&amp;bti=ODszNWYuMDE6&amp;ch=0&amp;cr=0&amp;dr=0&amp;er=0&amp;lr=default&amp;cd=0%7C0%7C0%7C0&amp;br=250&amp;bt=125&amp;ds=5&amp;ft=GNDpcInz7ThVY-UPXq8Zmo&amp;mime_type=audio_mpeg&amp;qs=13&amp;rc=M2RnOjg6ZmdzbTMzNzU8M0BpM2RnOjg6ZmdzbTMzNzU8M0Ayai9qcjQwYjVgLS1kMTZzYSMyai9qcjQwYjVgLS1kMTZzcw%3D%3D&amp;btag=e00048000&amp;expire=1763004452&amp;l=202511131026378F10DAFBB0AF239B249B&amp;ply_type=3&amp;policy=3&amp;signature=7c6b96187908c3e9a9d4a63e90c6fc6f&amp;tk=7571587458748974088</t>
  </si>
  <si>
    <t>https://v16-webapp-prime.tiktok.com/video/tos/maliva/tos-maliva-ve-0068c801-us/o4bhQkGJ5BBefDaIQUy3CFAgk8MQ9jTznERmDv/?a=1988&amp;bti=ODszNWYuMDE6&amp;ch=0&amp;cr=3&amp;dr=0&amp;lr=all&amp;cd=0%7C0%7C0%7C&amp;cv=1&amp;br=2234&amp;bt=1117&amp;cs=0&amp;ds=3&amp;ft=I~da4oKyD12NvU3WS.IxR-1NWlBF-UjNSCopiX&amp;mime_type=video_mp4&amp;qs=0&amp;rc=ZTQ2O2lkMzU4NDNkOTo7OEBpMzd5OTQ6ZjQ3aTMzNzczM0A2MjAtYl4zNl8xYmMtLS1gYSNhMmNjcjRnM2dgLS1kMTZzcw%3D%3D&amp;btag=e00088000&amp;expire=1764728784&amp;l=202512011025416316FEEDE598E9627C72&amp;ply_type=2&amp;policy=2&amp;signature=2186444de68e08e81fd7dfffc8931d68&amp;tk=tt_chain_token</t>
  </si>
  <si>
    <t>https://p16-sign-va.tiktokcdn.com/tos-maliva-avt-0068/eb1b80d0619d293dac344b247b343d49~tplv-tiktokx-cropcenter:1080:1080.jpeg?dr=14579&amp;refresh_token=bfa82826&amp;x-expires=1763172000&amp;x-signature=XHma%2BVW%2F%2FKxG7NmLmYjnvh0qnCY%3D&amp;t=4d5b0474&amp;ps=13740610&amp;shp=a5d48078&amp;shcp=81f88b70&amp;idc=my</t>
  </si>
  <si>
    <t>https://www.tiktok.com/@neurotonico/video/7198515572911443206</t>
  </si>
  <si>
    <t>tdah,tdahinfantil,tdahadulto,intensidade,intenso,intensidadetdah,transtorno,tratamento,diagnostico</t>
  </si>
  <si>
    <t>Kevz (Kevin Vásquez)</t>
  </si>
  <si>
    <t>https://v16-webapp-prime.tiktok.com/video/tos/no1a/tos-no1a-ve-0068-no/okzgE4Ij1IBn34GfLBALBFZuIePsSxIDSQrfLA/?a=1988&amp;bti=ODszNWYuMDE6&amp;ch=0&amp;cr=3&amp;dr=0&amp;lr=all&amp;cd=0%7C0%7C0%7C&amp;cv=1&amp;br=2438&amp;bt=1219&amp;cs=0&amp;ds=3&amp;ft=-Csk_mrMPD12NY_opd-Uxz42hY6e3wv25ycAp&amp;mime_type=video_mp4&amp;qs=0&amp;rc=ZjZnMzw5M2ZkZzlnZzM8aUBpMzRzdHk5cnhtNzMzbzczNUA0YmNiNi1iXy0xYl9iY2NiYSNwcl5xMmQ0bjJhLS1kMTFzcw%3D%3D&amp;btag=e000b0000&amp;expire=1763173610&amp;l=202511131026378F10DAFBB0AF239B249B&amp;ply_type=2&amp;policy=2&amp;signature=eb04d117bd5744836de4d0eae69d9ca7&amp;tk=tt_chain_token</t>
  </si>
  <si>
    <t>https://v16-webapp-prime.tiktok.com/video/tos/useast2a/tos-useast2a-v-27dcd7/oE4ijKA3EREkC8AkSvyqXEeX0JAvkBLbSAioBg/?a=1988&amp;bti=ODszNWYuMDE6&amp;ch=0&amp;cr=0&amp;dr=0&amp;er=0&amp;lr=default&amp;cd=0%7C0%7C0%7C0&amp;br=250&amp;bt=125&amp;ds=5&amp;ft=GNDpcInz7ThjFKvPXq8Zmo&amp;mime_type=audio_mpeg&amp;qs=13&amp;rc=anJ5PGw5cjd1NTMzNzU8M0BpanJ5PGw5cjd1NTMzNzU8M0BlYy9pMmRrbV9hLS1kMTZzYSNlYy9pMmRrbV9hLS1kMTZzcw%3D%3D&amp;btag=e00050000&amp;expire=1764559381&amp;l=2025120110215532A809179141715F3748&amp;ply_type=3&amp;policy=3&amp;signature=5d2b3379d1ba384b3a90dc1e51f93f0e&amp;tk=7571587458748974088</t>
  </si>
  <si>
    <t>https://www.tiktok.com/@tdah_adultos/video/7569211232180260118</t>
  </si>
  <si>
    <t>ansiedad,depresion,saludmental,psicologia,tdah</t>
  </si>
  <si>
    <t>7572002848922160391</t>
  </si>
  <si>
    <t>diagnosticotdah</t>
  </si>
  <si>
    <t>https://p16-sign-sg.tiktokcdn.com/tos-alisg-avt-0068/ec79388a1781d72af549fa1e9628e4db~tplv-tiktokx-cropcenter:100:100.jpeg?dr=14579&amp;refresh_token=4364bd8a&amp;x-expires=1763172000&amp;x-signature=1yR5bqZw2vSJ3RzrfNnjJDUxIL0%3D&amp;t=4d5b0474&amp;ps=13740610&amp;shp=a5d48078&amp;shcp=81f88b70&amp;idc=my</t>
  </si>
  <si>
    <t>https://v16-webapp-prime.tiktok.com/video/tos/useast2a/tos-useast2a-pve-0068/okXslQJDoBv5Ux7FEFx72AIfEBsXfl6QhREPaP/?a=1988&amp;bti=ODszNWYuMDE6&amp;ch=0&amp;cr=3&amp;dr=0&amp;lr=all&amp;cd=0%7C0%7C0%7C&amp;cv=1&amp;br=1432&amp;bt=716&amp;cs=0&amp;ds=6&amp;ft=-Csk_mrMPD12NSBh5d-Uxs12aY6e3wv252cAp&amp;mime_type=video_mp4&amp;qs=4&amp;rc=ZTtlOjM3ZmVnZjg5ODg4O0Bpam5tcnY5cjZ1NTMzNzczM0BeYC4wYjNiXmIxNTIyYy1eYSNfamFzMmRzal9hLS1kMTZzcw%3D%3D&amp;btag=e00090000&amp;expire=1764728581&amp;l=2025120110215532A809179141715F3748&amp;ply_type=2&amp;policy=2&amp;signature=ad4f941cfd6e804aa47a1a3695be82d2&amp;tk=tt_chain_token</t>
  </si>
  <si>
    <t>‼️O DIAGNÓSTICO É DADO MÉDICO PSIQUIATRA. ESTE É APENAS UM VÍDEO DE ENTRETENIMENTO‼️ #tdah #tdahadulto #terapia</t>
  </si>
  <si>
    <t>Eu não sou
antissocial Eu tenho
TDAH Minha bateria social
é mais curta mesmo
EU NÃO SOU ANTISSOCIAL</t>
  </si>
  <si>
    <t>What's Up?</t>
  </si>
  <si>
    <t>6753897192127203330</t>
  </si>
  <si>
    <t>https://sf16-ies-music-sg.tiktokcdn.com/obj/tos-alisg-ve-2774/oUYj0AM7GOBjwwBBIbXWAgGkzoiwsckiC12gfg</t>
  </si>
  <si>
    <t>https://p16-sg.tiktokcdn.com/aweme/720x720/tos-alisg-v-2774/o0qAQDFW7QAoOzAAfgaysXQMrgi5M8pCgffRxR.jpeg</t>
  </si>
  <si>
    <t>4 Non Blondes</t>
  </si>
  <si>
    <t>https://webapp-sg.tiktok.com/44f320ae91bc20971958828a3eb19f2e/6917e40a/kmoat/mps/logo/v2/r/p/v14044g50000d4aig3fog65gvhurv9kg/c9341be0d5ef49d7a4135853c6f06089/e61154967b0a755c4341bf379b299eb5/mp4/main.mp4?a=1988&amp;bti=ODszNWYuMDE6&amp;ch=0&amp;cr=3&amp;dr=0&amp;lr=all&amp;cd=0%7C0%7C0%7C&amp;br=0&amp;bt=0&amp;cs=0&amp;ds=3&amp;ft=bLZkAmrMPD12N4Yopd-Ux9T2bY6e3wv25IcAp&amp;mime_type=video_mp4&amp;qs=0&amp;rc=cnF8b2hsc2d3SkBwaHIxaDFybndmPDMzOTY7Njc6PGk4M2U3PEBpajx1a2o5cjZsNzMzODczNEBjRl5Nc3FePmJKYSNvYF90aHFmOiM1M2NgMjIuXmExYmFiLjBgYSNoc3JzMmRjZF5hLS1kMTFzcw%3D%3D&amp;btag=e000b0000&amp;definition=720p&amp;du=9&amp;item_id=7572002848922160391&amp;l=20251113102257F8D01E3BFCE9B2911856&amp;logo_type=tiktok&amp;ply_type=2&amp;policy=eyJ2bSI6MiwiY2siOiJ0dF9jaGFpbl90b2tlbiJ9&amp;user_text=diagnosticotdah</t>
  </si>
  <si>
    <t>https://p77-sign-va.tiktokcdn.com/tos-maliva-avt-0068/431bee7578e519987635a70e5b8f7fb3~tplv-tiktokx-cropcenter:100:100.jpeg?dr=14579&amp;refresh_token=22fe3023&amp;x-expires=1764727200&amp;x-signature=B%2BqycUlboPCsE%2BhHasWfyav%2Ft%2Bo%3D&amp;t=4d5b0474&amp;ps=13740610&amp;shp=a5d48078&amp;shcp=81f88b70&amp;idc=my</t>
  </si>
  <si>
    <t>https://v16-webapp-prime.tiktok.com/video/tos/useast2a/tos-useast2a-v-27dcd7/owTQQSDAAIoAFCCNmJfBJWPjpzveRaUWCEBOKI/?a=1988&amp;bti=ODszNWYuMDE6&amp;ch=0&amp;cr=0&amp;dr=0&amp;er=0&amp;lr=default&amp;cd=0%7C0%7C0%7C0&amp;br=250&amp;bt=125&amp;ds=5&amp;ft=GNDpcInz7ThAzKvPXq8Zmo&amp;mime_type=audio_mpeg&amp;qs=13&amp;rc=anFmbHM5cm10NDMzNzU8M0BpanFmbHM5cm10NDMzNzU8M0BnLy5pMmRzMzFhLS1kMTZzYSNnLy5pMmRzMzFhLS1kMTZzcw%3D%3D&amp;btag=e00050000&amp;expire=1764559372&amp;l=202512011021380CC83080A64AA152B5B8&amp;ply_type=3&amp;policy=3&amp;signature=58f845f64c59efd26c090d1dfb865982&amp;tk=7571587458748974088</t>
  </si>
  <si>
    <t>https://www.tiktok.com/@diagnosticotdah/video/7572002848922160391</t>
  </si>
  <si>
    <t>tdah,tdahadulto,terapia</t>
  </si>
  <si>
    <t>https://v16-webapp-prime.tiktok.com/video/tos/useast2a/tos-useast2a-ve-0068c003/oYIihUExEijtQnSFAuQmwUXJxrBDXIHaJEBPJ/?a=1988&amp;bti=ODszNWYuMDE6&amp;ch=0&amp;cr=3&amp;dr=0&amp;lr=all&amp;cd=0%7C0%7C0%7C&amp;cv=1&amp;br=2002&amp;bt=1001&amp;cs=0&amp;ds=3&amp;ft=-Csk_mrMPD12NaDh5d-Uxq42hY6e3wv25IcAp&amp;mime_type=video_mp4&amp;qs=0&amp;rc=ZmY0NGVnZjxlOWVlNGg0O0BpajszOGs5cmd0NDMzNzczM0AtMDZgMTA1NjUxNjA2LWNfYSNnZnJeMmQ0MDFhLS1kMTZzcw%3D%3D&amp;btag=e00090000&amp;expire=1764728572&amp;l=202512011021380CC83080A64AA152B5B8&amp;ply_type=2&amp;policy=2&amp;signature=84f15329020625ddce60939d6b5d0b7a&amp;tk=tt_chain_token</t>
  </si>
  <si>
    <t>https://v16-webapp-prime.tiktok.com/video/tos/useast2a/tos-useast2a-v-27dcd7/ocqPDfvKUETJIoS3FAoQFBteItJkCAj4BBpARc/?a=1988&amp;bti=ODszNWYuMDE6&amp;ch=0&amp;cr=0&amp;dr=0&amp;er=0&amp;lr=default&amp;cd=0%7C0%7C0%7C0&amp;br=250&amp;bt=125&amp;ds=5&amp;ft=GNDpcInz7ThcFKvPXq8Zmo&amp;mime_type=audio_mpeg&amp;qs=13&amp;rc=M3U2Z3E5cjU3MzMzNzU8M0BpM3U2Z3E5cjU3MzMzNzU8M0ByMGllMmRraXNhLS1kMTZzYSNyMGllMmRraXNhLS1kMTZzcw%3D%3D&amp;btag=e00050000&amp;expire=1764559392&amp;l=2025120110220384643B3986DED954E961&amp;ply_type=3&amp;policy=3&amp;signature=5cc0138e749b0b7f7915ecf289f9a315&amp;tk=7571587458748974088</t>
  </si>
  <si>
    <t>https://v16-webapp-prime.tiktok.com/video/tos/useast2a/tos-useast2a-ve-0068c004/oI4gJIRHeJgAwU1SviIaELfRGFtG1AKklQeBae/?a=1988&amp;bti=ODszNWYuMDE6&amp;ch=0&amp;cr=3&amp;dr=0&amp;lr=all&amp;cd=0%7C0%7C0%7C&amp;cv=1&amp;br=2122&amp;bt=1061&amp;cs=0&amp;ds=3&amp;ft=I~da4oKyD12NvaMWS.IxRYjNWlBF-UjNSkopiX&amp;mime_type=video_mp4&amp;qs=0&amp;rc=aWk0ZWQ0NDk8Mzg3NDU7O0BpM2k4cGw5cmo3MzMzNzczM0A0YTJfMGMxXjAxNWIyYDIuYSNgYXNiMmRzZnNhLS1kMTZzcw%3D%3D&amp;btag=e00090000&amp;expire=1764728592&amp;l=2025120110220384643B3986DED954E961&amp;ply_type=2&amp;policy=2&amp;signature=7a52c25075e808e3a08f236b925895ad&amp;tk=tt_chain_token</t>
  </si>
  <si>
    <t>7444535173762338103</t>
  </si>
  <si>
    <t>https://p77-sign-va.tiktokcdn.com/tos-maliva-avt-0068/83128de402d81c535812dcbf27bbe6fc~tplv-tiktokx-cropcenter:100:100.jpeg?dr=14579&amp;refresh_token=f06c1771&amp;x-expires=1764727200&amp;x-signature=woIN6CaMKaluvAbOvHseCvA7nSw%3D&amp;t=4d5b0474&amp;ps=13740610&amp;shp=a5d48078&amp;shcp=81f88b70&amp;idc=my</t>
  </si>
  <si>
    <t xml:space="preserve">O autista nível 1 de suporte também sofre, e muitas vezes sofre calado . #autismo #autismoftiktok #autismoinfantil #autismoftiktok #autismoinfantil #tdah #autismawareness #autismawarenessmonth #autismawareness </t>
  </si>
  <si>
    <t>Qual idade recebeu 
seu diagnóstico???</t>
  </si>
  <si>
    <t>7444535183216036663</t>
  </si>
  <si>
    <t>https://v16-webapp-prime.tiktok.com/video/tos/useast2a/tos-useast2a-v-27dcd7/oMZFEzFUQ1xJCIErnAICPMFeUdBgJEfmBuAQDA/?a=1988&amp;bti=ODszNWYuMDE6&amp;ch=0&amp;cr=0&amp;dr=0&amp;er=0&amp;lr=default&amp;cd=0%7C0%7C0%7C0&amp;br=250&amp;bt=125&amp;ds=5&amp;ft=GNDpcInz7ThvgKvPXq8Zmo&amp;mime_type=audio_mpeg&amp;qs=13&amp;rc=M3E7c3I5cnA3dzMzNzU8M0BpM3E7c3I5cnA3dzMzNzU8M0AxcXBwMmRjbjVgLS1kMTZzYSMxcXBwMmRjbjVgLS1kMTZzcw%3D%3D&amp;btag=e00050000&amp;expire=1764559479&amp;l=2025120110230575DD81155F998AEAA641&amp;ply_type=3&amp;policy=3&amp;signature=0c1007795546d482b1c305cc277d0228&amp;tk=7571587458748974088</t>
  </si>
  <si>
    <t>https://p16-sign-va.tiktokcdn.com/tos-maliva-avt-0068/83128de402d81c535812dcbf27bbe6fc~tplv-tiktokx-cropcenter:1080:1080.jpeg?dr=14579&amp;refresh_token=3613e7a8&amp;x-expires=1764727200&amp;x-signature=oPy%2FBGeSWfVn9HAFdVhviS8w%2FKM%3D&amp;t=4d5b0474&amp;ps=13740610&amp;shp=a5d48078&amp;shcp=81f88b70&amp;idc=my</t>
  </si>
  <si>
    <t>https://v16-webapp-prime.tiktok.com/video/tos/useast2a/tos-useast2a-ve-0068c002/ooQgIgBmRm9UANDn5F6fflnQwy7EBEQQJRExBC/?a=1988&amp;bti=ODszNWYuMDE6&amp;ch=0&amp;cr=3&amp;dr=0&amp;lr=all&amp;cd=0%7C0%7C0%7C&amp;cv=1&amp;br=1432&amp;bt=716&amp;cs=0&amp;ds=3&amp;ft=-Csk_mrMPD12N5Zh5d-Ux3t2SY6e3wv25HcAp&amp;mime_type=video_mp4&amp;qs=0&amp;rc=Z2k5PDZpOGRmNmc1O2k2NUBpM2x0ZHc5cjM3dzMzNzczM0A2Yi5hY19iXjIxYTMyXmJgYSNwZTByMmRjbTVgLS1kMTZzcw%3D%3D&amp;btag=e00090000&amp;expire=1764728679&amp;l=2025120110230575DD81155F998AEAA641&amp;ply_type=2&amp;policy=2&amp;signature=aded87e8325ee07e16c4c4d34a53bb29&amp;tk=tt_chain_token</t>
  </si>
  <si>
    <t>https://www.tiktok.com/@eu_autista/video/7444535173762338103</t>
  </si>
  <si>
    <t>autismo,autismoftiktok,autismoinfantil,autismoftiktok,autismoinfantil,tdah,autismawareness,autismawarenessmonth,autismawareness</t>
  </si>
  <si>
    <t>autismo,autismoftiktok,autismoinfantil,tdah,autismawareness,autismawarenessmonth</t>
  </si>
  <si>
    <t>https://p16-sign-va.tiktokcdn.com/tos-maliva-avt-0068/c4ddbb322ecc8a7326a8b416b0b1fbd7~tplv-tiktokx-cropcenter:100:100.jpeg?dr=14579&amp;refresh_token=48e48259&amp;x-expires=1764727200&amp;x-signature=TC1fNtu3SzVg85wp6AXg%2F8GiZ8I%3D&amp;t=4d5b0474&amp;ps=13740610&amp;shp=a5d48078&amp;shcp=81f88b70&amp;idc=my</t>
  </si>
  <si>
    <t>https://v16-webapp-prime.tiktok.com/video/tos/useast2a/tos-useast2a-v-27dcd7/oIMBERPoEGI2fgAARVVCeL4f8CSKbEALTqoAWA/?a=1988&amp;bti=ODszNWYuMDE6&amp;ch=0&amp;cr=0&amp;dr=0&amp;er=0&amp;lr=default&amp;cd=0%7C0%7C0%7C0&amp;br=250&amp;bt=125&amp;ds=5&amp;ft=GNDpcInz7ThuPKvPXq8Zmo&amp;mime_type=audio_mpeg&amp;qs=13&amp;rc=amk0cnk5cjZvczMzNzU8M0Bpamk0cnk5cjZvczMzNzU8M0A1ci1mMmRjYzVgLS1kMTZzYSM1ci1mMmRjYzVgLS1kMTZzcw%3D%3D&amp;btag=e00078000&amp;expire=1764559265&amp;l=20251201102046E8B89E886773854715A1&amp;ply_type=3&amp;policy=3&amp;signature=3bc481c7ddee7b4a9ecd134952805d91&amp;tk=7571587458748974088</t>
  </si>
  <si>
    <t>https://p16-sign-sg.tiktokcdn.com/tos-alisg-avt-0068/2f66c95536f2e768e547d169d6d36ba4~tplv-tiktokx-cropcenter:1080:1080.jpeg?dr=14579&amp;refresh_token=9418c805&amp;x-expires=1764727200&amp;x-signature=%2F5flqi%2FEZLZjrEHvOoFTFFrQnx0%3D&amp;t=4d5b0474&amp;ps=13740610&amp;shp=a5d48078&amp;shcp=81f88b70&amp;idc=my</t>
  </si>
  <si>
    <t>https://v16-webapp-prime.tiktok.com/video/tos/useast2a/tos-useast2a-pve-0068/ognEdqg1MF0sABJ8imxCRrQOYEQAfBXDIVbcde/?a=1988&amp;bti=ODszNWYuMDE6&amp;ch=0&amp;cr=3&amp;dr=0&amp;lr=all&amp;cd=0%7C0%7C0%7C&amp;cv=1&amp;br=1692&amp;bt=846&amp;cs=0&amp;ds=3&amp;ft=I~da4oKyD12Nvb.WS.IxRnTNWlBF-UjNS3opiX&amp;mime_type=video_mp4&amp;qs=0&amp;rc=ZmczOjw5OTg5ZDs1ZTk2OUBpM2U4NnI5cjM6dDMzNzczM0A1NjMuYGAxXy0xYTEyMTA2YSNvaGpnMmRrYGlgLS1kMTZzcw%3D%3D&amp;btag=e00090000&amp;expire=1764728518&amp;l=20251201102046E8B89E886773854715A1&amp;ply_type=2&amp;policy=2&amp;signature=47b21961c58f69913746b7f7195e775f&amp;tk=tt_chain_token</t>
  </si>
  <si>
    <t>https://v16-webapp-prime.tiktok.com/video/tos/useast2a/tos-useast2a-v-27dcd7/o0LrCy2pcBiQzAA7zrAQPpEAil9iZE3vSUDDb/?a=1988&amp;bti=ODszNWYuMDE6&amp;ch=0&amp;cr=0&amp;dr=0&amp;er=0&amp;lr=default&amp;cd=0%7C0%7C0%7C0&amp;br=250&amp;bt=125&amp;ds=5&amp;ft=GNDpcInz7ThcFKvPXq8Zmo&amp;mime_type=audio_mpeg&amp;qs=13&amp;rc=MzxpcHU5cmlneTMzNzU8M0BpMzxpcHU5cmlneTMzNzU8M0BlMnFpMmQ0bTVgLS1kMTZzYSNlMnFpMmQ0bTVgLS1kMTZzcw%3D%3D&amp;btag=e00050000&amp;expire=1764559390&amp;l=2025120110220384643B3986DED954E961&amp;ply_type=3&amp;policy=3&amp;signature=50cb2115e884b033a2deed3ff9476c4b&amp;tk=7571587458748974088</t>
  </si>
  <si>
    <t>https://v16-webapp-prime.tiktok.com/video/tos/useast2a/tos-useast2a-ve-0068c002/o4RjaSPAbL8aBDEhGCgQBoLefiACNgeSIuIDZl/?a=1988&amp;bti=ODszNWYuMDE6&amp;ch=0&amp;cr=3&amp;dr=0&amp;lr=all&amp;cd=0%7C0%7C0%7C&amp;cv=1&amp;br=2094&amp;bt=1047&amp;cs=0&amp;ds=3&amp;ft=I~da4oKyD12NvaMWS.IxRYjNWlBF-UjNSkopiX&amp;mime_type=video_mp4&amp;qs=0&amp;rc=MzllNDhlaGUzM2U4Z2k6N0BpajNnPG45cmpneTMzNzczM0A0MTYwXzU0Nl8xMmMwLV5iYSM1NWZnMmRjajVgLS1kMTZzcw%3D%3D&amp;btag=e00090000&amp;expire=1764728590&amp;l=2025120110220384643B3986DED954E961&amp;ply_type=2&amp;policy=2&amp;signature=307b50dce8f5d5ed9c93fba14c2834b3&amp;tk=tt_chain_token</t>
  </si>
  <si>
    <t>7503334976495062278</t>
  </si>
  <si>
    <t xml:space="preserve">Manda pra sua mãe que te atura todos os dias😂 E sim, pertubar os outros da mais dopamina kkkkkkk Feliz dia das mães❤️❤️❤️ #diadasmaes #maetdah #tdah #tdahadulto #tdahinfantil #tda #maeatipica #psicologia #creatorsearchinsights </t>
  </si>
  <si>
    <t>7503334979616328503</t>
  </si>
  <si>
    <t>https://v16-webapp-prime.tiktok.com/video/tos/useast2a/tos-useast2a-v-27dcd7/okFE3tScgBMEPkOhUQiAomEiEB3MAx5fKAA0AJ/?a=1988&amp;bti=ODszNWYuMDE6&amp;ch=0&amp;cr=0&amp;dr=0&amp;er=0&amp;lr=default&amp;cd=0%7C0%7C0%7C0&amp;br=250&amp;bt=125&amp;ds=5&amp;ft=GNDpcInz7ThszKvPXq8Zmo&amp;mime_type=audio_mpeg&amp;qs=13&amp;rc=M2x2cXE5cnZtMzMzNzU8M0BpM2x2cXE5cnZtMzMzNzU8M0A1cC4vMmRzM2RhLS1kMTZzYSM1cC4vMmRzM2RhLS1kMTZzcw%3D%3D&amp;btag=e00048000&amp;expire=1764559298&amp;l=20251201102055111140D50F38376E882B&amp;ply_type=3&amp;policy=3&amp;signature=8d8054ad7401c4d0bf5c57c81c3679e0&amp;tk=7571587458748974088</t>
  </si>
  <si>
    <t>https://v16-webapp-prime.tiktok.com/video/tos/useast2a/tos-useast2a-ve-0068c001/o0hK4YAuiQzQE44CBUhYa2MiIQSB4O6tPSE8E/?a=1988&amp;bti=ODszNWYuMDE6&amp;ch=0&amp;cr=3&amp;dr=0&amp;lr=all&amp;cd=0%7C0%7C0%7C&amp;cv=1&amp;br=4240&amp;bt=2120&amp;cs=0&amp;ds=3&amp;ft=-Csk_mrMPD12NbDh5d-UxPR2SY6e3wv25IcAp&amp;mime_type=video_mp4&amp;qs=0&amp;rc=OWZoZ2k8aGVnaWc4MzZpOkBpM3BwaHI5cnJtMzMzNzczM0BjLjVgYy9gXzQxLTQyLTReYSNwcTJxMmQ0M2RhLS1kMTZzcw%3D%3D&amp;btag=e00088000&amp;expire=1764728498&amp;l=20251201102055111140D50F38376E882B&amp;ply_type=2&amp;policy=2&amp;signature=175e7ebefeac42172d2d58c7618b0f2c&amp;tk=tt_chain_token</t>
  </si>
  <si>
    <t>https://www.tiktok.com/@mr.tdahzinho/video/7503334976495062278</t>
  </si>
  <si>
    <t>diadasmaes,maetdah,tdah,tdahadulto,tdahinfantil,tda,maeatipica,psicologia,creatorsearchinsights</t>
  </si>
  <si>
    <t>https://p77-sign-va.tiktokcdn.com/tos-maliva-avt-0068/0cb45cf7466f595eb7489f64464112ee~tplv-tiktokx-cropcenter:100:100.jpeg?dr=14579&amp;refresh_token=c7f6828f&amp;x-expires=1764727200&amp;x-signature=NFLBLnj10RL%2FWBK0t17XmQP5KUI%3D&amp;t=4d5b0474&amp;ps=13740610&amp;shp=a5d48078&amp;shcp=81f88b70&amp;idc=my</t>
  </si>
  <si>
    <t>https://v16-webapp-prime.tiktok.com/video/tos/alisg/tos-alisg-ve-37c813-sg/oMEKIJXfXAmQ7OERqeBodgFdgrrDj4QBAOpwKB/?a=1988&amp;bti=ODszNWYuMDE6&amp;ch=0&amp;cr=3&amp;dr=0&amp;lr=all&amp;cd=0%7C0%7C0%7C&amp;cv=1&amp;br=1708&amp;bt=854&amp;cs=0&amp;ds=3&amp;ft=-Csk_mrMPD12N8Dh5d-UxSc2hY6e3wv252cAp&amp;mime_type=video_mp4&amp;qs=0&amp;rc=ZmY0ZWg3OzY6NTdmNWQ2PEBpM21wZm45cnRxMzMzNzczM0BfMF5eLTZfNTQxYTM1MWMwYSM1YmNrMmRrYi9hLS1kMTZzcw%3D%3D&amp;btag=e00088000&amp;expire=1764728547&amp;l=2025120110213521203C48224A5C66F6F4&amp;ply_type=2&amp;policy=2&amp;signature=08547f991ca57d2165a2e0b666f73dff&amp;tk=tt_chain_token</t>
  </si>
  <si>
    <t>https://v16-webapp-prime.tiktok.com/video/tos/useast2a/tos-useast2a-v-27dcd7/ocRPCEVQzEUTAASB0TA1yAviB3FcZlNViTSC3/?a=1988&amp;bti=ODszNWYuMDE6&amp;ch=0&amp;cr=0&amp;dr=0&amp;er=0&amp;lr=default&amp;cd=0%7C0%7C0%7C0&amp;br=250&amp;bt=125&amp;ds=5&amp;ft=GNDpcInz7ThuzKvPXq8Zmo&amp;mime_type=audio_mpeg&amp;qs=13&amp;rc=M21vam45cm9tdzMzNzU8M0BpM21vam45cm9tdzMzNzU8M0BtMWRtMmQ0Xm9gLS1kMTZzYSNtMWRtMmQ0Xm9gLS1kMTZzcw%3D%3D&amp;btag=e00050000&amp;expire=1764559370&amp;l=202512011021508D2E02B19879BA6D89C0&amp;ply_type=3&amp;policy=3&amp;signature=a251bb2331260a7b7babf84668582787&amp;tk=7571587458748974088</t>
  </si>
  <si>
    <t>https://v16-webapp-prime.tiktok.com/video/tos/useast2a/tos-useast2a-pve-0068/oA0HCcoAUcEB3BQmJGzkjEi4SZia3V37IN0Qv/?a=1988&amp;bti=ODszNWYuMDE6&amp;ch=0&amp;cr=3&amp;dr=0&amp;lr=all&amp;cd=0%7C0%7C0%7C&amp;cv=1&amp;br=1870&amp;bt=935&amp;cs=0&amp;ds=3&amp;ft=-Csk_mrMPD12NGDh5d-UxSc2hY6e3wv25DcAp&amp;mime_type=video_mp4&amp;qs=0&amp;rc=ZTRpOGk3NDo3PDpoNWU1N0Bpajd3OHI5cjttdzMzNzczM0BhMDA2LTVjNjMxXy5eYjIzYSMwbWJuMmRrNG9gLS1kMTZzcw%3D%3D&amp;btag=e00090000&amp;expire=1764728570&amp;l=202512011021508D2E02B19879BA6D89C0&amp;ply_type=2&amp;policy=2&amp;signature=f8a8b3bf8921cef04c6f86909f54d8ce&amp;tk=tt_chain_token</t>
  </si>
  <si>
    <t>https://v16-webapp-prime.tiktok.com/video/tos/useast2a/tos-useast2a-v-27dcd7/727fecb6e5634484afc7d5298bff60f1/?a=1988&amp;bti=ODszNWYuMDE6&amp;ch=0&amp;cr=0&amp;dr=0&amp;er=0&amp;lr=default&amp;cd=0%7C0%7C0%7C0&amp;br=252&amp;bt=126&amp;ds=5&amp;ft=GNDpcInz7ThGPKvPXq8Zmo&amp;mime_type=video_mp4&amp;qs=13&amp;rc=M3k5bTs6ZmlkZDMzNzU8M0BpM3k5bTs6ZmlkZDMzNzU8M0BqNi5ocjRfZV9gLS1kMTZzYSNqNi5ocjRfZV9gLS1kMTZzcw%3D%3D&amp;btag=e00050000&amp;expire=1764559315&amp;l=202512011020239FD63C9B4E4C976A9E36&amp;ply_type=3&amp;policy=3&amp;signature=afef6fa6f52f63ed532924d609015643&amp;tk=7571587458748974088</t>
  </si>
  <si>
    <t>https://v16-webapp-prime.tiktok.com/video/tos/useast2a/tos-useast2a-ve-0068c004/91827cfd73944e8681a6e3e38c27a0ad/?a=1988&amp;bti=ODszNWYuMDE6&amp;ch=0&amp;cr=3&amp;dr=0&amp;lr=all&amp;cd=0%7C0%7C0%7C&amp;cv=1&amp;br=1192&amp;bt=596&amp;cs=0&amp;ds=2&amp;ft=I~da4oKyD12Nvz.WS.IxRjkNWlBF-UjNSRopiX&amp;mime_type=video_mp4&amp;qs=0&amp;rc=OmRkOTw6PDU3MzgzM2hnNkBpM3U2Ozc6ZjhkZDMzNzczM0AwLTFiNTFfNmAxYmFfM2FhYSNkby0ucjRvZV9gLS1kMTZzcw%3D%3D&amp;btag=e00090000&amp;expire=1764728515&amp;l=202512011020239FD63C9B4E4C976A9E36&amp;ply_type=2&amp;policy=2&amp;signature=3c6894fd5fd0f131bf1cd0db8b75199a&amp;tk=tt_chain_token</t>
  </si>
  <si>
    <t>7501355204000943415</t>
  </si>
  <si>
    <t>“Eles não precisam de rótulos. Precisam de apoio. 💛 Comece hoje. Baixe o e-book com estratégias práticas para transformar o dia a dia do seu filho com TDAH. 🔗 Link na Bio! #tdahinfantil  #inclusaoescolar  #maesreais #ebooktdah  #vidademae  #neurodivergente  #viralvideos #viralditiktok  #creatorsearchinsights</t>
  </si>
  <si>
    <t>7501355211160963845</t>
  </si>
  <si>
    <t>https://v16-webapp-prime.tiktok.com/video/tos/useast2a/tos-useast2a-v-27dcd7/oYsRt6olLivwJm00BzO6MKIafVKMQAgkAB0EDi/?a=1988&amp;bti=ODszNWYuMDE6&amp;ch=0&amp;cr=0&amp;dr=0&amp;er=0&amp;lr=default&amp;cd=0%7C0%7C0%7C0&amp;br=250&amp;bt=125&amp;ft=GNDpcInz7ThAzKvPXq8Zmo&amp;mime_type=audio_mpeg&amp;qs=6&amp;rc=NGg2OTczZjo3aDs7ZTw2NUBpajNpd245cnA1MzMzNzU8M0AwNC81YDReNjExNjIwMC1hYSNtaC4xMmRjaWFhLS1kMTZzcw%3D%3D&amp;btag=e00090000&amp;expire=1764559357&amp;l=202512011021380CC83080A64AA152B5B8&amp;ply_type=3&amp;policy=3&amp;signature=ec044781e2655f73b98d3f6bd2ccc185&amp;tk=7571587458748974088</t>
  </si>
  <si>
    <t>https://v16-webapp-prime.tiktok.com/video/tos/useast2a/tos-useast2a-pve-0068/o4CiQf8zBgM0il3CKaiKRAIuDAkE35ko1WIcUA/?a=1988&amp;bti=ODszNWYuMDE6&amp;ch=0&amp;cr=3&amp;dr=0&amp;lr=all&amp;cd=0%7C0%7C0%7C&amp;cv=1&amp;br=706&amp;bt=353&amp;cs=0&amp;ds=6&amp;ft=-Csk_mrMPD12NaDh5d-Uxq42hY6e3wv25IcAp&amp;mime_type=video_mp4&amp;qs=5&amp;rc=Nzg2ZzVlNjhlZzk1OzppZEBpanZ4dm85cjg1MzMzNzczM0AyYF8xMzAvNV4xNjYwLS5jYSNwNnJvMmRjaGFhLS1kMTZzcw%3D%3D&amp;btag=e00090000&amp;expire=1764728557&amp;l=202512011021380CC83080A64AA152B5B8&amp;ply_type=2&amp;policy=2&amp;signature=d50f9b366ca3327411e725bf56599aac&amp;tk=tt_chain_token</t>
  </si>
  <si>
    <t>https://www.tiktok.com/@.mundotdah/video/7501355204000943415</t>
  </si>
  <si>
    <t>tdahinfantil,inclusaoescolar,maesreais,ebooktdah,vidademae,neurodivergente,viralvideos,viralditiktok,creatorsearchinsights</t>
  </si>
  <si>
    <t>https://v16-webapp-prime.tiktok.com/video/tos/useast2a/tos-useast2a-v-27dcd7/o8hbP9IAIQSLMIXvE6MYlQefAfG0KJAIGAfexg/?a=1988&amp;bti=ODszNWYuMDE6&amp;ch=0&amp;cr=0&amp;dr=0&amp;er=0&amp;lr=default&amp;cd=0%7C0%7C0%7C0&amp;br=250&amp;bt=125&amp;ds=5&amp;ft=GNDpcInz7Th6zKvPXq8Zmo&amp;mime_type=audio_mpeg&amp;qs=13&amp;rc=M2ZwOnM5cnk4eDMzNzU8M0BpM2ZwOnM5cnk4eDMzNzU8M0AwM3FiMmRrczVgLS1kMTZzYSMwM3FiMmRrczVgLS1kMTZzcw%3D%3D&amp;btag=e00050000&amp;expire=1764559369&amp;l=202512011021446E702D323C03BE6BD085&amp;ply_type=3&amp;policy=3&amp;signature=a0eaf3ff5db78330abcbc9d9c4939d0e&amp;tk=7571587458748974088</t>
  </si>
  <si>
    <t>https://v16-webapp-prime.tiktok.com/video/tos/useast2a/tos-useast2a-ve-0068c004/ogQSgIDQIEPDFSHm1SfCjbe0GeqxYHIsAECdXI/?a=1988&amp;bti=ODszNWYuMDE6&amp;ch=0&amp;cr=3&amp;dr=0&amp;lr=all&amp;cd=0%7C0%7C0%7C&amp;cv=1&amp;br=800&amp;bt=400&amp;cs=0&amp;ds=6&amp;ft=-Csk_mrMPD12NVDh5d-UxIS5hY6e3wv25ocAp&amp;mime_type=video_mp4&amp;qs=5&amp;rc=PDM3ZmVnZjo8OmRmOzozZkBpamRqbng5cnE2eDMzNzczM0BgMDQxMF4zNmExLjQzNi9fYSNiY2lhMmRrbTVgLS1kMTZzcw%3D%3D&amp;btag=e00090000&amp;expire=1764728569&amp;l=202512011021446E702D323C03BE6BD085&amp;ply_type=2&amp;policy=2&amp;signature=65d7525d4ad9d8a601ea2878307e8143&amp;tk=tt_chain_token</t>
  </si>
  <si>
    <t>https://p77-sign-va.tiktokcdn.com/tos-maliva-avt-0068/442572ca019bbe9a4d50d8e7525339d6~tplv-tiktokx-cropcenter:100:100.jpeg?dr=14579&amp;refresh_token=d1ff0bc3&amp;x-expires=1764727200&amp;x-signature=UcMB%2FD%2BZHdDf8qJj4sUuhciuilE%3D&amp;t=4d5b0474&amp;ps=13740610&amp;shp=a5d48078&amp;shcp=81f88b70&amp;idc=my</t>
  </si>
  <si>
    <t>https://v16-webapp-prime.tiktok.com/video/tos/useast2a/tos-useast2a-v-27dcd7/o8DEKALVhfBDOYAoEEFzkpQ3U9hAIGyCUgKtAF/?a=1988&amp;bti=ODszNWYuMDE6&amp;ch=0&amp;cr=0&amp;dr=0&amp;er=0&amp;lr=default&amp;cd=0%7C0%7C0%7C0&amp;br=250&amp;bt=125&amp;ds=5&amp;ft=GNDpcInz7ThGPKvPXq8Zmo&amp;mime_type=audio_mpeg&amp;qs=13&amp;rc=anc2bDk6Zm47bTMzNzU8M0Bpanc2bDk6Zm47bTMzNzU8M0BeY2YucjRvNS5gLS1kMTZzYSNeY2YucjRvNS5gLS1kMTZzcw%3D%3D&amp;btag=e00070000&amp;expire=1764559234&amp;l=202512011020239FD63C9B4E4C976A9E36&amp;ply_type=3&amp;policy=3&amp;signature=0b95aae1a60cdd08240199455fefeb72&amp;tk=7571587458748974088</t>
  </si>
  <si>
    <t>https://p16-sign-va.tiktokcdn.com/tos-maliva-avt-0068/442572ca019bbe9a4d50d8e7525339d6~tplv-tiktokx-cropcenter:1080:1080.jpeg?dr=14579&amp;refresh_token=23c12038&amp;x-expires=1764727200&amp;x-signature=DdgPHLTkiXMu5djlVXLfGtkOKrw%3D&amp;t=4d5b0474&amp;ps=13740610&amp;shp=a5d48078&amp;shcp=81f88b70&amp;idc=my</t>
  </si>
  <si>
    <t>https://v16-webapp-prime.tiktok.com/video/tos/maliva/tos-maliva-ve-0068c801-us/oIPMwOzmIfAIEwAYbChkXoCFgNUptIwCybd7og/?a=1988&amp;bti=ODszNWYuMDE6&amp;ch=0&amp;cr=3&amp;dr=0&amp;lr=all&amp;cd=0%7C0%7C0%7C&amp;br=212&amp;bt=106&amp;cs=0&amp;ds=3&amp;ft=I~da4oKyD12Nvz.WS.IxRjkNWlBF-UjNSRopiX&amp;mime_type=video_mp4&amp;qs=0&amp;rc=Njs6NDdnMzRpOmVkZDo7ZkBpajMzcGc6Zm07bTMzNzczM0BeMWMuNjAwNjIxNDIxNGBfYSNhbXI0cjRfNS5gLS1kMTZzcw%3D%3D&amp;btag=e000b0000&amp;expire=1764728434&amp;l=202512011020239FD63C9B4E4C976A9E36&amp;ply_type=2&amp;policy=2&amp;signature=1031cc7b756640a8687afb4cdac4df9e&amp;tk=tt_chain_token</t>
  </si>
  <si>
    <t>7299107856412986629</t>
  </si>
  <si>
    <t>https://p16-sign-va.tiktokcdn.com/tos-maliva-avt-0068/e59283bc7cddea9e513758e2827eb4b6~tplv-tiktokx-cropcenter:100:100.jpeg?dr=14579&amp;refresh_token=f439b687&amp;x-expires=1764727200&amp;x-signature=5JIbrQEj0dDWlYVk%2BtPrt4vjDF0%3D&amp;t=4d5b0474&amp;ps=13740610&amp;shp=a5d48078&amp;shcp=81f88b70&amp;idc=my</t>
  </si>
  <si>
    <t>SINTOMAS TDAH EM ADULTOS #saudemental #tdah #empatia #tdahadulto🧡 #borderline #tod #tea #tea #autism</t>
  </si>
  <si>
    <t>7299107897356094213</t>
  </si>
  <si>
    <t>https://v16-webapp-prime.tiktok.com/video/tos/useast2a/tos-useast2a-v-27dcd7/ogfXJlAkSCWEURcABCIAosPf48jQDFIDA2JBg6/?a=1988&amp;bti=ODszNWYuMDE6&amp;ch=0&amp;cr=0&amp;dr=0&amp;er=0&amp;lr=default&amp;cd=0%7C0%7C0%7C0&amp;br=250&amp;bt=125&amp;ds=5&amp;ft=GNDpcInz7ThAzKvPXq8Zmo&amp;mime_type=audio_mpeg&amp;qs=13&amp;rc=M25zNXA5cnh0bzMzNzU8M0BpM25zNXA5cnh0bzMzNzU8M0A1am82MmQ0NDJgLS1kMTZzYSM1am82MmQ0NDJgLS1kMTZzcw%3D%3D&amp;btag=e00050000&amp;expire=1764559446&amp;l=202512011021380CC83080A64AA152B5B8&amp;ply_type=3&amp;policy=3&amp;signature=bdbff55e35d2cef8f1678c5ab8941608&amp;tk=7571587458748974088</t>
  </si>
  <si>
    <t>https://p77-sign-va.tiktokcdn.com/tos-maliva-avt-0068/e59283bc7cddea9e513758e2827eb4b6~tplv-tiktokx-cropcenter:1080:1080.jpeg?dr=14579&amp;refresh_token=2805eac0&amp;x-expires=1764727200&amp;x-signature=6X4Mpph%2FtYm%2BxcKplxBuplD%2BdEw%3D&amp;t=4d5b0474&amp;ps=13740610&amp;shp=a5d48078&amp;shcp=81f88b70&amp;idc=my</t>
  </si>
  <si>
    <t>https://v16-webapp-prime.tiktok.com/video/tos/useast2a/tos-useast2a-pve-0068/oMAyApxpZidCdCdQIyiB5AfnErjJoH4rgkLm2I/?a=1988&amp;bti=ODszNWYuMDE6&amp;ch=0&amp;cr=3&amp;dr=0&amp;lr=all&amp;cd=0%7C0%7C0%7C&amp;cv=1&amp;br=296&amp;bt=148&amp;cs=0&amp;ds=6&amp;ft=-Csk_mrMPD12NaDh5d-Uxq42hY6e3wv25IcAp&amp;mime_type=video_mp4&amp;qs=5&amp;rc=OzU4Ozs1ZTwzNWk3aTQ8O0Bpams2dHM5cm10bzMzNzczM0AyMGAtNF4vXjUxXzQ1M2M2YSNnYXNiMmRjNDJgLS1kMTZzcw%3D%3D&amp;btag=e00090000&amp;expire=1764728646&amp;l=202512011021380CC83080A64AA152B5B8&amp;ply_type=2&amp;policy=2&amp;signature=7a627fb7c621cc09893d54889d7b0c43&amp;tk=tt_chain_token</t>
  </si>
  <si>
    <t>https://www.tiktok.com/@tdahvibe/video/7299107856412986629</t>
  </si>
  <si>
    <t>saudemental,tdah,empatia,tdahadulto🧡,borderline,tod,tea,tea,autism</t>
  </si>
  <si>
    <t>saudemental,tdah,empatia,tdahadulto🧡,borderline,tod,tea,autism</t>
  </si>
  <si>
    <t>7140243937662471429</t>
  </si>
  <si>
    <t>andreafariaterapeuta</t>
  </si>
  <si>
    <t>Andréa Faria Terapeuta</t>
  </si>
  <si>
    <t>https://p77-sign-va.tiktokcdn.com/tos-maliva-avt-0068/dd90b452eac1183b6f88e30decb0271d~tplv-tiktokx-cropcenter:100:100.jpeg?dr=14579&amp;refresh_token=ef1d606b&amp;x-expires=1764727200&amp;x-signature=qDZtCQps4xuNCmiCzX8244xjtfA%3D&amp;t=4d5b0474&amp;ps=13740610&amp;shp=a5d48078&amp;shcp=81f88b70&amp;idc=my</t>
  </si>
  <si>
    <t>Mais uma vez os clientes quse ficam sem cha (nao foi a primeira  vez) tadinha gente #terapeutaquantica #tdah #terapeutavibracional #tdahadulto #tdahadulto🧡 #fyp #foryoupage #foryou #foco #faltadefoco</t>
  </si>
  <si>
    <t>TDAH real</t>
  </si>
  <si>
    <t>7140243941948967686</t>
  </si>
  <si>
    <t>https://v16-webapp-prime.tiktok.com/video/tos/useast2a/tos-useast2a-v-27dcd7/73a8a7e9b3034556b831a51262db1267/?a=1988&amp;bti=ODszNWYuMDE6&amp;ch=0&amp;cr=0&amp;dr=0&amp;er=0&amp;lr=default&amp;cd=0%7C0%7C0%7C0&amp;br=220&amp;bt=110&amp;ds=5&amp;ft=GNDpcInz7ThUPKvPXq8Zmo&amp;mime_type=video_mp4&amp;qs=13&amp;rc=Mzl3PGg6ZjZtZjMzNzU8M0BpMzl3PGg6ZjZtZjMzNzU8M0BkLjBocjRvcF9gLS1kMTZzYSNkLjBocjRvcF9gLS1kMTZzcw%3D%3D&amp;btag=e00048000&amp;expire=1764559259&amp;l=202512011020200FFD70C70F6D756DA043&amp;ply_type=3&amp;policy=3&amp;signature=57bd34772eefa7277b255472ad892163&amp;tk=7571587458748974088</t>
  </si>
  <si>
    <t>https://p16-sign-va.tiktokcdn.com/tos-maliva-avt-0068/dd90b452eac1183b6f88e30decb0271d~tplv-tiktokx-cropcenter:1080:1080.jpeg?dr=14579&amp;refresh_token=c19526e7&amp;x-expires=1764727200&amp;x-signature=Imc9p6PSPGJqEsfH%2FUOBUvV9O8k%3D&amp;t=4d5b0474&amp;ps=13740610&amp;shp=a5d48078&amp;shcp=81f88b70&amp;idc=my</t>
  </si>
  <si>
    <t>https://v16-webapp-prime.tiktok.com/video/tos/useast2a/tos-useast2a-ve-0068c002/81003f2fc33c4f189b16da61d634c5b9/?a=1988&amp;bti=ODszNWYuMDE6&amp;ch=0&amp;cr=3&amp;dr=0&amp;lr=all&amp;cd=0%7C0%7C0%7C&amp;cv=1&amp;br=992&amp;bt=496&amp;cs=0&amp;ds=6&amp;ft=I~da4oKyD12Nvi.WS.IxR51NWlBF-UjNSMopiX&amp;mime_type=video_mp4&amp;qs=5&amp;rc=ZDtmZTdoaTtnOjQ6Ozg1aUBpajQ0ZGk6ZnhtZjMzNzczM0BgLzQxM19fNWAxL2FfLy01YSMvbWNqcjRvb19gLS1kMTZzcw%3D%3D&amp;btag=e00088000&amp;expire=1764728459&amp;l=202512011020200FFD70C70F6D756DA043&amp;ply_type=2&amp;policy=2&amp;signature=70fc446abf83f46fa53d227ad6f6bb5b&amp;tk=tt_chain_token</t>
  </si>
  <si>
    <t>https://www.tiktok.com/@andreafariaterapeuta/video/7140243937662471429</t>
  </si>
  <si>
    <t>terapeutaquantica,tdah,terapeutavibracional,tdahadulto,tdahadulto🧡,fyp,foryoupage,foryou,foco,faltadefoco</t>
  </si>
  <si>
    <t>7104675892965821701</t>
  </si>
  <si>
    <t>maisqueteoria</t>
  </si>
  <si>
    <t>PedroNeto</t>
  </si>
  <si>
    <t>https://p16-sign-va.tiktokcdn.com/tos-maliva-avt-0068/2ea74e3c41b271afb15011a8980c436a~tplv-tiktokx-cropcenter:100:100.jpeg?dr=14579&amp;refresh_token=6f0cee23&amp;x-expires=1764727200&amp;x-signature=FKalp2C71BBhEHXQ6Dow35MiCQw%3D&amp;t=4d5b0474&amp;ps=13740610&amp;shp=a5d48078&amp;shcp=81f88b70&amp;idc=my</t>
  </si>
  <si>
    <t>TDAH NÃO DEPRIME! #tdah #tdahtiktok #tdahadulto #inteligêncialtda #anabeatrizbarbosa #tdahcheck #depressão #ansiedadesobcontrole #foryou #foryoupage</t>
  </si>
  <si>
    <t>TDAH DEPRIME?</t>
  </si>
  <si>
    <t>Epic Emotional</t>
  </si>
  <si>
    <t>6763798984403208193</t>
  </si>
  <si>
    <t>https://sf16-ies-music-sg.tiktokcdn.com/obj/tos-alisg-ve-2774/o8eMWrzRa9GPhf9IfmLkhgE0DYWbwACZ5X7gcF</t>
  </si>
  <si>
    <t>https://p77-sg.tiktokcdn.com/aweme/720x720/tos-alisg-v-2774/oIcJBBfDQI04ZEmttzOaAHH8fBICpEyAFAAHIg.jpeg</t>
  </si>
  <si>
    <t>AShamaluevMusic</t>
  </si>
  <si>
    <t>https://v16-webapp-prime.tiktok.com/video/tos/alisg/tos-alisg-pve-0037c001/oocFCWSJHgi5KLdARgcQMiyfjEFzPCgeI2iIfS/?a=1988&amp;bti=ODszNWYuMDE6&amp;ch=0&amp;cr=3&amp;dr=0&amp;lr=all&amp;cd=0%7C0%7C0%7C&amp;cv=1&amp;br=1512&amp;bt=756&amp;cs=0&amp;ds=3&amp;ft=-Csk_mrMPD12Nhgh5d-UxIS5hY6e3wv25ycAp&amp;mime_type=video_mp4&amp;qs=0&amp;rc=OTc0OGdlN2g1aWQ4NTs1NUBpamltO2k6ZjdoZDMzNzczM0AwYF5hYGItNi8xX2IxNDYyYSNsMl9qcjQwLmBgLS1kMTZzcw%3D%3D&amp;btag=e00088000&amp;expire=1764728807&amp;l=20251201102557A9EC7B53566F0E648FE4&amp;ply_type=2&amp;policy=2&amp;signature=dc469f004bea8883ffc21b47e18e36bb&amp;tk=tt_chain_token</t>
  </si>
  <si>
    <t>https://www.tiktok.com/@maisqueteoria/video/7104675892965821701</t>
  </si>
  <si>
    <t>tdah,tdahtiktok,tdahadulto,inteligêncialtda,anabeatrizbarbosa,tdahcheck,depressão,ansiedadesobcontrole,foryou,foryoupage</t>
  </si>
  <si>
    <t>https://v16-webapp-prime.tiktok.com/video/tos/useast2a/tos-useast2a-v-27dcd7/okhEVfgAIbSXIQfeUfMJKP8RAHM1KJAgqAP9Cf/?a=1988&amp;bti=ODszNWYuMDE6&amp;ch=0&amp;cr=0&amp;dr=0&amp;er=0&amp;lr=default&amp;cd=0%7C0%7C0%7C0&amp;br=250&amp;bt=125&amp;ds=5&amp;ft=GNDpcInz7Th6zKvPXq8Zmo&amp;mime_type=audio_mpeg&amp;qs=13&amp;rc=ams1N3M5cnl5eDMzNzU8M0Bpams1N3M5cnl5eDMzNzU8M0AxXmU1MmRzbGdgLS1kMTZzYSMxXmU1MmRzbGdgLS1kMTZzcw%3D%3D&amp;btag=e00050000&amp;expire=1764559365&amp;l=202512011021446E702D323C03BE6BD085&amp;ply_type=3&amp;policy=3&amp;signature=a42ab18d677e7cbe6a541ea49cddb1df&amp;tk=7571587458748974088</t>
  </si>
  <si>
    <t>https://v16-webapp-prime.tiktok.com/video/tos/useast2a/tos-useast2a-pve-0068/oQs5qgIMeJ7ifQpXQNGeeAQfiKnP8nkAbMI89L/?a=1988&amp;bti=ODszNWYuMDE6&amp;ch=0&amp;cr=3&amp;dr=0&amp;lr=all&amp;cd=0%7C0%7C0%7C&amp;cv=1&amp;br=1766&amp;bt=883&amp;cs=0&amp;ds=3&amp;ft=-Csk_mrMPD12NVDh5d-UxIS5hY6e3wv25ocAp&amp;mime_type=video_mp4&amp;qs=0&amp;rc=OTkzNWVlZDc5PDxmOTw3NkBpM3k6d3Y5cjx5eDMzNzczM0BeYzZjMzBfNTMxLl8yNTQtYSNvaGtfMmRjYmdgLS1kMTZzcw%3D%3D&amp;btag=e00090000&amp;expire=1764728565&amp;l=202512011021446E702D323C03BE6BD085&amp;ply_type=2&amp;policy=2&amp;signature=4c15e52c26ccfc8c7bd2a31d96e3b1dc&amp;tk=tt_chain_token</t>
  </si>
  <si>
    <t>https://v16-webapp-prime.tiktok.com/video/tos/useast2a/tos-useast2a-v-27dcd7/okD3SEpEGb486C19gIe5ERAAOLVfAPCo26fTHv/?a=1988&amp;bti=ODszNWYuMDE6&amp;ch=0&amp;cr=0&amp;dr=0&amp;er=0&amp;lr=default&amp;cd=0%7C0%7C0%7C0&amp;br=250&amp;bt=125&amp;ds=5&amp;ft=GNDpcInz7ThCPKvPXq8Zmo&amp;mime_type=audio_mpeg&amp;qs=13&amp;rc=anhwcXg5cjh3eTMzNzU8M0BpanhwcXg5cjh3eTMzNzU8M0BzYnFmMmQ0Y2tgLS1kMTZzYSNzYnFmMmQ0Y2tgLS1kMTZzcw%3D%3D&amp;btag=e00050000&amp;expire=1764559325&amp;l=20251201102042908EBE054CA4706238E0&amp;ply_type=3&amp;policy=3&amp;signature=b3e1e21273baad79a9ee4fa71e57ab02&amp;tk=7571587458748974088</t>
  </si>
  <si>
    <t>https://v16-webapp-prime.tiktok.com/video/tos/useast2a/tos-useast2a-ve-0068c001/ogACg9bkdEAfQIIrZN2XvvQZVoizPABzzIXIoi/?a=1988&amp;bti=ODszNWYuMDE6&amp;ch=0&amp;cr=3&amp;dr=0&amp;lr=all&amp;cd=0%7C0%7C0%7C&amp;cv=1&amp;br=1712&amp;bt=856&amp;cs=0&amp;ds=3&amp;ft=-Csk_mrMPD12NKdh5d-Uxs12aY6e3wv252cAp&amp;mime_type=video_mp4&amp;qs=0&amp;rc=ODs5NzdlOjgzNzc2NWk3M0Bpamp3dG05cnV3eTMzNzczM0AzYy8xYC4vXzExLWNgXi00YSNeZm40MmRrYmtgLS1kMTZzcw%3D%3D&amp;btag=e00090000&amp;expire=1764728525&amp;l=20251201102042908EBE054CA4706238E0&amp;ply_type=2&amp;policy=2&amp;signature=d9c48c802abf3cefe0b8f3c2e6966e56&amp;tk=tt_chain_token</t>
  </si>
  <si>
    <t>https://v16-webapp-prime.tiktok.com/video/tos/useast2a/tos-useast2a-v-27dcd7/ooAAPIAkR5oCy0SeVrEkBFCUJBmD8QpJFIfAnx/?a=1988&amp;bti=ODszNWYuMDE6&amp;ch=0&amp;cr=0&amp;dr=0&amp;er=0&amp;lr=default&amp;cd=0%7C0%7C0%7C0&amp;br=250&amp;bt=125&amp;ds=5&amp;ft=GNDpcInz7ThIPKvPXq8Zmo&amp;mime_type=audio_mpeg&amp;qs=13&amp;rc=anJlNXY5cnNpMzMzNzU8M0BpanJlNXY5cnNpMzMzNzU8M0BwNGhzMmQ0aDFhLS1kMTZzYSNwNGhzMmQ0aDFhLS1kMTZzcw%3D%3D&amp;btag=e00078000&amp;expire=1764559237&amp;l=20251201102014E2CB5F4C19000C61E683&amp;ply_type=3&amp;policy=3&amp;signature=1d5a1cc05d76f6240c9bfebb94ee473e&amp;tk=7571587458748974088</t>
  </si>
  <si>
    <t>https://v16-webapp-prime.tiktok.com/video/tos/useast2a/tos-useast2a-ve-0068c002/o4fIIC06O3XGAIQclGAJEP7RoQi8g0AHBpBkdi/?a=1988&amp;bti=ODszNWYuMDE6&amp;ch=0&amp;cr=3&amp;dr=0&amp;lr=all&amp;cd=0%7C0%7C0%7C&amp;cv=1&amp;br=5254&amp;bt=2627&amp;cs=0&amp;ds=3&amp;ft=-Csk_mrMPD12N0dh5d-UxPO2hY6e3wv252cAp&amp;mime_type=video_mp4&amp;qs=0&amp;rc=NzlmNDs1aWdmPDhlNDs7OkBpMzhoN3E5cmVpMzMzNzczM0AuLl8tYWEzNi0xLS8vYi4vYSM0ZzRxMmRzaDFhLS1kMTZzcw%3D%3D&amp;btag=e000b8000&amp;expire=1764728437&amp;l=20251201102014E2CB5F4C19000C61E683&amp;ply_type=2&amp;policy=2&amp;signature=9a177d05c83be6dd4891ad647d2aeb6a&amp;tk=tt_chain_token</t>
  </si>
  <si>
    <t>https://v16-webapp-prime.tiktok.com/video/tos/useast2a/tos-useast2a-v-27dcd7/ocW2YADeeSxfKRJAQ26iFMLJIm68IfUAhekAIM/?a=1988&amp;bti=ODszNWYuMDE6&amp;ch=0&amp;cr=0&amp;dr=0&amp;er=0&amp;lr=default&amp;cd=0%7C0%7C0%7C0&amp;br=250&amp;bt=125&amp;ds=5&amp;ft=GNDpcInz7ThcFKvPXq8Zmo&amp;mime_type=audio_mpeg&amp;qs=13&amp;rc=MztudXA5cmtreDMzNzU8M0BpMztudXA5cmtreDMzNzU8M0Btc2hvMmQ0YXJgLS1kMTZzYSNtc2hvMmQ0YXJgLS1kMTZzcw%3D%3D&amp;btag=e00050000&amp;expire=1764559393&amp;l=2025120110220384643B3986DED954E961&amp;ply_type=3&amp;policy=3&amp;signature=5ce901299ac097f32804d6f23905817c&amp;tk=7571587458748974088</t>
  </si>
  <si>
    <t>https://v16-webapp-prime.tiktok.com/video/tos/useast2a/tos-useast2a-pve-0068/owtMGIABgXeA1aiGRJ6ecILwXesfJKeibFAkLx/?a=1988&amp;bti=ODszNWYuMDE6&amp;ch=0&amp;cr=3&amp;dr=0&amp;lr=all&amp;cd=0%7C0%7C0%7C&amp;cv=1&amp;br=2888&amp;bt=1444&amp;cs=0&amp;ds=3&amp;ft=I~da4oKyD12NvaMWS.IxRYjNWlBF-UjNSkopiX&amp;mime_type=video_mp4&amp;qs=0&amp;rc=MzQzODw7OTRnODQ6aDVpPEBpanE0d3A5cnhreDMzNzczM0AyM14tYTBfXzIxMGFgLl8zYSMybmJuMmQ0L3JgLS1kMTZzcw%3D%3D&amp;btag=e00090000&amp;expire=1764728593&amp;l=2025120110220384643B3986DED954E961&amp;ply_type=2&amp;policy=2&amp;signature=78cb301855e8bdc609e12bd847ef405d&amp;tk=tt_chain_token</t>
  </si>
  <si>
    <t>https://v16-webapp-prime.tiktok.com/video/tos/useast2a/tos-useast2a-v-27dcd7/okaAlrFB3uBPiIpEAkd8RQ1ICp5EAviUWSqiA/?a=1988&amp;bti=ODszNWYuMDE6&amp;ch=0&amp;cr=0&amp;dr=0&amp;er=0&amp;lr=default&amp;cd=0%7C0%7C0%7C0&amp;br=250&amp;bt=125&amp;ds=5&amp;ft=GNDpcInz7ThJzKvPXq8Zmo&amp;mime_type=audio_mpeg&amp;qs=13&amp;rc=M2Q5ZW85cjV4NDMzNzU8M0BpM2Q5ZW85cjV4NDMzNzU8M0AxZ2ZyMmRrNmJhLS1kMTZzYSMxZ2ZyMmRrNmJhLS1kMTZzcw%3D%3D&amp;btag=e00050000&amp;expire=1764559367&amp;l=20251201102141EAAE30DD17435761F356&amp;ply_type=3&amp;policy=3&amp;signature=d6e58770d8385f68e8aaa082b4ceb075&amp;tk=7571587458748974088</t>
  </si>
  <si>
    <t>https://v16-webapp-prime.tiktok.com/video/tos/useast2a/tos-useast2a-pve-0068/ocRSIFQBQU0IdAPiG9PaiRFECjqJUmo35BE3S/?a=1988&amp;bti=ODszNWYuMDE6&amp;ch=0&amp;cr=3&amp;dr=0&amp;lr=all&amp;cd=0%7C0%7C0%7C&amp;cv=1&amp;br=2048&amp;bt=1024&amp;cs=0&amp;ds=3&amp;ft=-Csk_mrMPD12NWDh5d-Uxvt2hY6e3wv251cAp&amp;mime_type=video_mp4&amp;qs=0&amp;rc=M2llNjg1aDdpOjg1aTNnM0Bpajt0d245cjV4NDMzNzczM0BfMjJeYmE2Ni4xLzI1Ml9fYSM1aWwvMmQ0M2JhLS1kMTZzcw%3D%3D&amp;btag=e00090000&amp;expire=1764728567&amp;l=20251201102141EAAE30DD17435761F356&amp;ply_type=2&amp;policy=2&amp;signature=93adf4454894ed7d34341e5d21bd13fc&amp;tk=tt_chain_token</t>
  </si>
  <si>
    <t>https://v16-webapp-prime.tiktok.com/video/tos/useast2a/tos-useast2a-v-27dcd7/oktOxcDMEFCKEnBK5AEJA8UABvv3fJiqmooAQf/?a=1988&amp;bti=ODszNWYuMDE6&amp;ch=0&amp;cr=0&amp;dr=0&amp;er=0&amp;lr=default&amp;cd=0%7C0%7C0%7C0&amp;br=250&amp;bt=125&amp;ds=5&amp;ft=GNDpcInz7ThoPKvPXq8Zmo&amp;mime_type=audio_mpeg&amp;qs=13&amp;rc=ank3Z3E5cjZpcjMzNzU8M0Bpank3Z3E5cjZpcjMzNzU8M0BwYi9vMmQ0MmlgLS1kMTZzYSNwYi9vMmQ0MmlgLS1kMTZzcw%3D%3D&amp;btag=e00050000&amp;expire=1764559270&amp;l=202512011020068133AB7BCB086C5F4CDC&amp;ply_type=3&amp;policy=3&amp;signature=b69571ab34c507418515afe4b288c3e2&amp;tk=7571587458748974088</t>
  </si>
  <si>
    <t>https://v16-webapp-prime.tiktok.com/video/tos/useast2a/tos-useast2a-ve-0068c001/oQEww5QQJuAF6EvIfNR0rKfxKBDABBNIsg3mH1/?a=1988&amp;bti=ODszNWYuMDE6&amp;ch=0&amp;cr=3&amp;dr=0&amp;lr=all&amp;cd=0%7C0%7C0%7C&amp;cv=1&amp;br=1606&amp;bt=803&amp;cs=0&amp;ds=3&amp;ft=-Csk_mrMPD12Nudh5d-Uxs12aY6e3wv252cAp&amp;mime_type=video_mp4&amp;qs=0&amp;rc=OmlnOzM0NWY7OmQzNTk1ZkBpanQ0eG85cnhpcjMzNzczM0A2LmM2MDZeXzAxYF5jYy1eYSNiYDRlMmRjLWlgLS1kMTZzcw%3D%3D&amp;btag=e00090000&amp;expire=1764728470&amp;l=202512011020068133AB7BCB086C5F4CDC&amp;ply_type=2&amp;policy=2&amp;signature=34f799f375367375c838a0b490eb1464&amp;tk=tt_chain_token</t>
  </si>
  <si>
    <t>7370861490351377670</t>
  </si>
  <si>
    <t>psi.lailagm</t>
  </si>
  <si>
    <t>https://p16-sign-va.tiktokcdn.com/tos-maliva-avt-0068/c5939448c652ddc96fdc2087d1e87d6e~tplv-tiktokx-cropcenter:100:100.jpeg?dr=14579&amp;refresh_token=807112d0&amp;x-expires=1764727200&amp;x-signature=w02nfqxiONhZqnE55U4Cs6%2Btpa8%3D&amp;t=4d5b0474&amp;ps=13740610&amp;shp=a5d48078&amp;shcp=81f88b70&amp;idc=my</t>
  </si>
  <si>
    <t xml:space="preserve">🧠💡Para quem tem Transtorno do Déficit de Atenção e Hiperatividade (TDAH), esperar ou aceitar situações fora do controle pode ser especialmente desafiador. 🤯 A impulsividade e a dificuldade em regular emoções tornam a incerteza e a espera ainda mais frustrantes. Por que isso acontece? 🔸Impulsividade: A tendência de agir sem pensar pode tornar a espera insuportável. 🔸Ansiedade: A incerteza sobre o futuro pode aumentar a ansiedade e a impaciência. 🔸Dificuldade em Focar: Manter a atenção em tarefas longas ou tediosas é um desafio constante. Estratégias que podem ajudar: ✨Prática de Mindfulness: Técnicas de atenção plena podem ajudar a acalmar a mente e aumentar a paciência. ✨Rotinas Estruturadas: Estabelecer rotinas pode trazer uma sensação de controle e previsibilidade. ✨Apoio Profissional: Terapia e acompanhamento médico podem oferecer estratégias personalizadas para gerenciar essas dificuldades. Lidar com o TDAH não é fácil, mas com compreensão, paciência e as estratégias certas, é possível enfrentar esses desafios e encontrar equilíbrio. 🌿✨  #TDAH #SaúdeMental #terapia #Mindfulness #terapiaonline #psicologia #ManejoDoTDAH #viral #fypシ゚viral #fyp </t>
  </si>
  <si>
    <t>7370861525348797190</t>
  </si>
  <si>
    <t>https://v16-webapp-prime.tiktok.com/video/tos/useast2a/tos-useast2a-v-27dcd7/o8IoKFMRRCWzCoDQMf5Y5SKgEsjxKl8BfpeET4/?a=1988&amp;bti=ODszNWYuMDE6&amp;ch=0&amp;cr=0&amp;dr=0&amp;er=0&amp;lr=default&amp;cd=0%7C0%7C0%7C0&amp;br=250&amp;bt=125&amp;ft=GNDpcInz7ThfpKvPXq8Zmo&amp;mime_type=audio_mpeg&amp;qs=6&amp;rc=NjxoNzNpaDo3ZjpmZDk5Z0BpM21raHg5cjM7czMzNzU8M0AvNDYuL2JgNmIxLWNiMjU0YSMyczMxMmRjczJgLS1kMTZzcw%3D%3D&amp;btag=e00088000&amp;expire=1764559601&amp;l=202512011025596D30CB3112238F5D274D&amp;ply_type=3&amp;policy=3&amp;signature=72de67e61340dc25b178121459d6b20a&amp;tk=7571587458748974088</t>
  </si>
  <si>
    <t>https://p77-sign-va.tiktokcdn.com/tos-maliva-avt-0068/c5939448c652ddc96fdc2087d1e87d6e~tplv-tiktokx-cropcenter:1080:1080.jpeg?dr=14579&amp;refresh_token=b6bdd0ee&amp;x-expires=1764727200&amp;x-signature=onjShNMWxXZensh%2FjR2RrwjPyYc%3D&amp;t=4d5b0474&amp;ps=13740610&amp;shp=a5d48078&amp;shcp=81f88b70&amp;idc=my</t>
  </si>
  <si>
    <t>https://v16-webapp-prime.tiktok.com/video/tos/useast2a/tos-useast2a-ve-0068c001/oAABigAiAIJ1NIQolDCJ9MEUgQjABfIAk59zKK/?a=1988&amp;bti=ODszNWYuMDE6&amp;ch=0&amp;cr=3&amp;dr=0&amp;lr=all&amp;cd=0%7C0%7C0%7C&amp;cv=1&amp;br=442&amp;bt=221&amp;cs=0&amp;ds=6&amp;ft=-Csk_mrMPD12NAgh5d-UxbS5hY6e3wv25McAp&amp;mime_type=video_mp4&amp;qs=5&amp;rc=OjQ1ZDg4NTs1OjM2NWQ2M0BpM3czbG85cjM7czMzNzczM0AuNmBeXi42XmIxLWEvNDAuYSM1LmRmMmRjYDJgLS1kMTZzcw%3D%3D&amp;btag=e00088000&amp;expire=1764728802&amp;l=202512011025596D30CB3112238F5D274D&amp;ply_type=2&amp;policy=2&amp;signature=e676758a5541e0ac29d89e5c65a62c9d&amp;tk=tt_chain_token</t>
  </si>
  <si>
    <t>https://www.tiktok.com/@psi.lailagm/video/7370861490351377670</t>
  </si>
  <si>
    <t>tdah,saúdemental,terapia,mindfulness,terapiaonline,psicologia,manejodotdah,viral,fypシ゚viral,fyp</t>
  </si>
  <si>
    <t>https://v16-webapp-prime.tiktok.com/video/tos/useast2a/tos-useast2a-v-27dcd7/ocIrEOJLQPoJCEa8nAEAthFzUZBuJgfABMAfDA/?a=1988&amp;bti=ODszNWYuMDE6&amp;ch=0&amp;cr=0&amp;dr=0&amp;er=0&amp;lr=default&amp;cd=0%7C0%7C0%7C0&amp;br=250&amp;bt=125&amp;ds=5&amp;ft=GNDpcInz7ThezKvPXq8Zmo&amp;mime_type=audio_mpeg&amp;qs=13&amp;rc=ajlub245cmwzdjMzNzU8M0Bpajlub245cmwzdjMzNzU8M0BjbWkwMmQ0NGtgLS1kMTZzYSNjbWkwMmQ0NGtgLS1kMTZzcw%3D%3D&amp;btag=e00050000&amp;expire=1764559365&amp;l=202512011021342A4EB9620CED315EA2E7&amp;ply_type=3&amp;policy=3&amp;signature=ca865f833895ce5ef481fb7aae09442c&amp;tk=7571587458748974088</t>
  </si>
  <si>
    <t>https://v16-webapp-prime.tiktok.com/video/tos/useast2a/tos-useast2a-ve-0068c001/ocZdQSQMMd8CdfegBOAcIRsI7QWbfjAXE5COog/?a=1988&amp;bti=ODszNWYuMDE6&amp;ch=0&amp;cr=3&amp;dr=0&amp;lr=all&amp;cd=0%7C0%7C0%7C&amp;cv=1&amp;br=1872&amp;bt=936&amp;cs=0&amp;ds=3&amp;ft=-Csk_mrMPD12N6Dh5d-Uxq42hY6e3wv25IcAp&amp;mime_type=video_mp4&amp;qs=0&amp;rc=aDszZjdmPGY4OWQ1NzYzPEBpMzs7cXE5cmkzdjMzNzczM0BeNjAuYGMwXzExXjAzLWMyYSNvcXBvMmQ0NGtgLS1kMTZzcw%3D%3D&amp;btag=e00090000&amp;expire=1764728565&amp;l=202512011021342A4EB9620CED315EA2E7&amp;ply_type=2&amp;policy=2&amp;signature=8d24d258227ed9d792ccf43d1118d721&amp;tk=tt_chain_token</t>
  </si>
  <si>
    <t>https://v16-webapp-prime.tiktok.com/video/tos/useast2a/tos-useast2a-v-27dcd7/oEQrpmEgt0ozfLAbxEpGeAgQkcFeJLeLsYCTIZ/?a=1988&amp;bti=ODszNWYuMDE6&amp;ch=0&amp;cr=0&amp;dr=0&amp;er=0&amp;lr=default&amp;cd=0%7C0%7C0%7C0&amp;br=250&amp;bt=125&amp;ft=GNDpcInz7ThCPKvPXq8Zmo&amp;mime_type=audio_mpeg&amp;qs=6&amp;rc=Z2k8NDg3NzpmZGlmNzU5OEBpM2hybHY5cnM5MzMzNzU8M0BhMDFeMjM2XzIxL2M2Ll5jYSMuLWJjMmRjY25hLS1kMTZzcw%3D%3D&amp;btag=e00090000&amp;expire=1764559314&amp;l=20251201102042908EBE054CA4706238E0&amp;ply_type=3&amp;policy=3&amp;signature=c3fc193aaff97c8446165c8a5cf0e94f&amp;tk=7571587458748974088</t>
  </si>
  <si>
    <t>https://v16-webapp-prime.tiktok.com/video/tos/useast2a/tos-useast2a-ve-0068c002/o083WffRMQeHQgQgzP0WrIsMCtKaaIjo5NSAgC/?a=1988&amp;bti=ODszNWYuMDE6&amp;ch=0&amp;cr=3&amp;dr=0&amp;lr=all&amp;cd=0%7C0%7C0%7C&amp;cv=1&amp;br=1186&amp;bt=593&amp;cs=0&amp;ds=3&amp;ft=-Csk_mrMPD12NKdh5d-Uxs12aY6e3wv252cAp&amp;mime_type=video_mp4&amp;qs=0&amp;rc=PDQzaWdnNTs7Z2Y4ODg5Z0BpamlpcWs5cmg5MzMzNzczM0BgYDFjXzA2XmMxY2A0YDJeYSNqbnBqMmRzYm5hLS1kMTZzcw%3D%3D&amp;btag=e00090000&amp;expire=1764728514&amp;l=20251201102042908EBE054CA4706238E0&amp;ply_type=2&amp;policy=2&amp;signature=2db0e58c17dd4d417c1d64ca5b9fc782&amp;tk=tt_chain_token</t>
  </si>
  <si>
    <t>https://v16-webapp-prime.tiktok.com/video/tos/useast2a/tos-useast2a-v-27dcd7/ooT9DDQPfCQnzGYigDJo9YBqoEBJFUfDWaCYvg/?a=1988&amp;bti=ODszNWYuMDE6&amp;ch=0&amp;cr=0&amp;dr=0&amp;er=0&amp;lr=default&amp;cd=0%7C0%7C0%7C0&amp;br=250&amp;bt=125&amp;ft=GNDpcInz7ThezKvPXq8Zmo&amp;mime_type=audio_mpeg&amp;qs=6&amp;rc=ZzU1M2g2Zjw5aGU3ODppOEBpajQ5cWo5cjN0MzMzNzU8M0AvYDIyYzZhX2MxLWMtX15eYSNuMGkyMmRzMHJhLS1kMTZzcw%3D%3D&amp;btag=e00090000&amp;expire=1764559392&amp;l=202512011021342A4EB9620CED315EA2E7&amp;ply_type=3&amp;policy=3&amp;signature=388af282594839a7449366bd3c051c08&amp;tk=7571587458748974088</t>
  </si>
  <si>
    <t>https://v16-webapp-prime.tiktok.com/video/tos/useast2a/tos-useast2a-pve-0068/okABQZh9jfoEfBPHkQDayIKlJPoRECFQrmQEoM/?a=1988&amp;bti=ODszNWYuMDE6&amp;ch=0&amp;cr=3&amp;dr=0&amp;lr=all&amp;cd=0%7C0%7C0%7C&amp;cv=1&amp;br=1288&amp;bt=644&amp;cs=0&amp;ds=3&amp;ft=-Csk_mrMPD12N6Dh5d-Uxq42hY6e3wv25IcAp&amp;mime_type=video_mp4&amp;qs=0&amp;rc=MzxpPGhnNTU0PDo2ZTw7ZkBpMzQ2bWw5cjV0MzMzNzczM0A1MDRiNjVjXjQxMy5hL2EtYSNoMi9jMmRrLnJhLS1kMTZzcw%3D%3D&amp;btag=e00090000&amp;expire=1764728592&amp;l=202512011021342A4EB9620CED315EA2E7&amp;ply_type=2&amp;policy=2&amp;signature=8edd453e0c7cd2aa2c69380f85a2053a&amp;tk=tt_chain_token</t>
  </si>
  <si>
    <t>https://v16-webapp-prime.tiktok.com/video/tos/useast2a/tos-useast2a-v-27dcd7/ogg0zgE4EABCoMBxEOBKAnuOVkimEJOiKAAwfA/?a=1988&amp;bti=ODszNWYuMDE6&amp;ch=0&amp;cr=0&amp;dr=0&amp;er=0&amp;lr=default&amp;cd=0%7C0%7C0%7C0&amp;br=250&amp;bt=125&amp;ds=5&amp;ft=GNDpcInz7Th6zKvPXq8Zmo&amp;mime_type=audio_mpeg&amp;qs=13&amp;rc=amhqZXI5cnI7czMzNzU8M0BpamhqZXI5cnI7czMzNzU8M0BeMWVsMmRzMTRgLS1kMTZzYSNeMWVsMmRzMTRgLS1kMTZzcw%3D%3D&amp;btag=e00050000&amp;expire=1764559368&amp;l=202512011021446E702D323C03BE6BD085&amp;ply_type=3&amp;policy=3&amp;signature=c0bacb2f3af8ba3e898326a98bc4c3a3&amp;tk=7571587458748974088</t>
  </si>
  <si>
    <t>https://v16-webapp-prime.tiktok.com/video/tos/useast2a/tos-useast2a-ve-0068c001/oIGbAowZMSvE8kzi6ZsFvvUcBQEZQiDB8B8AI/?a=1988&amp;bti=ODszNWYuMDE6&amp;ch=0&amp;cr=3&amp;dr=0&amp;lr=all&amp;cd=0%7C0%7C0%7C&amp;cv=1&amp;br=1616&amp;bt=808&amp;cs=0&amp;ds=3&amp;ft=-Csk_mrMPD12NVDh5d-UxIS5hY6e3wv25ocAp&amp;mime_type=video_mp4&amp;qs=0&amp;rc=O2kzZTQ0ODc1aGZpNmk4ZUBpamlncGo5cnY7czMzNzczM0A1MzUyNF82XjExL2BgYTBjYSMvZzVrMmRrMDRgLS1kMTZzcw%3D%3D&amp;btag=e00090000&amp;expire=1764728568&amp;l=202512011021446E702D323C03BE6BD085&amp;ply_type=2&amp;policy=2&amp;signature=077d1ee5d2c9f4ac3a39472e6c0ba694&amp;tk=tt_chain_token</t>
  </si>
  <si>
    <t>https://p77-sign-va.tiktokcdn.com/tos-maliva-avt-0068/8ea8087edb8a916268bd5c36a3bc49d1~tplv-tiktokx-cropcenter:100:100.jpeg?dr=14579&amp;refresh_token=84b799b5&amp;x-expires=1764727200&amp;x-signature=Rw68wWblzf1zzvQQfVPpi%2FSYGLM%3D&amp;t=4d5b0474&amp;ps=13740610&amp;shp=a5d48078&amp;shcp=81f88b70&amp;idc=my</t>
  </si>
  <si>
    <t>https://v16-webapp-prime.tiktok.com/video/tos/useast2a/tos-useast2a-v-27dcd7/okfnf5GvILSeIOJe0AIIAJhAKikteN39AK6AAK/?a=1988&amp;bti=ODszNWYuMDE6&amp;ch=0&amp;cr=0&amp;dr=0&amp;er=0&amp;lr=default&amp;cd=0%7C0%7C0%7C0&amp;br=250&amp;bt=125&amp;ds=5&amp;ft=GNDpcInz7ThszKvPXq8Zmo&amp;mime_type=audio_mpeg&amp;qs=13&amp;rc=Mzhpc3I5cm88MzMzNzU8M0BpMzhpc3I5cm88MzMzNzU8M0BhNF9rMmRzNGNhLS1kMTZzYSNhNF9rMmRzNGNhLS1kMTZzcw%3D%3D&amp;btag=e00060000&amp;expire=1764559787&amp;l=20251201102055111140D50F38376E882B&amp;ply_type=3&amp;policy=3&amp;signature=6eb75c2b19d0ad331ac28bfb84c9a32a&amp;tk=7571587458748974088</t>
  </si>
  <si>
    <t>https://p16-sign-va.tiktokcdn.com/tos-maliva-avt-0068/8ea8087edb8a916268bd5c36a3bc49d1~tplv-tiktokx-cropcenter:1080:1080.jpeg?dr=14579&amp;refresh_token=132608ea&amp;x-expires=1764727200&amp;x-signature=FWXcdIGkmWTrdShm%2F1pMeErDoUk%3D&amp;t=4d5b0474&amp;ps=13740610&amp;shp=a5d48078&amp;shcp=81f88b70&amp;idc=my</t>
  </si>
  <si>
    <t>https://v16-webapp-prime.tiktok.com/video/tos/useast2a/tos-useast2a-ve-0068c002/oETbheLjGCgQLWIIj9ILSYQsPCSInk8gfSjfPA/?a=1988&amp;bti=ODszNWYuMDE6&amp;ch=0&amp;cr=3&amp;dr=0&amp;lr=all&amp;cd=0%7C0%7C0%7C&amp;cv=1&amp;br=1282&amp;bt=641&amp;cs=0&amp;ds=3&amp;ft=-Csk_mrMPD12NbDh5d-UxPR2SY6e3wv25IcAp&amp;mime_type=video_mp4&amp;qs=0&amp;rc=ZTs7OjxkO2hoNmZnNDgzO0BpMzhrdnk5cnY8MzMzNzczM0AyMzVfNWNfXmMxYTYwMTViYSNtcGBtMmRjMGNhLS1kMTZzcw%3D%3D&amp;btag=e000a0000&amp;expire=1764728987&amp;l=20251201102055111140D50F38376E882B&amp;ply_type=2&amp;policy=2&amp;signature=7e4fc3af416278a1bcae3acf99a5ca43&amp;tk=tt_chain_token</t>
  </si>
  <si>
    <t>https://v16-webapp-prime.tiktok.com/video/tos/useast2a/tos-useast2a-v-27dcd7/o8AShKB5XAEuci3AEUcM8UlEzC4BqQABDiAva/?a=1988&amp;bti=ODszNWYuMDE6&amp;ch=0&amp;cr=0&amp;dr=0&amp;er=0&amp;lr=default&amp;cd=0%7C0%7C0%7C0&amp;br=250&amp;bt=125&amp;ds=5&amp;ft=GNDpcInz7ThzgKvPXq8Zmo&amp;mime_type=audio_mpeg&amp;qs=13&amp;rc=M248NnE5cm1oNDMzNzU8M0BpM248NnE5cm1oNDMzNzU8M0BrbC5pMmRrMC1hLS1kMTZzYSNrbC5pMmRrMC1hLS1kMTZzcw%3D%3D&amp;btag=e00050000&amp;expire=1764559567&amp;l=2025120110233960BDF2AFAD3CC4F063FC&amp;ply_type=3&amp;policy=3&amp;signature=a0e10f558fc8597935fdc0221670b0f5&amp;tk=7571587458748974088</t>
  </si>
  <si>
    <t>https://v16-webapp-prime.tiktok.com/video/tos/useast2a/tos-useast2a-ve-0068c002/owwjNgICfVZegBS9IXFTwGgQGeAaLCgRMCXQcI/?a=1988&amp;bti=ODszNWYuMDE6&amp;ch=0&amp;cr=3&amp;dr=0&amp;lr=all&amp;cd=0%7C0%7C0%7C&amp;cv=1&amp;br=1184&amp;bt=592&amp;cs=0&amp;ds=3&amp;ft=-Csk_mrMPD12NDZh5d-UxSI5SY6e3wv25NcAp&amp;mime_type=video_mp4&amp;qs=0&amp;rc=ZzVpNzlpOjM4ZDszZTk2ZUBpMzt4OG05cmRoNDMzNzczM0BeMWMvMV8wXi4xYi1gNTRiYSNwYGNfMmRjLi1hLS1kMTZzcw%3D%3D&amp;btag=e00090000&amp;expire=1764728767&amp;l=2025120110233960BDF2AFAD3CC4F063FC&amp;ply_type=2&amp;policy=2&amp;signature=9f6d274b680a8993e4c5057e81382d39&amp;tk=tt_chain_token</t>
  </si>
  <si>
    <t>7215232154811550982</t>
  </si>
  <si>
    <t>Siga @_tdahta 🧠 . . . . . #tdahbrasil #tdahadulto #tdahfemenino #tdahcomamor #draanabeatriz11 #tdah #dopamina #psiquiatria #saudemental #visibilidadetdah</t>
  </si>
  <si>
    <t>7215232208227748614</t>
  </si>
  <si>
    <t>https://v16-webapp-prime.tiktok.com/video/tos/useast2a/tos-useast2a-v-27dcd7/68453995f0694f2ebfd4f26d49eb357f/?a=1988&amp;bti=ODszNWYuMDE6&amp;ch=0&amp;cr=0&amp;dr=0&amp;er=0&amp;lr=default&amp;cd=0%7C0%7C0%7C0&amp;br=250&amp;bt=125&amp;ds=5&amp;ft=GNDpcInz7Th0zKvPXq8Zmo&amp;mime_type=audio_mpeg&amp;qs=13&amp;rc=anVmbDM6Znl0ajMzNzU8M0BpanVmbDM6Znl0ajMzNzU8M0A1NmMvcjRfYmRgLS1kMTZzYSM1NmMvcjRfYmRgLS1kMTZzcw%3D%3D&amp;btag=e00050000&amp;expire=1764559416&amp;l=2025120110213238A64472738F9C5726DD&amp;ply_type=3&amp;policy=3&amp;signature=568f0eeaa72aac73c64d307de8136f6e&amp;tk=7571587458748974088</t>
  </si>
  <si>
    <t>https://v16-webapp-prime.tiktok.com/video/tos/maliva/tos-maliva-ve-0068c801-us/o0XDNkSEDBRaA8eZ6AJhfQBTr4WIBsntERybRn/?a=1988&amp;bti=ODszNWYuMDE6&amp;ch=0&amp;cr=3&amp;dr=0&amp;lr=all&amp;cd=0%7C0%7C0%7C&amp;cv=1&amp;br=764&amp;bt=382&amp;cs=0&amp;ds=3&amp;ft=-Csk_mrMPD12NsDh5d-UxSc2hY6e3wv25DcAp&amp;mime_type=video_mp4&amp;qs=0&amp;rc=PDg2aTg5aTxnNTxlaGczPEBpajxxa2U6Znh0ajMzNzczM0AyMjIzMDNeXzYxMDFhYi8zYSNxcTE1cjQwM2RgLS1kMTZzcw%3D%3D&amp;btag=e00090000&amp;expire=1764728616&amp;l=2025120110213238A64472738F9C5726DD&amp;ply_type=2&amp;policy=2&amp;signature=6428be7535ed32993e0851ed1c105354&amp;tk=tt_chain_token</t>
  </si>
  <si>
    <t>https://www.tiktok.com/@lorenatdahta/video/7215232154811550982</t>
  </si>
  <si>
    <t>tdahbrasil,tdahadulto,tdahfemenino,tdahcomamor,draanabeatriz11,tdah,dopamina,psiquiatria,saudemental,visibilidadetdah</t>
  </si>
  <si>
    <t>https://p77-sign-va.tiktokcdn.com/tos-maliva-avt-0068/b7841460d9b1783162ae78e8d2cf3a44~tplv-tiktokx-cropcenter:100:100.jpeg?dr=14579&amp;refresh_token=1a71a3cf&amp;x-expires=1764727200&amp;x-signature=cP7JRBbi4VICpBys8T4CslrLcMw%3D&amp;t=4d5b0474&amp;ps=13740610&amp;shp=a5d48078&amp;shcp=81f88b70&amp;idc=my</t>
  </si>
  <si>
    <t>https://v16-webapp-prime.tiktok.com/video/tos/useast2a/tos-useast2a-v-27dcd7/oUBbFkRBhTphUVfJL0MQDTCJuNQNRvLy5jeIQz/?a=1988&amp;bti=ODszNWYuMDE6&amp;ch=0&amp;cr=0&amp;dr=0&amp;er=0&amp;lr=default&amp;cd=0%7C0%7C0%7C0&amp;br=250&amp;bt=125&amp;ft=GNDpcInz7ThvzKvPXq8Zmo&amp;mime_type=audio_mpeg&amp;qs=6&amp;rc=OzRoaWk3NzNmZTNpNzc6ZkBpam5zcGU6ZnE2bTMzNzU8M0BiNGM2XzYuNi0xMmIyX2FhYSM1NHFkcjRnNm1gLS1kMTZzcw%3D%3D&amp;btag=e000a0000&amp;expire=1764559643&amp;l=2025120110205711DA509A8B9B2F6AA181&amp;ply_type=3&amp;policy=3&amp;signature=20f982d0618c5ec5868eda422c8adef5&amp;tk=7571587458748974088</t>
  </si>
  <si>
    <t>https://p16-sign-va.tiktokcdn.com/tos-maliva-avt-0068/b7841460d9b1783162ae78e8d2cf3a44~tplv-tiktokx-cropcenter:1080:1080.jpeg?dr=14579&amp;refresh_token=65bc2d60&amp;x-expires=1764727200&amp;x-signature=%2BRLCnBmuacGhfk5l5BnoOqcfB6k%3D&amp;t=4d5b0474&amp;ps=13740610&amp;shp=a5d48078&amp;shcp=81f88b70&amp;idc=my</t>
  </si>
  <si>
    <t>https://v16-webapp-prime.tiktok.com/video/tos/maliva/tos-maliva-ve-0068c801-us/oMJB8MlVvgKaCakBDkjQ0On28dbCABj1fRfkLl/?a=1988&amp;bti=ODszNWYuMDE6&amp;ch=0&amp;cr=3&amp;dr=0&amp;lr=all&amp;cd=0%7C0%7C0%7C&amp;cv=1&amp;br=1918&amp;bt=959&amp;cs=0&amp;ds=3&amp;ft=-Csk_mrMPD12N5Dh5d-UxP12hY6e3wv25ocAp&amp;mime_type=video_mp4&amp;qs=0&amp;rc=M2lpZDQ4ZjZoPDU4Z2llM0BpanV0ZGc6Zjo2bTMzNzgzM0BhX2BeYTM2X18xNC0xLV5jYSNtLTVlcjRfNG1gLS1kLzZzcw%3D%3D&amp;btag=e000a0000&amp;expire=1764728843&amp;l=2025120110205711DA509A8B9B2F6AA181&amp;ply_type=2&amp;policy=2&amp;signature=86431ac7c016f5e12dac7cd51b7efeb6&amp;tk=tt_chain_token</t>
  </si>
  <si>
    <t>https://v16-webapp-prime.tiktok.com/video/tos/useast2a/tos-useast2a-v-27dcd7/o8fQ48vKiAKmMJAQAVcQJlEkfFyWQG6fWIfZAL/?a=1988&amp;bti=ODszNWYuMDE6&amp;ch=0&amp;cr=0&amp;dr=0&amp;er=0&amp;lr=default&amp;cd=0%7C0%7C0%7C0&amp;br=250&amp;bt=125&amp;ds=5&amp;ft=GNDpcInz7ThuPKvPXq8Zmo&amp;mime_type=audio_mpeg&amp;qs=13&amp;rc=MzVvbW05cnZlcDMzNzU8M0BpMzVvbW05cnZlcDMzNzU8M0A0ZXJlMmRrc21gLS1kMTZzYSM0ZXJlMmRrc21gLS1kMTZzcw%3D%3D&amp;btag=e00050000&amp;expire=1764559348&amp;l=20251201102046E8B89E886773854715A1&amp;ply_type=3&amp;policy=3&amp;signature=954f5a59b5c0a7d4bdf5c039074a7abf&amp;tk=7571587458748974088</t>
  </si>
  <si>
    <t>https://v16-webapp-prime.tiktok.com/video/tos/useast2a/tos-useast2a-ve-0068c004/ocusJIFEDeO9rBwSQEfBAUQx1FFnElBEcmpRgy/?a=1988&amp;bti=ODszNWYuMDE6&amp;ch=0&amp;cr=3&amp;dr=0&amp;lr=all&amp;cd=0%7C0%7C0%7C&amp;cv=1&amp;br=762&amp;bt=381&amp;cs=0&amp;ds=3&amp;ft=I~da4oKyD12Nvb.WS.IxRnTNWlBF-UjNS3opiX&amp;mime_type=video_mp4&amp;qs=0&amp;rc=NzlpOGRpNmlnNDtoZzRpaUBpamx1Zm05cmtlcDMzNzczM0BjMS8vXzM2X18xNS02NWI2YSNoXnMuMmRjcm1gLS1kMTZzcw%3D%3D&amp;btag=e00090000&amp;expire=1764728548&amp;l=20251201102046E8B89E886773854715A1&amp;ply_type=2&amp;policy=2&amp;signature=b5e504a0ae3544cd56452834a563c15d&amp;tk=tt_chain_token</t>
  </si>
  <si>
    <t>https://v16-webapp-prime.tiktok.com/video/tos/useast2a/tos-useast2a-v-27dcd7/oYjogMGAAQQALBHvYSeCTPjeeqoLVaoNEIC06Q/?a=1988&amp;bti=ODszNWYuMDE6&amp;ch=0&amp;cr=0&amp;dr=0&amp;er=0&amp;lr=default&amp;cd=0%7C0%7C0%7C0&amp;br=250&amp;bt=125&amp;ds=5&amp;ft=GNDpcInz7ThhFKvPXq8Zmo&amp;mime_type=audio_mpeg&amp;qs=13&amp;rc=anRneHQ5cnZnMzMzNzU8M0BpanRneHQ5cnZnMzMzNzU8M0AzMGRlMmRjX2BhLS1kMTZzYSMzMGRlMmRjX2BhLS1kMTZzcw%3D%3D&amp;btag=e00050000&amp;expire=1764559406&amp;l=20251201102153319CD8E1EA373154CB8C&amp;ply_type=3&amp;policy=3&amp;signature=dc40910eabdec0a84b8a0021f7efddcf&amp;tk=7571587458748974088</t>
  </si>
  <si>
    <t>https://v16-webapp-prime.tiktok.com/video/tos/useast2a/tos-useast2a-ve-0068c003/oIoILzWJQfFISrMCBenGeCUjuPALgKWgnUuQI1/?a=1988&amp;bti=ODszNWYuMDE6&amp;ch=0&amp;cr=3&amp;dr=0&amp;lr=all&amp;cd=0%7C0%7C0%7C&amp;cv=1&amp;br=3312&amp;bt=1656&amp;cs=0&amp;ds=3&amp;ft=-Csk_mrMPD12NNBh5d-UxIS5hY6e3wv25ocAp&amp;mime_type=video_mp4&amp;qs=0&amp;rc=ZTo7OjVoNTM6ZDU3ZTppZkBpMzNweGs5cmtlMzMzNzczM0A1Yy9jNC02X2IxNjIvMi40YSNpamhjMmRzX2BhLS1kMTZzcw%3D%3D&amp;btag=e00090000&amp;expire=1764728606&amp;l=20251201102153319CD8E1EA373154CB8C&amp;ply_type=2&amp;policy=2&amp;signature=5df5198deeb5d54311c210dffad2f195&amp;tk=tt_chain_token</t>
  </si>
  <si>
    <t>7511510736431107384</t>
  </si>
  <si>
    <t>autismo_teapoio</t>
  </si>
  <si>
    <t>https://p16-sign-va.tiktokcdn.com/tos-maliva-avt-0068/efe2b8b521c8bdb7d926ff7a884d9760~tplv-tiktokx-cropcenter:100:100.jpeg?dr=14579&amp;refresh_token=492aea75&amp;x-expires=1764727200&amp;x-signature=Qlhh0u%2BdUF%2BCmtWq%2BUty1PuRAxw%3D&amp;t=4d5b0474&amp;ps=13740610&amp;shp=a5d48078&amp;shcp=81f88b70&amp;idc=my</t>
  </si>
  <si>
    <t>A diferença entre AUTISMO E TDAH Autismo (TEA – Transtorno do Espectro Autista): extremamente focada nos detalhes, presa a padrões e rituais (como alinhar os lápis ou organizar por cores), pode ter dificuldade com mudanças ou improvisos. A rotina e a previsibilidade são essenciais para seu conforto e desempenho. TDAH (Transtorno de Déficit de Atenção e Hiperatividade): cheio de energia, se distraindo facilmente com objetos ao redor, dificuldade em manter o foco por muito tempo, trocando constantemente de tarefa. A mente vai a mil por hora, mas o desafio é canalizar essa energia para a concentração. 📌 TDAH e Autismo são diferentes, mas ambos impactam o jeito de aprender. Compreender essas diferenças é essencial para promover inclusão, paciência e estratégias adequadas para cada aluno. 💡 Cada cérebro funciona de um jeito. O importante é respeitar, adaptar e apoiar! Vídeo e legenda @costaeurosia_mamablog #maedeautista #maternisadeatipica #autismonaalemanha #TDAH #Autismo #InclusãoEscolar #EducaçãoParaTodos #Neurodivergência #TDAHEAutismo #RespeitoAsDiferenças</t>
  </si>
  <si>
    <t>7511510738922130181</t>
  </si>
  <si>
    <t>https://v16-webapp-prime.tiktok.com/video/tos/useast2a/tos-useast2a-v-27dcd7/owEJgLIeyBhkAMDOBQfqFWCJA9I90AMDBjPoPU/?a=1988&amp;bti=ODszNWYuMDE6&amp;ch=0&amp;cr=0&amp;dr=0&amp;er=0&amp;lr=default&amp;cd=0%7C0%7C0%7C0&amp;br=250&amp;bt=125&amp;ds=5&amp;ft=GNDpcInz7ThgzKvPXq8Zmo&amp;mime_type=audio_mpeg&amp;qs=13&amp;rc=angzbnM5cmo2MzMzNzU8M0BpangzbnM5cmo2MzMzNzU8M0BuYmYyMmRzcnNhLS1kMTZzYSNuYmYyMmRzcnNhLS1kMTZzcw%3D%3D&amp;btag=e00048000&amp;expire=1764559324&amp;l=2025120110210868B8F68F0D0B7F5CDC9D&amp;ply_type=3&amp;policy=3&amp;signature=b1483083c2ccb44168b08f308b5fb935&amp;tk=7571587458748974088</t>
  </si>
  <si>
    <t>https://p77-sign-va.tiktokcdn.com/tos-maliva-avt-0068/efe2b8b521c8bdb7d926ff7a884d9760~tplv-tiktokx-cropcenter:1080:1080.jpeg?dr=14579&amp;refresh_token=143433a6&amp;x-expires=1764727200&amp;x-signature=BNFE%2BPKq1BWrKQWl3%2FAssiVL8d8%3D&amp;t=4d5b0474&amp;ps=13740610&amp;shp=a5d48078&amp;shcp=81f88b70&amp;idc=my</t>
  </si>
  <si>
    <t>https://v16-webapp-prime.tiktok.com/video/tos/alisg/tos-alisg-ve-37c813-sg/oIgeRAFeGPOfAlMgdWBH8ejZs5tRHQPAkLH0Eg/?a=1988&amp;bti=ODszNWYuMDE6&amp;ch=0&amp;cr=3&amp;dr=0&amp;lr=all&amp;cd=0%7C0%7C0%7C&amp;cv=1&amp;br=1146&amp;bt=573&amp;cs=0&amp;ds=3&amp;ft=I~da4oKyD12Nvm1WS.IxR~kNglBF-UjNSEopiX&amp;mime_type=video_mp4&amp;qs=0&amp;rc=NzZoNTxnZjg7Zzc4Zzk5N0Bpank6dG85cjs2MzMzNzczM0BeMmIyMzEtXjIxXy4uYTIxYSNpL21pMmRzcnNhLS1kMTZzcw%3D%3D&amp;btag=e00088000&amp;expire=1764728525&amp;l=2025120110210868B8F68F0D0B7F5CDC9D&amp;ply_type=2&amp;policy=2&amp;signature=8242f4f26bf2b00cdc919fe8f0ce64f6&amp;tk=tt_chain_token</t>
  </si>
  <si>
    <t>https://www.tiktok.com/@autismo_teapoio/video/7511510736431107384</t>
  </si>
  <si>
    <t>maedeautista,maternisadeatipica,autismonaalemanha,tdah,autismo,inclusa,educac,neurodiverge,tdaheautismo,respeitoasdiferenc</t>
  </si>
  <si>
    <t>7435412561597648184</t>
  </si>
  <si>
    <t>tdah_2023</t>
  </si>
  <si>
    <t>https://p77-sign-va.tiktokcdn.com/tos-maliva-avt-0068/ffa66d6a215ed7b5da155e3555b5031a~tplv-tiktokx-cropcenter:100:100.jpeg?dr=14579&amp;refresh_token=b26fc824&amp;x-expires=1764727200&amp;x-signature=VOfEeq2ZrybTESVw%2F5NlAI0z7kM%3D&amp;t=4d5b0474&amp;ps=13740610&amp;shp=a5d48078&amp;shcp=81f88b70&amp;idc=my</t>
  </si>
  <si>
    <t xml:space="preserve">Um teste online de TDAH pode ser uma ferramenta valiosa para ajudar as pessoas a identificar sinais e sintomas associados ao transtorno. Esses testes geralmente consistem em uma série de perguntas baseadas em critérios diagnósticos, como os do DSM-5, que avaliam aspectos como atenção, impulsividade e hiperatividade. #autismo💙 #motivacao #saude #saudemental #saudeemocional #autismo #tdah #tdahinfantil #tdahadulto #foryou </t>
  </si>
  <si>
    <t>7435412570454805304</t>
  </si>
  <si>
    <t>https://v16-webapp-prime.tiktok.com/video/tos/useast2a/tos-useast2a-v-27dcd7/oo4iAvIifvEKLAFnCNAEJ5siVfA9G9UJBB3BQN/?a=1988&amp;bti=ODszNWYuMDE6&amp;ch=0&amp;cr=0&amp;dr=0&amp;er=0&amp;lr=default&amp;cd=0%7C0%7C0%7C0&amp;br=250&amp;bt=125&amp;ds=5&amp;ft=GNDpcInz7ThyPKvPXq8Zmo&amp;mime_type=audio_mpeg&amp;qs=13&amp;rc=amQ7dXI5cnF4djMzNzU8M0BpamQ7dXI5cnF4djMzNzU8M0BvbjEzMmRzNWtgLS1kMTZzYSNvbjEzMmRzNWtgLS1kMTZzcw%3D%3D&amp;btag=e00070000&amp;expire=1764559230&amp;l=202512011020211DC26370CAB01566B5CA&amp;ply_type=3&amp;policy=3&amp;signature=5851df2bc7c00a78fbc54607124bc9f8&amp;tk=7571587458748974088</t>
  </si>
  <si>
    <t>https://p77-sign-va.tiktokcdn.com/tos-maliva-avt-0068/ffa66d6a215ed7b5da155e3555b5031a~tplv-tiktokx-cropcenter:1080:1080.jpeg?dr=14579&amp;refresh_token=7f186668&amp;x-expires=1764727200&amp;x-signature=0jlsf6oxnCFjffHn8jQ7zXhVOpA%3D&amp;t=4d5b0474&amp;ps=13740610&amp;shp=a5d48078&amp;shcp=81f88b70&amp;idc=my</t>
  </si>
  <si>
    <t>https://webapp-sg.tiktok.com/5572dc963a4ed0216ad5f4f7ff2fec67/692f9e6e/kmoat/mps/logo/v2/r/p/v09044g40000csnu8cvog65sqstvkf8g/23ad73afd0f34601abb52903f7fca930/3fb49bc04de457062f001028547c0014/mp4/main.mp4?a=1988&amp;bti=ODszNWYuMDE6&amp;ch=0&amp;cr=3&amp;dr=0&amp;lr=all&amp;cd=0%7C0%7C0%7C&amp;cv=1&amp;br=0&amp;bt=0&amp;cs=0&amp;ds=3&amp;eid=1286&amp;ft=g3QHe9DfxxOusd.YtDKt8lcLVWOuRx_HFKKMNOWCuJETJDz7T&amp;mime_type=video_mp4&amp;qs=0&amp;rc=cnF8b2hsc2d3SkBwaHIxaDFybndmMzxmOjY8OGU0OTYzaTZnNkBpaml5dnY5cmZ4djMzNzczM0BjRl5Nc3FePmJKYSNvYF90aHFmOiMwXmNjLS9fXi0xY2FeNF4vYSM1aHFuMmRzNWtgLS1kMTZzcw%3D%3D&amp;btag=e000b0000&amp;definition=720p&amp;du=10&amp;item_id=7435412561597648184&amp;l=202512011020211DC26370CAB01566B5CA&amp;logo_type=tiktok_m&amp;ply_type=2&amp;policy=eyJ2bSI6MiwiY2siOiJ0dF9jaGFpbl90b2tlbiJ9&amp;user_text=tdah_2023</t>
  </si>
  <si>
    <t>https://www.tiktok.com/@tdah_2023/video/7435412561597648184</t>
  </si>
  <si>
    <t>autismo💙,motivacao,saude,saudemental,saudeemocional,autismo,tdah,tdahinfantil,tdahadulto,foryou</t>
  </si>
  <si>
    <t>7438780092639104311</t>
  </si>
  <si>
    <t>#tdah #saudemental #psicologia #psicologoonline #psicoterapia #emocoes #viralizou #fyp #foryoupage #fyp #foryou</t>
  </si>
  <si>
    <t>4 coisas que “IRRITA” um ADULTO COM TDAH 1- EVITE interromper um 
TDAH quando ele está HIPERFOCADO 2- Pessoas “LERDAS”! 3- “ENROLAR” para falar algo! 4- MANDAR uma pessoa 
com TDAH fazer alguma coisas 
que ele já sabe o que deve fazer</t>
  </si>
  <si>
    <t>7438780133051861815</t>
  </si>
  <si>
    <t>https://v16-webapp-prime.tiktok.com/video/tos/useast2a/tos-useast2a-v-27dcd7/ogLZyAMOdEZ8C4HAIeG7AT2CSN7eESpAofLgEG/?a=1988&amp;bti=ODszNWYuMDE6&amp;ch=0&amp;cr=0&amp;dr=0&amp;er=0&amp;lr=default&amp;cd=0%7C0%7C0%7C0&amp;br=250&amp;bt=125&amp;ds=5&amp;ft=GNDpcInz7ThMgKvPXq8Zmo&amp;mime_type=audio_mpeg&amp;qs=13&amp;rc=anI6a3k5cjt3djMzNzU8M0BpanI6a3k5cjt3djMzNzU8M0AybWljMmRzanFgLS1kMTZzYSMybWljMmRzanFgLS1kMTZzcw%3D%3D&amp;btag=e00050000&amp;expire=1764559464&amp;l=20251201102320F8FB2F1522387BEC758D&amp;ply_type=3&amp;policy=3&amp;signature=8904d0de27d23d848c8577ef7c2d763f&amp;tk=7571587458748974088</t>
  </si>
  <si>
    <t>https://v16-webapp-prime.tiktok.com/video/tos/useast2a/tos-useast2a-ve-0068c004/oYSPsIoQmEUSZQSUxiIZoAqiBz2vZB24idLE7/?a=1988&amp;bti=ODszNWYuMDE6&amp;ch=0&amp;cr=3&amp;dr=0&amp;lr=all&amp;cd=0%7C0%7C0%7C&amp;cv=1&amp;br=2142&amp;bt=1071&amp;cs=0&amp;ds=3&amp;ft=I~da4oKyD12NvwmWS.IxR51NWlBF-UjNSMopiX&amp;mime_type=video_mp4&amp;qs=0&amp;rc=aGZnZ2hoO2llOzc0NjQ8NEBpM3dyZWs5cjt3djMzNzczM0BfYC1hNGFgXy0xNWItLTYtYSNoajNnMmQ0Z3FgLS1kMTZzcw%3D%3D&amp;btag=e00090000&amp;expire=1764728664&amp;l=20251201102320F8FB2F1522387BEC758D&amp;ply_type=2&amp;policy=2&amp;signature=e17b58ce4546232bafcd387a15b6bc7b&amp;tk=tt_chain_token</t>
  </si>
  <si>
    <t>https://www.tiktok.com/@igorpsicologo/video/7438780092639104311</t>
  </si>
  <si>
    <t>tdah,saudemental,psicologia,psicologoonline,psicoterapia,emocoes,viralizou,fyp,foryoupage,fyp,foryou</t>
  </si>
  <si>
    <t>tdah,saudemental,psicologia,psicologoonline,psicoterapia,emocoes,viralizou,fyp,foryoupage,foryou</t>
  </si>
  <si>
    <t>https://p16-sign-va.tiktokcdn.com/tos-maliva-avt-0068/f5ef76b12fba1261aba4a784145116e5~tplv-tiktokx-cropcenter:100:100.jpeg?dr=14579&amp;refresh_token=36bf84a4&amp;x-expires=1764727200&amp;x-signature=x0L3OElwvnpEzKUeT%2FlkqPPLKbw%3D&amp;t=4d5b0474&amp;ps=13740610&amp;shp=a5d48078&amp;shcp=81f88b70&amp;idc=my</t>
  </si>
  <si>
    <t>https://p16-sg.tiktokcdn.com/aweme/720x720/tos-alisg-v-2774/owyPHEzAZEYPAAUA4dA0LAZiBAwPar9MiqAWD.jpeg</t>
  </si>
  <si>
    <t>https://v16-webapp-prime.tiktok.com/video/tos/alisg/tos-alisg-pve-0037c001/oQIxwRBjwPlsMfi6OWnzoQQEJYBNAfKhYEXIhJ/?a=1988&amp;bti=ODszNWYuMDE6&amp;ch=0&amp;cr=3&amp;dr=0&amp;lr=all&amp;cd=0%7C0%7C0%7C&amp;cv=1&amp;br=2204&amp;bt=1102&amp;cs=0&amp;ds=3&amp;ft=I~da4oKyD12Nvm1WS.IxR~kNglBF-UjNSEopiX&amp;mime_type=video_mp4&amp;qs=0&amp;rc=OTg7ZDY4M2dmODppO2U1N0BpM3I1NWg6Zmk8ZjMzNzczM0BeNDFgLzU1NWExXjQtNV8vYSNfMTAycjRnM3JgLS1kMTZzcw%3D%3D&amp;btag=e00090000&amp;expire=1764728638&amp;l=2025120110210868B8F68F0D0B7F5CDC9D&amp;ply_type=2&amp;policy=2&amp;signature=ba4b5d547072036e589976bca5bfff6e&amp;tk=tt_chain_token</t>
  </si>
  <si>
    <t>7268275744348835078</t>
  </si>
  <si>
    <t>TDAH e a direção! Entendam a brincadeira da matemática 😂😂#longervideos #tdahadulto #curiosidadesentiktok #Tdah #saudemental #psicologia #cienciaentiktok #tdahhumor #tdahmemes #fatoscuriosos #direçao</t>
  </si>
  <si>
    <t>TDAH e a direção!
TDAH e à Direção.</t>
  </si>
  <si>
    <t>7268275779625585413</t>
  </si>
  <si>
    <t>https://v16-webapp-prime.tiktok.com/video/tos/useast2a/tos-useast2a-v-27dcd7/oMJGfBS3CGAIMAKkqhJeDpJ3IBub5AX84QnNUi/?a=1988&amp;bti=ODszNWYuMDE6&amp;ch=0&amp;cr=0&amp;dr=0&amp;er=0&amp;lr=default&amp;cd=0%7C0%7C0%7C0&amp;br=250&amp;bt=125&amp;ds=5&amp;ft=GNDpcInz7ThMgKvPXq8Zmo&amp;mime_type=audio_mpeg&amp;qs=13&amp;rc=ajlobzY6Zm40bTMzNzU8M0BpajlobzY6Zm40bTMzNzU8M0BeNm81cjRnaGNgLS1kMTZzYSNeNm81cjRnaGNgLS1kMTZzcw%3D%3D&amp;btag=e00050000&amp;expire=1764559481&amp;l=20251201102320F8FB2F1522387BEC758D&amp;ply_type=3&amp;policy=3&amp;signature=dac0c9326fed6387cc8360e5bbc74027&amp;tk=7571587458748974088</t>
  </si>
  <si>
    <t>https://v16-webapp-prime.tiktok.com/video/tos/maliva/tos-maliva-ve-0068c801-us/oUAg88dePvfenqUkjbJCDbIngSDoC2LIdJVNQ4/?a=1988&amp;bti=ODszNWYuMDE6&amp;ch=0&amp;cr=3&amp;dr=0&amp;lr=all&amp;cd=0%7C0%7C0%7C&amp;cv=1&amp;br=3618&amp;bt=1809&amp;cs=0&amp;ds=3&amp;ft=I~da4oKyD12NvwmWS.IxR51NWlBF-UjNSMopiX&amp;mime_type=video_mp4&amp;qs=0&amp;rc=ZjtnNjllODM3OmU7ZzZnZUBpM2h0czw6Znk0bTMzNzczM0AwY2E2YDVhNi0xNDFeNC0uYSNycTFzcjRnZ2NgLS1kMTZzcw%3D%3D&amp;btag=e00090000&amp;expire=1764728681&amp;l=20251201102320F8FB2F1522387BEC758D&amp;ply_type=2&amp;policy=2&amp;signature=8f4f8187f03f8bd34dee94873a7693d4&amp;tk=tt_chain_token</t>
  </si>
  <si>
    <t>https://www.tiktok.com/@psi.jonathanorlandi/video/7268275744348835078</t>
  </si>
  <si>
    <t>longervideos,tdahadulto,curiosidadesentiktok,tdah,saudemental,psicologia,cienciaentiktok,tdahhumor,tdahmemes,fatoscuriosos,direçao</t>
  </si>
  <si>
    <t>https://v16-webapp-prime.tiktok.com/video/tos/useast2a/tos-useast2a-v-27dcd7/oYBgAIOsKnyENAYADCzj2EBEkVbEhZfoAtGKsu/?a=1988&amp;bti=ODszNWYuMDE6&amp;ch=0&amp;cr=0&amp;dr=0&amp;er=0&amp;lr=default&amp;cd=0%7C0%7C0%7C0&amp;br=250&amp;bt=125&amp;ds=5&amp;ft=GNDpcInz7ThUPKvPXq8Zmo&amp;mime_type=audio_mpeg&amp;qs=13&amp;rc=M2h1dTY6ZjM5bDMzNzU8M0BpM2h1dTY6ZjM5bDMzNzU8M0BqYGRncjRnbWpgLS1kMTZzYSNqYGRncjRnbWpgLS1kMTZzcw%3D%3D&amp;btag=e00078000&amp;expire=1764559235&amp;l=202512011020200FFD70C70F6D756DA043&amp;ply_type=3&amp;policy=3&amp;signature=9cdd517f52cea9701c72af18bde4db5c&amp;tk=7571587458748974088</t>
  </si>
  <si>
    <t>https://v16-webapp-prime.tiktok.com/video/tos/maliva/tos-maliva-ve-0068c801-us/ooFrJQRonqBxGB2QQDbQAfgiBerXEkBEORsRtY/?a=1988&amp;bti=ODszNWYuMDE6&amp;ch=0&amp;cr=3&amp;dr=0&amp;lr=all&amp;cd=0%7C0%7C0%7C&amp;cv=1&amp;br=2444&amp;bt=1222&amp;cs=0&amp;ds=3&amp;ft=I~da4oKyD12Nvi.WS.IxR51NWlBF-UjNSMopiX&amp;mime_type=video_mp4&amp;qs=0&amp;rc=cnF8b2hsc2d3SkBwaHIxaDFybndmNzg2NTw1Njs0aGg6NDNlM0BpMztudDs6Zm45bDMzNzczM0BjRl5Nc3FePmJKYSNvYF90aHFmOiNgMl8zYGJfXmIxYzYtY19iYSNfLnJucjRfbGpgLS1kMTZzcw%3D%3D&amp;btag=e000b8000&amp;expire=1764728435&amp;l=202512011020200FFD70C70F6D756DA043&amp;ply_type=2&amp;policy=2&amp;signature=fe6c4b52c6b146afce7e8110380fc1ab&amp;tk=tt_chain_token</t>
  </si>
  <si>
    <t>https://v16-webapp-prime.tiktok.com/video/tos/useast2a/tos-useast2a-v-27dcd7/ooQAQSy8Xi0QQ9oTveuKfAWokATMgFgCEZ9eyC/?a=1988&amp;bti=ODszNWYuMDE6&amp;ch=0&amp;cr=0&amp;dr=0&amp;er=0&amp;lr=default&amp;cd=0%7C0%7C0%7C0&amp;br=250&amp;bt=125&amp;ds=5&amp;ft=GNDpcInz7ThRPKvPXq8Zmo&amp;mime_type=audio_mpeg&amp;qs=13&amp;rc=andqeHE5cjhlbzMzNzU8M0BpandqeHE5cjhlbzMzNzU8M0AxYC1rMmRzbmJgLS1kMTZzYSMxYC1rMmRzbmJgLS1kMTZzcw%3D%3D&amp;btag=e00078000&amp;expire=1764559241&amp;l=202512011020161DC26370CAB01566B4BC&amp;ply_type=3&amp;policy=3&amp;signature=11a1f94d62e74961ee5a4c3349361d49&amp;tk=7571587458748974088</t>
  </si>
  <si>
    <t>https://v16-webapp-prime.tiktok.com/video/tos/maliva/tos-maliva-ve-0068c801-us/oIIcEQgkIv7rAtBybiB6vmc4557CfiBokJlRA7/?a=1988&amp;bti=ODszNWYuMDE6&amp;ch=0&amp;cr=3&amp;dr=0&amp;lr=all&amp;cd=0%7C0%7C0%7C&amp;cv=1&amp;br=1012&amp;bt=506&amp;cs=0&amp;ds=3&amp;ft=-Csk_mrMPD12NXdh5d-Uxe42hY6e3wv25XcAp&amp;mime_type=video_mp4&amp;qs=0&amp;rc=Zzg6MztlaDZnaTQzaTw4NUBpajlmeHU5cnllbzMzNzczM0BeYy9fMGIxXzUxMi8yY2FeYSNwZzRhMmRrbWJgLS1kMTZzcw%3D%3D&amp;btag=e000b8000&amp;expire=1764728441&amp;l=202512011020161DC26370CAB01566B4BC&amp;ply_type=2&amp;policy=2&amp;signature=863d3a82825240386224e72eac608801&amp;tk=tt_chain_token</t>
  </si>
  <si>
    <t>https://v16-webapp-prime.tiktok.com/video/tos/useast2a/tos-useast2a-v-27dcd7/o0DCAEkAXI6mnFSoKSefCGS8w7AGCTgRbMIfEC/?a=1988&amp;bti=ODszNWYuMDE6&amp;ch=0&amp;cr=0&amp;dr=0&amp;er=0&amp;lr=default&amp;cd=0%7C0%7C0%7C0&amp;br=250&amp;bt=125&amp;ds=5&amp;ft=GNDpcInz7Th7gKvPXq8Zmo&amp;mime_type=audio_mpeg&amp;qs=13&amp;rc=ajhnO2w5cnN5czMzNzU8M0BpajhnO2w5cnN5czMzNzU8M0AubzUxMmRzXzNgLS1kMTZzYSMubzUxMmRzXzNgLS1kMTZzcw%3D%3D&amp;btag=e00050000&amp;expire=1764559494&amp;l=20251201102324DBF387DCE83828E93247&amp;ply_type=3&amp;policy=3&amp;signature=003be2d8f43f3f6835f31aae8c2d46cb&amp;tk=7571587458748974088</t>
  </si>
  <si>
    <t>https://v16-webapp-prime.tiktok.com/video/tos/maliva/tos-maliva-ve-0068c801-us/oEDfOBfVQCkfMFMIIk6CAbSCEmECWISgjVpc1b/?a=1988&amp;bti=ODszNWYuMDE6&amp;ch=0&amp;cr=3&amp;dr=0&amp;lr=all&amp;cd=0%7C0%7C0%7C&amp;cv=1&amp;br=2274&amp;bt=1137&amp;cs=0&amp;ds=3&amp;ft=-Csk_mrMPD12N1Zh5d-UxBw5XY6e3wv25IcAp&amp;mime_type=video_mp4&amp;qs=0&amp;rc=NGlmZGg8Z2YzODU3NjY7ZEBpMzc8bnc5cnB5czMzNzczM0AtNV5gNDMxNS4xMjEyYzAwYSMuX2RjMmRzXjNgLS1kMTZzcw%3D%3D&amp;btag=e00090000&amp;expire=1764728694&amp;l=20251201102324DBF387DCE83828E93247&amp;ply_type=2&amp;policy=2&amp;signature=6a996367141fbeaa65fcbdbd615af3fb&amp;tk=tt_chain_token</t>
  </si>
  <si>
    <t>https://p77-sign-va.tiktokcdn.com/tos-maliva-avt-0068/7270835054078853126~tplv-tiktokx-cropcenter:100:100.jpeg?dr=14579&amp;refresh_token=d335101f&amp;x-expires=1764727200&amp;x-signature=H4Z3saBYDd2%2BR7BteK4vlntEr70%3D&amp;t=4d5b0474&amp;ps=13740610&amp;shp=a5d48078&amp;shcp=81f88b70&amp;idc=my</t>
  </si>
  <si>
    <t>https://p16-sign-sg.tiktokcdn.com/tos-alisg-v-2774/okfZEtZVCihyCA3OMSBEEyhNgAFmBnCjjfDQAE~720x720.jpeg?lk3s=08d74b56&amp;x-expires=1764577290&amp;x-signature=oibTHAtxIrTMbfTsoWgO106sfZQ%3D</t>
  </si>
  <si>
    <t>https://v16-webapp-prime.tiktok.com/video/tos/useast2a/tos-useast2a-ve-0068c001/oUH2gFWIMxCLX8C2ClLIgjGdIdAjerfQgqe3St/?a=1988&amp;bti=ODszNWYuMDE6&amp;ch=0&amp;cr=3&amp;dr=0&amp;lr=all&amp;cd=0%7C0%7C0%7C&amp;cv=1&amp;br=136&amp;bt=68&amp;cs=0&amp;ds=6&amp;ft=-Csk_mrMPD12NgDh5d-UxgS5hY6e3wv25-cAp&amp;mime_type=video_mp4&amp;qs=5&amp;rc=OGY6PDg7Z2U4OGU4aDM3ZEBpM3k1O3M5cnVwcjMzNzczM0AzXzVgXzIxXy4xMWBiMWNiYSMub2JhMmRrbHFgLS1kMTZzcw%3D%3D&amp;btag=e000b0000&amp;expire=1764728500&amp;l=2025120110213056C909F1BE127E576E48&amp;ply_type=2&amp;policy=2&amp;signature=d0e3b04cf322ec50172d32b3f0d282e6&amp;tk=tt_chain_token</t>
  </si>
  <si>
    <t>https://v16-webapp-prime.tiktok.com/video/tos/alisg/tos-alisg-ve-37c813-sg/oQJzgeNJGCURLCqIBKISh7QHCCSIfg8ggHje3A/?a=1988&amp;bti=ODszNWYuMDE6&amp;ch=0&amp;cr=3&amp;dr=0&amp;lr=all&amp;cd=0%7C0%7C0%7C&amp;cv=1&amp;br=1160&amp;bt=580&amp;cs=0&amp;ds=3&amp;ft=-Csk_mrMPD12NLdh5d-Uxbt2hY6e3wv25HcAp&amp;mime_type=video_mp4&amp;qs=0&amp;rc=Z2U3ZWc2Nzs7ZTRkMzplPEBpMzlvc3I5cnJqNTMzNzczM0AvYjEvNS5iNmMxY14tYC1gYSNscDM0MmQ0cS9hLS1kMTZzcw%3D%3D&amp;btag=e00090000&amp;expire=1764728486&amp;l=202512011020239FD63C9B4E4C976A9DFE&amp;ply_type=2&amp;policy=2&amp;signature=8264fb4811e4a75c17bf599b0190d494&amp;tk=tt_chain_token</t>
  </si>
  <si>
    <t>https://p16-sign-va.tiktokcdn.com/tos-maliva-avt-0068/00f6ab8b637b29865ceebe24b10fef4a~tplv-tiktokx-cropcenter:100:100.jpeg?dr=14579&amp;refresh_token=0127ebc6&amp;x-expires=1764727200&amp;x-signature=6j3BmuhhrLsrf8FiwEFnL7ZI81c%3D&amp;t=4d5b0474&amp;ps=13740610&amp;shp=a5d48078&amp;shcp=81f88b70&amp;idc=my</t>
  </si>
  <si>
    <t>https://v16-webapp-prime.tiktok.com/video/tos/maliva/tos-maliva-ve-0068c801-us/oQLVDGHrQx3RAQ7WkYoiiS8tEeBvJzbPBJgAne/?a=1988&amp;bti=ODszNWYuMDE6&amp;ch=0&amp;cr=3&amp;dr=0&amp;lr=all&amp;cd=0%7C0%7C0%7C&amp;cv=1&amp;br=1536&amp;bt=768&amp;cs=0&amp;ds=3&amp;ft=-Csk_mrMPD12NyDh5d-UxO72hY6e3wv257cAp&amp;mime_type=video_mp4&amp;qs=0&amp;rc=aWk5M2Y2Njs2aDtkOzplOkBpMzd1dGc6ZmxtbDMzNzczM0BfYzM1NWEyNWIxLzMxXjNiYSNkcjJscjRvbGtgLS1kMTZzcw%3D%3D&amp;btag=e00090000&amp;expire=1764728597&amp;l=20251201102104F69A53E45B65A94E5B1C&amp;ply_type=2&amp;policy=2&amp;signature=62da8f9b3b1c951c3986b464e3a33f19&amp;tk=tt_chain_token</t>
  </si>
  <si>
    <t>7158542576100871430</t>
  </si>
  <si>
    <t>issoeinternet</t>
  </si>
  <si>
    <t>Isso é Internet!</t>
  </si>
  <si>
    <t>https://p16-sign-va.tiktokcdn.com/tos-maliva-avt-0068/1ec3a32b59fef9109228fa2cc2b14a0c~tplv-tiktokx-cropcenter:100:100.jpeg?dr=14579&amp;refresh_token=413f88fc&amp;x-expires=1764727200&amp;x-signature=xeDdaybYG1Cp3upu1iGD1aqTQGw%3D&amp;t=4d5b0474&amp;ps=13740610&amp;shp=a5d48078&amp;shcp=81f88b70&amp;idc=my</t>
  </si>
  <si>
    <t xml:space="preserve">Voce sofre ou conhece alguém com esse transtorno? Qual a sua experiência vivendo diariamente com ele?  Alias, para quem não sabia está aí de forma resumida o que é o TDAH (Transtorno de Déficit de Atenção e Hiperatividade).  #podcast #podcasts #podcastclips #podcastbrasil #draanabeatriz #tdah #psicologia #psiquiatria #interessante #curioso #informação #cortespodcast </t>
  </si>
  <si>
    <t>De forma simples e clara Dra. psiquiatra explica perfeitamente o TDAH INTERESSANTE!</t>
  </si>
  <si>
    <t>Chill Vibes</t>
  </si>
  <si>
    <t>7084465663108089857</t>
  </si>
  <si>
    <t>https://sf16-ies-music-sg.tiktokcdn.com/obj/tos-alisg-ve-2774/oAXBiA0YMW4g8WERIO1jifTZogSNzMBk2A4swv</t>
  </si>
  <si>
    <t>https://p16-sg.tiktokcdn.com/aweme/720x720/tos-alisg-v-2774/okEDokAf2ng6tBLdxARBxgACECQGTYAEQgfFZp.jpeg</t>
  </si>
  <si>
    <t>https://v16-webapp-prime.tiktok.com/video/tos/useast2a/tos-useast2a-ve-0068c004/o81WnbIhEDNJRu6zSAjQ8BsigURDAdMMfBfRsO/?a=1988&amp;bti=ODszNWYuMDE6&amp;ch=0&amp;cr=3&amp;dr=0&amp;lr=all&amp;cd=0%7C0%7C0%7C&amp;cv=1&amp;br=1218&amp;bt=609&amp;cs=0&amp;ds=3&amp;ft=-Csk_mrMPD12N3Dh5d-UxIS5hY6e3wv25ocAp&amp;mime_type=video_mp4&amp;qs=0&amp;rc=PGY6Njo4NGg0PDlpOzo5aUBpamZmZDU6ZnI2ZzMzNzczM0AvYDIzMTQzNWExLTFeYzFiYSNtM20vcjRfbmBgLS1kMTZzcw%3D%3D&amp;btag=e00088000&amp;expire=1764728562&amp;l=20251201102147CB7160225F86D969BC26&amp;ply_type=2&amp;policy=2&amp;signature=1afb98317aee7f944039365165804387&amp;tk=tt_chain_token</t>
  </si>
  <si>
    <t>https://www.tiktok.com/@issoeinternet/video/7158542576100871430</t>
  </si>
  <si>
    <t>podcast,podcasts,podcastclips,podcastbrasil,draanabeatriz,tdah,psicologia,psiquiatria,interessante,curioso,informação,cortespodcast</t>
  </si>
  <si>
    <t>https://p77-sign-va.tiktokcdn.com/tos-maliva-avt-0068/5276198b93082394c0b92347278b7f75~tplv-tiktokx-cropcenter:100:100.jpeg?dr=14579&amp;refresh_token=da92ecf1&amp;x-expires=1764727200&amp;x-signature=0Wl0bwbuHx7Ft%2FAfk93zRPDjda0%3D&amp;t=4d5b0474&amp;ps=13740610&amp;shp=a5d48078&amp;shcp=81f88b70&amp;idc=my</t>
  </si>
  <si>
    <t>https://v16-webapp-prime.tiktok.com/video/tos/useast2a/tos-useast2a-v-27dcd7/ookBiAAAiBEAEFioznlBpiEfHQ3EAsKpIEg69v/?a=1988&amp;bti=ODszNWYuMDE6&amp;ch=0&amp;cr=0&amp;dr=0&amp;er=0&amp;lr=default&amp;cd=0%7C0%7C0%7C0&amp;br=250&amp;bt=125&amp;ds=5&amp;ft=GNDpcInz7ThmPKvPXq8Zmo&amp;mime_type=audio_mpeg&amp;qs=13&amp;rc=Mzg5eXE5cnA7dzMzNzU8M0BpMzg5eXE5cnA7dzMzNzU8M0Blc2EwMmRjZDFgLS1kMTZzYSNlc2EwMmRjZDFgLS1kMTZzcw%3D%3D&amp;btag=e00078000&amp;expire=1764559239&amp;l=20251201102018B39B5434B49F795A75FD&amp;ply_type=3&amp;policy=3&amp;signature=cd5b5d10ba9db97d02248fa9d9d18690&amp;tk=7571587458748974088</t>
  </si>
  <si>
    <t>https://p16-sign-va.tiktokcdn.com/tos-maliva-avt-0068/5276198b93082394c0b92347278b7f75~tplv-tiktokx-cropcenter:1080:1080.jpeg?dr=14579&amp;refresh_token=0ce29b7d&amp;x-expires=1764727200&amp;x-signature=G3zd4%2B0JmNjwQVwaEzNm4bfnlIM%3D&amp;t=4d5b0474&amp;ps=13740610&amp;shp=a5d48078&amp;shcp=81f88b70&amp;idc=my</t>
  </si>
  <si>
    <t>https://v16-webapp-prime.tiktok.com/video/tos/useast2a/tos-useast2a-pve-0068/ockAWCEQmeDFjGgIf19rFbXCfgSgKOIIj0QS8j/?a=1988&amp;bti=ODszNWYuMDE6&amp;ch=0&amp;cr=3&amp;dr=0&amp;lr=all&amp;cd=0%7C0%7C0%7C&amp;cv=1&amp;br=1880&amp;bt=940&amp;cs=0&amp;ds=3&amp;ft=I~da4oKyD12Nvu.WS.IxRntNWlBF-UjNSMopiX&amp;mime_type=video_mp4&amp;qs=0&amp;rc=PGY0NmY5aDZmNzQ6Zjo7OEBpajc8aWo5cm47dzMzNzczM0AvL2BjXl4wNjUxNjNjX2FeYSMyX2dhMmRrYzFgLS1kMTZzcw%3D%3D&amp;btag=e000b8000&amp;expire=1764728439&amp;l=20251201102018B39B5434B49F795A75FD&amp;ply_type=2&amp;policy=2&amp;signature=29cac0d3aa849bf857d58ff8826e78d9&amp;tk=tt_chain_token</t>
  </si>
  <si>
    <t>https://v16-webapp-prime.tiktok.com/video/tos/useast2a/tos-useast2a-v-27dcd7/ooEDobA1O2bCUBeAytuBy4ACEBJ5sLAEqQfFJK/?a=1988&amp;bti=ODszNWYuMDE6&amp;ch=0&amp;cr=0&amp;dr=0&amp;er=0&amp;lr=default&amp;cd=0%7C0%7C0%7C0&amp;br=250&amp;bt=125&amp;ds=5&amp;ft=GNDpcInz7ThezKvPXq8Zmo&amp;mime_type=audio_mpeg&amp;qs=13&amp;rc=MzhnOHQ5cjk1NDMzNzU8M0BpMzhnOHQ5cjk1NDMzNzU8M0BzbF9kMmRza2phLS1kMTZzYSNzbF9kMmRza2phLS1kMTZzcw%3D%3D&amp;btag=e00060000&amp;expire=1764559702&amp;l=202512011021342A4EB9620CED315EA2E7&amp;ply_type=3&amp;policy=3&amp;signature=8d18f16446839a11eca2bf2c23d16e36&amp;tk=7571587458748974088</t>
  </si>
  <si>
    <t>https://v16-webapp-prime.tiktok.com/video/tos/alisg/tos-alisg-ve-37c813-sg/ooh0Asn5iIbi4FUAho9INL5IIS91BgQ9CfrEzk/?a=1988&amp;bti=ODszNWYuMDE6&amp;ch=0&amp;cr=3&amp;dr=0&amp;lr=all&amp;cd=0%7C0%7C0%7C&amp;cv=1&amp;br=2296&amp;bt=1148&amp;cs=0&amp;ds=3&amp;ft=-Csk_mrMPD12N6Dh5d-Uxq42hY6e3wv25IcAp&amp;mime_type=video_mp4&amp;qs=0&amp;rc=Z2RlZ2RkOzg5ZWQzZ2hlaEBpam1xeXc5cjc1NDMzNzczM0AuXmAtLl5gNTExMWM0MTZfYSMyZWJwMmRjZmphLS1kMTZzcw%3D%3D&amp;btag=e000a0000&amp;expire=1764728902&amp;l=202512011021342A4EB9620CED315EA2E7&amp;ply_type=2&amp;policy=2&amp;signature=2bf4a0c1191e4f1a1cf9c4c22f78345d&amp;tk=tt_chain_token</t>
  </si>
  <si>
    <t>https://p77-sg.tiktokcdn.com/aweme/720x720/tos-alisg-v-2774/oYmnYiChAvs2AEFEtAfyBACzw0o4AAcTt4UWqO.jpeg</t>
  </si>
  <si>
    <t>https://v16-webapp-prime.tiktok.com/video/tos/useast2a/tos-useast2a-pve-0068/oUJYSZd5GC8IeAejKCNEr4lQDOIeg6bSXt6nDT/?a=1988&amp;bti=ODszNWYuMDE6&amp;ch=0&amp;cr=3&amp;dr=0&amp;lr=all&amp;cd=0%7C0%7C0%7C&amp;cv=1&amp;br=1668&amp;bt=834&amp;cs=0&amp;ds=3&amp;ft=-Csk_mrMPD12NXdh5d-Uxe42hY6e3wv25XcAp&amp;mime_type=video_mp4&amp;qs=0&amp;rc=MzppNWhoN2c8ZjQ1MzQ4PEBpanZyZzg6Zmt4bDMzNzczM0A0YTU1LzZfNWExNGE2X2NgYSM2b2NicjRnamJgLS1kMTZzcw%3D%3D&amp;btag=e00088000&amp;expire=1764728449&amp;l=202512011020161DC26370CAB01566B4BC&amp;ply_type=2&amp;policy=2&amp;signature=cdbee7eaea219b7da5ee1f497a0cf618&amp;tk=tt_chain_token</t>
  </si>
  <si>
    <t>7253983248429108485</t>
  </si>
  <si>
    <t xml:space="preserve">Muito cansativo ter trilhoes de vozes na sua cabeça todos os dias, se sente assim também? 🤔 #ritalina #tdah #tda #autismo #ritalinatdah #diagnostico #relato #informativo   #transtornodedeficitdeatencao #tdahtiktok #tdahadulto #tdahinfantil #psicologia </t>
  </si>
  <si>
    <t>"A mente de um 
TDAH 24h por dia"
TRILHÕES DE VOZES 😫😫</t>
  </si>
  <si>
    <t>6773369601628932870</t>
  </si>
  <si>
    <t>https://v16-webapp-prime.tiktok.com/video/tos/useast2a/tos-useast2a-v-0000/5c9dca12532145819e7cc8b5b38cebdd/?a=1988&amp;bti=ODszNWYuMDE6&amp;ch=0&amp;cr=0&amp;dr=0&amp;er=0&amp;lr=default&amp;cd=0%7C0%7C0%7C0&amp;br=206&amp;bt=103&amp;ds=5&amp;ft=GNDpcInz7ThyPKvPXq8Zmo&amp;mime_type=audio_mp4&amp;qs=13&amp;rc=M3J5dDQ5aGR3cTMzZDU8M0BpM3J5dDQ5aGR3cTMzZDU8M0BmYDVxLm9yb3NfLS0zMTZzYSNmYDVxLm9yb3NfLS0zMTZzcw%3D%3D&amp;btag=e00070000&amp;expire=1764559233&amp;l=202512011020211DC26370CAB01566B5CA&amp;ply_type=3&amp;policy=3&amp;signature=9a5da3d6358985064eab05a71c18a634&amp;tk=7571587458748974088</t>
  </si>
  <si>
    <t>https://p16-amd-va.tiktokcdn.com/img/musically-maliva-obj/1652094473512966~c5_720x720.jpeg</t>
  </si>
  <si>
    <t>https://v16-webapp-prime.tiktok.com/video/tos/maliva/tos-maliva-ve-0068c801-us/ogWJIkAygoSUz2INmhm1NPhArFlzVfCmakhUJC/?a=1988&amp;bti=ODszNWYuMDE6&amp;ch=0&amp;cr=3&amp;dr=0&amp;lr=all&amp;cd=0%7C0%7C0%7C&amp;cv=1&amp;br=2284&amp;bt=1142&amp;cs=0&amp;ds=3&amp;ft=ytpHh9DfxxOusd.YtDKt8lcLVWOuRx_HFKKMNOWCuJETJDz7T&amp;mime_type=video_mp4&amp;qs=0&amp;rc=cnF8b2hsc2d3SkBwaHIxaDFybndmNjNkNThpNWdpNzQzOTk8NkBpajQ5NTU6ZjVvbDMzNzczM0BjRl5Nc3FePmJKYSNvYF90aHFmOiMvLzMuYzUxXy8xYDU2NF8xYSMzMDZfcjRnM2lgLS1kMTZzcw%3D%3D&amp;btag=e000b0000&amp;expire=1764728427&amp;l=202512011020211DC26370CAB01566B5CA&amp;ply_type=2&amp;policy=2&amp;signature=463c9c74f951db98d5f5f61bafe61a53&amp;tk=tt_chain_token</t>
  </si>
  <si>
    <t>https://www.tiktok.com/@mr.tdahzinho/video/7253983248429108485</t>
  </si>
  <si>
    <t>ritalina,tdah,tda,autismo,ritalinatdah,diagnostico,relato,informativo,transtornodedeficitdeatencao,tdahtiktok,tdahadulto,tdahinfantil,psicologia</t>
  </si>
  <si>
    <t>https://p77-sg.tiktokcdn.com/aweme/720x720/tos-alisg-v-2774/oIAjYBUiZvYWAByxA9qvhAEJm6WAEAYurKirr.jpeg</t>
  </si>
  <si>
    <t>https://v16-webapp-prime.tiktok.com/video/tos/useast2a/tos-useast2a-pve-0068/oo2ENEzDQpWBgi8Ff2lRBQAfIKQch0EkNqZH9J/?a=1988&amp;bti=ODszNWYuMDE6&amp;ch=0&amp;cr=3&amp;dr=0&amp;lr=all&amp;cd=0%7C0%7C0%7C&amp;cv=1&amp;br=6192&amp;bt=3096&amp;cs=0&amp;ds=3&amp;ft=-Csk_mrMPD12NyDh5d-UxO72hY6e3wv257cAp&amp;mime_type=video_mp4&amp;qs=0&amp;rc=NjozaTtlZjRkZzUzZmdkaUBpajw2Onk5cmRncTMzNzczM0AzNjU1YDQ2NTMxMTVfNmEwYSNtbTEyMmRrZTVgLS1kMTZzcw%3D%3D&amp;btag=e00090000&amp;expire=1764728524&amp;l=20251201102104F69A53E45B65A94E5B1C&amp;ply_type=2&amp;policy=2&amp;signature=1aeb1e5f831bb5856eef31ebc639a4f0&amp;tk=tt_chain_token</t>
  </si>
  <si>
    <t>https://v16-webapp-prime.tiktok.com/video/tos/useast2a/tos-useast2a-v-27dcd7/ocfZpSgMeEERlMArAGTQAZCoUICSLoAK3qAEIf/?a=1988&amp;bti=ODszNWYuMDE6&amp;ch=0&amp;cr=0&amp;dr=0&amp;er=0&amp;lr=default&amp;cd=0%7C0%7C0%7C0&amp;br=250&amp;bt=125&amp;ds=5&amp;ft=GNDpcInz7ThbzKvPXq8Zmo&amp;mime_type=audio_mpeg&amp;qs=13&amp;rc=M2x2cnk5cjhvMzMzNzU8M0BpM2x2cnk5cjhvMzMzNzU8M0BoaDBxMmQ0MGBhLS1kMTZzYSNoaDBxMmQ0MGBhLS1kMTZzcw%3D%3D&amp;btag=e00050000&amp;expire=1764559452&amp;l=20251201102139650E38823033055E6EEC&amp;ply_type=3&amp;policy=3&amp;signature=49ce327cabfdfa1c24fdaeb11df0534e&amp;tk=7571587458748974088</t>
  </si>
  <si>
    <t>https://v16-webapp-prime.tiktok.com/video/tos/useast2a/tos-useast2a-ve-0068c001/okE2lEbivSQR1ZQMwSQEI7BHBUayUAsWJOiBa/?a=1988&amp;bti=ODszNWYuMDE6&amp;ch=0&amp;cr=3&amp;dr=0&amp;lr=all&amp;cd=0%7C0%7C0%7C&amp;cv=1&amp;br=1548&amp;bt=774&amp;cs=0&amp;ds=3&amp;ft=-Csk_mrMPD12NzDh5d-UxKyFaY6e3wv257cAp&amp;mime_type=video_mp4&amp;qs=0&amp;rc=Ojo6PGQ8ZzdkNjlkNjtlZEBpM3U7ZXA5cnBvMzMzNzczM0AvMjEyLl8uXjYxLjE0YzUwYSMvYy9tMmRrLWBhLS1kMTZzcw%3D%3D&amp;btag=e00090000&amp;expire=1764728652&amp;l=20251201102139650E38823033055E6EEC&amp;ply_type=2&amp;policy=2&amp;signature=0d8d8bf9662a3c0d91549133d57b20f3&amp;tk=tt_chain_token</t>
  </si>
  <si>
    <t>7463208937135820038</t>
  </si>
  <si>
    <t>alinemamedemusse</t>
  </si>
  <si>
    <t>https://p77-sign-va.tiktokcdn.com/tos-maliva-avt-0068/2986301dbf30203424b910880d1be878~tplv-tiktokx-cropcenter:100:100.jpeg?dr=14579&amp;refresh_token=aa674bb2&amp;x-expires=1764727200&amp;x-signature=gBowEG%2BDpi6uOb5lQPCTQ3ka77Q%3D&amp;t=4d5b0474&amp;ps=13740610&amp;shp=a5d48078&amp;shcp=81f88b70&amp;idc=my</t>
  </si>
  <si>
    <t>Autismo e TDAH: Como o toque é percebido? Você sabia que pessoas com autismo e/ou TDAH podem perceber o toque de maneira única? Essa relação com estímulos táteis pode variar entre desconforto extremo e busca constante por sensações. Entenda mais:  ➡️ No Autismo (TEA): - Hipersensibilidade:Pequenos toques podem parecer invasivos ou até dolorosos.  - Hipossensibilidade: Alguns preferem toques intensos, como abraços firmes.  - Seletividade: Preferem toques de pessoas familiares ou situações previsíveis.  ➡️ No TDAH: - Busca por estímulos: Muitas vezes tocam objetos ou texturas para se concentrarem.  - Hipersensibilidade:Em alguns casos, o toque pode ser irritante ou desconfortável.  - Impulsividade tátil: Tendem a tocar pessoas ou objetos sem pensar, especialmente em momentos de ansiedade.  ➡️ Quando TEA e TDAH coexistem: A relação com o toque pode ser ainda mais complexa, combinando hipersensibilidade com a busca por estímulos. Cada pessoa tem sua experiência única, e respeitar esses limites é fundamental.  💡DICA: Sempre pergunte antes de tocar e observe os sinais de conforto ou desconforto.  Gostou do conteúdo? Quer saber mais sobre temas como esse? Me siga @alinemamedemusse e acompanhe as minhas redes sociais! Vamos juntos aprender e compartilhar conhecimento!  #Autismo  #TDAH  #SensibilidadeSensorial  #Inclusão  #Neurodiversidade  #AutismoETDAH  #ToqueEPercepção  #RespeitoAsDiferenças  #ApoioECompreensão  #EducaçãoSensorial  #SaúdeMental  #Conscientização  #CuidadoComAmor  #AprendendoJuntos Crédito do vídeo : RafaelaTuma Edição: Aline Mamede</t>
  </si>
  <si>
    <t>7463208960691489542</t>
  </si>
  <si>
    <t>https://v16-webapp-prime.tiktok.com/video/tos/useast2a/tos-useast2a-v-27dcd7/oUQiSQ4BAclE5B4kiAptxZSoClEU0QCPAAK13/?a=1988&amp;bti=ODszNWYuMDE6&amp;ch=0&amp;cr=0&amp;dr=0&amp;er=0&amp;lr=default&amp;cd=0%7C0%7C0%7C0&amp;br=250&amp;bt=125&amp;ds=5&amp;ft=GNDpcInz7ThrzKvPXq8Zmo&amp;mime_type=audio_mpeg&amp;qs=13&amp;rc=M2ttOnI5cjRkeDMzNzU8M0BpM2ttOnI5cjRkeDMzNzU8M0BwYzNmMmQ0XjZgLS1kMTZzYSNwYzNmMmQ0XjZgLS1kMTZzcw%3D%3D&amp;btag=e00078000&amp;expire=1764559265&amp;l=20251201102050B730D50024D84153D9E5&amp;ply_type=3&amp;policy=3&amp;signature=062eaea9373997787378315720f2dcce&amp;tk=7571587458748974088</t>
  </si>
  <si>
    <t>https://p16-sign-va.tiktokcdn.com/tos-maliva-avt-0068/2986301dbf30203424b910880d1be878~tplv-tiktokx-cropcenter:1080:1080.jpeg?dr=14579&amp;refresh_token=82c5be2c&amp;x-expires=1764727200&amp;x-signature=oLcDxL99%2BVGWVpeuQBd68LLC3Lc%3D&amp;t=4d5b0474&amp;ps=13740610&amp;shp=a5d48078&amp;shcp=81f88b70&amp;idc=my</t>
  </si>
  <si>
    <t>https://webapp-sg.tiktok.com/c78c55b051bd849e5f09a00106be273b/692f9e91/kmoat/mps/logo/v2/r/p/v09044g40000cu9a9uvog65rrn028rp0/4359820a43f0466ea1ba79929cf081f8/afb250e09cf989c6b3d4698ab6755c15/mp4/main.mp4?a=1988&amp;bti=ODszNWYuMDE6&amp;ch=0&amp;cr=3&amp;dr=0&amp;lr=all&amp;cd=0%7C0%7C0%7C&amp;br=0&amp;bt=0&amp;cs=0&amp;ds=3&amp;eid=1286&amp;ft=bLZkAmrMPD12NTDh5d-UxHX2hY6e3wv25McAp&amp;mime_type=video_mp4&amp;qs=0&amp;rc=cnF8b2hsc2d3SkBwaHIxaDFybndmOzQzZjU8ZDRoOTM2ZDU8NkBpM3U1cXU5cnhkeDMzNzczM0BjRl5Nc3FePmJKYSNvYF90aHFmOiNjNWM2NjRfXjMxYzEtNTIxYSNtNS1vMmRzNjZgLS1kMTZzcw%3D%3D&amp;btag=e000b8000&amp;definition=720p&amp;du=15&amp;item_id=7463208937135820038&amp;l=20251201102050B730D50024D84153D9E5&amp;logo_type=tiktok_m&amp;ply_type=2&amp;policy=eyJ2bSI6MiwiY2siOiJ0dF9jaGFpbl90b2tlbiJ9&amp;user_text=alinemamedemusse</t>
  </si>
  <si>
    <t>https://www.tiktok.com/@alinemamedemusse/video/7463208937135820038</t>
  </si>
  <si>
    <t>autismo,tdah,sensibilidadesensorial,inclusão,neurodiversidade,autismoetdah,toqueepercepção,respeitoasdiferenças,apoioecompreensão,educaçãosensorial,saúdemental,conscientização,cuidadocomamor,aprendendojuntos</t>
  </si>
  <si>
    <t>https://v16-webapp-prime.tiktok.com/video/tos/useast2a/tos-useast2a-v-27dcd7/oEKyTefege24fAogYvKYwAeZAgKA8EvgT4BeMk0/?a=1988&amp;bti=ODszNWYuMDE6&amp;ch=0&amp;cr=0&amp;dr=0&amp;er=0&amp;lr=default&amp;cd=0%7C0%7C0%7C0&amp;br=250&amp;bt=125&amp;ds=5&amp;ft=GNDpcInz7ThJzKvPXq8Zmo&amp;mime_type=audio_mpeg&amp;qs=13&amp;rc=ajZpdng5cnN5NDMzNzU8M0BpajZpdng5cnN5NDMzNzU8M0A0MGxzMmQ0b19hLS1kMTZzYSM0MGxzMmQ0b19hLS1kMTZzcw%3D%3D&amp;btag=e00058000&amp;expire=1764559527&amp;l=20251201102141EAAE30DD17435761F356&amp;ply_type=3&amp;policy=3&amp;signature=a584d85d282479e4a53422bd9e8c0616&amp;tk=7571587458748974088</t>
  </si>
  <si>
    <t>https://p16-sign-va.tiktokcdn.com/tos-maliva-avt-0068/fc1698d10dca32b79684fcca308c78cc~tplv-tiktokx-cropcenter:1080:1080.jpeg?dr=14579&amp;refresh_token=f3577678&amp;x-expires=1764727200&amp;x-signature=4scmhRuaxr2ckE380toGq0txXXI%3D&amp;t=4d5b0474&amp;ps=13740610&amp;shp=a5d48078&amp;shcp=81f88b70&amp;idc=my</t>
  </si>
  <si>
    <t>https://v16-webapp-prime.tiktok.com/video/tos/useast2a/tos-useast2a-ve-0068c001/okZsIGDbQFAxIlCr2gESeAIgCqfhfjqYQBwFgg/?a=1988&amp;bti=ODszNWYuMDE6&amp;ch=0&amp;cr=3&amp;dr=0&amp;lr=all&amp;cd=0%7C0%7C0%7C&amp;cv=1&amp;br=1198&amp;bt=599&amp;cs=0&amp;ds=3&amp;ft=-Csk_mrMPD12NWDh5d-Uxvt2hY6e3wv251cAp&amp;mime_type=video_mp4&amp;qs=0&amp;rc=ODpkNGloOjppNzM1ODhnZ0BpampvO285cnB5NDMzNzczM0BgNmA2NGIyXjMxX15hNF5eYSNhYDMzMmRzbF9hLS1kMTZzcw%3D%3D&amp;btag=e00098000&amp;expire=1764728727&amp;l=20251201102141EAAE30DD17435761F356&amp;ply_type=2&amp;policy=2&amp;signature=91eb5bd796709c012f6591256c755550&amp;tk=tt_chain_token</t>
  </si>
  <si>
    <t>7255011000850648326</t>
  </si>
  <si>
    <t>full.cortes</t>
  </si>
  <si>
    <t>FullCortes</t>
  </si>
  <si>
    <t>https://p77-sign-va.tiktokcdn.com/tos-maliva-avt-0068/5efc3dc167f0c154418af722dfeb0fbc~tplv-tiktokx-cropcenter:100:100.jpeg?dr=14579&amp;refresh_token=82d265f9&amp;x-expires=1764727200&amp;x-signature=gBpPiNxIoC5l682hwmPpNmIAEF8%3D&amp;t=4d5b0474&amp;ps=13740610&amp;shp=a5d48078&amp;shcp=81f88b70&amp;idc=my</t>
  </si>
  <si>
    <t xml:space="preserve">Bruno Lima Nunes bomba na internet fazendo conteúdo para quem, como ele, tem TDAH. "O QUE É TDAH?" #achismos #mauriciomeirelles #podcast #tdah #tdahadulto #tdahtiktok #tdahmemes #tdahhumor #tdahinfantil #sintomas #ansiedade #depressao #fyp #foryou #fypシ </t>
  </si>
  <si>
    <t>https://v16-webapp-prime.tiktok.com/video/tos/useast2a/tos-useast2a-ve-0068c002/ogM7evAmnR4RclIkAY8AJ6RY4BbekWBgDMQNEr/?a=1988&amp;bti=ODszNWYuMDE6&amp;ch=0&amp;cr=3&amp;dr=0&amp;lr=all&amp;cd=0%7C0%7C0%7C&amp;cv=1&amp;br=1032&amp;bt=516&amp;cs=0&amp;ds=3&amp;ft=-Csk_mrMPD12N0dh5d-UxPO2hY6e3wv252cAp&amp;mime_type=video_mp4&amp;qs=0&amp;rc=NjpnPGk4ZGQ8ZWdnOmc8NUBpamh1cjU6ZjlpbDMzNzczM0AzYGIxYi0yNjAxYzQvX14xYSMwYG8xcjQwZmtgLS1kMTZzcw%3D%3D&amp;btag=e00090000&amp;expire=1764728499&amp;l=20251201102014E2CB5F4C19000C61E683&amp;ply_type=2&amp;policy=2&amp;signature=5674f630dfa695bad691e40c4c09d91d&amp;tk=tt_chain_token</t>
  </si>
  <si>
    <t>https://www.tiktok.com/@full.cortes/video/7255011000850648326</t>
  </si>
  <si>
    <t>achismos,mauriciomeirelles,podcast,tdah,tdahadulto,tdahtiktok,tdahmemes,tdahhumor,tdahinfantil,sintomas,ansiedade,depressao,fyp,foryou,fypシ</t>
  </si>
  <si>
    <t>7343960456433863941</t>
  </si>
  <si>
    <t>michelmansurpsicologia</t>
  </si>
  <si>
    <t>Psicólogo Michel Mansur</t>
  </si>
  <si>
    <t>https://p16-sign-va.tiktokcdn.com/tos-maliva-avt-0068/dc1608455681d3e6f1abea986b3921cc~tplv-tiktokx-cropcenter:100:100.jpeg?dr=14579&amp;refresh_token=9cbd0250&amp;x-expires=1764727200&amp;x-signature=ydvSuI4h5zgSx%2Bsd0mtiDqLT0DI%3D&amp;t=4d5b0474&amp;ps=13740610&amp;shp=a5d48078&amp;shcp=81f88b70&amp;idc=my</t>
  </si>
  <si>
    <t>Você já ouviu falar que pessoas com TDAH podem ter uma sensibilidade auditiva maior que a comum?  #tdahadultos #psicologo #tdahdescomplicado #tdahinfantil #deficitdeatenção #hiperatividade #tdahcomamor #tdahadulto #tdah #hiperativo #deficitdeatencao #psicologia #terapia #ansiedade #depressao</t>
  </si>
  <si>
    <t>7343960477449636613</t>
  </si>
  <si>
    <t>https://v16-webapp-prime.tiktok.com/video/tos/useast2a/tos-useast2a-v-27dcd7/ocVPAqGAAIXALH4pzkeEmdP8SmedffQtJIFycI/?a=1988&amp;bti=ODszNWYuMDE6&amp;ch=0&amp;cr=0&amp;dr=0&amp;er=0&amp;lr=default&amp;cd=0%7C0%7C0%7C0&amp;br=250&amp;bt=125&amp;ds=5&amp;ft=GNDpcInz7ThpzKvPXq8Zmo&amp;mime_type=audio_mpeg&amp;qs=13&amp;rc=amlnbnM5cjxpcTMzNzU8M0BpamlnbnM5cjxpcTMzNzU8M0BgcHNnMmRzbmlgLS1kMTZzYSNgcHNnMmRzbmlgLS1kMTZzcw%3D%3D&amp;btag=e00050000&amp;expire=1764559366&amp;l=2025120110213056C909F1BE127E576E48&amp;ply_type=3&amp;policy=3&amp;signature=69f0389505833cb6f65b48a2a48e5a39&amp;tk=7571587458748974088</t>
  </si>
  <si>
    <t>https://p16-sign-va.tiktokcdn.com/tos-maliva-avt-0068/dc1608455681d3e6f1abea986b3921cc~tplv-tiktokx-cropcenter:1080:1080.jpeg?dr=14579&amp;refresh_token=24b3be5c&amp;x-expires=1764727200&amp;x-signature=weQEGejZCADzPq9QFW1yD2Ob07o%3D&amp;t=4d5b0474&amp;ps=13740610&amp;shp=a5d48078&amp;shcp=81f88b70&amp;idc=my</t>
  </si>
  <si>
    <t>https://v16-webapp-prime.tiktok.com/video/tos/maliva/tos-maliva-ve-68c800-us/o0RpvjQAkGAX2QffP8Gffq8ISoMsFESISgTXvV/?a=1988&amp;bti=ODszNWYuMDE6&amp;ch=0&amp;cr=3&amp;dr=0&amp;lr=all&amp;cd=0%7C0%7C0%7C&amp;cv=1&amp;br=1962&amp;bt=981&amp;cs=0&amp;ds=3&amp;ft=-Csk_mrMPD12NgDh5d-UxgS5hY6e3wv25-cAp&amp;mime_type=video_mp4&amp;qs=0&amp;rc=ZTY6MzszNDlkPDU1aTs1NkBpamk8dnk5cjdpcTMzNzczM0A2Xy0vNC9gNmMxMTNfM19eYSNxNmVxMmRjbmlgLS1kMTZzcw%3D%3D&amp;btag=e00090000&amp;expire=1764728566&amp;l=2025120110213056C909F1BE127E576E48&amp;ply_type=2&amp;policy=2&amp;signature=278896e9c5f75e03ec111810f164af83&amp;tk=tt_chain_token</t>
  </si>
  <si>
    <t>https://www.tiktok.com/@michelmansurpsicologia/video/7343960456433863941</t>
  </si>
  <si>
    <t>tdahadultos,psicologo,tdahdescomplicado,tdahinfantil,deficitdeatenção,hiperatividade,tdahcomamor,tdahadulto,tdah,hiperativo,deficitdeatencao,psicologia,terapia,ansiedade,depressao</t>
  </si>
  <si>
    <t>7325427974470126853</t>
  </si>
  <si>
    <t>#bbb #tdah #tdahadulto #tdahmemes #bbb24 #inconstancia #produtividade #transtornobipolar #depressão #psicologia #ansiedade #bipolaridade #tdahadulto #psiquiatria #saudemental</t>
  </si>
  <si>
    <t xml:space="preserve">@tdahpragentegrande
TDAH é transtono de aprendizagem? </t>
  </si>
  <si>
    <t>7325427993246370566</t>
  </si>
  <si>
    <t>https://v16-webapp-prime.tiktok.com/video/tos/useast2a/tos-useast2a-v-27dcd7/o8eskvrECACIAhgHLfGVSLQeUQAv9lTVkL4oKq/?a=1988&amp;bti=ODszNWYuMDE6&amp;ch=0&amp;cr=0&amp;dr=0&amp;er=0&amp;lr=default&amp;cd=0%7C0%7C0%7C0&amp;br=250&amp;bt=125&amp;ds=5&amp;ft=GNDpcInz7Th5gKvPXq8Zmo&amp;mime_type=audio_mpeg&amp;qs=13&amp;rc=M29meGw5cndscDMzNzU8M0BpM29meGw5cndscDMzNzU8M0BjZGlsMmRjX2hgLS1kMTZzYSNjZGlsMmRjX2hgLS1kMTZzcw%3D%3D&amp;btag=e00050000&amp;expire=1764559458&amp;l=2025120110231876F6DCE29F9E0DEB7B51&amp;ply_type=3&amp;policy=3&amp;signature=04650dc6011073ed542f1d28fcb435f7&amp;tk=7571587458748974088</t>
  </si>
  <si>
    <t>https://v16-webapp-prime.tiktok.com/video/tos/useast2a/tos-useast2a-ve-0068c004/oM7WEIpERJifZVeAJQgSUIqqQAal6yDpL5hBFB/?a=1988&amp;bti=ODszNWYuMDE6&amp;ch=0&amp;cr=3&amp;dr=0&amp;lr=all&amp;cd=0%7C0%7C0%7C&amp;cv=1&amp;br=1182&amp;bt=591&amp;cs=0&amp;ds=6&amp;ft=-Csk_mrMPD12NeZh5d-UxbS5hY6e3wv25McAp&amp;mime_type=video_mp4&amp;qs=5&amp;rc=NzZkZDY3ZTw5OjY2Nzg6PEBpM2VubnM5cnhscDMzNzczM0AwXzIvLS9gXjUxYWIxXzRgYSMtbV8zMmRjXmhgLS1kMTZzcw%3D%3D&amp;btag=e00090000&amp;expire=1764728658&amp;l=2025120110231876F6DCE29F9E0DEB7B51&amp;ply_type=2&amp;policy=2&amp;signature=68ead702d61352759156118cdf70d63b&amp;tk=tt_chain_token</t>
  </si>
  <si>
    <t>https://www.tiktok.com/@veigasaymon/video/7325427974470126853</t>
  </si>
  <si>
    <t>bbb,tdah,tdahadulto,tdahmemes,bbb24,inconstancia,produtividade,transtornobipolar,depressão,psicologia,ansiedade,bipolaridade,tdahadulto,psiquiatria,saudemental</t>
  </si>
  <si>
    <t>bbb,tdah,tdahadulto,tdahmemes,bbb24,inconstancia,produtividade,transtornobipolar,depressão,psicologia,ansiedade,bipolaridade,psiquiatria,saudemental</t>
  </si>
  <si>
    <t>7536569658711854341</t>
  </si>
  <si>
    <t>tdahdemaepramae</t>
  </si>
  <si>
    <t>https://p16-sign-va.tiktokcdn.com/tos-maliva-avt-0068/13f8e6686c50644d286baea2a2d9ea82~tplv-tiktokx-cropcenter:100:100.jpeg?dr=14579&amp;refresh_token=ff577510&amp;x-expires=1764727200&amp;x-signature=3GlUhHi47QgbJysOFtyw8ERZxyA%3D&amp;t=4d5b0474&amp;ps=13740610&amp;shp=a5d48078&amp;shcp=81f88b70&amp;idc=my</t>
  </si>
  <si>
    <t>🚨 Alerta importante para pais e educadores O TDAH não tratado na adolescência pode aumentar o risco de autoagressão e pensamentos perigosos. Não é “falta de disciplina” ou “fase da idade” — é uma questão de saúde que precisa de atenção, diagnóstico e acompanhamento. 🛑 Informação salva vidas. Cuide, observe, acolha. #TDAH #AdolescenteTDAH #SaúdeMental #AtençãoPlena #Neurodivergente #PaisInformados #MaternidadeAtípica #FamíliasTDAH #ProfessorAtento #EducaçãoInclusiva #ComportamentoAdolescente #PrevençãoSempre #MãesDeTDAH #CuidadoEmPrimeiroLugar #TDAHNaAdolescência</t>
  </si>
  <si>
    <t>O pior risco do 
TDAH não tratado</t>
  </si>
  <si>
    <t>7536569679224343301</t>
  </si>
  <si>
    <t>https://v16-webapp-prime.tiktok.com/video/tos/useast2a/tos-useast2a-v-27dcd7/okEGvJCBAXjCrlyUzaNEdwQwZLANAGBiA9RiS/?a=1988&amp;bti=ODszNWYuMDE6&amp;ch=0&amp;cr=0&amp;dr=0&amp;er=0&amp;lr=default&amp;cd=0%7C0%7C0%7C0&amp;br=250&amp;bt=125&amp;ds=5&amp;ft=GNDpcInz7ThHCKvPXq8Zmo&amp;mime_type=audio_mpeg&amp;qs=13&amp;rc=M2Vpdmw5cmduNTMzNzU8M0BpM2Vpdmw5cmduNTMzNzU8M0Awby4tMmRrYF9hLS1kMTZzYSMwby4tMmRrYF9hLS1kMTZzcw%3D%3D&amp;btag=e00058000&amp;expire=1764559775&amp;l=20251201102621685156231C3BF25DC8EB&amp;ply_type=3&amp;policy=3&amp;signature=ee9b6ef4a41ef7691c3f0a5f01ae9259&amp;tk=7571587458748974088</t>
  </si>
  <si>
    <t>https://p16-sign-va.tiktokcdn.com/tos-maliva-avt-0068/13f8e6686c50644d286baea2a2d9ea82~tplv-tiktokx-cropcenter:1080:1080.jpeg?dr=14579&amp;refresh_token=d3c6948c&amp;x-expires=1764727200&amp;x-signature=l6JqpqWF%2B7G4ZJujvJnFT%2BS2SO8%3D&amp;t=4d5b0474&amp;ps=13740610&amp;shp=a5d48078&amp;shcp=81f88b70&amp;idc=my</t>
  </si>
  <si>
    <t>https://v16-webapp-prime.tiktok.com/video/tos/alisg/tos-alisg-ve-37c813-sg/osS3qAfkJlIhaeR8EbQZQBFELGBOAouYDxB0Bn/?a=1988&amp;bti=ODszNWYuMDE6&amp;ch=0&amp;cr=3&amp;dr=0&amp;lr=all&amp;cd=0%7C0%7C0%7C&amp;cv=1&amp;br=2752&amp;bt=1376&amp;cs=0&amp;ds=3&amp;ft=-Csk_mrMPD12NjKh5d-UxSI5SY6e3wv25NcAp&amp;mime_type=video_mp4&amp;qs=0&amp;rc=ZDg0ZGc0NWY6aGhnMzY7Z0Bpajpsdm85cjluNTMzNzczM0A2L15eNGE0Nl4xYTIzMWJfYSMzLmVhMmRzNl9hLS1kMTZzcw%3D%3D&amp;btag=e00098000&amp;expire=1764728975&amp;l=20251201102621685156231C3BF25DC8EB&amp;ply_type=2&amp;policy=2&amp;signature=0a474b4ab6fc9c839dfccae3870a72d3&amp;tk=tt_chain_token</t>
  </si>
  <si>
    <t>https://www.tiktok.com/@tdahdemaepramae/video/7536569658711854341</t>
  </si>
  <si>
    <t>tdah,adolescentetdah,saúdemental,atençãoplena,neurodivergente,paisinformados,maternidadeatípica,famíliastdah,professoratento,educaçãoinclusiva,comportamentoadolescente,prevençãosempre,mãesdetdah,cuidadoemprimeirolugar,tdahnaadolescência</t>
  </si>
  <si>
    <t>https://p77-sign-va.tiktokcdn.com/tos-maliva-avt-0068/5e5b84ee647a8a7823fb0c571e620293~tplv-tiktokx-cropcenter:100:100.jpeg?dr=14579&amp;refresh_token=36976c26&amp;x-expires=1764727200&amp;x-signature=VwlhZz5xrLnRjNMJE5t4SmYpRvw%3D&amp;t=4d5b0474&amp;ps=13740610&amp;shp=a5d48078&amp;shcp=81f88b70&amp;idc=my</t>
  </si>
  <si>
    <t>https://v16-webapp-prime.tiktok.com/video/tos/useast2a/tos-useast2a-v-27dcd7/ogIu5AToICEefIGAANAgkQ4eSCLvFCgGA9H355/?a=1988&amp;bti=ODszNWYuMDE6&amp;ch=0&amp;cr=0&amp;dr=0&amp;er=0&amp;lr=default&amp;cd=0%7C0%7C0%7C0&amp;br=250&amp;bt=125&amp;ds=5&amp;ft=GNDpcInz7ThmPKvPXq8Zmo&amp;mime_type=audio_mpeg&amp;qs=13&amp;rc=MzVzNXg5cngzdTMzNzU8M0BpMzVzNXg5cngzdTMzNzU8M0BocjZjMmRzXy1gLS1kMTZzYSNocjZjMmRzXy1gLS1kMTZzcw%3D%3D&amp;btag=e00048000&amp;expire=1764559273&amp;l=20251201102018B39B5434B49F795A75FD&amp;ply_type=3&amp;policy=3&amp;signature=61045a8928e351b2bc913316999ebe4d&amp;tk=7571587458748974088</t>
  </si>
  <si>
    <t>https://p77-sign-va.tiktokcdn.com/tos-maliva-avt-0068/5e5b84ee647a8a7823fb0c571e620293~tplv-tiktokx-cropcenter:1080:1080.jpeg?dr=14579&amp;refresh_token=703dfcf1&amp;x-expires=1764727200&amp;x-signature=RvdJcujZshiyjk%2F9f%2Fendj3RVpw%3D&amp;t=4d5b0474&amp;ps=13740610&amp;shp=a5d48078&amp;shcp=81f88b70&amp;idc=my</t>
  </si>
  <si>
    <t>https://v16-webapp-prime.tiktok.com/video/tos/alisg/tos-alisg-pve-0037c001/ogNvSeqUHCrgAAWjUCeRofJAZgIsgm8ddq6MQ8/?a=1988&amp;bti=ODszNWYuMDE6&amp;ch=0&amp;cr=3&amp;dr=0&amp;lr=all&amp;cd=0%7C0%7C0%7C&amp;cv=1&amp;br=1780&amp;bt=890&amp;cs=0&amp;ds=3&amp;ft=I~da4oKyD12Nvu.WS.IxRntNWlBF-UjNSMopiX&amp;mime_type=video_mp4&amp;qs=0&amp;rc=ZWY5Omg7aDM3Nzs4OGc0OEBpamRwPGw5cmozdTMzNzczM0BgL2AxMjBeNWAxYy8vMTMwYSNzYzVlMmRzXi1gLS1kMTZzcw%3D%3D&amp;btag=e00088000&amp;expire=1764728473&amp;l=20251201102018B39B5434B49F795A75FD&amp;ply_type=2&amp;policy=2&amp;signature=6f9bfb5a6e25a97dc5fe1130673f6eef&amp;tk=tt_chain_token</t>
  </si>
  <si>
    <t>7340623143859457286</t>
  </si>
  <si>
    <t>O TDAH costuma ser confundido com muitas coisas. Muitos desses estereótipos são negativos. Mas o que o TDAH NÃO É? #tdahadultos #psicologo #tdahdescomplicado #tdahinfantil #deficitdeatenção #hiperatividade #tdahcomamor #tdahadulto #tdah #hiperativo #deficitdeatencao #psicologia #terapia #ansiedade #depressao</t>
  </si>
  <si>
    <t>7340623165654993669</t>
  </si>
  <si>
    <t>https://v16-webapp-prime.tiktok.com/video/tos/useast2a/tos-useast2a-v-27dcd7/oITCPLCOAuHeNQvOeLczEASe9AQoQAEKGkQLIg/?a=1988&amp;bti=ODszNWYuMDE6&amp;ch=0&amp;cr=0&amp;dr=0&amp;er=0&amp;lr=default&amp;cd=0%7C0%7C0%7C0&amp;br=250&amp;bt=125&amp;ds=5&amp;ft=GNDpcInz7ThpzKvPXq8Zmo&amp;mime_type=audio_mpeg&amp;qs=13&amp;rc=MzVkdG45cnJscTMzNzU8M0BpMzVkdG45cnJscTMzNzU8M0BsL3AuMmRzMGNgLS1kMTZzYSNsL3AuMmRzMGNgLS1kMTZzcw%3D%3D&amp;btag=e00050000&amp;expire=1764559358&amp;l=2025120110213056C909F1BE127E576E48&amp;ply_type=3&amp;policy=3&amp;signature=d0411b24cfabc6c3e6c51b130fc4ceb5&amp;tk=7571587458748974088</t>
  </si>
  <si>
    <t>https://v16-webapp-prime.tiktok.com/video/tos/maliva/tos-maliva-ve-0068c801-us/oseIp8ke3gsjMwxiAAwQAVCSQCvWA4PqLNLVfN/?a=1988&amp;bti=ODszNWYuMDE6&amp;ch=0&amp;cr=3&amp;dr=0&amp;lr=all&amp;cd=1%7C0%7C1%7C&amp;cv=1&amp;br=1486&amp;bt=743&amp;cs=0&amp;ds=3&amp;ft=-Csk_mrMPD12NgDh5d-UxgS5hY6e3wv25-cAp&amp;mime_type=video_mp4&amp;qs=0&amp;rc=OWY3ZTxpM2U0ZTVpM2RnN0BpanMzZXA5cnRscTMzNzczM0AuMDU1Li8uXjUxLjM2NTJfYSNqYV4uMmRrL2NgLS1kMTZzcw%3D%3D&amp;btag=e00090000&amp;expire=1764728558&amp;l=2025120110213056C909F1BE127E576E48&amp;ply_type=2&amp;policy=2&amp;signature=4b527950a233afb68112d3cbecf9f220&amp;tk=tt_chain_token</t>
  </si>
  <si>
    <t>https://www.tiktok.com/@michelmansurpsicologia/video/7340623143859457286</t>
  </si>
  <si>
    <t>7404150034045996294</t>
  </si>
  <si>
    <t>TDAH - Impaciência e irritabilidade #fy #fyp #fyp #pessoas #tdah #autoestima #autocuidado #autoconhecimento #viral #amorpropio #saudemental #tdahadulto #hiperfoco #estresse #fypage #CapCut</t>
  </si>
  <si>
    <t>Impaciência e irritabilidade TDAH
TDAH
Impaciência e irritabilidade</t>
  </si>
  <si>
    <t>7404150052135897862</t>
  </si>
  <si>
    <t>https://v16-webapp-prime.tiktok.com/video/tos/useast2a/tos-useast2a-v-27dcd7/oAasfBBY30Dg0iEVzYVlmAkKoEaAARvEAA5GiC/?a=1988&amp;bti=ODszNWYuMDE6&amp;ch=0&amp;cr=0&amp;dr=0&amp;er=0&amp;lr=default&amp;cd=0%7C0%7C0%7C0&amp;br=250&amp;bt=125&amp;ds=5&amp;ft=GNDpcInz7ThmPKvPXq8Zmo&amp;mime_type=audio_mpeg&amp;qs=13&amp;rc=am9uN3M5cmxndTMzNzU8M0Bpam9uN3M5cmxndTMzNzU8M0BvMV5gMmRzMy1gLS1kMTZzYSNvMV5gMmRzMy1gLS1kMTZzcw%3D%3D&amp;btag=e00050000&amp;expire=1764559315&amp;l=20251201102018B39B5434B49F795A75FD&amp;ply_type=3&amp;policy=3&amp;signature=ad2c7e142769e0b8cd89ea7e8bddff56&amp;tk=7571587458748974088</t>
  </si>
  <si>
    <t>https://v16-webapp-prime.tiktok.com/video/tos/alisg/tos-alisg-pve-0037c001/ooQMXENPmBUFceoqADBPTQDwFQJIJEfR4E5XIU/?a=1988&amp;bti=ODszNWYuMDE6&amp;ch=0&amp;cr=3&amp;dr=0&amp;lr=all&amp;cd=0%7C0%7C0%7C&amp;cv=1&amp;br=1992&amp;bt=996&amp;cs=0&amp;ds=3&amp;ft=I~da4oKyD12Nvu.WS.IxRntNWlBF-UjNSMopiX&amp;mime_type=video_mp4&amp;qs=0&amp;rc=ODs3Zjk3Zmk4aDQ8OWdkOEBpM3h4eW85cnRndTMzNzczM0BiXjUvYjUyXjExYWAzLWBhYSNeazEyMmQ0MS1gLS1kMTZzcw%3D%3D&amp;btag=e00090000&amp;expire=1764728515&amp;l=20251201102018B39B5434B49F795A75FD&amp;ply_type=2&amp;policy=2&amp;signature=1d71c4502a5e930494e4d2fd647e5937&amp;tk=tt_chain_token</t>
  </si>
  <si>
    <t>https://www.tiktok.com/@evolutiva_mente/video/7404150034045996294</t>
  </si>
  <si>
    <t>fy,fyp,fyp,pessoas,tdah,autoestima,autocuidado,autoconhecimento,viral,amorpropio,saudemental,tdahadulto,hiperfoco,estresse,fypage,capcut</t>
  </si>
  <si>
    <t>fy,fyp,pessoas,tdah,autoestima,autocuidado,autoconhecimento,viral,amorpropio,saudemental,tdahadulto,hiperfoco,estresse,fypage,CapCut</t>
  </si>
  <si>
    <t>https://p16-sign-va.tiktokcdn.com/tos-maliva-avt-0068/af2e626856556626c46fc495e4da441c~tplv-tiktokx-cropcenter:100:100.jpeg?dr=14579&amp;refresh_token=a6dc2d76&amp;x-expires=1764727200&amp;x-signature=qkIbpS6dee0McZptG1OsPu5nhdA%3D&amp;t=4d5b0474&amp;ps=13740610&amp;shp=a5d48078&amp;shcp=81f88b70&amp;idc=my</t>
  </si>
  <si>
    <t>https://v16-webapp-prime.tiktok.com/video/tos/maliva/tos-maliva-ve-27dcd7c799-us/owJDxPlBSxJxEcUUF2CCSQYDmgCSUu6BGBf2eg/?a=1988&amp;bti=ODszNWYuMDE6&amp;ch=0&amp;cr=0&amp;dr=0&amp;er=0&amp;lr=default&amp;cd=0%7C0%7C0%7C0&amp;br=250&amp;bt=125&amp;ft=GNDpcInz7ThUPKvPXq8Zmo&amp;mime_type=audio_mpeg&amp;qs=6&amp;rc=Zmc8OTw4Zzg7aWZmOTNoNUBpanI2M2o5cnFwbzMzZzU8NEAtYF8uLjM1XzExLS80NGBfYSNlbjQyMmQ0NDZgLS1kMS9zcw%3D%3D&amp;btag=e00088000&amp;expire=1764559257&amp;l=202512011020200FFD70C70F6D756DA043&amp;ply_type=3&amp;policy=3&amp;signature=ad0bde23a20d66959a3bdaf787a49e57&amp;tk=7571587458748974088</t>
  </si>
  <si>
    <t>https://p16-sign-va.tiktokcdn.com/tos-maliva-avt-0068/372c8194bccc408b29e0a731a3f80e46~tplv-tiktokx-cropcenter:1080:1080.jpeg?dr=14579&amp;refresh_token=f7064623&amp;x-expires=1764727200&amp;x-signature=KtV6KYADEUtgr1snaugGNHUAPxI%3D&amp;t=4d5b0474&amp;ps=13740610&amp;shp=a5d48078&amp;shcp=81f88b70&amp;idc=my</t>
  </si>
  <si>
    <t>https://v16-webapp-prime.tiktok.com/video/tos/maliva/tos-maliva-ve-0068c801-us/ocHSnHLfVlEMXJBpBeDknFFNTd95QA5Inz8tEC/?a=1988&amp;bti=ODszNWYuMDE6&amp;ch=0&amp;cr=3&amp;dr=0&amp;lr=all&amp;cd=0%7C0%7C0%7C&amp;br=864&amp;bt=432&amp;cs=0&amp;ds=3&amp;ft=I~da4oKyD12Nvi.WS.IxR51NWlBF-UjNSMopiX&amp;mime_type=video_mp4&amp;qs=0&amp;rc=NDk0ODplZzZlNDQ4M2g3OUBpamx0dnY5cmtncTMzNzgzM0AzMC8wYGAxXzExMy82MTRhYSMyYnNtMmRzL2ZgLS1kLzZzcw%3D%3D&amp;btag=e000b0000&amp;expire=1764728429&amp;l=202512011020200FFD70C70F6D756DA043&amp;ply_type=2&amp;policy=2&amp;signature=2249727b7d0f2d2536648d470643edbc&amp;tk=tt_chain_token</t>
  </si>
  <si>
    <t>https://v16-webapp-prime.tiktok.com/video/tos/useast2a/tos-useast2a-v-27dcd7/o4HIoAE4EFEae2AgITrDSvZoBxHAf9NY7C3fC9/?a=1988&amp;bti=ODszNWYuMDE6&amp;ch=0&amp;cr=0&amp;dr=0&amp;er=0&amp;lr=default&amp;cd=0%7C0%7C0%7C0&amp;br=250&amp;bt=125&amp;ds=5&amp;ft=GNDpcInz7ThCPKvPXq8Zmo&amp;mime_type=audio_mpeg&amp;qs=13&amp;rc=M3JtcHg5cnUzdTMzNzU8M0BpM3JtcHg5cnUzdTMzNzU8M0ByNXFqMmRzc2pgLS1kMTZzYSNyNXFqMmRzc2pgLS1kMTZzcw%3D%3D&amp;btag=e00048000&amp;expire=1764559300&amp;l=20251201102042908EBE054CA4706238E0&amp;ply_type=3&amp;policy=3&amp;signature=675774c881202e1a84665aa8991cd266&amp;tk=7571587458748974088</t>
  </si>
  <si>
    <t>https://v16-webapp-prime.tiktok.com/video/tos/useast2a/tos-useast2a-ve-0068c001/owIqNmjIgCAefRfYANyghsmRSCL8AH2GB66DEs/?a=1988&amp;bti=ODszNWYuMDE6&amp;ch=0&amp;cr=3&amp;dr=0&amp;lr=all&amp;cd=0%7C0%7C0%7C&amp;cv=1&amp;br=2758&amp;bt=1379&amp;cs=0&amp;ds=3&amp;ft=-Csk_mrMPD12NKdh5d-Uxs12aY6e3wv252cAp&amp;mime_type=video_mp4&amp;qs=0&amp;rc=ZjZmZTNmMzZpOzhlNzs4OkBpampndHU5cjMzdTMzNzczM0BeXl80YWAyNjUxXmMvY2IuYSMyNS8xMmRjc2pgLS1kMTZzcw%3D%3D&amp;btag=e00088000&amp;expire=1764728500&amp;l=20251201102042908EBE054CA4706238E0&amp;ply_type=2&amp;policy=2&amp;signature=8614dbfd2ad60848a54ffef40a6f036a&amp;tk=tt_chain_token</t>
  </si>
  <si>
    <t>https://p16-sign-va.tiktokcdn.com/tos-maliva-avt-0068/a8c07d9cf8714e5a6a84c15bd0263d8a~tplv-tiktokx-cropcenter:100:100.jpeg?dr=14579&amp;refresh_token=75fb7efa&amp;x-expires=1764727200&amp;x-signature=mqQJAYQZ2APrPxmVd%2FcqDHRKX4A%3D&amp;t=4d5b0474&amp;ps=13740610&amp;shp=a5d48078&amp;shcp=81f88b70&amp;idc=my</t>
  </si>
  <si>
    <t>https://v16-webapp-prime.tiktok.com/video/tos/useast2a/tos-useast2a-v-27dcd7/oYsNEJezwDC3cPACA3F8BJoAAUDQOBjNE9fz3E/?a=1988&amp;bti=ODszNWYuMDE6&amp;ch=0&amp;cr=0&amp;dr=0&amp;er=0&amp;lr=default&amp;cd=0%7C0%7C0%7C0&amp;br=250&amp;bt=125&amp;ds=5&amp;ft=GNDpcInz7ThIPKvPXq8Zmo&amp;mime_type=audio_mpeg&amp;qs=13&amp;rc=Mzp0c3g5cnZxMzMzNzU8M0BpMzp0c3g5cnZxMzMzNzU8M0BjMHNgMmQ0M29hLS1kMTZzYSNjMHNgMmQ0M29hLS1kMTZzcw%3D%3D&amp;btag=e00050000&amp;expire=1764559275&amp;l=20251201102014E2CB5F4C19000C61E683&amp;ply_type=3&amp;policy=3&amp;signature=95f923212eb7f2d2cf68c08478a56fca&amp;tk=7571587458748974088</t>
  </si>
  <si>
    <t>https://p16-sign-va.tiktokcdn.com/tos-maliva-avt-0068/a8c07d9cf8714e5a6a84c15bd0263d8a~tplv-tiktokx-cropcenter:1080:1080.jpeg?dr=14579&amp;refresh_token=6675003c&amp;x-expires=1764727200&amp;x-signature=iERHclbWN1Xgce6T3ORY7dZgoBY%3D&amp;t=4d5b0474&amp;ps=13740610&amp;shp=a5d48078&amp;shcp=81f88b70&amp;idc=my</t>
  </si>
  <si>
    <t>https://v16-webapp-prime.tiktok.com/video/tos/useast2a/tos-useast2a-ve-0068c001/o00mIkLtwBA3c4GoI7i5gI0QoCOoKAJGEEfc3i/?a=1988&amp;bti=ODszNWYuMDE6&amp;ch=0&amp;cr=3&amp;dr=0&amp;lr=all&amp;cd=0%7C0%7C0%7C&amp;cv=1&amp;br=1664&amp;bt=832&amp;cs=0&amp;ds=3&amp;ft=-Csk_mrMPD12N0dh5d-UxPO2hY6e3wv252cAp&amp;mime_type=video_mp4&amp;qs=0&amp;rc=N2ZoaWRoZmQ0ZzhlODpoNEBpamRqeHM5cnJxMzMzNzczM0BeXy0zXzYtNS4xYWI2MWEwYSMycC1qMmRjM29hLS1kMTZzcw%3D%3D&amp;btag=e00090000&amp;expire=1764728475&amp;l=20251201102014E2CB5F4C19000C61E683&amp;ply_type=2&amp;policy=2&amp;signature=1d546e547ee6afeb6136eb2ec75aa3ca&amp;tk=tt_chain_token</t>
  </si>
  <si>
    <t>7508738660817210629</t>
  </si>
  <si>
    <t>pdc3irmaos</t>
  </si>
  <si>
    <t>PDC3irmaosCLIPES</t>
  </si>
  <si>
    <t>https://p16-sign-sg.tiktokcdn.com/tos-alisg-avt-0068/ef453429da1ede2afa52cd21b126e3e9~tplv-tiktokx-cropcenter:100:100.jpeg?dr=14579&amp;refresh_token=7c317c85&amp;x-expires=1764727200&amp;x-signature=2OtmuRXv9PiFy1I4XP0BG6cFP5w%3D&amp;t=4d5b0474&amp;ps=13740610&amp;shp=a5d48078&amp;shcp=81f88b70&amp;idc=my</t>
  </si>
  <si>
    <t>transtorno opositivo desafiador TOD ANDREA VERMONT @podcast3irmaos  #jesus #Espiritualidade #OraçãoDaNoite #Deus #Religião #OraçãoDaManhã #PadreFábioMarinho #MilagresDeDeus #Milagres #Fé #PAPA #FRANCISCO #AmorDeDeus #OraçãoDaTarde #TeologiaEspiritoSanto #psicologaonline #pscanalise #psicanalista #CuidadoPsicológico</t>
  </si>
  <si>
    <t>som original - PADRE FÁBIO MARINHO (CORTES)</t>
  </si>
  <si>
    <t>7508738730375613190</t>
  </si>
  <si>
    <t>https://v16-webapp-prime.tiktok.com/video/tos/useast2a/tos-useast2a-v-27dcd7/okGUzNgQXF0uCBJfDotYJVQEYEQEfBDDY0ZiP9/?a=1988&amp;bti=ODszNWYuMDE6&amp;ch=0&amp;cr=0&amp;dr=0&amp;er=0&amp;lr=default&amp;cd=0%7C0%7C0%7C0&amp;br=250&amp;bt=125&amp;ft=GNDpcInz7ThGPKvPXq8Zmo&amp;mime_type=audio_mpeg&amp;qs=6&amp;rc=ZzNnNmYzNDdpZTg4NWY5OkBpajQ6eHA5cjk5MzMzNzU8M0AwXjVgMjA0NjExYTBeLjZhYSNvaGBpMmQ0YG5hLS1kMTZzcw%3D%3D&amp;btag=e00090000&amp;expire=1764559387&amp;l=202512011020239FD63C9B4E4C976A9E36&amp;ply_type=3&amp;policy=3&amp;signature=76b45719861e00ab91a745a34081ccff&amp;tk=7571587458748974088</t>
  </si>
  <si>
    <t>https://p16-sign-sg.tiktokcdn.com/tos-alisg-avt-0068/ef453429da1ede2afa52cd21b126e3e9~tplv-tiktokx-cropcenter:1080:1080.jpeg?dr=14579&amp;refresh_token=6fd225d6&amp;x-expires=1764727200&amp;x-signature=pBPeCOiDryp%2F3%2F0tb0M3PrxZfXc%3D&amp;t=4d5b0474&amp;ps=13740610&amp;shp=a5d48078&amp;shcp=81f88b70&amp;idc=my</t>
  </si>
  <si>
    <t>https://v16-webapp-prime.tiktok.com/video/tos/useast2a/tos-useast2a-pve-0068/oo2V6NEYWbMTGlJlCMXb2lQQDfA5FBgdMBfoGI/?a=1988&amp;bti=ODszNWYuMDE6&amp;ch=0&amp;cr=3&amp;dr=0&amp;lr=all&amp;cd=0%7C0%7C0%7C&amp;cv=1&amp;br=1372&amp;bt=686&amp;cs=0&amp;ds=3&amp;ft=I~da4oKyD12Nvz.WS.IxRjkNWlBF-UjNSRopiX&amp;mime_type=video_mp4&amp;qs=0&amp;rc=aGk2OGQ6Z2Y7OGZlaTQ3N0BpamhmNHc5cnA5MzMzNzgzM0AwYDEyMl40X2AxYzExMC40YSNxYGUwMmRzX25hLS1kLzZzcw%3D%3D&amp;btag=e00090000&amp;expire=1764728587&amp;l=202512011020239FD63C9B4E4C976A9E36&amp;ply_type=2&amp;policy=2&amp;signature=adf9fbdde8bfc7d8c752d078ae2be997&amp;tk=tt_chain_token</t>
  </si>
  <si>
    <t>https://www.tiktok.com/@pdc3irmaos/video/7508738660817210629</t>
  </si>
  <si>
    <t>jesus,espiritualidade,oraçãodanoite,deus,religião,oraçãodamanhã,padrefábiomarinho,milagresdedeus,milagres,fé,papa,francisco,amordedeus,oraçãodatarde,teologiaespiritosanto,psicologaonline,pscanalise,psicanalista,cuidadopsicológico</t>
  </si>
  <si>
    <t>https://v16-webapp-prime.tiktok.com/video/tos/maliva/tos-maliva-ve-0068c801-us/oIs4NXeIjRzADSeerOgAKPGLBNsLICDkCgM8o1/?a=1988&amp;bti=ODszNWYuMDE6&amp;ch=0&amp;cr=3&amp;dr=0&amp;lr=all&amp;cd=0%7C0%7C0%7C&amp;cv=1&amp;br=636&amp;bt=318&amp;cs=0&amp;ds=3&amp;ft=-Csk_mrMPD12NgDh5d-UxgS5hY6e3wv25-cAp&amp;mime_type=video_mp4&amp;qs=0&amp;rc=ZWc0aDM0NTlkOmZlNWdlOkBpajZpZnQ5cjNscTMzNzczM0BiNjQuNmA2NTUxNi1hNWMuYSNhcGhyMmRjY2lgLS1kMTZzcw%3D%3D&amp;btag=e00090000&amp;expire=1764728637&amp;l=2025120110213056C909F1BE127E576E48&amp;ply_type=2&amp;policy=2&amp;signature=3d269e65c9a375e513788f3e9ad41a62&amp;tk=tt_chain_token</t>
  </si>
  <si>
    <t>https://v16-webapp-prime.tiktok.com/video/tos/useast2a/tos-useast2a-v-27dcd7/oQ2MEafnAiJ04p45BAzCEWfIJOkQ6BDUAPhWtg/?a=1988&amp;bti=ODszNWYuMDE6&amp;ch=0&amp;cr=0&amp;dr=0&amp;er=0&amp;lr=default&amp;cd=0%7C0%7C0%7C0&amp;br=250&amp;bt=125&amp;ds=5&amp;ft=GNDpcInz7ThrzKvPXq8Zmo&amp;mime_type=audio_mpeg&amp;qs=13&amp;rc=MzxyOzs6ZnR4bTMzNzU8M0BpMzxyOzs6ZnR4bTMzNzU8M0BhbWY0cjRfanBgLS1kMTZzYSNhbWY0cjRfanBgLS1kMTZzcw%3D%3D&amp;btag=e00050000&amp;expire=1764559337&amp;l=20251201102050B730D50024D84153D9E5&amp;ply_type=3&amp;policy=3&amp;signature=52079cae811151ca98009edfa018c006&amp;tk=7571587458748974088</t>
  </si>
  <si>
    <t>https://v16-webapp-prime.tiktok.com/video/tos/useast2a/tos-useast2a-ve-0068c002/osLI3V7oCn68zSA5Bfe3goEDjABtQB0bILCJ4e/?a=1988&amp;bti=ODszNWYuMDE6&amp;ch=0&amp;cr=3&amp;dr=0&amp;lr=all&amp;cd=0%7C0%7C0%7C&amp;cv=1&amp;br=2252&amp;bt=1126&amp;cs=0&amp;ds=3&amp;ft=-Csk_mrMPD12NTDh5d-UxHX2hY6e3wv25McAp&amp;mime_type=video_mp4&amp;qs=0&amp;rc=ZTQ4NmZmZmdmaDQ4OTs5NkBpanc5dzM6Zmd4bTMzNzczM0A1NmAtYGBeXl8xLjMyLi1fYSNzLTBmcjQwaHBgLS1kMTZzcw%3D%3D&amp;btag=e00090000&amp;expire=1764728537&amp;l=20251201102050B730D50024D84153D9E5&amp;ply_type=2&amp;policy=2&amp;signature=77632d06161e4bfcfc9ba5647d98bbeb&amp;tk=tt_chain_token</t>
  </si>
  <si>
    <t>7487703407097154838</t>
  </si>
  <si>
    <t>mireiaferrerbueno</t>
  </si>
  <si>
    <t>Mireiaferrerbueno</t>
  </si>
  <si>
    <t>https://p19-common-sign-useastred.tiktokcdn-eu.com/tos-useast2a-avt-0068-euttp/c486c9b56ee8861f0e3870731296f611~tplv-tiktokx-cropcenter:100:100.jpeg?dr=14579&amp;refresh_token=25812bb7&amp;x-expires=1764727200&amp;x-signature=EVglQCN9BZIQvnrfJUpBtynTucI%3D&amp;t=4d5b0474&amp;ps=13740610&amp;shp=a5d48078&amp;shcp=81f88b70&amp;idc=my</t>
  </si>
  <si>
    <t>Estas señales de TDAH estuvieron siempre delante de mí, pero nunca imaginé que fueran síntomas 🧠👀 De las 5, ¿cuántas compartimos? 🫠 #stimming #tdah #tdahinfantil #tdahadultos #tdahadulto #tdahespaña #tdahmemes #tdahdescomplicado #tdahadolescentes #tdha #tdhaadulto #tdhainfantil #adhd #adhdmom #adhdmemes #hiperactividad #deficitdeatencion #neurodivergente #neurodivergentes #neurodivergencia #neurodiversidad</t>
  </si>
  <si>
    <t>7487703384976395031</t>
  </si>
  <si>
    <t>https://v16-webapp-prime.tiktok.com/video/tos/no1a/tos-no1a-v-2370-no/os4TC0IORAI9emImohU3qbAQGeEfLLAt7DAP1Q/?a=1988&amp;bti=ODszNWYuMDE6&amp;ch=0&amp;cr=0&amp;dr=0&amp;er=0&amp;lr=default&amp;cd=0%7C0%7C0%7C0&amp;br=250&amp;bt=125&amp;ds=5&amp;ft=GNDpcInz7ThqpKvPXq8Zmo&amp;mime_type=audio_mpeg&amp;qs=13&amp;rc=M3VrNWo5cjl0eTMzbzU8NUBpM3VrNWo5cjl0eTMzbzU8NUBjcS9lMmRzaWhgLS1kMTFzYSNjcS9lMmRzaWhgLS1kMTFzcw%3D%3D&amp;btag=e00048000&amp;expire=1764559572&amp;l=202512011025322E6C790BBAEC294DA202&amp;ply_type=3&amp;policy=3&amp;signature=466718508baca5c307b767f9a95d9092&amp;tk=7571587458748974088</t>
  </si>
  <si>
    <t>https://p19-common-sign-useastred.tiktokcdn-eu.com/tos-useast2a-avt-0068-euttp/c486c9b56ee8861f0e3870731296f611~tplv-tiktokx-cropcenter:1080:1080.jpeg?dr=14579&amp;refresh_token=65eecdc6&amp;x-expires=1764727200&amp;x-signature=Sc%2F6rJAjq7dCLGFi5g4m4W1FMAM%3D&amp;t=4d5b0474&amp;ps=13740610&amp;shp=a5d48078&amp;shcp=81f88b70&amp;idc=my</t>
  </si>
  <si>
    <t>https://v16-webapp-prime.tiktok.com/video/tos/no1a/tos-no1a-ve-0068c001-no/okCzCzmAADqiCziIUREQSOAyyqwvrg3p0PeIrB/?a=1988&amp;bti=ODszNWYuMDE6&amp;ch=0&amp;cr=3&amp;dr=0&amp;lr=all&amp;cd=0%7C0%7C0%7C&amp;cv=1&amp;br=1142&amp;bt=571&amp;cs=0&amp;ds=3&amp;ft=-Csk_mrMPD12NUgh5d-UxIS5hY6e3wv25ycAp&amp;mime_type=video_mp4&amp;qs=0&amp;rc=Ojc7aTQzOTk5OWRmNTc8NUBpams7ZnE5cjN0eTMzbzczNUBgMy0yLjAxXy4xMjAzNTAyYSNpM3ItMmRraWhgLS1kMTFzcw%3D%3D&amp;btag=e00088000&amp;expire=1764728772&amp;l=202512011025322E6C790BBAEC294DA202&amp;ply_type=2&amp;policy=2&amp;signature=0fdc7aab7a5955b52d31a649440904ef&amp;tk=tt_chain_token</t>
  </si>
  <si>
    <t>https://www.tiktok.com/@mireiaferrerbueno/video/7487703407097154838</t>
  </si>
  <si>
    <t>stimming,tdah,tdahinfantil,tdahadultos,tdahadulto,tdahespaña,tdahmemes,tdahdescomplicado,tdahadolescentes,tdha,tdhaadulto,tdhainfantil,adhd,adhdmom,adhdmemes,hiperactividad,deficitdeatencion,neurodivergente,neurodivergentes,neurodivergencia,neurodiversidad</t>
  </si>
  <si>
    <t>7562642141793619212</t>
  </si>
  <si>
    <t>cortes_dra.anabeatriz</t>
  </si>
  <si>
    <t>user59874997825</t>
  </si>
  <si>
    <t>⚡ TDAH não tratado: quando a criança aprende a disfarçar! O TDAH não desaparece — ele aprende a se disfarçar. Quando não tratado, a criança entende que precisa “ficar quieta”, conter o que sente e parecer controlada. Isso se chama mascaramento.  Por fora, calma. Por dentro, a mente a mil. Esse esforço constante gera exaustão e pode parecer até depressão.  Observar, compreender e acolher é o que faz a diferença. TDAH não é falta de educação — é um jeito diferente de funcionar. #TDAH #crianças #paisefilhos #educação #neurodiversidade #saudemental #autocuidado #empatia #foco #atenção #ADHD #masking #adhdchild #mentalhealth #neurodiversity #parentingtips #emotionalhealth #hyperactive #focusonyourself #foryoupage #foryou #fyp</t>
  </si>
  <si>
    <t>https://v16-webapp-prime.tiktok.com/video/tos/useast2a/tos-useast2a-pve-0068/oQv1zAoweSQNJEER35FfCCgr654PcMIIrJDfE5/?a=1988&amp;bti=ODszNWYuMDE6&amp;ch=0&amp;cr=3&amp;dr=0&amp;lr=all&amp;cd=0%7C0%7C0%7C&amp;cv=1&amp;br=1696&amp;bt=848&amp;cs=0&amp;ds=3&amp;ft=I~da4oKyD12Nvu.WS.IxRntNWlBF-UjNSMopiX&amp;mime_type=video_mp4&amp;qs=0&amp;rc=M2dkNDo3PDw4ZDczOTw2M0BpM3Q5ZXk5cmh4NjMzNzgzM0A2YTQuNF8uNmMxYDU0YS81YSMzZW0xMmRjYm1hLS1kLzZzcw%3D%3D&amp;btag=e00090000&amp;expire=1764728507&amp;l=20251201102018B39B5434B49F795A75FD&amp;ply_type=2&amp;policy=2&amp;signature=2de96465f0c019df49a50641b688cb13&amp;tk=tt_chain_token</t>
  </si>
  <si>
    <t>https://www.tiktok.com/@cortes_dra.anabeatriz/video/7562642141793619212</t>
  </si>
  <si>
    <t>tdah,crianças,paisefilhos,educação,neurodiversidade,saudemental,autocuidado,empatia,foco,atenção,adhd,masking,adhdchild,mentalhealth,neurodiversity,parentingtips,emotionalhealth,hyperactive,focusonyourself,foryoupage,foryou,fyp</t>
  </si>
  <si>
    <t>https://p77-sign-va.tiktokcdn.com/tos-maliva-avt-0068/39284b1e359f5fd8e090162ef3c83664~tplv-tiktokx-cropcenter:100:100.jpeg?dr=14579&amp;refresh_token=c189da3a&amp;x-expires=1764727200&amp;x-signature=j%2BoY5xqOuMSTXillcPS%2Bd6DOqag%3D&amp;t=4d5b0474&amp;ps=13740610&amp;shp=a5d48078&amp;shcp=81f88b70&amp;idc=my</t>
  </si>
  <si>
    <t>https://v16-webapp-prime.tiktok.com/video/tos/useast2a/tos-useast2a-v-27dcd7/oMSfEkBkBQAECCJmADWKbAnCdgCnneGiVJ9W9U/?a=1988&amp;bti=ODszNWYuMDE6&amp;ch=0&amp;cr=0&amp;dr=0&amp;er=0&amp;lr=default&amp;cd=0%7C0%7C0%7C0&amp;br=250&amp;bt=125&amp;ds=5&amp;ft=GNDpcInz7ThizKvPXq8Zmo&amp;mime_type=audio_mpeg&amp;qs=13&amp;rc=MzpxcTY6ZjtvbDMzNzU8M0BpMzpxcTY6ZjtvbDMzNzU8M0Bnb3MxcjQwZWJgLS1kMTZzYSNnb3MxcjQwZWJgLS1kMTZzcw%3D%3D&amp;btag=e00050000&amp;expire=1764559397&amp;l=20251201102147CB7160225F86D969BC26&amp;ply_type=3&amp;policy=3&amp;signature=e48bad79659a6935e59e1c9ec97cb6a1&amp;tk=7571587458748974088</t>
  </si>
  <si>
    <t>https://p77-sign-va.tiktokcdn.com/tos-maliva-avt-0068/39284b1e359f5fd8e090162ef3c83664~tplv-tiktokx-cropcenter:1080:1080.jpeg?dr=14579&amp;refresh_token=1e15fe36&amp;x-expires=1764727200&amp;x-signature=sCZ3Py6yg%2BigZatDExBz%2FWclQCc%3D&amp;t=4d5b0474&amp;ps=13740610&amp;shp=a5d48078&amp;shcp=81f88b70&amp;idc=my</t>
  </si>
  <si>
    <t>https://v16-webapp-prime.tiktok.com/video/tos/useast2a/tos-useast2a-pve-0068/okgmGhgDp7RzQESIEBekAq3nQfJ6KBgIbVnE9U/?a=1988&amp;bti=ODszNWYuMDE6&amp;ch=0&amp;cr=3&amp;dr=0&amp;lr=all&amp;cd=0%7C0%7C0%7C&amp;cv=1&amp;br=1870&amp;bt=935&amp;cs=0&amp;ds=3&amp;ft=-Csk_mrMPD12N3Dh5d-UxIS5hY6e3wv25ocAp&amp;mime_type=video_mp4&amp;qs=0&amp;rc=M2hpZ2lkN2Y6ODo8OzNoaUBpamo6aWQ6ZjRvbDMzNzczM0A2MmNiLi8uNjYxMjYwMmNhYSNjcWM1cjRnZGJgLS1kMTZzcw%3D%3D&amp;btag=e00090000&amp;expire=1764728597&amp;l=20251201102147CB7160225F86D969BC26&amp;ply_type=2&amp;policy=2&amp;signature=d31aac4aac6e630b5b63b35987a7ec25&amp;tk=tt_chain_token</t>
  </si>
  <si>
    <t>https://p16-sign-va.tiktokcdn.com/tos-maliva-avt-0068/7dbc97f66a70a5f185159bb96a8d7982~tplv-tiktokx-cropcenter:100:100.jpeg?dr=14579&amp;refresh_token=d9cef22a&amp;x-expires=1764727200&amp;x-signature=nipAwS3MuqxNpni2ZoWKumXqQ0k%3D&amp;t=4d5b0474&amp;ps=13740610&amp;shp=a5d48078&amp;shcp=81f88b70&amp;idc=my</t>
  </si>
  <si>
    <t>https://v16-webapp-prime.tiktok.com/video/tos/useast2a/tos-useast2a-v-27dcd7/13e2ad8c1cec410988e5d220fd0087a5/?a=1988&amp;bti=ODszNWYuMDE6&amp;ch=0&amp;cr=0&amp;dr=0&amp;er=0&amp;lr=default&amp;cd=0%7C0%7C0%7C0&amp;br=250&amp;bt=125&amp;ds=5&amp;ft=GNDpcInz7ThazKvPXq8Zmo&amp;mime_type=audio_mpeg&amp;qs=13&amp;rc=amc7Ojw6ZnBvajMzNzU8M0Bpamc7Ojw6ZnBvajMzNzU8M0BsbmJmcjQwZXJgLS1kMTZzYSNsbmJmcjQwZXJgLS1kMTZzcw%3D%3D&amp;btag=e00050000&amp;expire=1764559380&amp;l=2025120110213521203C48224A5C66F6F4&amp;ply_type=3&amp;policy=3&amp;signature=6a888905a72624879c95dcc3256e3d92&amp;tk=7571587458748974088</t>
  </si>
  <si>
    <t>https://p77-sign-va.tiktokcdn.com/tos-maliva-avt-0068/7dbc97f66a70a5f185159bb96a8d7982~tplv-tiktokx-cropcenter:1080:1080.jpeg?dr=14579&amp;refresh_token=be36db7f&amp;x-expires=1764727200&amp;x-signature=uEXJwDQl2k1wMCTjgJmseyPt6iE%3D&amp;t=4d5b0474&amp;ps=13740610&amp;shp=a5d48078&amp;shcp=81f88b70&amp;idc=my</t>
  </si>
  <si>
    <t>https://v16-webapp-prime.tiktok.com/video/tos/maliva/tos-maliva-ve-0068c801-us/owz9VkkiEAoH7IhmONIWCXHgsxqVqoWjQyAEfy/?a=1988&amp;bti=ODszNWYuMDE6&amp;ch=0&amp;cr=3&amp;dr=0&amp;lr=all&amp;cd=0%7C0%7C0%7C&amp;cv=1&amp;br=844&amp;bt=422&amp;cs=0&amp;ds=3&amp;ft=-Csk_mrMPD12N8Dh5d-UxSc2hY6e3wv252cAp&amp;mime_type=video_mp4&amp;qs=0&amp;rc=PDY0ZGc5PGdnOGY0ZDY0OUBpanBoOzo6ZmtvajMzNzczM0BgMDAyMWAvX18xNC0yYl8uYSNeZHNtcjQwZXJgLS1kMTZzcw%3D%3D&amp;btag=e00090000&amp;expire=1764728580&amp;l=2025120110213521203C48224A5C66F6F4&amp;ply_type=2&amp;policy=2&amp;signature=9db13447bfae126e570da62758bf5176&amp;tk=tt_chain_tok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</si>
</sst>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6">
    <font>
      <sz val="10.0"/>
      <color rgb="FF000000"/>
      <name val="Arial"/>
      <scheme val="minor"/>
    </font>
    <font>
      <color theme="1"/>
      <name val="Arial"/>
    </font>
    <font>
      <color theme="1"/>
      <name val="Arial"/>
      <scheme val="minor"/>
    </font>
    <font>
      <u/>
      <color rgb="FF1155CC"/>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readingOrder="0" vertical="bottom"/>
    </xf>
    <xf borderId="0" fillId="0" fontId="1" numFmtId="0" xfId="0" applyAlignment="1" applyFont="1">
      <alignment horizontal="right" vertical="bottom"/>
    </xf>
    <xf borderId="0" fillId="0" fontId="2" numFmtId="0" xfId="0" applyAlignment="1" applyFont="1">
      <alignment shrinkToFit="0" wrapText="0"/>
    </xf>
    <xf borderId="0" fillId="0" fontId="2" numFmtId="0" xfId="0" applyFont="1"/>
    <xf borderId="0" fillId="0" fontId="3" numFmtId="0" xfId="0" applyAlignment="1" applyFont="1">
      <alignment vertical="bottom"/>
    </xf>
    <xf borderId="0" fillId="0" fontId="4" numFmtId="0" xfId="0" applyAlignment="1" applyFont="1">
      <alignment readingOrder="0"/>
    </xf>
    <xf borderId="0" fillId="0" fontId="1" numFmtId="164" xfId="0" applyAlignment="1" applyFont="1" applyNumberFormat="1">
      <alignment horizontal="right" vertical="bottom"/>
    </xf>
    <xf borderId="0" fillId="0" fontId="2" numFmtId="164" xfId="0" applyAlignment="1" applyFont="1" applyNumberFormat="1">
      <alignment readingOrder="0"/>
    </xf>
    <xf borderId="0" fillId="0" fontId="5" numFmtId="0" xfId="0" applyAlignment="1" applyFont="1">
      <alignment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391" Type="http://schemas.openxmlformats.org/officeDocument/2006/relationships/hyperlink" Target="https://v16-webapp-prime.tiktok.com/video/tos/useast2a/tos-useast2a-v-27dcd7/oAQnYgCJTwfJEPGRuLscezJgUHBozIDgS38gCf/?a=1988&amp;bti=ODszNWYuMDE6&amp;ch=0&amp;cr=0&amp;dr=0&amp;er=0&amp;lr=default&amp;cd=0%7C0%7C0%7C0&amp;br=250&amp;bt=125&amp;ft=GNDpcInz7ThVY-UPXq8Zmo&amp;mime_type=audio_mpeg&amp;qs=6&amp;rc=PDM3OWc2aDM3OTU1NDVmaEBpM3N5dGo5cnh4NTMzNzU8M0AxLTUuMy8xXmIxMi0zMGMyYSNpay5hMmRjLjZhLS1kMTZzcw%3D%3D&amp;btag=e00090000&amp;expire=1763004501&amp;l=202511131026378F10DAFBB0AF239B249B&amp;ply_type=3&amp;policy=3&amp;signature=b33273d9abfb10af772107fb7672323f&amp;tk=7571587458748974088" TargetMode="External"/><Relationship Id="rId390"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1" Type="http://schemas.openxmlformats.org/officeDocument/2006/relationships/hyperlink" Target="https://p16-sign-va.tiktokcdn.com/tos-maliva-avt-0068/23f741bbff26d84d055bb979a49b53c0~tplv-tiktokx-cropcenter:100:100.jpeg?dr=14579&amp;refresh_token=1ff7bcec&amp;x-expires=1763172000&amp;x-signature=bZKFFaFCZhHWY%2BaFotlhgbSi9dE%3D&amp;t=4d5b0474&amp;ps=13740610&amp;shp=a5d48078&amp;shcp=81f88b70&amp;idc=my" TargetMode="External"/><Relationship Id="rId2" Type="http://schemas.openxmlformats.org/officeDocument/2006/relationships/hyperlink" Target="https://v16-webapp-prime.tiktok.com/video/tos/useast2a/tos-useast2a-v-27dcd7/72b971116150422884bc226cedd60d30/?a=1988&amp;bti=ODszNWYuMDE6&amp;ch=0&amp;cr=0&amp;dr=0&amp;er=0&amp;lr=default&amp;cd=0%7C0%7C0%7C0&amp;br=250&amp;bt=125&amp;ds=5&amp;ft=GNDpcInz7ThyY-UPXq8Zmo&amp;mime_type=audio_mpeg&amp;qs=13&amp;rc=anMzNTk6Zjt1azMzNzU8M0BpanMzNTk6Zjt1azMzNzU8M0A2Mi1gcjQwaG1gLS1kMTZzYSM2Mi1gcjQwaG1gLS1kMTZzcw%3D%3D&amp;btag=e00048000&amp;expire=1763004459&amp;l=2025111310264583C2663DA446357263D7&amp;ply_type=3&amp;policy=3&amp;signature=a607f521f343174027e8d662f2d1eed0&amp;tk=7571587458748974088" TargetMode="External"/><Relationship Id="rId3" Type="http://schemas.openxmlformats.org/officeDocument/2006/relationships/hyperlink" Target="https://p77-sign-va.tiktokcdn.com/tos-maliva-avt-0068/ebc42eb348fcf29a09bcbf1c40faef80~tplv-tiktokx-cropcenter:1080:1080.jpeg?dr=14579&amp;refresh_token=df5311da&amp;x-expires=1763172000&amp;x-signature=%2B%2BNXAf50ujdFa9RF4gitz71stlU%3D&amp;t=4d5b0474&amp;ps=13740610&amp;shp=a5d48078&amp;shcp=81f88b70&amp;idc=my" TargetMode="External"/><Relationship Id="rId4" Type="http://schemas.openxmlformats.org/officeDocument/2006/relationships/hyperlink" Target="https://v16-webapp-prime.tiktok.com/video/tos/useast2a/tos-useast2a-ve-0068c002/okixDOrfg9CjAQf3IIILrm8nIHCeSkbTCwganU/?a=1988&amp;bti=ODszNWYuMDE6&amp;ch=0&amp;cr=3&amp;dr=0&amp;lr=all&amp;cd=0%7C0%7C0%7C&amp;cv=1&amp;br=1316&amp;bt=658&amp;cs=0&amp;ds=3&amp;ft=-Csk_mrMPD12Nw_opd-UxfeFaY6e3wv25HcAp&amp;mime_type=video_mp4&amp;qs=0&amp;rc=NTM1NmY6aTRnNGY8OzZkOUBpanJ4dDM6ZnI3azMzNzczM0AyX2EwXy9gX14xYjUzLl8uYSMzNGtlcjRncnNgLS1kMTZzcw%3D%3D&amp;btag=e00088000&amp;expire=1763173656&amp;l=2025111310264583C2663DA446357263D7&amp;ply_type=2&amp;policy=2&amp;signature=eacd6119bbfba59884a4441192e8c6fb&amp;tk=tt_chain_token" TargetMode="External"/><Relationship Id="rId9" Type="http://schemas.openxmlformats.org/officeDocument/2006/relationships/hyperlink" Target="https://v16-webapp-prime.tiktok.com/video/tos/alisg/tos-alisg-pve-0037c001/oUAMIyzFo8tt2GLUI0d8kFchQwGfICxygEoASm/?a=1988&amp;bti=ODszNWYuMDE6&amp;ch=0&amp;cr=3&amp;dr=0&amp;lr=all&amp;cd=0%7C0%7C0%7C&amp;cv=1&amp;br=1790&amp;bt=895&amp;cs=0&amp;ds=3&amp;ft=-Csk_mrMPD12NY_opd-Uxz42hY6e3wv25ycAp&amp;mime_type=video_mp4&amp;qs=0&amp;rc=NjU5NDdnZDg7OzU7Mzo2OEBpMzltaTk6Zmh1ZzMzNzczM0BeXi8yNmIwNWMxMDMuMC1eYSNsMi9ucjRfai9gLS1kMTZzcw%3D%3D&amp;btag=e00088000&amp;expire=1763173656&amp;l=202511131026378F10DAFBB0AF239B249B&amp;ply_type=2&amp;policy=2&amp;signature=6e4ee73918bb4fa230f234a5b95cd2bd&amp;tk=tt_chain_token" TargetMode="External"/><Relationship Id="rId385"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384" Type="http://schemas.openxmlformats.org/officeDocument/2006/relationships/hyperlink" Target="https://www.tiktok.com/@thiagojatoba_/video/7559709300189334796" TargetMode="External"/><Relationship Id="rId383" Type="http://schemas.openxmlformats.org/officeDocument/2006/relationships/hyperlink" Target="https://v16-webapp-prime.tiktok.com/video/tos/useast2a/tos-useast2a-pve-0068/oc5C7vR7gfjXQxVIWuAPwQIMSgvS01fCuv89Ae/?a=1988&amp;bti=ODszNWYuMDE6&amp;ch=0&amp;cr=3&amp;dr=0&amp;lr=all&amp;cd=0%7C0%7C0%7C&amp;cv=1&amp;br=2278&amp;bt=1139&amp;cs=0&amp;ds=3&amp;ft=-Csk_mrMPD12Nn.opd-UxJTFGY6e3wv25bcAp&amp;mime_type=video_mp4&amp;qs=0&amp;rc=MzY0NjtmOTs7MzhlZjxlNEBpamV1cXE5cnhxNjMzNzczM0AyMGMyNGM2Ni0xMmNfLy1iYSNvc2tmMmQ0X2hhLS1kMTZzcw%3D%3D&amp;btag=e00098000&amp;expire=1763173751&amp;l=2025111310254344385823DD6566920070&amp;ply_type=2&amp;policy=2&amp;signature=122c27765e305480cfb7c976624fcb0e&amp;tk=tt_chain_token" TargetMode="External"/><Relationship Id="rId382" Type="http://schemas.openxmlformats.org/officeDocument/2006/relationships/hyperlink" Target="https://p77-sign-va.tiktokcdn.com/tos-maliva-avt-0068/0fb17d655c9941cc7d7260156b5d573f~tplv-tiktokx-cropcenter:1080:1080.jpeg?dr=14579&amp;refresh_token=855b71ba&amp;x-expires=1763172000&amp;x-signature=gno6OBwFTRxMG70aqDvnx5%2BYcuA%3D&amp;t=4d5b0474&amp;ps=13740610&amp;shp=a5d48078&amp;shcp=81f88b70&amp;idc=my" TargetMode="External"/><Relationship Id="rId5" Type="http://schemas.openxmlformats.org/officeDocument/2006/relationships/hyperlink" Target="https://www.tiktok.com/@ivanparceiro/video/7241312531732630789" TargetMode="External"/><Relationship Id="rId389" Type="http://schemas.openxmlformats.org/officeDocument/2006/relationships/hyperlink" Target="https://www.tiktok.com/@liberdade.mentall/video/7487770948054060343" TargetMode="External"/><Relationship Id="rId6" Type="http://schemas.openxmlformats.org/officeDocument/2006/relationships/hyperlink" Target="https://p77-sign-va.tiktokcdn.com/tos-maliva-avt-0068/9c7e33a443eac8b62c597b69b16902e0~tplv-tiktokx-cropcenter:100:100.jpeg?dr=14579&amp;refresh_token=420c6f17&amp;x-expires=1763172000&amp;x-signature=wZyxr52OQ%2B8jexFmofElTnewsg8%3D&amp;t=4d5b0474&amp;ps=13740610&amp;shp=a5d48078&amp;shcp=81f88b70&amp;idc=my" TargetMode="External"/><Relationship Id="rId388" Type="http://schemas.openxmlformats.org/officeDocument/2006/relationships/hyperlink" Target="https://v16-webapp-prime.tiktok.com/video/tos/useast2a/tos-useast2a-pve-0068/oICgTCfEhg0HPHkSUICcj5ADQ2QeF6IWDm3e0T/?a=1988&amp;bti=ODszNWYuMDE6&amp;ch=0&amp;cr=3&amp;dr=0&amp;lr=all&amp;cd=0%7C0%7C0%7C&amp;cv=1&amp;br=1362&amp;bt=681&amp;cs=0&amp;ds=3&amp;ft=-Csk_mrMPD12N3Yopd-Ux24FaY6e3wv25WcAp&amp;mime_type=video_mp4&amp;qs=0&amp;rc=NTlpZ2g2ZTg6N2k0Mzw8OEBpMzxvOW05cjR4eTMzNzczM0AyXl4wNjIwNS8xY19fMS9fYSNtbW8yMmRzYmhgLS1kMTZzcw%3D%3D&amp;btag=e00090000&amp;expire=1763173534&amp;l=2025111310235634FE9FF2AA2A079ADB1D&amp;ply_type=2&amp;policy=2&amp;signature=cc24ee94c14148bea5a96a65446e50a9&amp;tk=tt_chain_token" TargetMode="External"/><Relationship Id="rId7" Type="http://schemas.openxmlformats.org/officeDocument/2006/relationships/hyperlink" Target="https://v16-webapp-prime.tiktok.com/video/tos/useast2a/tos-useast2a-v-27dcd7/b8180081cc00400f93bceb6c89b46df4/?a=1988&amp;bti=ODszNWYuMDE6&amp;ch=0&amp;cr=0&amp;dr=0&amp;er=0&amp;lr=default&amp;cd=0%7C0%7C0%7C0&amp;br=250&amp;bt=125&amp;ft=GNDpcInz7ThVY-UPXq8Zmo&amp;mime_type=audio_mpeg&amp;qs=6&amp;rc=Zjk8PGRnOTllOTw2aDtnZkBpMzd1aDU6Zmp1ZzMzNzU8M0AzNTI0YWIxX2AxYC1hXi8vYSNzLzEycjRvai9gLS1kMTZzcw%3D%3D&amp;btag=e00088000&amp;expire=1763004456&amp;l=202511131026378F10DAFBB0AF239B249B&amp;ply_type=3&amp;policy=3&amp;signature=f9fa4c92dcc717a41d1ea4f7919e0616&amp;tk=7571587458748974088" TargetMode="External"/><Relationship Id="rId387"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8" Type="http://schemas.openxmlformats.org/officeDocument/2006/relationships/hyperlink" Target="https://p16-sign-va.tiktokcdn.com/tos-maliva-avt-0068/9c7e33a443eac8b62c597b69b16902e0~tplv-tiktokx-cropcenter:1080:1080.jpeg?dr=14579&amp;refresh_token=1216953c&amp;x-expires=1763172000&amp;x-signature=oMnE5%2BKbMe%2FozgXyVv49mRs8FAo%3D&amp;t=4d5b0474&amp;ps=13740610&amp;shp=a5d48078&amp;shcp=81f88b70&amp;idc=my" TargetMode="External"/><Relationship Id="rId386" Type="http://schemas.openxmlformats.org/officeDocument/2006/relationships/hyperlink" Target="https://v16-webapp-prime.tiktok.com/video/tos/useast2a/tos-useast2a-v-27dcd7/ocmPADgI0AFeCxLfogkTYSPB0HT00ETfEIuCAY/?a=1988&amp;bti=ODszNWYuMDE6&amp;ch=0&amp;cr=0&amp;dr=0&amp;er=0&amp;lr=default&amp;cd=0%7C0%7C0%7C0&amp;br=250&amp;bt=125&amp;ds=5&amp;ft=GNDpcInz7ThiV-UPXq8Zmo&amp;mime_type=audio_mpeg&amp;qs=13&amp;rc=M213dWw5cjV4eTMzNzU8M0BpM213dWw5cjV4eTMzNzU8M0BhaC8wMmRzZGhgLS1kMTZzYSNhaC8wMmRzZGhgLS1kMTZzcw%3D%3D&amp;btag=e00050000&amp;expire=1763004334&amp;l=2025111310235634FE9FF2AA2A079ADB1D&amp;ply_type=3&amp;policy=3&amp;signature=8053a655a9a90941b69bd3277ae6ff72&amp;tk=7571587458748974088" TargetMode="External"/><Relationship Id="rId381" Type="http://schemas.openxmlformats.org/officeDocument/2006/relationships/hyperlink" Target="https://v16-webapp-prime.tiktok.com/video/tos/useast2a/tos-useast2a-v-27dcd7/o40uSAJDoBek7rgFEAAX1CIHUBSSf6OQxJI6Hj/?a=1988&amp;bti=ODszNWYuMDE6&amp;ch=0&amp;cr=0&amp;dr=0&amp;er=0&amp;lr=default&amp;cd=0%7C0%7C0%7C0&amp;br=250&amp;bt=125&amp;ds=5&amp;ft=GNDpcInz7ThGD-UPXq8Zmo&amp;mime_type=audio_mpeg&amp;qs=13&amp;rc=M3c4eGw5cjtxNjMzNzU8M0BpM3c4eGw5cjtxNjMzNzU8M0BxLTIuMmRza2hhLS1kMTZzYSNxLTIuMmRza2hhLS1kMTZzcw%3D%3D&amp;btag=e00058000&amp;expire=1763004551&amp;l=2025111310254344385823DD6566920070&amp;ply_type=3&amp;policy=3&amp;signature=aef86505d768cb6b21e584f99098d1f9&amp;tk=7571587458748974088" TargetMode="External"/><Relationship Id="rId380" Type="http://schemas.openxmlformats.org/officeDocument/2006/relationships/hyperlink" Target="https://p77-sign-va.tiktokcdn.com/tos-maliva-avt-0068/0fb17d655c9941cc7d7260156b5d573f~tplv-tiktokx-cropcenter:100:100.jpeg?dr=14579&amp;refresh_token=f8ea4619&amp;x-expires=1763172000&amp;x-signature=9sY%2F3O4veh1C471DOT%2Fc5%2BimBeM%3D&amp;t=4d5b0474&amp;ps=13740610&amp;shp=a5d48078&amp;shcp=81f88b70&amp;idc=my" TargetMode="External"/><Relationship Id="rId379" Type="http://schemas.openxmlformats.org/officeDocument/2006/relationships/hyperlink" Target="https://www.tiktok.com/@brlcortes/video/7192622792641137926" TargetMode="External"/><Relationship Id="rId374" Type="http://schemas.openxmlformats.org/officeDocument/2006/relationships/hyperlink" Target="https://www.tiktok.com/@liberdade.mentall/video/7569029488961506567" TargetMode="External"/><Relationship Id="rId373" Type="http://schemas.openxmlformats.org/officeDocument/2006/relationships/hyperlink" Target="https://v16-webapp-prime.tiktok.com/video/tos/alisg/tos-alisg-pve-0037/o4kJkVgEpMQdCMJpAZgIVMgFHfIxYfCUBDmBgt/?a=1988&amp;bti=ODszNWYuMDE6&amp;ch=0&amp;cr=3&amp;dr=0&amp;lr=all&amp;cd=0%7C0%7C0%7C&amp;cv=1&amp;br=1076&amp;bt=538&amp;cs=0&amp;ds=3&amp;ft=-Csk_mrMPD12Nycopd-UxG4vXY6e3wv25McAp&amp;mime_type=video_mp4&amp;qs=0&amp;rc=N2lmODs7ODY5O2dnM2U4N0BpamhtZmw5cjY8NzMzODgzNEAtXmE2YjEuXzExMTExMDA2YSNtYS0zMmQ0ZDJhLS1kLzFzcw%3D%3D&amp;btag=e00090000&amp;expire=1763173551&amp;l=20251113102415EC11E565E652E77F00C9&amp;ply_type=2&amp;policy=2&amp;signature=5326ff8e2107ed8e07bff1313687aca0&amp;tk=tt_chain_token" TargetMode="External"/><Relationship Id="rId372" Type="http://schemas.openxmlformats.org/officeDocument/2006/relationships/hyperlink" Target="https://p77-sign-va.tiktokcdn.com/tos-maliva-avt-0068/4949bb024f91e1b4bc8f1b459a9fc215~tplv-tiktokx-cropcenter:1080:1080.jpeg?dr=14579&amp;refresh_token=62e7cd27&amp;x-expires=1763172000&amp;x-signature=wulijpfzsi9v0AaPlpI3xwkZneM%3D&amp;t=4d5b0474&amp;ps=13740610&amp;shp=a5d48078&amp;shcp=81f88b70&amp;idc=my" TargetMode="External"/><Relationship Id="rId371" Type="http://schemas.openxmlformats.org/officeDocument/2006/relationships/hyperlink" Target="https://v16-webapp-prime.tiktok.com/video/tos/alisg/tos-alisg-v-27dcd7/oECBQEXKhJpMfB8BfcDp6IC8QCmJEhFgdp3U6u/?a=1988&amp;bti=ODszNWYuMDE6&amp;ch=0&amp;cr=0&amp;dr=0&amp;er=0&amp;lr=default&amp;cd=0%7C0%7C0%7C0&amp;br=250&amp;bt=125&amp;ft=GNDpcInz7Th49-UPXq8Zmo&amp;mime_type=audio_mpeg&amp;qs=6&amp;rc=MzdlNGY0ZWY2Mzk0N2lkaUBpM3F5dXk5cmo8NzMzODU8NEBgLTIyYDQvNi4xNV9eMzIyYSNxaGoxMmRrZDJhLS1kMS1zcw%3D%3D&amp;btag=e00090000&amp;expire=1763004351&amp;l=20251113102415EC11E565E652E77F00C9&amp;ply_type=3&amp;policy=3&amp;signature=c1d4a679f4a2092ee4268f35cca4099e&amp;tk=7571587458748974088" TargetMode="External"/><Relationship Id="rId378" Type="http://schemas.openxmlformats.org/officeDocument/2006/relationships/hyperlink" Target="https://v16-webapp-prime.tiktok.com/video/tos/maliva/tos-maliva-ve-0068c801-us/oQheijQEzBVOYQRknHRAW8DBPqnm20AehbU4NJ/?a=1988&amp;bti=ODszNWYuMDE6&amp;ch=0&amp;cr=3&amp;dr=0&amp;lr=all&amp;cd=0%7C0%7C0%7C&amp;cv=1&amp;br=958&amp;bt=479&amp;cs=0&amp;ds=3&amp;ft=-Csk_mrMPD12Nzhopd-UxfeFaY6e3wv25HcAp&amp;mime_type=video_mp4&amp;qs=0&amp;rc=OzNpZDVpMzhnNjgzaGUzZUBpamc6OTw6ZnhvaTMzNzczM0BeNC0xLzEuNWAxXzEyNjJiYSNmNTVwcjQwNDVgLS1kMTZzcw%3D%3D&amp;btag=e00090000&amp;expire=1763173427&amp;l=202511131022442EE54DE47B86CCA867A8&amp;ply_type=2&amp;policy=2&amp;signature=0e25d69a532de15b12685f2c9b7e8b62&amp;tk=tt_chain_token" TargetMode="External"/><Relationship Id="rId377" Type="http://schemas.openxmlformats.org/officeDocument/2006/relationships/hyperlink" Target="https://p77-sign-va.tiktokcdn.com/tos-maliva-avt-0068/205b74d7ce3340fe57e0f8414178c98d~tplv-tiktokx-cropcenter:1080:1080.jpeg?dr=14579&amp;refresh_token=bb5c1baa&amp;x-expires=1763172000&amp;x-signature=g5ZTyTiXZdjYdRa7p%2Fb8JdyL9Nk%3D&amp;t=4d5b0474&amp;ps=13740610&amp;shp=a5d48078&amp;shcp=81f88b70&amp;idc=my" TargetMode="External"/><Relationship Id="rId376" Type="http://schemas.openxmlformats.org/officeDocument/2006/relationships/hyperlink" Target="https://v16-webapp-prime.tiktok.com/video/tos/useast2a/tos-useast2a-v-27dcd7/eb8e1aff39bf4247a9aa298cd9727f3c/?a=1988&amp;bti=ODszNWYuMDE6&amp;ch=0&amp;cr=0&amp;dr=0&amp;er=0&amp;lr=default&amp;cd=0%7C0%7C0%7C0&amp;br=250&amp;bt=125&amp;ds=5&amp;ft=GNDpcInz7ThbK-UPXq8Zmo&amp;mime_type=audio_mpeg&amp;qs=13&amp;rc=ajN4ZDg6ZnFvaTMzNzU8M0BpajN4ZDg6ZnFvaTMzNzU8M0Atbm9tcjQwNTVgLS1kMTZzYSMtbm9tcjQwNTVgLS1kMTZzcw%3D%3D&amp;btag=e00050000&amp;expire=1763004227&amp;l=202511131022442EE54DE47B86CCA867A8&amp;ply_type=3&amp;policy=3&amp;signature=e9f49f22958506ca649874023205104b&amp;tk=7571587458748974088" TargetMode="External"/><Relationship Id="rId375" Type="http://schemas.openxmlformats.org/officeDocument/2006/relationships/hyperlink" Target="https://p16-sign-va.tiktokcdn.com/tos-maliva-avt-0068/205b74d7ce3340fe57e0f8414178c98d~tplv-tiktokx-cropcenter:100:100.jpeg?dr=14579&amp;refresh_token=ab279d8f&amp;x-expires=1763172000&amp;x-signature=%2B3e93h%2BKPw3PbYPMfPoL9Abo8Zw%3D&amp;t=4d5b0474&amp;ps=13740610&amp;shp=a5d48078&amp;shcp=81f88b70&amp;idc=my" TargetMode="External"/><Relationship Id="rId396" Type="http://schemas.openxmlformats.org/officeDocument/2006/relationships/hyperlink" Target="https://v16-webapp-prime.tiktok.com/video/tos/useast2a/tos-useast2a-v-27dcd7/cc4227a515e44fa39b39e2dacf6ec5f9/?a=1988&amp;bti=ODszNWYuMDE6&amp;ch=0&amp;cr=0&amp;dr=0&amp;er=0&amp;lr=default&amp;cd=0%7C0%7C0%7C0&amp;br=216&amp;bt=108&amp;ds=5&amp;ft=GNDpcInz7ThRK-UPXq8Zmo&amp;mime_type=video_mp4&amp;qs=13&amp;rc=M2c8Ozo6ZjpzZzMzNzU8M0BpM2c8Ozo6ZjpzZzMzNzU8M0AuYW42cjRnM3FgLS1kMTZzYSMuYW42cjRnM3FgLS1kMTZzcw%3D%3D&amp;btag=e00050000&amp;expire=1763004231&amp;l=202511131022245A53A91EDE77CC8B0DB4&amp;ply_type=3&amp;policy=3&amp;signature=aa52593dfdba3ea273ce3dde69bb5295&amp;tk=7571587458748974088" TargetMode="External"/><Relationship Id="rId395" Type="http://schemas.openxmlformats.org/officeDocument/2006/relationships/hyperlink" Target="https://p77-sign-va.tiktokcdn.com/tos-maliva-avt-0068/72466cc9d5b9a27930c91e8fb7677589~tplv-tiktokx-cropcenter:100:100.jpeg?dr=14579&amp;refresh_token=5f5d8ba1&amp;x-expires=1763172000&amp;x-signature=z0g0JQ3%2Fn85I6F4U84rdOVbJcE8%3D&amp;t=4d5b0474&amp;ps=13740610&amp;shp=a5d48078&amp;shcp=81f88b70&amp;idc=my" TargetMode="External"/><Relationship Id="rId394" Type="http://schemas.openxmlformats.org/officeDocument/2006/relationships/hyperlink" Target="https://www.tiktok.com/@liberdade.mentall/video/7535613909680688390" TargetMode="External"/><Relationship Id="rId393" Type="http://schemas.openxmlformats.org/officeDocument/2006/relationships/hyperlink" Target="https://v16-webapp-prime.tiktok.com/video/tos/useast2a/tos-useast2a-pve-0068/oMJDFFryEGMQERFQoPSAI49ff6uVBaCkTIBLQS/?a=1988&amp;bti=ODszNWYuMDE6&amp;ch=0&amp;cr=3&amp;dr=0&amp;lr=all&amp;cd=0%7C0%7C0%7C&amp;cv=1&amp;br=916&amp;bt=458&amp;cs=0&amp;ds=3&amp;ft=-Csk_mrMPD12NY_opd-Uxz42hY6e3wv25ycAp&amp;mime_type=video_mp4&amp;qs=0&amp;rc=OGc3ZjNmOGY5PDdkZGhnNUBpamw0bnE5cjl3NTMzNzgzM0AzNF42L2E1XmMxNC8xNF80YSMvMS5jMmRrcTZhLS1kLzZzcw%3D%3D&amp;btag=e00090000&amp;expire=1763173701&amp;l=202511131026378F10DAFBB0AF239B249B&amp;ply_type=2&amp;policy=2&amp;signature=fd5b3a0e911d583fc50283a9ef7c1b32&amp;tk=tt_chain_token" TargetMode="External"/><Relationship Id="rId399" Type="http://schemas.openxmlformats.org/officeDocument/2006/relationships/hyperlink" Target="https://www.tiktok.com/@brunolnunes/video/7168484946154179846" TargetMode="External"/><Relationship Id="rId398" Type="http://schemas.openxmlformats.org/officeDocument/2006/relationships/hyperlink" Target="https://v16-webapp-prime.tiktok.com/video/tos/maliva/tos-maliva-ve-0068c801-us/o4KenbAzIDzSozkyhgGgeC17Q7j5AeBgxCFLB3/?a=1988&amp;bti=ODszNWYuMDE6&amp;ch=0&amp;cr=3&amp;dr=0&amp;lr=all&amp;cd=0%7C0%7C0%7C&amp;cv=1&amp;br=1120&amp;bt=560&amp;cs=0&amp;ds=3&amp;ft=-Csk_mrMPD12NXhopd-UxB6vSY6e3wv25rcAp&amp;mime_type=video_mp4&amp;qs=0&amp;rc=NTplaTg0OWk7OTk6Zmc3OUBpM3M1aDM6ZmZzZzMzNzczM0AtLmA0LTQ1Xi8xMGAxMGAzYSM1Lmg1cjRvMnFgLS1kMTZzcw%3D%3D&amp;btag=e00090000&amp;expire=1763173431&amp;l=202511131022245A53A91EDE77CC8B0DB4&amp;ply_type=2&amp;policy=2&amp;signature=d2ac461c9bbc0f656da87d89a610a060&amp;tk=tt_chain_token" TargetMode="External"/><Relationship Id="rId397" Type="http://schemas.openxmlformats.org/officeDocument/2006/relationships/hyperlink" Target="https://p77-sign-va.tiktokcdn.com/tos-maliva-avt-0068/72466cc9d5b9a27930c91e8fb7677589~tplv-tiktokx-cropcenter:1080:1080.jpeg?dr=14579&amp;refresh_token=9312f40f&amp;x-expires=1763172000&amp;x-signature=AsfPTKCndABnY%2BvhzMdD3ypser0%3D&amp;t=4d5b0474&amp;ps=13740610&amp;shp=a5d48078&amp;shcp=81f88b70&amp;idc=my" TargetMode="External"/><Relationship Id="rId808" Type="http://schemas.openxmlformats.org/officeDocument/2006/relationships/hyperlink" Target="https://v16-webapp-prime.tiktok.com/video/tos/useast2a/tos-useast2a-ve-0068c002/o083WffRMQeHQgQgzP0WrIsMCtKaaIjo5NSAgC/?a=1988&amp;bti=ODszNWYuMDE6&amp;ch=0&amp;cr=3&amp;dr=0&amp;lr=all&amp;cd=0%7C0%7C0%7C&amp;cv=1&amp;br=1186&amp;bt=593&amp;cs=0&amp;ds=3&amp;ft=-Csk_mrMPD12NOYopd-Uxtv5GY6e3wv252cAp&amp;mime_type=video_mp4&amp;qs=0&amp;rc=PDQzaWdnNTs7Z2Y4ODg5Z0BpamlpcWs5cmg5MzMzNzczM0BgYDFjXzA2XmMxY2A0YDJeYSNqbnBqMmRzYm5hLS1kMTZzcw%3D%3D&amp;btag=e00090000&amp;expire=1763173457&amp;l=20251113102306B19E1F5BC676BF8CC05E&amp;ply_type=2&amp;policy=2&amp;signature=813681ab23da0a8a4cae604d4c9a9f56&amp;tk=tt_chain_token" TargetMode="External"/><Relationship Id="rId807"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806" Type="http://schemas.openxmlformats.org/officeDocument/2006/relationships/hyperlink" Target="https://v16-webapp-prime.tiktok.com/video/tos/useast2a/tos-useast2a-v-27dcd7/oEQrpmEgt0ozfLAbxEpGeAgQkcFeJLeLsYCTIZ/?a=1988&amp;bti=ODszNWYuMDE6&amp;ch=0&amp;cr=0&amp;dr=0&amp;er=0&amp;lr=default&amp;cd=0%7C0%7C0%7C0&amp;br=250&amp;bt=125&amp;ft=GNDpcInz7ThNV-UPXq8Zmo&amp;mime_type=audio_mpeg&amp;qs=6&amp;rc=Z2k8NDg3NzpmZGlmNzU5OEBpM2hybHY5cnM5MzMzNzU8M0BhMDFeMjM2XzIxL2M2Ll5jYSMuLWJjMmRjY25hLS1kMTZzcw%3D%3D&amp;btag=e00090000&amp;expire=1763004257&amp;l=20251113102306B19E1F5BC676BF8CC05E&amp;ply_type=3&amp;policy=3&amp;signature=16c40376d5d6fbd8e6dcc0899c0f8fb8&amp;tk=7571587458748974088" TargetMode="External"/><Relationship Id="rId805"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809" Type="http://schemas.openxmlformats.org/officeDocument/2006/relationships/hyperlink" Target="https://www.tiktok.com/@psi.jonathanorlandi/video/7508740632177937720" TargetMode="External"/><Relationship Id="rId800" Type="http://schemas.openxmlformats.org/officeDocument/2006/relationships/hyperlink" Target="https://p16-sign-va.tiktokcdn.com/tos-maliva-avt-0068/5e5b84ee647a8a7823fb0c571e620293~tplv-tiktokx-cropcenter:100:100.jpeg?dr=14579&amp;refresh_token=8d76ac4a&amp;x-expires=1763172000&amp;x-signature=JoWqPsimhlIkRN1fyO87c1mR27A%3D&amp;t=4d5b0474&amp;ps=13740610&amp;shp=a5d48078&amp;shcp=81f88b70&amp;idc=my" TargetMode="External"/><Relationship Id="rId804" Type="http://schemas.openxmlformats.org/officeDocument/2006/relationships/hyperlink" Target="https://www.tiktok.com/@evolutiva_mente/video/7442004278698446135" TargetMode="External"/><Relationship Id="rId803" Type="http://schemas.openxmlformats.org/officeDocument/2006/relationships/hyperlink" Target="https://v16-webapp-prime.tiktok.com/video/tos/useast2a/tos-useast2a-ve-0068c002/okFf0F4MALOR3Dx9EMYBzf0GlkEERnoJQQBHIz/?a=1988&amp;bti=ODszNWYuMDE6&amp;ch=0&amp;cr=3&amp;dr=0&amp;lr=all&amp;cd=0%7C0%7C0%7C&amp;cv=1&amp;br=1580&amp;bt=790&amp;cs=0&amp;ds=3&amp;ft=-Csk_mrMPD12Nlcopd-UxB6vSY6e3wv25rcAp&amp;mime_type=video_mp4&amp;qs=0&amp;rc=ZGVpNWdlNGRmNTY6O2c1OEBpM3dydnI5cmZudzMzNzczM0AxNWE1XjFgX2AxXjFjLWAxYSMzcWxzMmRzcDBgLS1kMTZzcw%3D%3D&amp;btag=e00090000&amp;expire=1763173505&amp;l=202511131024053FAEE14371AE44A729CC&amp;ply_type=2&amp;policy=2&amp;signature=fe81120aaa937aaddf57e2364c6bd372&amp;tk=tt_chain_token" TargetMode="External"/><Relationship Id="rId802" Type="http://schemas.openxmlformats.org/officeDocument/2006/relationships/hyperlink" Target="https://p16-sign-va.tiktokcdn.com/tos-maliva-avt-0068/5e5b84ee647a8a7823fb0c571e620293~tplv-tiktokx-cropcenter:1080:1080.jpeg?dr=14579&amp;refresh_token=bc417078&amp;x-expires=1763172000&amp;x-signature=YPpUj%2B1aIxlsAw77CFhscmELSgw%3D&amp;t=4d5b0474&amp;ps=13740610&amp;shp=a5d48078&amp;shcp=81f88b70&amp;idc=my" TargetMode="External"/><Relationship Id="rId801" Type="http://schemas.openxmlformats.org/officeDocument/2006/relationships/hyperlink" Target="https://v16-webapp-prime.tiktok.com/video/tos/useast2a/tos-useast2a-v-27dcd7/ocOjBs7TEApRCJwoECAHFCE8ATF4KSfAHgeDeE/?a=1988&amp;bti=ODszNWYuMDE6&amp;ch=0&amp;cr=0&amp;dr=0&amp;er=0&amp;lr=default&amp;cd=0%7C0%7C0%7C0&amp;br=250&amp;bt=125&amp;ds=5&amp;ft=GNDpcInz7ThQ9-UPXq8Zmo&amp;mime_type=audio_mpeg&amp;qs=13&amp;rc=anVyM3A5cjNudzMzNzU8M0BpanVyM3A5cjNudzMzNzU8M0A1ZzBgMmRrczBgLS1kMTZzYSM1ZzBgMmRrczBgLS1kMTZzcw%3D%3D&amp;btag=e00050000&amp;expire=1763004305&amp;l=202511131024053FAEE14371AE44A729CC&amp;ply_type=3&amp;policy=3&amp;signature=3c297bc757d1498148443d8706433edc&amp;tk=7571587458748974088" TargetMode="External"/><Relationship Id="rId40" Type="http://schemas.openxmlformats.org/officeDocument/2006/relationships/hyperlink" Target="https://p16-sign-va.tiktokcdn.com/tos-maliva-avt-0068/82a8f4d5f157adbe58eb743cf62c65ba~tplv-tiktokx-cropcenter:100:100.jpeg?dr=14579&amp;refresh_token=f76df06f&amp;x-expires=1763172000&amp;x-signature=QFoHeXfmSEEr2aOiaz4q61iE%2BmU%3D&amp;t=4d5b0474&amp;ps=13740610&amp;shp=a5d48078&amp;shcp=81f88b70&amp;idc=my" TargetMode="External"/><Relationship Id="rId1334"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1335" Type="http://schemas.openxmlformats.org/officeDocument/2006/relationships/hyperlink" Target="https://v16-webapp-prime.tiktok.com/video/tos/useast2a/tos-useast2a-pve-0068/ocU9mzApAQTg6ReCHfPIgMGCIiZVS9f8gAaXUj/?a=1988&amp;bti=ODszNWYuMDE6&amp;ch=0&amp;cr=3&amp;dr=0&amp;lr=all&amp;cd=0%7C0%7C0%7C&amp;cv=1&amp;br=1982&amp;bt=991&amp;cs=0&amp;ds=3&amp;ft=I~da4oKyD12NvgA0i.IxRMb_glBF-UjNSaopiX&amp;mime_type=video_mp4&amp;qs=0&amp;rc=ZDk7NzY0ZTM0NTk2aWc1NUBpamRqbng5cnE2eDMzNzczM0A1MV4zYWNjNjMxLy5jX2BjYSNiY2lhMmRrbTVgLS1kMTZzcw%3D%3D&amp;btag=e00090000&amp;expire=1763173554&amp;l=20251113102449DDADD1FB7AF14A841409&amp;ply_type=2&amp;policy=2&amp;signature=797585e8ec668975c0b50fa65d04349f&amp;tk=tt_chain_token" TargetMode="External"/><Relationship Id="rId42" Type="http://schemas.openxmlformats.org/officeDocument/2006/relationships/hyperlink" Target="https://p16-sign-va.tiktokcdn.com/tos-maliva-avt-0068/82a8f4d5f157adbe58eb743cf62c65ba~tplv-tiktokx-cropcenter:1080:1080.jpeg?dr=14579&amp;refresh_token=317e6629&amp;x-expires=1763172000&amp;x-signature=nhUV2wDqOXNR0698OqoBXcppbvw%3D&amp;t=4d5b0474&amp;ps=13740610&amp;shp=a5d48078&amp;shcp=81f88b70&amp;idc=my" TargetMode="External"/><Relationship Id="rId1336" Type="http://schemas.openxmlformats.org/officeDocument/2006/relationships/hyperlink" Target="https://www.tiktok.com/@igorpsicologo/video/7462533208387751174" TargetMode="External"/><Relationship Id="rId41" Type="http://schemas.openxmlformats.org/officeDocument/2006/relationships/hyperlink" Target="https://v16-webapp-prime.tiktok.com/video/tos/useast2a/tos-useast2a-v-27dcd7/85639952c1d243229d5dc117546277d8/?a=1988&amp;bti=ODszNWYuMDE6&amp;ch=0&amp;cr=0&amp;dr=0&amp;er=0&amp;lr=default&amp;cd=0%7C0%7C0%7C0&amp;br=250&amp;bt=125&amp;ds=5&amp;ft=GNDpcInz7ThA9-UPXq8Zmo&amp;mime_type=audio_mpeg&amp;qs=13&amp;rc=M3RmNTM6ZnlmazMzNzU8M0BpM3RmNTM6ZnlmazMzNzU8M0BiMWFfcjRvcXJgLS1kMTZzYSNiMWFfcjRvcXJgLS1kMTZzcw%3D%3D&amp;btag=e00050000&amp;expire=1763004364&amp;l=20251113102449DDADD1FB7AF14A841409&amp;ply_type=3&amp;policy=3&amp;signature=2914cae99f96579ba80649cd1b38778c&amp;tk=7571587458748974088" TargetMode="External"/><Relationship Id="rId1337" Type="http://schemas.openxmlformats.org/officeDocument/2006/relationships/hyperlink" Target="https://p77-sign-va.tiktokcdn.com/tos-maliva-avt-0068/431bee7578e519987635a70e5b8f7fb3~tplv-tiktokx-cropcenter:100:100.jpeg?dr=14579&amp;refresh_token=e3f271e8&amp;x-expires=1763172000&amp;x-signature=w7vjthC%2FHV5BMUgxQR1CdU54vQE%3D&amp;t=4d5b0474&amp;ps=13740610&amp;shp=a5d48078&amp;shcp=81f88b70&amp;idc=my" TargetMode="External"/><Relationship Id="rId44" Type="http://schemas.openxmlformats.org/officeDocument/2006/relationships/hyperlink" Target="https://www.tiktok.com/@povcain/video/7240889823932796166" TargetMode="External"/><Relationship Id="rId1338" Type="http://schemas.openxmlformats.org/officeDocument/2006/relationships/hyperlink" Target="https://v16-webapp-prime.tiktok.com/video/tos/useast2a/tos-useast2a-v-27dcd7/oEQAGlEUfBYAeQJG9yQCC8DBAAnZNIA10bIvLJ/?a=1988&amp;bti=ODszNWYuMDE6&amp;ch=0&amp;cr=0&amp;dr=0&amp;er=0&amp;lr=default&amp;cd=0%7C0%7C0%7C0&amp;br=250&amp;bt=125&amp;ds=5&amp;ft=GNDpcInz7ThOD-UPXq8Zmo&amp;mime_type=audio_mpeg&amp;qs=13&amp;rc=MzZsamk6ZmVybjMzNzU8M0BpMzZsamk6ZmVybjMzNzU8M0A2L2FicjRvLWRgLS1kMTZzYSM2L2FicjRvLWRgLS1kMTZzcw%3D%3D&amp;btag=e00050000&amp;expire=1763004435&amp;l=20251113102536F89EBD83B531C49CD72A&amp;ply_type=3&amp;policy=3&amp;signature=9de972b5a0d7e8410ca78d9c20003672&amp;tk=7571587458748974088" TargetMode="External"/><Relationship Id="rId43" Type="http://schemas.openxmlformats.org/officeDocument/2006/relationships/hyperlink" Target="https://v16-webapp-prime.tiktok.com/video/tos/useast2a/tos-useast2a-pve-0068/o4NsaRxRmy3xIohFzEbfyCYzAqFgPUI8dBkAQg/?a=1988&amp;bti=ODszNWYuMDE6&amp;ch=0&amp;cr=3&amp;dr=0&amp;lr=all&amp;cd=0%7C0%7C0%7C&amp;cv=1&amp;br=1190&amp;bt=595&amp;cs=0&amp;ds=3&amp;ft=I~da4oKyD12NvgA0i.IxRMb_glBF-UjNSaopiX&amp;mime_type=video_mp4&amp;qs=0&amp;rc=aTk1Nzc3NmU8NDQ3OWczOEBpM2trZzQ6ZnBmazMzNzczM0AwXjBiYmAvNi8xLTYxYjQ1YSNkamxtcjQwcXJgLS1kMTZzcw%3D%3D&amp;btag=e00090000&amp;expire=1763173564&amp;l=20251113102449DDADD1FB7AF14A841409&amp;ply_type=2&amp;policy=2&amp;signature=87fdc5cb38211f13504d80dfe7fa8a0d&amp;tk=tt_chain_token" TargetMode="External"/><Relationship Id="rId1339" Type="http://schemas.openxmlformats.org/officeDocument/2006/relationships/hyperlink" Target="https://p16-sign-va.tiktokcdn.com/tos-maliva-avt-0068/431bee7578e519987635a70e5b8f7fb3~tplv-tiktokx-cropcenter:1080:1080.jpeg?dr=14579&amp;refresh_token=ac4d06e8&amp;x-expires=1763172000&amp;x-signature=aP9%2BeRL%2FhEk8DJIKtOd%2BOqyM4R4%3D&amp;t=4d5b0474&amp;ps=13740610&amp;shp=a5d48078&amp;shcp=81f88b70&amp;idc=my" TargetMode="External"/><Relationship Id="rId46" Type="http://schemas.openxmlformats.org/officeDocument/2006/relationships/hyperlink" Target="https://v16-webapp-prime.tiktok.com/video/tos/useast2a/tos-useast2a-v-27dcd7/o41xkfAQQVMS4IpWfVJnL1ffrAIKMhAAQFeb87/?a=1988&amp;bti=ODszNWYuMDE6&amp;ch=0&amp;cr=0&amp;dr=0&amp;er=0&amp;lr=default&amp;cd=0%7C0%7C0%7C0&amp;br=250&amp;bt=125&amp;ds=5&amp;ft=GNDpcInz7ThaV-UPXq8Zmo&amp;mime_type=audio_mpeg&amp;qs=13&amp;rc=anB5a285cnQ6dDMzNzU8M0BpanB5a285cnQ6dDMzNzU8M0BwcTRgMmRrc3JgLS1kMTZzYSNwcTRgMmRrc3JgLS1kMTZzcw%3D%3D&amp;btag=e00078000&amp;expire=1763004240&amp;l=20251113102343D1A0044B947998B9C2A2&amp;ply_type=3&amp;policy=3&amp;signature=2539ef37d51d408e89f391cf2401e5a7&amp;tk=7571587458748974088" TargetMode="External"/><Relationship Id="rId45" Type="http://schemas.openxmlformats.org/officeDocument/2006/relationships/hyperlink" Target="https://p16-sign-va.tiktokcdn.com/tos-maliva-avt-0068/074c153b6aadae5cb7de5ab9ad8ea91d~tplv-tiktokx-cropcenter:100:100.jpeg?dr=14579&amp;refresh_token=a09fad69&amp;x-expires=1763172000&amp;x-signature=iUDLOjvHoUR%2B%2BRHEAvLWM96YqqY%3D&amp;t=4d5b0474&amp;ps=13740610&amp;shp=a5d48078&amp;shcp=81f88b70&amp;idc=my" TargetMode="External"/><Relationship Id="rId745"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744" Type="http://schemas.openxmlformats.org/officeDocument/2006/relationships/hyperlink" Target="https://www.tiktok.com/@dr.guilhermemachado/video/7211652717209570566" TargetMode="External"/><Relationship Id="rId743" Type="http://schemas.openxmlformats.org/officeDocument/2006/relationships/hyperlink" Target="https://v16-webapp-prime.tiktok.com/video/tos/useast2a/tos-useast2a-pve-0068/ooIuFRBkyFU8ffUgJAczBQQEJJBNAo1hBUS0hO/?a=1988&amp;bti=ODszNWYuMDE6&amp;ch=0&amp;cr=3&amp;dr=0&amp;lr=all&amp;cd=0%7C0%7C0%7C&amp;cv=1&amp;br=2292&amp;bt=1146&amp;cs=0&amp;ds=3&amp;ft=-Csk_mrMPD12NdYopd-UxMTFGY6e3wv25LcAp&amp;mime_type=video_mp4&amp;qs=0&amp;rc=Nzs4ZDM3M2Q4OjdkNDU3OEBpMzw4dzw6Zm5oajMzNzczM0AuMy42NTEwXzYxMF4uMzMuYSMtNS1ucjQwc15gLS1kMTZzcw%3D%3D&amp;btag=e00090000&amp;expire=1763173514&amp;l=202511131023026989DBCE704A6574DC2E&amp;ply_type=2&amp;policy=2&amp;signature=770834d9ad9483fd222a2aaefae06ab9&amp;tk=tt_chain_token" TargetMode="External"/><Relationship Id="rId742" Type="http://schemas.openxmlformats.org/officeDocument/2006/relationships/hyperlink" Target="https://p16-sign-va.tiktokcdn.com/tos-maliva-avt-0068/978c28354dd93bc4bed9362aaac99b9e~tplv-tiktokx-cropcenter:1080:1080.jpeg?dr=14579&amp;refresh_token=991fec88&amp;x-expires=1763172000&amp;x-signature=JsaaZK0qju5u4elB7ivPF9pjocU%3D&amp;t=4d5b0474&amp;ps=13740610&amp;shp=a5d48078&amp;shcp=81f88b70&amp;idc=my" TargetMode="External"/><Relationship Id="rId749" Type="http://schemas.openxmlformats.org/officeDocument/2006/relationships/hyperlink" Target="https://www.tiktok.com/@lorenatdahta/video/7546750654287498502" TargetMode="External"/><Relationship Id="rId748" Type="http://schemas.openxmlformats.org/officeDocument/2006/relationships/hyperlink" Target="https://v16-webapp-prime.tiktok.com/video/tos/useast2a/tos-useast2a-ve-0068c003/oYuCG81ed2ARLCARQMFMj5LGgIRISfgqyedLIW/?a=1988&amp;bti=ODszNWYuMDE6&amp;ch=0&amp;cr=3&amp;dr=0&amp;lr=all&amp;cd=0%7C0%7C0%7C&amp;cv=1&amp;br=838&amp;bt=419&amp;cs=0&amp;ds=3&amp;ft=I~da4oKyD12NvnA0i.IxRTF_blBF-UjNSaopiX&amp;mime_type=video_mp4&amp;qs=0&amp;rc=NWk6PGg3M2U3NGQ6NDhpM0BpMzh3ZG45cjlxNTMzNzczM0AzNTQ2MGM0X2AxMzBfMTQ2YSNncGliMmRrMHFhLS1kMTZzcw%3D%3D&amp;btag=e00090000&amp;expire=1763173539&amp;l=20251113102438711CFC3830D7669110B2&amp;ply_type=2&amp;policy=2&amp;signature=42a10dca510562c1cb21e4791e94f968&amp;tk=tt_chain_token" TargetMode="External"/><Relationship Id="rId747"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746" Type="http://schemas.openxmlformats.org/officeDocument/2006/relationships/hyperlink" Target="https://v16-webapp-prime.tiktok.com/video/tos/useast2a/tos-useast2a-v-27dcd7/ooZjrAkB0Ac0QNuiiAAbPBEAKgt7fXnolEEcCk/?a=1988&amp;bti=ODszNWYuMDE6&amp;ch=0&amp;cr=0&amp;dr=0&amp;er=0&amp;lr=default&amp;cd=0%7C0%7C0%7C0&amp;br=250&amp;bt=125&amp;ds=5&amp;ft=GNDpcInz7Tht9-UPXq8Zmo&amp;mime_type=audio_mpeg&amp;qs=13&amp;rc=ampwPG45cmxxNTMzNzU8M0BpampwPG45cmxxNTMzNzU8M0BgcGEtMmRjMHFhLS1kMTZzYSNgcGEtMmRjMHFhLS1kMTZzcw%3D%3D&amp;btag=e00050000&amp;expire=1763004339&amp;l=20251113102438711CFC3830D7669110B2&amp;ply_type=3&amp;policy=3&amp;signature=1ca1ece0714e16ba1f93d625f4782f6c&amp;tk=7571587458748974088" TargetMode="External"/><Relationship Id="rId48" Type="http://schemas.openxmlformats.org/officeDocument/2006/relationships/hyperlink" Target="https://www.tiktok.com/@mariliadamasceno/video/7408563715177549061" TargetMode="External"/><Relationship Id="rId47" Type="http://schemas.openxmlformats.org/officeDocument/2006/relationships/hyperlink" Target="https://p16-sign-va.tiktokcdn.com/tos-maliva-avt-0068/f8cd260791f9a5f69fa224046cb052f6~tplv-tiktokx-cropcenter:1080:1080.jpeg?dr=14579&amp;refresh_token=0ef587d7&amp;x-expires=1763172000&amp;x-signature=mDDJPlL%2B8zGeR7YkTTVghTC6PRk%3D&amp;t=4d5b0474&amp;ps=13740610&amp;shp=a5d48078&amp;shcp=81f88b70&amp;idc=my" TargetMode="External"/><Relationship Id="rId49" Type="http://schemas.openxmlformats.org/officeDocument/2006/relationships/hyperlink" Target="https://p77-sign-va.tiktokcdn.com/tos-maliva-avt-0068/32df75d3b89fa1e2fb023193ee39e5b7~tplv-tiktokx-cropcenter:100:100.jpeg?dr=14579&amp;refresh_token=27ace12f&amp;x-expires=1763172000&amp;x-signature=z7vNydj54ET%2Fz6m9qMVRdASna%2Bw%3D&amp;t=4d5b0474&amp;ps=13740610&amp;shp=a5d48078&amp;shcp=81f88b70&amp;idc=my" TargetMode="External"/><Relationship Id="rId741" Type="http://schemas.openxmlformats.org/officeDocument/2006/relationships/hyperlink" Target="https://v16-webapp-prime.tiktok.com/video/tos/useast2a/tos-useast2a-v-27dcd7/e66296f617484738a8aa7ae3e28953de/?a=1988&amp;bti=ODszNWYuMDE6&amp;ch=0&amp;cr=0&amp;dr=0&amp;er=0&amp;lr=default&amp;cd=0%7C0%7C0%7C0&amp;br=250&amp;bt=125&amp;ds=5&amp;ft=GNDpcInz7ThPV-UPXq8Zmo&amp;mime_type=audio_mpeg&amp;qs=13&amp;rc=ajpmZDs6ZnhoajMzNzU8M0BpajpmZDs6ZnhoajMzNzU8M0AzMjEwcjRnc15gLS1kMTZzYSMzMjEwcjRnc15gLS1kMTZzcw%3D%3D&amp;btag=e00050000&amp;expire=1763004314&amp;l=202511131023026989DBCE704A6574DC2E&amp;ply_type=3&amp;policy=3&amp;signature=fb4e40e7bb2c27c53c5c9d9a20b60026&amp;tk=7571587458748974088" TargetMode="External"/><Relationship Id="rId1330" Type="http://schemas.openxmlformats.org/officeDocument/2006/relationships/hyperlink" Target="https://v16-webapp-prime.tiktok.com/video/tos/maliva/tos-maliva-ve-0068c801-us/o0h80HHEREoA2Jyf8yIQf9DlpPyFEBUTBQT6Po/?a=1988&amp;bti=ODszNWYuMDE6&amp;ch=0&amp;cr=3&amp;dr=0&amp;lr=all&amp;cd=0%7C0%7C0%7C&amp;cv=1&amp;br=1600&amp;bt=800&amp;cs=0&amp;ds=3&amp;ft=-Csk_mrMPD12N-copd-Ux7~2bY6e3wv25bcAp&amp;mime_type=video_mp4&amp;qs=0&amp;rc=aTZlOjZnaWlkZzU4NTk6Z0BpM25xOng5cjhtcDMzNzczM0BeYGNgLV42X2ExLi9gYDA2YSNtbXNeMmQ0cWRgLS1kMTZzcw%3D%3D&amp;btag=e00090000&amp;expire=1763173543&amp;l=20251113102424EE0F9FCD2CC2B68BE0E2&amp;ply_type=2&amp;policy=2&amp;signature=3086eefd2fcd92fcf28c5737f47f2ac9&amp;tk=tt_chain_token" TargetMode="External"/><Relationship Id="rId740" Type="http://schemas.openxmlformats.org/officeDocument/2006/relationships/hyperlink" Target="https://p77-sign-va.tiktokcdn.com/tos-maliva-avt-0068/978c28354dd93bc4bed9362aaac99b9e~tplv-tiktokx-cropcenter:100:100.jpeg?dr=14579&amp;refresh_token=86ccbbbe&amp;x-expires=1763172000&amp;x-signature=W0iKP1EpfT7jD0OZcbR6%2BBZQpRk%3D&amp;t=4d5b0474&amp;ps=13740610&amp;shp=a5d48078&amp;shcp=81f88b70&amp;idc=my" TargetMode="External"/><Relationship Id="rId1331" Type="http://schemas.openxmlformats.org/officeDocument/2006/relationships/hyperlink" Target="https://www.tiktok.com/@liberdade.mentall/video/7323204072562117894" TargetMode="External"/><Relationship Id="rId1332"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1333" Type="http://schemas.openxmlformats.org/officeDocument/2006/relationships/hyperlink" Target="https://v16-webapp-prime.tiktok.com/video/tos/useast2a/tos-useast2a-v-27dcd7/o8hbP9IAIQSLMIXvE6MYlQefAfG0KJAIGAfexg/?a=1988&amp;bti=ODszNWYuMDE6&amp;ch=0&amp;cr=0&amp;dr=0&amp;er=0&amp;lr=default&amp;cd=0%7C0%7C0%7C0&amp;br=250&amp;bt=125&amp;ds=5&amp;ft=GNDpcInz7ThA9-UPXq8Zmo&amp;mime_type=audio_mpeg&amp;qs=13&amp;rc=M2ZwOnM5cnk4eDMzNzU8M0BpM2ZwOnM5cnk4eDMzNzU8M0AwM3FiMmRrczVgLS1kMTZzYSMwM3FiMmRrczVgLS1kMTZzcw%3D%3D&amp;btag=e00050000&amp;expire=1763004354&amp;l=20251113102449DDADD1FB7AF14A841409&amp;ply_type=3&amp;policy=3&amp;signature=ad7c728778dd4418dbac4769508ba534&amp;tk=7571587458748974088" TargetMode="External"/><Relationship Id="rId1323" Type="http://schemas.openxmlformats.org/officeDocument/2006/relationships/hyperlink" Target="https://v16-webapp-prime.tiktok.com/video/tos/useast2a/tos-useast2a-v-27dcd7/okB0JADnuCpf4AI06QIrJsqEAfvFEUm8BEQCi8/?a=1988&amp;bti=ODszNWYuMDE6&amp;ch=0&amp;cr=0&amp;dr=0&amp;er=0&amp;lr=default&amp;cd=0%7C0%7C0%7C0&amp;br=250&amp;bt=125&amp;ds=5&amp;ft=GNDpcInz7Th29-UPXq8Zmo&amp;mime_type=audio_mpeg&amp;qs=13&amp;rc=ang8OHE5cmQ8dDMzNzU8M0Bpang8OHE5cmQ8dDMzNzU8M0BjcGNoMmRrcHFgLS1kMTZzYSNjcGNoMmRrcHFgLS1kMTZzcw%3D%3D&amp;btag=e00050000&amp;expire=1763004346&amp;l=20251113102443BFAC5C39F8934C8F8E6A&amp;ply_type=3&amp;policy=3&amp;signature=1e53dc09b4eaba0fa059982dd7804692&amp;tk=7571587458748974088" TargetMode="External"/><Relationship Id="rId1324" Type="http://schemas.openxmlformats.org/officeDocument/2006/relationships/hyperlink" Target="https://p3-sg.tiktokcdn.com/aweme/720x720/tiktok-obj/7384014270524803857.jpeg" TargetMode="External"/><Relationship Id="rId31" Type="http://schemas.openxmlformats.org/officeDocument/2006/relationships/hyperlink" Target="https://v16-webapp-prime.tiktok.com/video/tos/useast2a/tos-useast2a-v-27dcd7/87db1e09e5454cbaae27f5060782636d/?a=1988&amp;bti=ODszNWYuMDE6&amp;ch=0&amp;cr=0&amp;dr=0&amp;er=0&amp;lr=default&amp;cd=0%7C0%7C0%7C0&amp;br=250&amp;bt=125&amp;ds=5&amp;ft=GNDpcInz7ThUK-UPXq8Zmo&amp;mime_type=audio_mpeg&amp;qs=13&amp;rc=M2dlOzY6ZmZpajMzNzU8M0BpM2dlOzY6ZmZpajMzNzU8M0AyNHFhcjRvYGdgLS1kMTZzYSMyNHFhcjRvYGdgLS1kMTZzcw%3D%3D&amp;btag=e00078000&amp;expire=1763004170&amp;l=202511131022270BBA173F4561DD71A814&amp;ply_type=3&amp;policy=3&amp;signature=3902f5bf235878402c56c7d54b5d317c&amp;tk=7571587458748974088" TargetMode="External"/><Relationship Id="rId1325" Type="http://schemas.openxmlformats.org/officeDocument/2006/relationships/hyperlink" Target="https://v16-webapp-prime.tiktok.com/video/tos/useast2a/tos-useast2a-ve-0068c002/oEfYZAkCpmfSIQEMnDQF1E6DBqIGuER623JAQB/?a=1988&amp;bti=ODszNWYuMDE6&amp;ch=0&amp;cr=3&amp;dr=0&amp;lr=all&amp;cd=0%7C0%7C0%7C&amp;br=2154&amp;bt=1077&amp;cs=0&amp;ds=3&amp;ft=I~da4oKyD12NvOA0i.IxRehNblBF-UjNSMopiX&amp;mime_type=video_mp4&amp;qs=0&amp;rc=OTRoZzY3N2Q4OGg2OmQ8PEBpMzNnaXU5cjk8dDMzNzczM0BjNTNfYWEvXmIxYWIzYjAzYSMwLWxxMmQ0b3FgLS1kMTZzcw%3D%3D&amp;btag=e00090000&amp;expire=1763173546&amp;l=20251113102443BFAC5C39F8934C8F8E6A&amp;ply_type=2&amp;policy=2&amp;signature=fc4e89409f4dbbfa8cae6ed7d88d56af&amp;tk=tt_chain_token" TargetMode="External"/><Relationship Id="rId30" Type="http://schemas.openxmlformats.org/officeDocument/2006/relationships/hyperlink" Target="https://p16-sign-va.tiktokcdn.com/tos-maliva-avt-0068/ebc42eb348fcf29a09bcbf1c40faef80~tplv-tiktokx-cropcenter:100:100.jpeg?dr=14579&amp;refresh_token=2bdf1117&amp;x-expires=1763172000&amp;x-signature=qWkWO%2FiOPhNCyjf1oP1wgqJ%2BWqE%3D&amp;t=4d5b0474&amp;ps=13740610&amp;shp=a5d48078&amp;shcp=81f88b70&amp;idc=my" TargetMode="External"/><Relationship Id="rId1326" Type="http://schemas.openxmlformats.org/officeDocument/2006/relationships/hyperlink" Target="https://www.tiktok.com/@lorenatdahta/video/7402402783019699462" TargetMode="External"/><Relationship Id="rId33" Type="http://schemas.openxmlformats.org/officeDocument/2006/relationships/hyperlink" Target="https://v16-webapp-prime.tiktok.com/video/tos/maliva/tos-maliva-ve-0068c801-us/oAKrCBmhIkpNks8d9oQ37U4EIAPykHzAmTjgfA/?a=1988&amp;bti=ODszNWYuMDE6&amp;ch=0&amp;cr=3&amp;dr=0&amp;lr=all&amp;cd=0%7C0%7C0%7C&amp;cv=1&amp;br=1358&amp;bt=679&amp;cs=0&amp;ds=3&amp;ft=I~da4oKyD12NviW0i.IxRHqNglBF-UjNSqopiX&amp;mime_type=video_mp4&amp;qs=0&amp;rc=NzdnZzZnNDY5Z2VmZTppN0BpamVsdDo6ZjxpajMzNzczM0A2YjRfLTAxNTAxNWE1Yi02YSNiNmA0cjRnYGdgLS1kMTZzcw%3D%3D&amp;btag=e000b8000&amp;expire=1763173370&amp;l=202511131022270BBA173F4561DD71A814&amp;ply_type=2&amp;policy=2&amp;signature=4076194b89b66ab799591a34ea9ab661&amp;tk=tt_chain_token" TargetMode="External"/><Relationship Id="rId1327"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32" Type="http://schemas.openxmlformats.org/officeDocument/2006/relationships/hyperlink" Target="https://p16-sign-va.tiktokcdn.com/tos-maliva-avt-0068/ebc42eb348fcf29a09bcbf1c40faef80~tplv-tiktokx-cropcenter:1080:1080.jpeg?dr=14579&amp;refresh_token=c851a96f&amp;x-expires=1763172000&amp;x-signature=xRYUydVyQywq7mRIU3wM5mAZkfw%3D&amp;t=4d5b0474&amp;ps=13740610&amp;shp=a5d48078&amp;shcp=81f88b70&amp;idc=my" TargetMode="External"/><Relationship Id="rId1328" Type="http://schemas.openxmlformats.org/officeDocument/2006/relationships/hyperlink" Target="https://sf16-ies-music-sg.tiktokcdn.com/obj/tos-alisg-ve-2774/o41ZIiFU2PQMMegWBQDCMt1yZClgKBbtEiEHfP" TargetMode="External"/><Relationship Id="rId35" Type="http://schemas.openxmlformats.org/officeDocument/2006/relationships/hyperlink" Target="https://p77-sign-va.tiktokcdn.com/tos-maliva-avt-0068/9990f37f58e531c49fc9931b44c233e0~tplv-tiktokx-cropcenter:100:100.jpeg?dr=14579&amp;refresh_token=ff7dc463&amp;x-expires=1763172000&amp;x-signature=XoKvNQIGqNmy0CL0CkJOVoxY7BY%3D&amp;t=4d5b0474&amp;ps=13740610&amp;shp=a5d48078&amp;shcp=81f88b70&amp;idc=my" TargetMode="External"/><Relationship Id="rId1329" Type="http://schemas.openxmlformats.org/officeDocument/2006/relationships/hyperlink" Target="https://p77-sg.tiktokcdn.com/aweme/720x720/tos-alisg-v-2774/o4A8EiGS96Y7r6BApURZj7WAA3NPCh7FAEiPY.jpeg" TargetMode="External"/><Relationship Id="rId34" Type="http://schemas.openxmlformats.org/officeDocument/2006/relationships/hyperlink" Target="https://www.tiktok.com/@psicologo.mateus/video/7216726126473792773" TargetMode="External"/><Relationship Id="rId739" Type="http://schemas.openxmlformats.org/officeDocument/2006/relationships/hyperlink" Target="https://www.tiktok.com/@jeanalessandrob/video/7511453738578513157" TargetMode="External"/><Relationship Id="rId734" Type="http://schemas.openxmlformats.org/officeDocument/2006/relationships/hyperlink" Target="https://www.tiktok.com/@psi.jonathanorlandi/video/7434884122780175671" TargetMode="External"/><Relationship Id="rId733" Type="http://schemas.openxmlformats.org/officeDocument/2006/relationships/hyperlink" Target="https://v16-webapp-prime.tiktok.com/video/tos/useast2a/tos-useast2a-ve-0068c001/ocZdQSQMMd8CdfegBOAcIRsI7QWbfjAXE5COog/?a=1988&amp;bti=ODszNWYuMDE6&amp;ch=0&amp;cr=3&amp;dr=0&amp;lr=all&amp;cd=0%7C0%7C0%7C&amp;cv=1&amp;br=1872&amp;bt=936&amp;cs=0&amp;ds=3&amp;ft=I~da4oKyD12NvgA0i.IxRMb_glBF-UjNSaopiX&amp;mime_type=video_mp4&amp;qs=0&amp;rc=aDszZjdmPGY4OWQ1NzYzPEBpMzs7cXE5cmkzdjMzNzczM0BeNjAuYGMwXzExXjAzLWMyYSNvcXBvMmQ0NGtgLS1kMTZzcw%3D%3D&amp;btag=e00090000&amp;expire=1763173560&amp;l=20251113102449DDADD1FB7AF14A841409&amp;ply_type=2&amp;policy=2&amp;signature=13315b95e1b19daa5f815e4c64c071c0&amp;tk=tt_chain_token" TargetMode="External"/><Relationship Id="rId732"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731" Type="http://schemas.openxmlformats.org/officeDocument/2006/relationships/hyperlink" Target="https://v16-webapp-prime.tiktok.com/video/tos/useast2a/tos-useast2a-v-27dcd7/ocIrEOJLQPoJCEa8nAEAthFzUZBuJgfABMAfDA/?a=1988&amp;bti=ODszNWYuMDE6&amp;ch=0&amp;cr=0&amp;dr=0&amp;er=0&amp;lr=default&amp;cd=0%7C0%7C0%7C0&amp;br=250&amp;bt=125&amp;ds=5&amp;ft=GNDpcInz7ThA9-UPXq8Zmo&amp;mime_type=audio_mpeg&amp;qs=13&amp;rc=ajlub245cmwzdjMzNzU8M0Bpajlub245cmwzdjMzNzU8M0BjbWkwMmQ0NGtgLS1kMTZzYSNjbWkwMmQ0NGtgLS1kMTZzcw%3D%3D&amp;btag=e00050000&amp;expire=1763004360&amp;l=20251113102449DDADD1FB7AF14A841409&amp;ply_type=3&amp;policy=3&amp;signature=c28cbd16714c362edec82b50f8ff52a2&amp;tk=7571587458748974088" TargetMode="External"/><Relationship Id="rId738" Type="http://schemas.openxmlformats.org/officeDocument/2006/relationships/hyperlink" Target="https://v16-webapp-prime.tiktok.com/video/tos/useast2a/tos-useast2a-ve-0068c001/oMOotlt0gAThgVODQQFAPCJDBfa4V3gEBCBJeI/?a=1988&amp;bti=ODszNWYuMDE6&amp;ch=0&amp;cr=3&amp;dr=0&amp;lr=all&amp;cd=0%7C0%7C0%7C&amp;cv=1&amp;br=2924&amp;bt=1462&amp;cs=0&amp;ds=3&amp;ft=-Csk_mrMPD12Nw_opd-UxfeFaY6e3wv25HcAp&amp;mime_type=video_mp4&amp;qs=0&amp;rc=PDc1NDY1NTZnNTYzNWU4NUBpM3Y7bWo5cmozMzMzNzgzM0A0LV9iMzIzNjExMzVgYi5jYSMtaV9nMmRjanNhLS1kLzZzcw%3D%3D&amp;btag=e00090000&amp;expire=1763173695&amp;l=2025111310264583C2663DA446357263D7&amp;ply_type=2&amp;policy=2&amp;signature=02825923f05f12bddf7a1ad04c3e6884&amp;tk=tt_chain_token" TargetMode="External"/><Relationship Id="rId737" Type="http://schemas.openxmlformats.org/officeDocument/2006/relationships/hyperlink" Target="https://p16-sign-va.tiktokcdn.com/tos-maliva-avt-0068/8bc5cafa0969c1cbad00f88541c52e3c~tplv-tiktokx-cropcenter:1080:1080.jpeg?dr=14579&amp;refresh_token=f4623997&amp;x-expires=1763172000&amp;x-signature=xmcWgG0hsb%2BraS8VIJh9THdj7h4%3D&amp;t=4d5b0474&amp;ps=13740610&amp;shp=a5d48078&amp;shcp=81f88b70&amp;idc=my" TargetMode="External"/><Relationship Id="rId736" Type="http://schemas.openxmlformats.org/officeDocument/2006/relationships/hyperlink" Target="https://v16-webapp-prime.tiktok.com/video/tos/useast2a/tos-useast2a-v-27dcd7/ogZOwebIBbQCfC3gJOgYmCiL0exWXMQkFGeEA8/?a=1988&amp;bti=ODszNWYuMDE6&amp;ch=0&amp;cr=0&amp;dr=0&amp;er=0&amp;lr=default&amp;cd=0%7C0%7C0%7C0&amp;br=250&amp;bt=125&amp;ft=GNDpcInz7ThyY-UPXq8Zmo&amp;mime_type=audio_mpeg&amp;qs=6&amp;rc=ODs6ZjVmNjc4aTs6NWloZEBpajNodHA5cnUzMzMzNzU8M0AwNl8zNjYxNl4xLmBiLTIxYSNrcjE2MmRjanNhLS1kMTZzcw%3D%3D&amp;btag=e00090000&amp;expire=1763004495&amp;l=2025111310264583C2663DA446357263D7&amp;ply_type=3&amp;policy=3&amp;signature=96892417b67b76cccbe62fe4e85181ce&amp;tk=7571587458748974088" TargetMode="External"/><Relationship Id="rId735" Type="http://schemas.openxmlformats.org/officeDocument/2006/relationships/hyperlink" Target="https://p77-sign-va.tiktokcdn.com/tos-maliva-avt-0068/8bc5cafa0969c1cbad00f88541c52e3c~tplv-tiktokx-cropcenter:100:100.jpeg?dr=14579&amp;refresh_token=cf17b580&amp;x-expires=1763172000&amp;x-signature=nEowp%2BpIOLb%2FIj01XElw9yTsyWI%3D&amp;t=4d5b0474&amp;ps=13740610&amp;shp=a5d48078&amp;shcp=81f88b70&amp;idc=my" TargetMode="External"/><Relationship Id="rId37" Type="http://schemas.openxmlformats.org/officeDocument/2006/relationships/hyperlink" Target="https://p16-sg.tiktokcdn.com/aweme/720x720/tos-alisg-v-2774/oAqAEjVDgb9ZCEfunAEAqpFPtqBOQifJBrAPDA.jpeg" TargetMode="External"/><Relationship Id="rId36" Type="http://schemas.openxmlformats.org/officeDocument/2006/relationships/hyperlink" Target="https://sf16-ies-music-sg.tiktokcdn.com/obj/tos-alisg-ve-2774/ooI0OzcW3AxCYwsQ5HMBgiiANJBBDhQGRfH1vo" TargetMode="External"/><Relationship Id="rId39" Type="http://schemas.openxmlformats.org/officeDocument/2006/relationships/hyperlink" Target="https://www.tiktok.com/@psichrisalmeida/video/7356422351115881733" TargetMode="External"/><Relationship Id="rId38" Type="http://schemas.openxmlformats.org/officeDocument/2006/relationships/hyperlink" Target="https://v16-webapp-prime.tiktok.com/video/tos/useast2a/tos-useast2a-ve-0068c004/ocGCBf1JCikkEzQd6QzoiA8XIBI6A1cN8gjEjh/?a=1988&amp;bti=ODszNWYuMDE6&amp;ch=0&amp;cr=3&amp;dr=0&amp;lr=all&amp;cd=0%7C0%7C0%7C&amp;cv=1&amp;br=1848&amp;bt=924&amp;cs=0&amp;ds=3&amp;ft=-Csk_mrMPD12NXhopd-UxB6vSY6e3wv25rcAp&amp;mime_type=video_mp4&amp;qs=0&amp;rc=MzU1Njc0ZWc7N2hmPGhkPEBpandnaW85cjducjMzNzczM0BhYGMxYTAzNS8xLTZjMDYtYSMzbDFxMmRzM19gLS1kMTZzcw%3D%3D&amp;btag=e00088000&amp;expire=1763173386&amp;l=202511131022245A53A91EDE77CC8B0DB4&amp;ply_type=2&amp;policy=2&amp;signature=5ab224f44fb20f05639b0e632500d2a1&amp;tk=tt_chain_token" TargetMode="External"/><Relationship Id="rId730" Type="http://schemas.openxmlformats.org/officeDocument/2006/relationships/hyperlink" Target="https://p77-sign-sg.tiktokcdn.com/tos-alisg-avt-0068/a922d44f129753f3f4657ae1aab09386~tplv-tiktokx-cropcenter:100:100.jpeg?dr=14579&amp;refresh_token=fdf273b4&amp;x-expires=1763172000&amp;x-signature=k9kZXtI6haYmCf6CcaKoXuObTsE%3D&amp;t=4d5b0474&amp;ps=13740610&amp;shp=a5d48078&amp;shcp=81f88b70&amp;idc=my" TargetMode="External"/><Relationship Id="rId1320" Type="http://schemas.openxmlformats.org/officeDocument/2006/relationships/hyperlink" Target="https://v16-webapp-prime.tiktok.com/video/tos/useast2a/tos-useast2a-ve-0068c003/ocEvqGjIICAfiEl9QO8gWuQpSCFEE9fDcE2Vcf/?a=1988&amp;bti=ODszNWYuMDE6&amp;ch=0&amp;cr=3&amp;dr=0&amp;lr=all&amp;cd=0%7C0%7C0%7C&amp;cv=1&amp;br=1740&amp;bt=870&amp;cs=0&amp;ds=3&amp;ft=-Csk_mrMPD12Nn.opd-UxJTFGY6e3wv25bcAp&amp;mime_type=video_mp4&amp;qs=0&amp;rc=OGk8ZzloOGlkZmZmPDRoNkBpMzdkOHk5cjh2dzMzNzczM0BfNWA0Mi0vNS0xXzE1MjU0YSNrZmk1MmRjL3JgLS1kMTZzcw%3D%3D&amp;btag=e00090000&amp;expire=1763173609&amp;l=2025111310254344385823DD6566920070&amp;ply_type=2&amp;policy=2&amp;signature=53de0c2128652cc4a86803cf3ba7c959&amp;tk=tt_chain_token" TargetMode="External"/><Relationship Id="rId1321" Type="http://schemas.openxmlformats.org/officeDocument/2006/relationships/hyperlink" Target="https://www.tiktok.com/@igorpsicologo/video/7457330224275967237" TargetMode="External"/><Relationship Id="rId1322"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356" Type="http://schemas.openxmlformats.org/officeDocument/2006/relationships/hyperlink" Target="https://www.tiktok.com/@psi.jonathanorlandi/video/7503903355115195654" TargetMode="External"/><Relationship Id="rId1357" Type="http://schemas.openxmlformats.org/officeDocument/2006/relationships/hyperlink" Target="https://p77-sign-va.tiktokcdn.com/tos-maliva-avt-0068/7dbc97f66a70a5f185159bb96a8d7982~tplv-tiktokx-cropcenter:100:100.jpeg?dr=14579&amp;refresh_token=7879f776&amp;x-expires=1763172000&amp;x-signature=iRpAdSfnEy2VlWd6wLjvw0r8610%3D&amp;t=4d5b0474&amp;ps=13740610&amp;shp=a5d48078&amp;shcp=81f88b70&amp;idc=my" TargetMode="External"/><Relationship Id="rId20"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1358" Type="http://schemas.openxmlformats.org/officeDocument/2006/relationships/hyperlink" Target="https://v16-webapp-prime.tiktok.com/video/tos/useast2a/tos-useast2a-v-27dcd7/13e2ad8c1cec410988e5d220fd0087a5/?a=1988&amp;bti=ODszNWYuMDE6&amp;ch=0&amp;cr=0&amp;dr=0&amp;er=0&amp;lr=default&amp;cd=0%7C0%7C0%7C0&amp;br=250&amp;bt=125&amp;ds=5&amp;ft=GNDpcInz7ThaV-UPXq8Zmo&amp;mime_type=audio_mpeg&amp;qs=13&amp;rc=amc7Ojw6ZnBvajMzNzU8M0Bpamc7Ojw6ZnBvajMzNzU8M0BsbmJmcjQwZXJgLS1kMTZzYSNsbmJmcjQwZXJgLS1kMTZzcw%3D%3D&amp;btag=e00050000&amp;expire=1763004308&amp;l=20251113102343D1A0044B947998B9C2A2&amp;ply_type=3&amp;policy=3&amp;signature=a66470d9ecbab692876a197a27d1534c&amp;tk=7571587458748974088" TargetMode="External"/><Relationship Id="rId1359" Type="http://schemas.openxmlformats.org/officeDocument/2006/relationships/hyperlink" Target="https://p16-sign-va.tiktokcdn.com/tos-maliva-avt-0068/7dbc97f66a70a5f185159bb96a8d7982~tplv-tiktokx-cropcenter:1080:1080.jpeg?dr=14579&amp;refresh_token=6d0a3a90&amp;x-expires=1763172000&amp;x-signature=YB2A9iYCeE4pr88IxYeru10Qfzs%3D&amp;t=4d5b0474&amp;ps=13740610&amp;shp=a5d48078&amp;shcp=81f88b70&amp;idc=my" TargetMode="External"/><Relationship Id="rId22" Type="http://schemas.openxmlformats.org/officeDocument/2006/relationships/hyperlink" Target="https://p16-sg.tiktokcdn.com/aweme/720x720/tos-alisg-v-2774/oIAjYBUiZvYWAByxA9qvhAEJm6WAEAYurKirr.jpeg" TargetMode="External"/><Relationship Id="rId21" Type="http://schemas.openxmlformats.org/officeDocument/2006/relationships/hyperlink" Target="https://sf16-ies-music-sg.tiktokcdn.com/obj/tos-alisg-ve-2774/og5Dc6DEFvSezKm9wznxFCQafwZIMgPfAKFivE" TargetMode="External"/><Relationship Id="rId24" Type="http://schemas.openxmlformats.org/officeDocument/2006/relationships/hyperlink" Target="https://www.tiktok.com/@psi.jonathanorlandi/video/7336603247873953029" TargetMode="External"/><Relationship Id="rId23" Type="http://schemas.openxmlformats.org/officeDocument/2006/relationships/hyperlink" Target="https://v16-webapp-prime.tiktok.com/video/tos/useast2a/tos-useast2a-pve-0068/oo2ENEzDQpWBgi8Ff2lRBQAfIKQch0EkNqZH9J/?a=1988&amp;bti=ODszNWYuMDE6&amp;ch=0&amp;cr=3&amp;dr=0&amp;lr=all&amp;cd=0%7C0%7C0%7C&amp;cv=1&amp;br=6192&amp;bt=3096&amp;cs=0&amp;ds=3&amp;ft=-Csk_mrMPD12N-copd-Ux7~2bY6e3wv25bcAp&amp;mime_type=video_mp4&amp;qs=0&amp;rc=NjozaTtlZjRkZzUzZmdkaUBpajw2Onk5cmRncTMzNzczM0AzNjU1YDQ2NTMxMTVfNmEwYSNtbTEyMmRrZTVgLS1kMTZzcw%3D%3D&amp;btag=e00090000&amp;expire=1763173525&amp;l=20251113102424EE0F9FCD2CC2B68BE0E2&amp;ply_type=2&amp;policy=2&amp;signature=62d45e588fcaed100cbfcafa0cf4d7e6&amp;tk=tt_chain_token" TargetMode="External"/><Relationship Id="rId767" Type="http://schemas.openxmlformats.org/officeDocument/2006/relationships/hyperlink" Target="https://p16-sign-va.tiktokcdn.com/tos-maliva-avt-0068/9c7e33a443eac8b62c597b69b16902e0~tplv-tiktokx-cropcenter:1080:1080.jpeg?dr=14579&amp;refresh_token=1216953c&amp;x-expires=1763172000&amp;x-signature=oMnE5%2BKbMe%2FozgXyVv49mRs8FAo%3D&amp;t=4d5b0474&amp;ps=13740610&amp;shp=a5d48078&amp;shcp=81f88b70&amp;idc=my" TargetMode="External"/><Relationship Id="rId766" Type="http://schemas.openxmlformats.org/officeDocument/2006/relationships/hyperlink" Target="https://v16-webapp-prime.tiktok.com/video/tos/alisg/tos-alisg-v-27dcd7/oAgDSCarEmbgY8FARTkEzXlfLf5TCcolWQDe2g/?a=1988&amp;bti=ODszNWYuMDE6&amp;ch=0&amp;cr=0&amp;dr=0&amp;er=0&amp;lr=default&amp;cd=0%7C0%7C0%7C0&amp;br=250&amp;bt=125&amp;ft=GNDpcInz7Th49-UPXq8Zmo&amp;mime_type=audio_mpeg&amp;qs=6&amp;rc=Mzw6aGhpZDNlNzhmNDpkZUBpamw6eHY5cnFsNjMzODU8NEBhMWE0NjBgXjExMmIvNGFhYSMxLW9mMmQ0czJhLS1kMS1zcw%3D%3D&amp;btag=e00090000&amp;expire=1763004343&amp;l=20251113102415EC11E565E652E77F00C9&amp;ply_type=3&amp;policy=3&amp;signature=0e169ca485892e7147bdb3a282ff4e2d&amp;tk=7571587458748974088" TargetMode="External"/><Relationship Id="rId765" Type="http://schemas.openxmlformats.org/officeDocument/2006/relationships/hyperlink" Target="https://p77-sign-va.tiktokcdn.com/tos-maliva-avt-0068/9c7e33a443eac8b62c597b69b16902e0~tplv-tiktokx-cropcenter:100:100.jpeg?dr=14579&amp;refresh_token=420c6f17&amp;x-expires=1763172000&amp;x-signature=wZyxr52OQ%2B8jexFmofElTnewsg8%3D&amp;t=4d5b0474&amp;ps=13740610&amp;shp=a5d48078&amp;shcp=81f88b70&amp;idc=my" TargetMode="External"/><Relationship Id="rId764" Type="http://schemas.openxmlformats.org/officeDocument/2006/relationships/hyperlink" Target="https://www.tiktok.com/@llluizax/video/7154024625524002054" TargetMode="External"/><Relationship Id="rId769" Type="http://schemas.openxmlformats.org/officeDocument/2006/relationships/hyperlink" Target="https://www.tiktok.com/@tdahdescomplicado/video/7551181760227282184" TargetMode="External"/><Relationship Id="rId768" Type="http://schemas.openxmlformats.org/officeDocument/2006/relationships/hyperlink" Target="https://v16-webapp-prime.tiktok.com/video/tos/alisg/tos-alisg-ve-4863-sg/oQAieqg6QEuA8sOGlXRfWDeFlIYzQoKfASBF27/?a=1988&amp;bti=ODszNWYuMDE6&amp;ch=0&amp;cr=3&amp;dr=0&amp;lr=all&amp;cd=0%7C0%7C0%7C&amp;cv=1&amp;br=1322&amp;bt=661&amp;cs=0&amp;ds=3&amp;ft=-Csk_mrMPD12Nycopd-UxG4vXY6e3wv25McAp&amp;mime_type=video_mp4&amp;qs=0&amp;rc=aGg6ZTY4NDwzZThoaTNkM0BpanE0aG85cjtsNjQzOGk1NEA2LzYuYDZgXzIxMV5eXjYwYSNiNWAtMmRrczJhLS1kYzFzcw%3D%3D&amp;btag=e00090000&amp;expire=1763173543&amp;l=20251113102415EC11E565E652E77F00C9&amp;ply_type=2&amp;policy=2&amp;signature=7d216545f56e6cf3ad8035be5d2a58f2&amp;tk=tt_chain_token" TargetMode="External"/><Relationship Id="rId26" Type="http://schemas.openxmlformats.org/officeDocument/2006/relationships/hyperlink" Target="https://v16-webapp-prime.tiktok.com/video/tos/useast2a/tos-useast2a-v-27dcd7/d1122ba6f9ed4042ba6921ff3f575898/?a=1988&amp;bti=ODszNWYuMDE6&amp;ch=0&amp;cr=0&amp;dr=0&amp;er=0&amp;lr=default&amp;cd=0%7C0%7C0%7C0&amp;br=250&amp;bt=125&amp;ds=5&amp;ft=GNDpcInz7ThRK-UPXq8Zmo&amp;mime_type=audio_mpeg&amp;qs=13&amp;rc=ajhsb2c6Zmg2aDMzNzU8M0Bpajhsb2c6Zmg2aDMzNzU8M0AyNm9icjQwZmZgLS1kMTZzYSMyNm9icjQwZmZgLS1kMTZzcw%3D%3D&amp;btag=e00048000&amp;expire=1763004185&amp;l=202511131022245A53A91EDE77CC8B0DB4&amp;ply_type=3&amp;policy=3&amp;signature=fcdaeb53030792ac6e9e0e39cdb1c5c6&amp;tk=7571587458748974088" TargetMode="External"/><Relationship Id="rId25" Type="http://schemas.openxmlformats.org/officeDocument/2006/relationships/hyperlink" Target="https://p16-sign-va.tiktokcdn.com/tos-maliva-avt-0068/2056ea190fa45014218d729810e7dd8b~tplv-tiktokx-cropcenter:100:100.jpeg?dr=14579&amp;refresh_token=8a500c86&amp;x-expires=1763172000&amp;x-signature=vihuOCIk8cWrcDFp0gJLsC5Ayis%3D&amp;t=4d5b0474&amp;ps=13740610&amp;shp=a5d48078&amp;shcp=81f88b70&amp;idc=my" TargetMode="External"/><Relationship Id="rId28" Type="http://schemas.openxmlformats.org/officeDocument/2006/relationships/hyperlink" Target="https://v16-webapp-prime.tiktok.com/video/tos/useast2a/tos-useast2a-ve-0068c002/oQbRQEkKAPcrFIZI9EBAoezcQgeoBjADpgnJzD/?a=1988&amp;bti=ODszNWYuMDE6&amp;ch=0&amp;cr=3&amp;dr=0&amp;lr=all&amp;cd=0%7C0%7C0%7C&amp;br=1740&amp;bt=870&amp;cs=0&amp;ds=2&amp;ft=-Csk_mrMPD12NXhopd-UxB6vSY6e3wv25rcAp&amp;mime_type=video_mp4&amp;qs=0&amp;rc=PGRkOzhpZzQ1OjM7Ojo1OkBpM3g6bTo6Zjo2aDMzNzczM0A1XzFiYmEwX2IxYDE2NWIzYSNkLTRmcjQwZmZgLS1kMTZzcw%3D%3D&amp;btag=e00088000&amp;expire=1763173385&amp;l=202511131022245A53A91EDE77CC8B0DB4&amp;ply_type=2&amp;policy=2&amp;signature=a80515998df33838f9d3f2c64f9579c5&amp;tk=tt_chain_token" TargetMode="External"/><Relationship Id="rId1350" Type="http://schemas.openxmlformats.org/officeDocument/2006/relationships/hyperlink" Target="https://v16-webapp-prime.tiktok.com/video/tos/alisg/tos-alisg-ve-37c813-sg/o8fgnwaABQBENWQZpPDTJoEPpIDyyjRS4FeE6L/?a=1988&amp;bti=ODszNWYuMDE6&amp;ch=0&amp;cr=3&amp;dr=0&amp;lr=all&amp;cd=0%7C0%7C0%7C&amp;cv=1&amp;br=1078&amp;bt=539&amp;cs=0&amp;ds=3&amp;ft=I~da4oKyD12NvOA0i.IxRehNblBF-UjNSMopiX&amp;mime_type=video_mp4&amp;qs=0&amp;rc=NTQ0ZGc7OTs1NjplPGU7OUBpMzwzPG45cjlyNTMzNzczM0A2YWEvYGMxXzExLzEtLi00YSNzamJqMmRrbWdhLS1kMTZzcw%3D%3D&amp;btag=e00088000&amp;expire=1763173531&amp;l=20251113102443BFAC5C39F8934C8F8E6A&amp;ply_type=2&amp;policy=2&amp;signature=87d268cbc2f85d4c7be7385f6ce79a0b&amp;tk=tt_chain_token" TargetMode="External"/><Relationship Id="rId27" Type="http://schemas.openxmlformats.org/officeDocument/2006/relationships/hyperlink" Target="https://p16-sign-va.tiktokcdn.com/tos-maliva-avt-0068/2056ea190fa45014218d729810e7dd8b~tplv-tiktokx-cropcenter:1080:1080.jpeg?dr=14579&amp;refresh_token=192443ff&amp;x-expires=1763172000&amp;x-signature=9yiatxBd87zNTGtA8PWZGy%2BUI70%3D&amp;t=4d5b0474&amp;ps=13740610&amp;shp=a5d48078&amp;shcp=81f88b70&amp;idc=my" TargetMode="External"/><Relationship Id="rId1351" Type="http://schemas.openxmlformats.org/officeDocument/2006/relationships/hyperlink" Target="https://www.tiktok.com/@vivendocomtdahoficial/video/7541151024296299832" TargetMode="External"/><Relationship Id="rId763" Type="http://schemas.openxmlformats.org/officeDocument/2006/relationships/hyperlink" Target="https://v16-webapp-prime.tiktok.com/video/tos/maliva/tos-maliva-ve-0068c801-us/1aa411b564924ae3a69874cae39b15c5/?a=1988&amp;bti=ODszNWYuMDE6&amp;ch=0&amp;cr=3&amp;dr=0&amp;lr=all&amp;cd=0%7C0%7C0%7C&amp;cv=1&amp;br=456&amp;bt=228&amp;cs=0&amp;ds=3&amp;ft=-Csk_mrMPD12Nw_opd-UxfeFaY6e3wv25HcAp&amp;mime_type=video_mp4&amp;qs=0&amp;rc=aTk0ZDY5MztoOTs0ODVpOUBpMzV3bzw6ZjU2ZzMzNzczM0A0MjNeMDIyNjMxYC4uNGNiYSNzamY1cjQwMzFgLS1kMTZzcw%3D%3D&amp;btag=e000b8000&amp;expire=1763173630&amp;l=2025111310264583C2663DA446357263D7&amp;ply_type=2&amp;policy=2&amp;signature=9c17441ab90b56756f820778d0ef58ac&amp;tk=tt_chain_token" TargetMode="External"/><Relationship Id="rId1352" Type="http://schemas.openxmlformats.org/officeDocument/2006/relationships/hyperlink" Target="https://p77-sign-sg.tiktokcdn.com/tos-alisg-avt-0068/a922d44f129753f3f4657ae1aab09386~tplv-tiktokx-cropcenter:100:100.jpeg?dr=14579&amp;refresh_token=fdf273b4&amp;x-expires=1763172000&amp;x-signature=k9kZXtI6haYmCf6CcaKoXuObTsE%3D&amp;t=4d5b0474&amp;ps=13740610&amp;shp=a5d48078&amp;shcp=81f88b70&amp;idc=my" TargetMode="External"/><Relationship Id="rId29" Type="http://schemas.openxmlformats.org/officeDocument/2006/relationships/hyperlink" Target="https://www.tiktok.com/@podmanhe/video/7179926590401350917" TargetMode="External"/><Relationship Id="rId762" Type="http://schemas.openxmlformats.org/officeDocument/2006/relationships/hyperlink" Target="https://p77-sg.tiktokcdn.com/aweme/720x720/tos-alisg-v-2774/6aa2532c996940c484c6513b9049d494.jpeg" TargetMode="External"/><Relationship Id="rId1353" Type="http://schemas.openxmlformats.org/officeDocument/2006/relationships/hyperlink" Target="https://v16-webapp-prime.tiktok.com/video/tos/useast2a/tos-useast2a-v-27dcd7/o8G6gFBJJDoBIWUhcQAvCQMaIfPh5JBEf5IAzA/?a=1988&amp;bti=ODszNWYuMDE6&amp;ch=0&amp;cr=0&amp;dr=0&amp;er=0&amp;lr=default&amp;cd=0%7C0%7C0%7C0&amp;br=250&amp;bt=125&amp;ds=5&amp;ft=GNDpcInz7ThA9-UPXq8Zmo&amp;mime_type=audio_mpeg&amp;qs=13&amp;rc=ajpmZ2o5cnJtMzMzNzU8M0BpajpmZ2o5cnJtMzMzNzU8M0BybnFiMmRjZGVhLS1kMTZzYSNybnFiMmRjZGVhLS1kMTZzcw%3D%3D&amp;btag=e00050000&amp;expire=1763004356&amp;l=20251113102449DDADD1FB7AF14A841409&amp;ply_type=3&amp;policy=3&amp;signature=238ad4b586645dcf30239211a2596ad6&amp;tk=7571587458748974088" TargetMode="External"/><Relationship Id="rId761" Type="http://schemas.openxmlformats.org/officeDocument/2006/relationships/hyperlink" Target="https://sf16-ies-music-sg.tiktokcdn.com/obj/tos-alisg-ve-2774/6a790bec1bf640c185753440ca131a7e" TargetMode="External"/><Relationship Id="rId1354"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760" Type="http://schemas.openxmlformats.org/officeDocument/2006/relationships/hyperlink" Target="https://p16-sign-va.tiktokcdn.com/tos-maliva-avt-0068/751b95bb64af464ec194e98478edf8b8~tplv-tiktokx-cropcenter:100:100.jpeg?dr=14579&amp;refresh_token=03bde1fb&amp;x-expires=1763172000&amp;x-signature=EWaV7DViPbXxB27Xz1EiVxPAYy8%3D&amp;t=4d5b0474&amp;ps=13740610&amp;shp=a5d48078&amp;shcp=81f88b70&amp;idc=my" TargetMode="External"/><Relationship Id="rId1355" Type="http://schemas.openxmlformats.org/officeDocument/2006/relationships/hyperlink" Target="https://v16-webapp-prime.tiktok.com/video/tos/useast2a/tos-useast2a-pve-0068/o0TREsSjDIGnxoDICIgFwRLsIfOeQeECEQB0jA/?a=1988&amp;bti=ODszNWYuMDE6&amp;ch=0&amp;cr=3&amp;dr=0&amp;lr=all&amp;cd=0%7C0%7C0%7C&amp;cv=1&amp;br=1998&amp;bt=999&amp;cs=0&amp;ds=3&amp;ft=I~da4oKyD12NvgA0i.IxRMb_glBF-UjNSaopiX&amp;mime_type=video_mp4&amp;qs=0&amp;rc=ZDpkM2Y4Z2dnNWdmPGg3O0BpM2pyO3Q5cmltMzMzNzczM0BjXjFjXzAzXl4xMzUyYV5hYSNqZWdgMmRrZGVhLS1kMTZzcw%3D%3D&amp;btag=e00090000&amp;expire=1763173556&amp;l=20251113102449DDADD1FB7AF14A841409&amp;ply_type=2&amp;policy=2&amp;signature=6fc4f158e561e67d4a7823abfcd7b960&amp;tk=tt_chain_token" TargetMode="External"/><Relationship Id="rId1345" Type="http://schemas.openxmlformats.org/officeDocument/2006/relationships/hyperlink" Target="https://v16-webapp-prime.tiktok.com/video/tos/alisg/tos-alisg-pve-0037c001/okQ4OV7YOaAEBiTriP5VEEPiVzzzBuaQSzvIA/?a=1988&amp;bti=ODszNWYuMDE6&amp;ch=0&amp;cr=3&amp;dr=0&amp;lr=all&amp;cd=0%7C0%7C0%7C&amp;cv=1&amp;br=1572&amp;bt=786&amp;cs=0&amp;ds=3&amp;ft=-Csk_mrMPD12N9Yopd-Ux315hY6e3wv25dcAp&amp;mime_type=video_mp4&amp;qs=0&amp;rc=N2doOWQ4NjQzMzk7ZWZlOkBpampwbXU5cnN0NjMzODczNEBjLS42Nl8xNi4xLi1fYTQtYSNtcGY2MmQ0a21hLS1kMTFzcw%3D%3D&amp;btag=e00098000&amp;expire=1763173595&amp;l=2025111310232002E5437D242CEA8409F2&amp;ply_type=2&amp;policy=2&amp;signature=607f6a97903df806538d68441e1d1db1&amp;tk=tt_chain_token" TargetMode="External"/><Relationship Id="rId1346" Type="http://schemas.openxmlformats.org/officeDocument/2006/relationships/hyperlink" Target="https://www.tiktok.com/@nivea.savoy/video/7562577272859921671" TargetMode="External"/><Relationship Id="rId1347" Type="http://schemas.openxmlformats.org/officeDocument/2006/relationships/hyperlink" Target="https://p16-sign-va.tiktokcdn.com/tos-maliva-avt-0068/05f75b0edba43a6b97d613fdef44637b~tplv-tiktokx-cropcenter:100:100.jpeg?dr=14579&amp;refresh_token=17992c2d&amp;x-expires=1763172000&amp;x-signature=6LkImT3t4IxNtXjCAnoEKK1%2BLBg%3D&amp;t=4d5b0474&amp;ps=13740610&amp;shp=a5d48078&amp;shcp=81f88b70&amp;idc=my" TargetMode="External"/><Relationship Id="rId1348" Type="http://schemas.openxmlformats.org/officeDocument/2006/relationships/hyperlink" Target="https://v16-webapp-prime.tiktok.com/video/tos/useast2a/tos-useast2a-v-27dcd7/oUjK7ioBoGAA7MyivA0EgAB4EBnaPUENe8LCGk/?a=1988&amp;bti=ODszNWYuMDE6&amp;ch=0&amp;cr=0&amp;dr=0&amp;er=0&amp;lr=default&amp;cd=0%7C0%7C0%7C0&amp;br=250&amp;bt=125&amp;ds=5&amp;ft=GNDpcInz7Th29-UPXq8Zmo&amp;mime_type=audio_mpeg&amp;qs=13&amp;rc=MzlpcHI5cnZyNTMzNzU8M0BpMzlpcHI5cnZyNTMzNzU8M0BoMWstMmRrbWdhLS1kMTZzYSNoMWstMmRrbWdhLS1kMTZzcw%3D%3D&amp;btag=e00048000&amp;expire=1763004331&amp;l=20251113102443BFAC5C39F8934C8F8E6A&amp;ply_type=3&amp;policy=3&amp;signature=b19798e16c9ecc9b306645b702e0fe8c&amp;tk=7571587458748974088" TargetMode="External"/><Relationship Id="rId11"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349" Type="http://schemas.openxmlformats.org/officeDocument/2006/relationships/hyperlink" Target="https://p77-sign-va.tiktokcdn.com/tos-maliva-avt-0068/05f75b0edba43a6b97d613fdef44637b~tplv-tiktokx-cropcenter:1080:1080.jpeg?dr=14579&amp;refresh_token=8c5bd338&amp;x-expires=1763172000&amp;x-signature=QnuJlO2ltt1xAd%2BjxybV%2Bl0Z%2FmI%3D&amp;t=4d5b0474&amp;ps=13740610&amp;shp=a5d48078&amp;shcp=81f88b70&amp;idc=my" TargetMode="External"/><Relationship Id="rId10" Type="http://schemas.openxmlformats.org/officeDocument/2006/relationships/hyperlink" Target="https://www.tiktok.com/@tdahdescomplicado/video/7153329457531571462" TargetMode="External"/><Relationship Id="rId13" Type="http://schemas.openxmlformats.org/officeDocument/2006/relationships/hyperlink" Target="https://webapp-va.tiktok.com/88ee22e30decb2c1592f5977ddda330f/6917e3fa/kmoat/mps/logo/v3/r/p/v09044g40000ci86bg3c77u5idfjdrl0/660176f5b988485c9db08fb71d061fa8/317f1d5d5035956983f44809e6a00d9a/mp4/main.mp4?a=1988&amp;bti=ODszNWYuMDE6&amp;ch=0&amp;cr=3&amp;dr=0&amp;lr=all&amp;cd=0%7C0%7C0%7C&amp;cv=1&amp;br=0&amp;bt=0&amp;cs=0&amp;ds=3&amp;ft=bLZkJmrMPD12N8hopd-Ux~v2bY6e3wv251cAp&amp;mime_type=video_mp4&amp;qs=0&amp;rc=cnF8b2hsc2d3SkBwaHIxaDFybndmO2k5ZzppM2dmOzs8ODk0OUBpM3VtZzg6Zmo5bDMzNzczM0BjRl5Nc3FePmJKYSNvYF90aHFmOiNeLi0uXzVfNjIxNV9jNC0zYSNpYWNmcjQwXzVgLS1kMTZzcw%3D%3D&amp;btag=e000b0000&amp;definition=720p&amp;du=11&amp;item_id=7246403750162631942&amp;l=202511131022406C90E0DA9AAAC98C2302&amp;logo_type=tiktok_creator&amp;ply_type=2&amp;policy=eyJ2bSI6MiwiY2siOiJ0dF9jaGFpbl90b2tlbiJ9&amp;sign_params=item_id%2Cuser_text&amp;user_text=lorenatdahta" TargetMode="External"/><Relationship Id="rId12" Type="http://schemas.openxmlformats.org/officeDocument/2006/relationships/hyperlink" Target="https://p16-sign-sg.tiktokcdn.com/tos-alisg-v-2774/oEfLEaCXE3zgB2AJEeCylEoeOsARhGQOyAIAFD~720x720.jpeg?lk3s=08d74b56&amp;x-expires=1763022160&amp;x-signature=il4E%2Fc9VKu%2Fkn3Z4ObAXOKhk4fw%3D" TargetMode="External"/><Relationship Id="rId756" Type="http://schemas.openxmlformats.org/officeDocument/2006/relationships/hyperlink" Target="https://sf16-ies-music-sg.tiktokcdn.com/obj/tos-alisg-ve-2774/7776172bb19a49c89a9506853c72a930" TargetMode="External"/><Relationship Id="rId755" Type="http://schemas.openxmlformats.org/officeDocument/2006/relationships/hyperlink" Target="https://p16-sign-va.tiktokcdn.com/tos-maliva-avt-0068/b2c65951c2414a2f3bd250002a9867d2~tplv-tiktokx-cropcenter:100:100.jpeg?dr=14579&amp;refresh_token=170f4918&amp;x-expires=1763172000&amp;x-signature=eL0JffMn7tWVjXCOpz5lG7zkZPc%3D&amp;t=4d5b0474&amp;ps=13740610&amp;shp=a5d48078&amp;shcp=81f88b70&amp;idc=my" TargetMode="External"/><Relationship Id="rId754" Type="http://schemas.openxmlformats.org/officeDocument/2006/relationships/hyperlink" Target="https://www.tiktok.com/@dr.thiagocastrooficial/video/7563678079781014805" TargetMode="External"/><Relationship Id="rId753" Type="http://schemas.openxmlformats.org/officeDocument/2006/relationships/hyperlink" Target="https://v16-webapp-prime.tiktok.com/video/tos/alisg/tos-alisg-pve-0037c001/oIPaMUwABQBiDZgOwvB4coEheITUa6RDeioE0L/?a=1988&amp;bti=ODszNWYuMDE6&amp;ch=0&amp;cr=3&amp;dr=0&amp;lr=all&amp;cd=0%7C0%7C0%7C&amp;cv=1&amp;br=2170&amp;bt=1085&amp;cs=0&amp;ds=3&amp;ft=-Csk_mrMPD12Nlcopd-UxB6vSY6e3wv25rcAp&amp;mime_type=video_mp4&amp;qs=0&amp;rc=ODRpPDhmOGhkMzhlNDc6NEBpM3I8NWo5cmpzNjMzODczNEAtMGM2LzY1NTMxYzUuMDA2YSNoZ280MmQ0Nm9hLS1kMWBzcw%3D%3D&amp;btag=e00090000&amp;expire=1763173588&amp;l=202511131024053FAEE14371AE44A729CC&amp;ply_type=2&amp;policy=2&amp;signature=4e4b5d10e64bd4246f07d6f587f19ca0&amp;tk=tt_chain_token" TargetMode="External"/><Relationship Id="rId759" Type="http://schemas.openxmlformats.org/officeDocument/2006/relationships/hyperlink" Target="https://www.tiktok.com/@isabelecpr/video/7127387283673648390" TargetMode="External"/><Relationship Id="rId758" Type="http://schemas.openxmlformats.org/officeDocument/2006/relationships/hyperlink" Target="https://v16-webapp-prime.tiktok.com/video/tos/maliva/tos-maliva-ve-0068c801-us/c82c9c18331c4ecc9934cf19a2cb127b/?a=1988&amp;bti=ODszNWYuMDE6&amp;ch=0&amp;cr=3&amp;dr=0&amp;lr=all&amp;cd=0%7C0%7C0%7C&amp;cv=1&amp;br=862&amp;bt=431&amp;cs=0&amp;ds=3&amp;ft=-Csk_mrMPD12NH_opd-UxDTFGY6e3wv25ocAp&amp;mime_type=video_mp4&amp;qs=0&amp;rc=Zjs3MzVpMzQ8Ozo5ZTU7PEBpMzY4dDw6ZnBzZTMzNzczM0AyMS0wM2MuX2AxMzEvNjFeYSMwb140cjRvLmhgLS1kMTZzcw%3D%3D&amp;btag=e00098000&amp;expire=1763173760&amp;l=202511131026218DEF8CE7185C8F9E5844&amp;ply_type=2&amp;policy=2&amp;signature=8546106361349d5b6f47891cc697a5e3&amp;tk=tt_chain_token" TargetMode="External"/><Relationship Id="rId757" Type="http://schemas.openxmlformats.org/officeDocument/2006/relationships/hyperlink" Target="https://p77-sg.tiktokcdn.com/aweme/720x720/tos-alisg-v-2774/45dce671159540e4a05c7ad4efc719c3.jpeg" TargetMode="External"/><Relationship Id="rId15" Type="http://schemas.openxmlformats.org/officeDocument/2006/relationships/hyperlink" Target="https://p77-sign-va.tiktokcdn.com/tos-maliva-avt-0068/dc1254c61f7c029eaaef87fbdfa88d8d~tplv-tiktokx-cropcenter:100:100.jpeg?dr=14579&amp;refresh_token=5280d82f&amp;x-expires=1763172000&amp;x-signature=P9284o6fkU5Fvb6O5Ud5boRTeG8%3D&amp;t=4d5b0474&amp;ps=13740610&amp;shp=a5d48078&amp;shcp=81f88b70&amp;idc=my" TargetMode="External"/><Relationship Id="rId14" Type="http://schemas.openxmlformats.org/officeDocument/2006/relationships/hyperlink" Target="https://www.tiktok.com/@lorenatdahta/video/7246403750162631942" TargetMode="External"/><Relationship Id="rId17" Type="http://schemas.openxmlformats.org/officeDocument/2006/relationships/hyperlink" Target="https://p77-sign-va.tiktokcdn.com/tos-maliva-avt-0068/dc1254c61f7c029eaaef87fbdfa88d8d~tplv-tiktokx-cropcenter:1080:1080.jpeg?dr=14579&amp;refresh_token=d5aa6a20&amp;x-expires=1763172000&amp;x-signature=7%2Ffd6Pxmwbivy25JDSO6xewFnco%3D&amp;t=4d5b0474&amp;ps=13740610&amp;shp=a5d48078&amp;shcp=81f88b70&amp;idc=my" TargetMode="External"/><Relationship Id="rId16" Type="http://schemas.openxmlformats.org/officeDocument/2006/relationships/hyperlink" Target="https://v16-webapp-prime.tiktok.com/video/tos/useast2a/tos-useast2a-v-27dcd7/1230c652a2d54c00a8ed488892dae72e/?a=1988&amp;bti=ODszNWYuMDE6&amp;ch=0&amp;cr=0&amp;dr=0&amp;er=0&amp;lr=default&amp;cd=0%7C0%7C0%7C0&amp;br=218&amp;bt=109&amp;ds=5&amp;ft=GNDpcInz7ThiV-UPXq8Zmo&amp;mime_type=video_mp4&amp;qs=13&amp;rc=anBtaDQ6ZnA1ZDMzNzU8M0BpanBtaDQ6ZnA1ZDMzNzU8M0BocXI1cjRncF9gLS1kMTZzYSNocXI1cjRncF9gLS1kMTZzcw%3D%3D&amp;btag=e00048000&amp;expire=1763004276&amp;l=2025111310235634FE9FF2AA2A079ADB1D&amp;ply_type=3&amp;policy=3&amp;signature=a5135213311537f4b9f47ac23d309615&amp;tk=7571587458748974088" TargetMode="External"/><Relationship Id="rId1340" Type="http://schemas.openxmlformats.org/officeDocument/2006/relationships/hyperlink" Target="https://v16-webapp-prime.tiktok.com/video/tos/alisg/tos-alisg-pve-0037c001/okAQo8As3I11nnsLRbXBXcEVQJDYBrDEplveIf/?a=1988&amp;bti=ODszNWYuMDE6&amp;ch=0&amp;cr=3&amp;dr=0&amp;lr=all&amp;cd=0%7C0%7C0%7C&amp;cv=1&amp;br=1768&amp;bt=884&amp;cs=0&amp;ds=3&amp;ft=-Csk_mrMPD12NE.opd-UxG4vXY6e3wv25McAp&amp;mime_type=video_mp4&amp;qs=0&amp;rc=aTRoaDk4NTxkO2U7Ozc2OUBpam52bzg6ZnVxbjMzNzczM0AtL2M1Mi4yNjMxL2E0MF8tYSNzLWNicjQwb2RgLS1kMTZzcw%3D%3D&amp;btag=e00090000&amp;expire=1763173635&amp;l=20251113102536F89EBD83B531C49CD72A&amp;ply_type=2&amp;policy=2&amp;signature=a10fe9987f69c722276549327efacb44&amp;tk=tt_chain_token" TargetMode="External"/><Relationship Id="rId19" Type="http://schemas.openxmlformats.org/officeDocument/2006/relationships/hyperlink" Target="https://www.tiktok.com/@mister.emerson/video/7103916403266292998" TargetMode="External"/><Relationship Id="rId752" Type="http://schemas.openxmlformats.org/officeDocument/2006/relationships/hyperlink" Target="https://p16-sign-va.tiktokcdn.com/tos-maliva-avt-0068/6be26b68d84c67932ffb00957a6ebeb5~tplv-tiktokx-cropcenter:1080:1080.jpeg?dr=14579&amp;refresh_token=7020cb9d&amp;x-expires=1763172000&amp;x-signature=Iml3MP6PIX2kIFmttARZfOgKhOU%3D&amp;t=4d5b0474&amp;ps=13740610&amp;shp=a5d48078&amp;shcp=81f88b70&amp;idc=my" TargetMode="External"/><Relationship Id="rId1341" Type="http://schemas.openxmlformats.org/officeDocument/2006/relationships/hyperlink" Target="https://www.tiktok.com/@mr.tdahzinho/video/7287246573602475270" TargetMode="External"/><Relationship Id="rId18" Type="http://schemas.openxmlformats.org/officeDocument/2006/relationships/hyperlink" Target="https://v16-webapp-prime.tiktok.com/video/tos/alisg/tos-alisg-pve-0037c001/oQrFjPLMEASGufQIDCxHTIyF9IHjgz4fFACfB2/?a=1988&amp;bti=ODszNWYuMDE6&amp;ch=0&amp;cr=3&amp;dr=0&amp;lr=all&amp;cd=0%7C0%7C0%7C&amp;cv=1&amp;br=2154&amp;bt=1077&amp;cs=0&amp;ds=3&amp;ft=-Csk_mrMPD12N3Yopd-Ux24FaY6e3wv25WcAp&amp;mime_type=video_mp4&amp;qs=0&amp;rc=ZTQ0NGY7NGRoMzlmODRlOUBpanl4dzM6Zmo1ZDMzNzczM0A2YTYuLzQxNjQxMmBfNjQ0YSMtNXNicjRvcF9gLS1kMTZzcw%3D%3D&amp;btag=e00088000&amp;expire=1763173476&amp;l=2025111310235634FE9FF2AA2A079ADB1D&amp;ply_type=2&amp;policy=2&amp;signature=ed8dd3b988a1e414b3f3110565cb9691&amp;tk=tt_chain_token" TargetMode="External"/><Relationship Id="rId751" Type="http://schemas.openxmlformats.org/officeDocument/2006/relationships/hyperlink" Target="https://v16-webapp-prime.tiktok.com/video/tos/alisg/tos-alisg-v-27dcd7/o0UnstQgQ3CFkE5lfXJR49fAYUDvBBEYBgToM3/?a=1988&amp;bti=ODszNWYuMDE6&amp;ch=0&amp;cr=0&amp;dr=0&amp;er=0&amp;lr=default&amp;cd=0%7C0%7C0%7C0&amp;br=250&amp;bt=125&amp;ft=GNDpcInz7ThQ9-UPXq8Zmo&amp;mime_type=audio_mpeg&amp;qs=6&amp;rc=aWU0Nzg5NDhnZjxoM2g1NEBpMztoM3Y5cmVzNjMzODU8NEAzL2EzXzAwNTExYGFeXzIzYSNtLi8wMmRjXm9hLS1kMS1zcw%3D%3D&amp;btag=e00090000&amp;expire=1763004388&amp;l=202511131024053FAEE14371AE44A729CC&amp;ply_type=3&amp;policy=3&amp;signature=bb7dc5a111f6ae0a2c024d26dec3b115&amp;tk=7571587458748974088" TargetMode="External"/><Relationship Id="rId1342" Type="http://schemas.openxmlformats.org/officeDocument/2006/relationships/hyperlink" Target="https://p77-sign-va.tiktokcdn.com/tos-maliva-avt-0068/c4295bd6e74c335e5ecac643762c60ce~tplv-tiktokx-cropcenter:100:100.jpeg?dr=14579&amp;refresh_token=072ea997&amp;x-expires=1763172000&amp;x-signature=YeO9fvn9uWTraHJww%2BzUi1qwRKM%3D&amp;t=4d5b0474&amp;ps=13740610&amp;shp=a5d48078&amp;shcp=81f88b70&amp;idc=my" TargetMode="External"/><Relationship Id="rId750" Type="http://schemas.openxmlformats.org/officeDocument/2006/relationships/hyperlink" Target="https://p16-sign-va.tiktokcdn.com/tos-maliva-avt-0068/6be26b68d84c67932ffb00957a6ebeb5~tplv-tiktokx-cropcenter:100:100.jpeg?dr=14579&amp;refresh_token=80801e62&amp;x-expires=1763172000&amp;x-signature=Nc95gFePxeetPj4Xre3eP2XgKnE%3D&amp;t=4d5b0474&amp;ps=13740610&amp;shp=a5d48078&amp;shcp=81f88b70&amp;idc=my" TargetMode="External"/><Relationship Id="rId1343" Type="http://schemas.openxmlformats.org/officeDocument/2006/relationships/hyperlink" Target="https://sf16-ies-music-sg.tiktokcdn.com/obj/tos-alisg-ve-2774/osRIWqb6iiBP3MQQMsQBhemtmjyCV2zkVgvPAv" TargetMode="External"/><Relationship Id="rId1344" Type="http://schemas.openxmlformats.org/officeDocument/2006/relationships/hyperlink" Target="https://p77-sg.tiktokcdn.com/aweme/720x720/tos-alisg-v-2774/os3BiAlnrW1ADBAdEAABifFOhYLwzEBLaAgsQH.jpeg" TargetMode="External"/><Relationship Id="rId84" Type="http://schemas.openxmlformats.org/officeDocument/2006/relationships/hyperlink" Target="https://sf16-ies-music-sg.tiktokcdn.com/obj/tos-alisg-ve-2774/ocSaveTtDMSIgOmr0bbheqwCZpKCknQTBJPJBj" TargetMode="External"/><Relationship Id="rId83" Type="http://schemas.openxmlformats.org/officeDocument/2006/relationships/hyperlink" Target="https://p16-sign-va.tiktokcdn.com/tos-maliva-avt-0068/ebc42eb348fcf29a09bcbf1c40faef80~tplv-tiktokx-cropcenter:100:100.jpeg?dr=14579&amp;refresh_token=2bdf1117&amp;x-expires=1763172000&amp;x-signature=qWkWO%2FiOPhNCyjf1oP1wgqJ%2BWqE%3D&amp;t=4d5b0474&amp;ps=13740610&amp;shp=a5d48078&amp;shcp=81f88b70&amp;idc=my" TargetMode="External"/><Relationship Id="rId86" Type="http://schemas.openxmlformats.org/officeDocument/2006/relationships/hyperlink" Target="https://v16-webapp-prime.tiktok.com/video/tos/useast2a/tos-useast2a-pve-0068/oUJYSZd5GC8IeAejKCNEr4lQDOIeg6bSXt6nDT/?a=1988&amp;bti=ODszNWYuMDE6&amp;ch=0&amp;cr=3&amp;dr=0&amp;lr=all&amp;cd=0%7C0%7C0%7C&amp;cv=1&amp;br=1668&amp;bt=834&amp;cs=0&amp;ds=3&amp;ft=I~da4oKyD12NviW0i.IxRHqNglBF-UjNSqopiX&amp;mime_type=video_mp4&amp;qs=0&amp;rc=MzppNWhoN2c8ZjQ1MzQ4PEBpanZyZzg6Zmt4bDMzNzczM0A0YTU1LzZfNWExNGE2X2NgYSM2b2NicjRnamJgLS1kMTZzcw%3D%3D&amp;btag=e00088000&amp;expire=1763173381&amp;l=202511131022270BBA173F4561DD71A814&amp;ply_type=2&amp;policy=2&amp;signature=5e9ede6283b081aaaf77a0dca0d0e99d&amp;tk=tt_chain_token" TargetMode="External"/><Relationship Id="rId85" Type="http://schemas.openxmlformats.org/officeDocument/2006/relationships/hyperlink" Target="https://p16-sg.tiktokcdn.com/aweme/720x720/tos-alisg-v-2774/oYmnYiChAvs2AEFEtAfyBACzw0o4AAcTt4UWqO.jpeg" TargetMode="External"/><Relationship Id="rId88" Type="http://schemas.openxmlformats.org/officeDocument/2006/relationships/hyperlink" Target="https://p77-sign-va.tiktokcdn.com/tos-maliva-avt-0068/4c3d6f28d50f72a7d7fda63d59b237c3~tplv-tiktokx-cropcenter:100:100.jpeg?dr=14579&amp;refresh_token=921f911b&amp;x-expires=1763172000&amp;x-signature=cULFbXQ4Ks2PiJeQGTMtstJu7bU%3D&amp;t=4d5b0474&amp;ps=13740610&amp;shp=a5d48078&amp;shcp=81f88b70&amp;idc=my" TargetMode="External"/><Relationship Id="rId87" Type="http://schemas.openxmlformats.org/officeDocument/2006/relationships/hyperlink" Target="https://www.tiktok.com/@psicologo.mateus/video/7250209855347100934" TargetMode="External"/><Relationship Id="rId89" Type="http://schemas.openxmlformats.org/officeDocument/2006/relationships/hyperlink" Target="https://v16-webapp-prime.tiktok.com/video/tos/useast2a/tos-useast2a-v-27dcd7/owAfliIRBEcEPB58ETpghYAaBviKvyBkoAA8Ex/?a=1988&amp;bti=ODszNWYuMDE6&amp;ch=0&amp;cr=0&amp;dr=0&amp;er=0&amp;lr=default&amp;cd=0%7C0%7C0%7C0&amp;br=250&amp;bt=125&amp;ds=5&amp;ft=GNDpcInz7ThQ9-UPXq8Zmo&amp;mime_type=audio_mpeg&amp;qs=13&amp;rc=anY8ZnM5cmpkbzMzNzU8M0BpanY8ZnM5cmpkbzMzNzU8M0A2bV9gMmRzNXJgLS1kMTZzYSM2bV9gMmRzNXJgLS1kMTZzcw%3D%3D&amp;btag=e00048000&amp;expire=1763004289&amp;l=202511131024053FAEE14371AE44A729CC&amp;ply_type=3&amp;policy=3&amp;signature=6a972e8111d73491a64c7769fbc34896&amp;tk=7571587458748974088" TargetMode="External"/><Relationship Id="rId709" Type="http://schemas.openxmlformats.org/officeDocument/2006/relationships/hyperlink" Target="https://www.tiktok.com/@tdah.con.amor/video/7504321627337805062" TargetMode="External"/><Relationship Id="rId708" Type="http://schemas.openxmlformats.org/officeDocument/2006/relationships/hyperlink" Target="https://v16-webapp-prime.tiktok.com/video/tos/useast2a/tos-useast2a-pve-0068/ocEIk2IQJJAFNELtIiResJfu0SDhBBCEUQNoDk/?a=1988&amp;bti=ODszNWYuMDE6&amp;ch=0&amp;cr=3&amp;dr=0&amp;lr=all&amp;cd=0%7C0%7C0%7C&amp;cv=1&amp;br=1010&amp;bt=505&amp;cs=0&amp;ds=3&amp;ft=-Csk_mrMPD12N_hopd-Ux315hY6e3wv25dcAp&amp;mime_type=video_mp4&amp;qs=0&amp;rc=OmhoZmdkOjk7MzQ2Ozw4OUBpanhqd3A5cmdlMzMzNzczM0A0LzVjYC41Ni0xMC40YTEtYSMzaGwtMmRrNmZhLS1kMTZzcw%3D%3D&amp;btag=e00088000&amp;expire=1763173415&amp;l=20251113102250DC012CE1E68AEAAA2B86&amp;ply_type=2&amp;policy=2&amp;signature=0399ee6e2fc6e96c370615910fa36278&amp;tk=tt_chain_token" TargetMode="External"/><Relationship Id="rId707" Type="http://schemas.openxmlformats.org/officeDocument/2006/relationships/hyperlink" Target="https://p16-sign-sg.tiktokcdn.com/tos-alisg-v-2774/owhCNBEzzoDAZlg0MJAxFjHBfuQACoEtMSE4eJ~720x720.jpeg?lk3s=08d74b56&amp;x-expires=1763022170&amp;x-signature=mtmy2mTUNdKSgHuzWVCLpv%2BZuus%3D" TargetMode="External"/><Relationship Id="rId706" Type="http://schemas.openxmlformats.org/officeDocument/2006/relationships/hyperlink" Target="https://p16-sign-va.tiktokcdn.com/tos-maliva-avt-0068/ec2b1ace9949df7debe22384aa09b0ab~tplv-tiktokx-cropcenter:100:100.jpeg?dr=14579&amp;refresh_token=b598f10e&amp;x-expires=1763172000&amp;x-signature=OTMf1gveIIEnaKhebbT8EvwY%2B%2FQ%3D&amp;t=4d5b0474&amp;ps=13740610&amp;shp=a5d48078&amp;shcp=81f88b70&amp;idc=my" TargetMode="External"/><Relationship Id="rId80" Type="http://schemas.openxmlformats.org/officeDocument/2006/relationships/hyperlink" Target="https://p3-sg.tiktokcdn.com/aweme/720x720/tiktok-obj/7384014270524803857.jpeg" TargetMode="External"/><Relationship Id="rId82" Type="http://schemas.openxmlformats.org/officeDocument/2006/relationships/hyperlink" Target="https://www.tiktok.com/@lorenatdahta/video/7383842849407782149" TargetMode="External"/><Relationship Id="rId81" Type="http://schemas.openxmlformats.org/officeDocument/2006/relationships/hyperlink" Target="https://v16-webapp-prime.tiktok.com/video/tos/useast2a/tos-useast2a-ve-0068c002/ooEBMeQ6qseKICIRTdzCCqKAilSg4vCIigfijr/?a=1988&amp;bti=ODszNWYuMDE6&amp;ch=0&amp;cr=3&amp;dr=0&amp;lr=all&amp;cd=0%7C0%7C0%7C&amp;br=848&amp;bt=424&amp;cs=0&amp;ds=3&amp;ft=-Csk_mrMPD12NXhopd-UxB6vSY6e3wv25rcAp&amp;mime_type=video_mp4&amp;qs=0&amp;rc=N2RpOjY1NzM4ZTZkM2U4OUBpM2lscnQ5cnlkczMzNzczM0AzXy5iMi4yX2ExXl5hMl8zYSMxaWk1MmRjbXBgLS1kMTZzcw%3D%3D&amp;btag=e00088000&amp;expire=1763173385&amp;l=202511131022245A53A91EDE77CC8B0DB4&amp;ply_type=2&amp;policy=2&amp;signature=70a97bae94bf0089d2e0a1d7b294687c&amp;tk=tt_chain_token" TargetMode="External"/><Relationship Id="rId701"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700" Type="http://schemas.openxmlformats.org/officeDocument/2006/relationships/hyperlink" Target="https://www.tiktok.com/@veigasaymon/video/7472532990564863238" TargetMode="External"/><Relationship Id="rId705" Type="http://schemas.openxmlformats.org/officeDocument/2006/relationships/hyperlink" Target="https://www.tiktok.com/@lorenatdahta/video/7218203496351370501" TargetMode="External"/><Relationship Id="rId704" Type="http://schemas.openxmlformats.org/officeDocument/2006/relationships/hyperlink" Target="https://v16-webapp-prime.tiktok.com/video/tos/maliva/tos-maliva-ve-0068c801-us/o4kLkXENEUDnBCXEIHYsnBAyQReigJbfUQNnVD/?a=1988&amp;bti=ODszNWYuMDE6&amp;ch=0&amp;cr=3&amp;dr=0&amp;lr=all&amp;cd=0%7C0%7C0%7C&amp;cv=1&amp;br=1712&amp;bt=856&amp;cs=0&amp;ds=3&amp;ft=-Csk_mrMPD12Nycopd-UxG4vXY6e3wv25McAp&amp;mime_type=video_mp4&amp;qs=0&amp;rc=ZWVpNGc1M2lpM2Y7ZGhlNEBpajdueWU6Zms2ajMzNzczM0AuY2M2LzBiXl8xNmEtYTBeYSNnMW1pcjRvXmpgLS1kMTZzcw%3D%3D&amp;btag=e00098000&amp;expire=1763173688&amp;l=20251113102415EC11E565E652E77F00C9&amp;ply_type=2&amp;policy=2&amp;signature=8b7f6c94f15eed761254189dfdd2443f&amp;tk=tt_chain_token" TargetMode="External"/><Relationship Id="rId703"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702" Type="http://schemas.openxmlformats.org/officeDocument/2006/relationships/hyperlink" Target="https://v16-webapp-prime.tiktok.com/video/tos/useast2a/tos-useast2a-v-27dcd7/cc825b6ba694462eb70e509f11a29747/?a=1988&amp;bti=ODszNWYuMDE6&amp;ch=0&amp;cr=0&amp;dr=0&amp;er=0&amp;lr=default&amp;cd=0%7C0%7C0%7C0&amp;br=250&amp;bt=125&amp;ds=5&amp;ft=GNDpcInz7Th49-UPXq8Zmo&amp;mime_type=audio_mpeg&amp;qs=13&amp;rc=anVubDU6Znc2ajMzNzU8M0BpanVubDU6Znc2ajMzNzU8M0BwMS1ncjQwX2pgLS1kMTZzYSNwMS1ncjQwX2pgLS1kMTZzcw%3D%3D&amp;btag=e00058000&amp;expire=1763004488&amp;l=20251113102415EC11E565E652E77F00C9&amp;ply_type=3&amp;policy=3&amp;signature=df26899255fbfd287448bd8c2ae4ccdb&amp;tk=7571587458748974088" TargetMode="External"/><Relationship Id="rId73" Type="http://schemas.openxmlformats.org/officeDocument/2006/relationships/hyperlink" Target="https://p77-sign-va.tiktokcdn.com/tos-maliva-avt-0068/537c2e54e34424e435f89ef9f03582d2~tplv-tiktokx-cropcenter:100:100.jpeg?dr=14579&amp;refresh_token=fc7f6c17&amp;x-expires=1763172000&amp;x-signature=gENlyOEUCsDD2vTbafTzlLIcJ6Q%3D&amp;t=4d5b0474&amp;ps=13740610&amp;shp=a5d48078&amp;shcp=81f88b70&amp;idc=my" TargetMode="External"/><Relationship Id="rId72" Type="http://schemas.openxmlformats.org/officeDocument/2006/relationships/hyperlink" Target="https://www.tiktok.com/@lorenatdahta/video/7257936743163301126" TargetMode="External"/><Relationship Id="rId75" Type="http://schemas.openxmlformats.org/officeDocument/2006/relationships/hyperlink" Target="https://p77-sg.tiktokcdn.com/aweme/720x720/tos-alisg-v-2774/ogBpC8CNfFBA8tHAImEDtmfGIA5Ogk6IBQo3AZ.jpeg" TargetMode="External"/><Relationship Id="rId74" Type="http://schemas.openxmlformats.org/officeDocument/2006/relationships/hyperlink" Target="https://sf16-ies-music-sg.tiktokcdn.com/obj/tos-alisg-ve-2774/f8d01e4cfcae4e30829388665c48738d" TargetMode="External"/><Relationship Id="rId77" Type="http://schemas.openxmlformats.org/officeDocument/2006/relationships/hyperlink" Target="https://www.tiktok.com/@gmrlopes/video/7456957972246187270" TargetMode="External"/><Relationship Id="rId76" Type="http://schemas.openxmlformats.org/officeDocument/2006/relationships/hyperlink" Target="https://v16-webapp-prime.tiktok.com/video/tos/useast2a/tos-useast2a-pve-0068/ooNECjfDSQrljsOIM3A47f7G4CeAUE9TFgQPIg/?a=1988&amp;bti=ODszNWYuMDE6&amp;ch=0&amp;cr=3&amp;dr=0&amp;lr=all&amp;cd=0%7C0%7C0%7C&amp;cv=1&amp;br=2214&amp;bt=1107&amp;cs=0&amp;ds=3&amp;ft=-Csk_mrMPD12NDhopd-Ux2.2GY6e3wv25rcAp&amp;mime_type=video_mp4&amp;qs=0&amp;rc=M2Q5NzQzPDM2OTdlaDRkOUBpM3c6M285cm05dzMzNzczM0BgXzExX2AuXmIxNS0vMjJjYSNyYGZnMmRzcnJgLS1kMTZzcw%3D%3D&amp;btag=e00090000&amp;expire=1763173416&amp;l=20251113102236D675DBC36011DA84E058&amp;ply_type=2&amp;policy=2&amp;signature=61214dd4ebe8d8249c4c99ed7d816778&amp;tk=tt_chain_token" TargetMode="External"/><Relationship Id="rId79" Type="http://schemas.openxmlformats.org/officeDocument/2006/relationships/hyperlink" Target="https://v16-webapp-prime.tiktok.com/video/tos/useast2a/tos-useast2a-v-27dcd7/ooAUAe4eGCDMLAjo7xIWVKIf8CSIs2xg50TAvE/?a=1988&amp;bti=ODszNWYuMDE6&amp;ch=0&amp;cr=0&amp;dr=0&amp;er=0&amp;lr=default&amp;cd=0%7C0%7C0%7C0&amp;br=250&amp;bt=125&amp;ds=5&amp;ft=GNDpcInz7ThRK-UPXq8Zmo&amp;mime_type=audio_mpeg&amp;qs=13&amp;rc=anY6bXg5cnlkczMzNzU8M0BpanY6bXg5cnlkczMzNzU8M0BhZW5hMmRjb3BgLS1kMTZzYSNhZW5hMmRjb3BgLS1kMTZzcw%3D%3D&amp;btag=e00048000&amp;expire=1763004185&amp;l=202511131022245A53A91EDE77CC8B0DB4&amp;ply_type=3&amp;policy=3&amp;signature=b3617a18efc5ad44e9f0b84840466aad&amp;tk=7571587458748974088" TargetMode="External"/><Relationship Id="rId78"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71" Type="http://schemas.openxmlformats.org/officeDocument/2006/relationships/hyperlink" Target="https://v16-webapp-prime.tiktok.com/video/tos/useast2a/tos-useast2a-ve-0068c001/oY9qEAtmkXUQvXISCioVI3fhZ2F6Ty5zzigKAq/?a=1988&amp;bti=ODszNWYuMDE6&amp;ch=0&amp;cr=3&amp;dr=0&amp;lr=all&amp;cd=0%7C0%7C0%7C&amp;cv=1&amp;br=596&amp;bt=298&amp;cs=0&amp;ds=3&amp;ft=-Csk_mrMPD12NF_opd-UxbX5bY6e3wv25zcAp&amp;mime_type=video_mp4&amp;qs=0&amp;rc=ZTdpN2UzZDU6OTZpZmlkaEBpanRxPDc6ZmtvbDMzNzczM0AvXjNiMF4wXi8xYzM0Y2A1YSNrY2ZpcjRfcXBgLS1kMTZzcw%3D%3D&amp;btag=e00090000&amp;expire=1763173720&amp;l=20251113102614E0AE0D1C94494C7B69A1&amp;ply_type=2&amp;policy=2&amp;signature=c4c3ad7acf829aa8c93f521beef7ba62&amp;tk=tt_chain_token" TargetMode="External"/><Relationship Id="rId70" Type="http://schemas.openxmlformats.org/officeDocument/2006/relationships/hyperlink" Target="https://p16-sign-sg.tiktokcdn.com/tos-alisg-v-2774/1230945312bd4c8da2a75413d6267791~720x720.jpeg?lk3s=08d74b56&amp;x-expires=1763022374&amp;x-signature=A25dXQw5snCkNMv8zUhoQaSuZks%3D" TargetMode="External"/><Relationship Id="rId62" Type="http://schemas.openxmlformats.org/officeDocument/2006/relationships/hyperlink" Target="https://v16-webapp-prime.tiktok.com/video/tos/useast2a/tos-useast2a-ve-0068c002/oYrErGgXIbeEJEzBWN2DfBmRjZAFQBRQJCmmEP/?a=1988&amp;bti=ODszNWYuMDE6&amp;ch=0&amp;cr=3&amp;dr=0&amp;lr=all&amp;cd=0%7C0%7C0%7C&amp;cv=1&amp;br=2280&amp;bt=1140&amp;cs=0&amp;ds=3&amp;ft=-Csk_mrMPD12Nycopd-UxG4vXY6e3wv25McAp&amp;mime_type=video_mp4&amp;qs=0&amp;rc=Zmc5ZmU6NTplZGY2NDU3O0BpM3BobXg5cnBrdTMzNzczM0AwLmJjL2AtNS4xXzFeMDNhYSNnLXFhMmRjZTNgLS1kMTZzcw%3D%3D&amp;btag=e00090000&amp;expire=1763173520&amp;l=20251113102415EC11E565E652E77F00C9&amp;ply_type=2&amp;policy=2&amp;signature=fea25abdc9417914da861c02951d471e&amp;tk=tt_chain_token" TargetMode="External"/><Relationship Id="rId1312" Type="http://schemas.openxmlformats.org/officeDocument/2006/relationships/hyperlink" Target="https://p16-sign-va.tiktokcdn.com/tos-maliva-avt-0068/ab033d4596f3637580b65cdd22747b8f~tplv-tiktokx-cropcenter:100:100.jpeg?dr=14579&amp;refresh_token=f42532ba&amp;x-expires=1763172000&amp;x-signature=%2BJhX0rkSpukO2IyWRLvvoC9HzDI%3D&amp;t=4d5b0474&amp;ps=13740610&amp;shp=a5d48078&amp;shcp=81f88b70&amp;idc=my" TargetMode="External"/><Relationship Id="rId61"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1313" Type="http://schemas.openxmlformats.org/officeDocument/2006/relationships/hyperlink" Target="https://v16-webapp-prime.tiktok.com/video/tos/useast2a/tos-useast2a-v-27dcd7/owAeZLayEpgTDGMlIelCRvACCbIorKfSgACtI2/?a=1988&amp;bti=ODszNWYuMDE6&amp;ch=0&amp;cr=0&amp;dr=0&amp;er=0&amp;lr=default&amp;cd=0%7C0%7C0%7C0&amp;br=250&amp;bt=125&amp;ds=5&amp;ft=GNDpcInz7ThX9-UPXq8Zmo&amp;mime_type=audio_mpeg&amp;qs=13&amp;rc=ajw1eW05cmxmbzMzNzU8M0Bpajw1eW05cmxmbzMzNzU8M0BjZGAyMmQ0al9gLS1kMTZzYSNjZGAyMmQ0al9gLS1kMTZzcw%3D%3D&amp;btag=e00078000&amp;expire=1763004283&amp;l=20251113102424EE0F9FCD2CC2B68BE0E2&amp;ply_type=3&amp;policy=3&amp;signature=eb66eb4639dc925bb63496cf86a53656&amp;tk=7571587458748974088" TargetMode="External"/><Relationship Id="rId64" Type="http://schemas.openxmlformats.org/officeDocument/2006/relationships/hyperlink" Target="https://p16-sign-sg.tiktokcdn.com/tos-alisg-avt-0068/9832aa685b2cfe94db09e06f702f0a77~tplv-tiktokx-cropcenter:100:100.jpeg?dr=14579&amp;refresh_token=7f323dc4&amp;x-expires=1763172000&amp;x-signature=ZYpVkRaxkusjJF3GuxG54nOp0tI%3D&amp;t=4d5b0474&amp;ps=13740610&amp;shp=a5d48078&amp;shcp=81f88b70&amp;idc=my" TargetMode="External"/><Relationship Id="rId1314" Type="http://schemas.openxmlformats.org/officeDocument/2006/relationships/hyperlink" Target="https://p77-sign-va.tiktokcdn.com/tos-maliva-avt-0068/ab033d4596f3637580b65cdd22747b8f~tplv-tiktokx-cropcenter:1080:1080.jpeg?dr=14579&amp;refresh_token=1bdc8347&amp;x-expires=1763172000&amp;x-signature=48sLX2sQmNVf4hECTfcuGYArRNc%3D&amp;t=4d5b0474&amp;ps=13740610&amp;shp=a5d48078&amp;shcp=81f88b70&amp;idc=my" TargetMode="External"/><Relationship Id="rId63" Type="http://schemas.openxmlformats.org/officeDocument/2006/relationships/hyperlink" Target="https://www.tiktok.com/@igorpsicologo/video/7407604517925047557" TargetMode="External"/><Relationship Id="rId1315" Type="http://schemas.openxmlformats.org/officeDocument/2006/relationships/hyperlink" Target="https://v16-webapp-prime.tiktok.com/video/tos/maliva/tos-maliva-ve-0068c801-us/o0xiKyM0IdyCksqAMWwBfgcIWQAiMj2oUatyEj/?a=1988&amp;bti=ODszNWYuMDE6&amp;ch=0&amp;cr=3&amp;dr=0&amp;lr=all&amp;cd=0%7C0%7C0%7C&amp;cv=1&amp;br=698&amp;bt=349&amp;cs=0&amp;ds=3&amp;ft=-Csk_mrMPD12N-copd-Ux7~2bY6e3wv25bcAp&amp;mime_type=video_mp4&amp;qs=0&amp;rc=cnF8b2hsc2d3SkBwaHIxaDFybndmZ2c7OTtoMzwzZjY5aTg4aEBpM2Y7cmw5cjtmbzMzNzczM0BjRl5Nc3FePmJKYSNvYF90aHFmOiNeYjY2Xy42XzMxLjQ0Yl4tYSNibG1iMmRjal9gLS1kMTZzcw%3D%3D&amp;btag=e000b8000&amp;expire=1763173483&amp;l=20251113102424EE0F9FCD2CC2B68BE0E2&amp;ply_type=2&amp;policy=2&amp;signature=4d036255835ba5f6cc74871af9e2d101&amp;tk=tt_chain_token" TargetMode="External"/><Relationship Id="rId66" Type="http://schemas.openxmlformats.org/officeDocument/2006/relationships/hyperlink" Target="https://p77-sign-sg.tiktokcdn.com/tos-alisg-avt-0068/9832aa685b2cfe94db09e06f702f0a77~tplv-tiktokx-cropcenter:1080:1080.jpeg?dr=14579&amp;refresh_token=8a8a26c2&amp;x-expires=1763172000&amp;x-signature=sU5tTwK2XB%2FfCIEXt2tigwfL%2BuY%3D&amp;t=4d5b0474&amp;ps=13740610&amp;shp=a5d48078&amp;shcp=81f88b70&amp;idc=my" TargetMode="External"/><Relationship Id="rId1316" Type="http://schemas.openxmlformats.org/officeDocument/2006/relationships/hyperlink" Target="https://www.tiktok.com/@clarisepazterapeuta/video/7302247328797232390" TargetMode="External"/><Relationship Id="rId65" Type="http://schemas.openxmlformats.org/officeDocument/2006/relationships/hyperlink" Target="https://v16-webapp-prime.tiktok.com/video/tos/useast2a/tos-useast2a-v-27dcd7/ooMAS8s5FCyQnELTyCwQIwSAA9oHgfeHq8fGIM/?a=1988&amp;bti=ODszNWYuMDE6&amp;ch=0&amp;cr=0&amp;dr=0&amp;er=0&amp;lr=default&amp;cd=0%7C0%7C0%7C0&amp;br=250&amp;bt=125&amp;ds=5&amp;ft=GNDpcInz7Th4K-UPXq8Zmo&amp;mime_type=audio_mpeg&amp;qs=13&amp;rc=amY6N3Y5cjNtczMzNzU8M0BpamY6N3Y5cjNtczMzNzU8M0BlbGRrMmRrc3FgLS1kMTZzYSNlbGRrMmRrc3FgLS1kMTZzcw%3D%3D&amp;btag=e00048000&amp;expire=1763004162&amp;l=2025111310220790E74D25ACF9796D8D06&amp;ply_type=3&amp;policy=3&amp;signature=1dbf7e2ed95a8b23048fe368a546c954&amp;tk=7571587458748974088" TargetMode="External"/><Relationship Id="rId1317"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68" Type="http://schemas.openxmlformats.org/officeDocument/2006/relationships/hyperlink" Target="https://www.tiktok.com/@claralisle/video/7384565805939264773" TargetMode="External"/><Relationship Id="rId1318" Type="http://schemas.openxmlformats.org/officeDocument/2006/relationships/hyperlink" Target="https://v16-webapp-prime.tiktok.com/video/tos/useast2a/tos-useast2a-v-27dcd7/owzAkv9twAbEuBiE0g8EhmFAAvKYo7fBbEwBic/?a=1988&amp;bti=ODszNWYuMDE6&amp;ch=0&amp;cr=0&amp;dr=0&amp;er=0&amp;lr=default&amp;cd=0%7C0%7C0%7C0&amp;br=250&amp;bt=125&amp;ds=5&amp;ft=GNDpcInz7ThGD-UPXq8Zmo&amp;mime_type=audio_mpeg&amp;qs=13&amp;rc=M3U2cm45cnJ2dzMzNzU8M0BpM3U2cm45cnJ2dzMzNzU8M0BibF9qMmRjMXJgLS1kMTZzYSNibF9qMmRjMXJgLS1kMTZzcw%3D%3D&amp;btag=e00050000&amp;expire=1763004409&amp;l=2025111310254344385823DD6566920070&amp;ply_type=3&amp;policy=3&amp;signature=89c00481b65f13ac3cac6888e6369235&amp;tk=7571587458748974088" TargetMode="External"/><Relationship Id="rId67" Type="http://schemas.openxmlformats.org/officeDocument/2006/relationships/hyperlink" Target="https://v16-webapp-prime.tiktok.com/video/tos/alisg/tos-alisg-pve-0037c001/oQ2DigAimIcxjIQop8CPu9EZImhhBfdAk7wzwo/?a=1988&amp;bti=ODszNWYuMDE6&amp;ch=0&amp;cr=3&amp;dr=0&amp;lr=all&amp;cd=0%7C0%7C0%7C&amp;cv=1&amp;br=1468&amp;bt=734&amp;cs=0&amp;ds=3&amp;ft=-Csk_mrMPD12Nyhopd-UxFN2aY6e3wv25ycAp&amp;mime_type=video_mp4&amp;qs=0&amp;rc=N2Q7NWk4Z2RlOGY5OTw6NkBpM2h0dms5cmptczMzNzczM0AwXl80Mi9gNjIxNDI0Ly01YSNnYTNoMmRzcXFgLS1kMTZzcw%3D%3D&amp;btag=e00088000&amp;expire=1763173362&amp;l=2025111310220790E74D25ACF9796D8D06&amp;ply_type=2&amp;policy=2&amp;signature=4688c0a6b4c6426ec97db0cdc215d436&amp;tk=tt_chain_token" TargetMode="External"/><Relationship Id="rId1319"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729" Type="http://schemas.openxmlformats.org/officeDocument/2006/relationships/hyperlink" Target="https://www.tiktok.com/@psi.walace/video/7517416026632359224" TargetMode="External"/><Relationship Id="rId728" Type="http://schemas.openxmlformats.org/officeDocument/2006/relationships/hyperlink" Target="https://v16-webapp-prime.tiktok.com/video/tos/useast2a/tos-useast2a-pve-0068/oQaIM8TEiSExA2BQdIiONxi5kMQGa8inUvOBF/?a=1988&amp;bti=ODszNWYuMDE6&amp;ch=0&amp;cr=3&amp;dr=0&amp;lr=all&amp;cd=0%7C0%7C0%7C&amp;cv=1&amp;br=1766&amp;bt=883&amp;cs=0&amp;ds=3&amp;ft=-Csk_mrMPD12NF_opd-UxbX5bY6e3wv25zcAp&amp;mime_type=video_mp4&amp;qs=0&amp;rc=ODdlOTlnMzlmOTc7Omk0aUBpMztxPGs5cnBtNDMzNzczM0AvXjYxLjI2NjYxNGA2YDAxYSNhL29lMmRrZzZhLS1kMTZzcw%3D%3D&amp;btag=e00090000&amp;expire=1763173639&amp;l=20251113102614E0AE0D1C94494C7B69A1&amp;ply_type=2&amp;policy=2&amp;signature=f3812425500c8bf99cabded06caa4fb3&amp;tk=tt_chain_token" TargetMode="External"/><Relationship Id="rId60" Type="http://schemas.openxmlformats.org/officeDocument/2006/relationships/hyperlink" Target="https://v16-webapp-prime.tiktok.com/video/tos/useast2a/tos-useast2a-v-27dcd7/oEA3AfqHDCDNFA9ofNEGjHERmCSEkIeg09T3IE/?a=1988&amp;bti=ODszNWYuMDE6&amp;ch=0&amp;cr=0&amp;dr=0&amp;er=0&amp;lr=default&amp;cd=0%7C0%7C0%7C0&amp;br=250&amp;bt=125&amp;ds=5&amp;ft=GNDpcInz7Th49-UPXq8Zmo&amp;mime_type=audio_mpeg&amp;qs=13&amp;rc=M2R1M3Q5cjprdTMzNzU8M0BpM2R1M3Q5cjprdTMzNzU8M0AxcXM2MmRzZjNgLS1kMTZzYSMxcXM2MmRzZjNgLS1kMTZzcw%3D%3D&amp;btag=e00050000&amp;expire=1763004320&amp;l=20251113102415EC11E565E652E77F00C9&amp;ply_type=3&amp;policy=3&amp;signature=62091de7cd6c4ee31f0588a3dc8b7dc7&amp;tk=7571587458748974088" TargetMode="External"/><Relationship Id="rId723" Type="http://schemas.openxmlformats.org/officeDocument/2006/relationships/hyperlink" Target="https://v16-webapp-prime.tiktok.com/video/tos/useast2a/tos-useast2a-ve-0068c004/o4jPcQItnZB1b3OnBfFEQHDVCZAVt3WEIAfoJt/?a=1988&amp;bti=ODszNWYuMDE6&amp;ch=0&amp;cr=3&amp;dr=0&amp;lr=all&amp;cd=0%7C0%7C0%7C&amp;br=1902&amp;bt=951&amp;cs=0&amp;ds=3&amp;ft=-Csk_mrMPD12N3Yopd-Ux24FaY6e3wv25WcAp&amp;mime_type=video_mp4&amp;qs=0&amp;rc=OzM6NjU6MztnZDlnaTpnaUBpanF0O3k5cm9ndzMzNzgzM0BjYl4wXmEvXi0xYWA2MWBgYSNqZW0tMmRjMGdgLS1kLzZzcw%3D%3D&amp;btag=e00090000&amp;expire=1763173507&amp;l=2025111310235634FE9FF2AA2A079ADB1D&amp;ply_type=2&amp;policy=2&amp;signature=7b4571496431e865f9052b09a3ed9c03&amp;tk=tt_chain_token" TargetMode="External"/><Relationship Id="rId722" Type="http://schemas.openxmlformats.org/officeDocument/2006/relationships/hyperlink" Target="https://p16-sg.tiktokcdn.com/aweme/720x720/tos-alisg-v-2774/7851b9d4cd8c4aa98ae927a8c7b9fe1b.jpeg" TargetMode="External"/><Relationship Id="rId721" Type="http://schemas.openxmlformats.org/officeDocument/2006/relationships/hyperlink" Target="https://sf16-ies-music-sg.tiktokcdn.com/obj/tos-alisg-ve-2774/8f884d9ce34b47c094368ca53341c44e" TargetMode="External"/><Relationship Id="rId720"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727" Type="http://schemas.openxmlformats.org/officeDocument/2006/relationships/hyperlink" Target="https://p16-sg.tiktokcdn.com/aweme/720x720/tos-alisg-v-2774/oUG8AAGLIKPebIIr4eMBrqUMeeVeAAi7ABVAL2.jpeg" TargetMode="External"/><Relationship Id="rId726" Type="http://schemas.openxmlformats.org/officeDocument/2006/relationships/hyperlink" Target="https://sf16-ies-music-sg.tiktokcdn.com/obj/tos-alisg-ve-2774/oMUBYBZgAjzmzh5LASirQiSPI9QEDAgMWPiVN" TargetMode="External"/><Relationship Id="rId725"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724" Type="http://schemas.openxmlformats.org/officeDocument/2006/relationships/hyperlink" Target="https://www.tiktok.com/@lorenatdahta/video/7377552711681707270" TargetMode="External"/><Relationship Id="rId69"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1310" Type="http://schemas.openxmlformats.org/officeDocument/2006/relationships/hyperlink" Target="https://webapp-va.tiktok.com/c6e7696c6f12ff1d4018e3b380b898a7/6917e406/kmoat/mps/logo/v2/r/p/v09044g40000cvanpjvog65v5lvjkmh0/9391d91dea624ab5a61faf1465d337b8/beb158e5b9228d4fac8b41467e750a59/mp4/main.mp4?a=1988&amp;bti=ODszNWYuMDE6&amp;ch=0&amp;cr=3&amp;dr=0&amp;lr=all&amp;cd=0%7C0%7C0%7C&amp;cv=1&amp;br=0&amp;bt=0&amp;cs=0&amp;ds=3&amp;eid=1286&amp;ft=bLZkJmrMPD12NDhopd-Ux2.2GY6e3wv25rcAp&amp;mime_type=video_mp4&amp;qs=0&amp;rc=cnF8b2hsc2d3SkBwaHIxaDFybndmOzo2ODdpaTk4ZDVkZzw0NkBpM3Btb3k5cm1xeTMzNzczM0BjRl5Nc3FePmJKYSNvYF90aHFmOiNfMGEzLl4uXl8xM2IuYTY2YSNlaHMyMmRzbV5gLS1kMTZzcw%3D%3D&amp;btag=e000b8000&amp;definition=720p&amp;du=26&amp;item_id=7482023570999184695&amp;l=20251113102236D675DBC36011DA84E058&amp;logo_type=tiktok_m&amp;ply_type=2&amp;policy=eyJ2bSI6MiwiY2siOiJ0dF9jaGFpbl90b2tlbiJ9&amp;user_text=leirileneandrades1" TargetMode="External"/><Relationship Id="rId1311" Type="http://schemas.openxmlformats.org/officeDocument/2006/relationships/hyperlink" Target="https://www.tiktok.com/@leirileneandrades1/video/7482023570999184695" TargetMode="External"/><Relationship Id="rId51" Type="http://schemas.openxmlformats.org/officeDocument/2006/relationships/hyperlink" Target="https://p19-common-sign-useastred.tiktokcdn-eu.com/tos-useast2a-avt-0068-euttp/4d6119d2606f9134a63aacf1b3ba7545~tplv-tiktokx-cropcenter:1080:1080.jpeg?dr=14579&amp;refresh_token=d6d8394f&amp;x-expires=1763172000&amp;x-signature=H%2BD1oWH%2BZHD1zpXPSLQwtkYDims%3D&amp;t=4d5b0474&amp;ps=13740610&amp;shp=a5d48078&amp;shcp=81f88b70&amp;idc=my" TargetMode="External"/><Relationship Id="rId1301" Type="http://schemas.openxmlformats.org/officeDocument/2006/relationships/hyperlink" Target="https://www.tiktok.com/@mr.tdahzinho/video/7262113718308261125" TargetMode="External"/><Relationship Id="rId50" Type="http://schemas.openxmlformats.org/officeDocument/2006/relationships/hyperlink" Target="https://v16-webapp-prime.tiktok.com/video/tos/useast2a/tos-useast2a-v-27dcd7/030ee3b7a0114b99ba3df7796256af1e/?a=1988&amp;bti=ODszNWYuMDE6&amp;ch=0&amp;cr=0&amp;dr=0&amp;er=0&amp;lr=default&amp;cd=0%7C0%7C0%7C0&amp;br=220&amp;bt=110&amp;ds=5&amp;ft=GNDpcInz7ThlV-UPXq8Zmo&amp;mime_type=audio_mp4&amp;qs=13&amp;rc=M3M8ZWY6ZjhxOzMzNzU8M0BpM3M8ZWY6ZjhxOzMzNzU8M0Bjc2NgcjRnZm1gLS1kMTZzYSNjc2NgcjRnZm1gLS1kMTZzcw%3D%3D&amp;btag=e00050000&amp;expire=1763004354&amp;l=20251113102257F8D01E3BFCE9B2911856&amp;ply_type=3&amp;policy=3&amp;signature=7be5a3043a2a767c8d8c4d5e267470f6&amp;tk=7571587458748974088" TargetMode="External"/><Relationship Id="rId1302" Type="http://schemas.openxmlformats.org/officeDocument/2006/relationships/hyperlink" Target="https://p16-sign-va.tiktokcdn.com/tos-maliva-avt-0068/7371496277114421253~tplv-tiktokx-cropcenter:100:100.jpeg?dr=14579&amp;refresh_token=f041e516&amp;x-expires=1763172000&amp;x-signature=fFXPorOoqpa28LNOAdQGRMWSmQQ%3D&amp;t=4d5b0474&amp;ps=13740610&amp;shp=a5d48078&amp;shcp=81f88b70&amp;idc=my" TargetMode="External"/><Relationship Id="rId53" Type="http://schemas.openxmlformats.org/officeDocument/2006/relationships/hyperlink" Target="https://www.tiktok.com/@cattarinalia/video/7260149803244457222" TargetMode="External"/><Relationship Id="rId1303" Type="http://schemas.openxmlformats.org/officeDocument/2006/relationships/hyperlink" Target="https://v16-webapp-prime.tiktok.com/video/tos/useast2a/tos-useast2a-v-27dcd7/ogSqedHTNEcfobnCEM2gAzDhFBfAECMABE47Aa/?a=1988&amp;bti=ODszNWYuMDE6&amp;ch=0&amp;cr=0&amp;dr=0&amp;er=0&amp;lr=default&amp;cd=0%7C0%7C0%7C0&amp;br=250&amp;bt=125&amp;ds=5&amp;ft=GNDpcInz7ThQ9-UPXq8Zmo&amp;mime_type=audio_mpeg&amp;qs=13&amp;rc=amd4N2o5cmpwczMzNzU8M0Bpamd4N2o5cmpwczMzNzU8M0BiaHNrMmRjbXFgLS1kMTZzYSNiaHNrMmRjbXFgLS1kMTZzcw%3D%3D&amp;btag=e00070000&amp;expire=1763004257&amp;l=202511131024053FAEE14371AE44A729CC&amp;ply_type=3&amp;policy=3&amp;signature=9a7f9255cfa4d42f157cb45a52c8bad9&amp;tk=7571587458748974088" TargetMode="External"/><Relationship Id="rId52" Type="http://schemas.openxmlformats.org/officeDocument/2006/relationships/hyperlink" Target="https://v16-webapp-prime.tiktok.com/video/tos/maliva/tos-maliva-ve-0068c801-us/oo6qTnmQ2beTBW6bEQRCdJked2RxwAO2DI7Bgc/?a=1988&amp;bti=ODszNWYuMDE6&amp;ch=0&amp;cr=3&amp;dr=0&amp;lr=all&amp;cd=0%7C0%7C0%7C&amp;cv=1&amp;br=2850&amp;bt=1425&amp;cs=0&amp;ds=3&amp;ft=-Csk_mrMPD12N4Yopd-Ux9T2bY6e3wv25IcAp&amp;mime_type=video_mp4&amp;qs=0&amp;rc=NzozaDo3O2VpaGk1Zjg1O0BpandxbTs6ZmhtbTMzNzczM0AtXjEvMGE0Xl4xNl8zYzZhYSNhZWtucjRnZy1gLS1kMTZzcw%3D%3D&amp;btag=e00090000&amp;expire=1763173455&amp;l=20251113102257F8D01E3BFCE9B2911856&amp;ply_type=2&amp;policy=2&amp;signature=689ec167e29dac15a8f1d62c45591c5f&amp;tk=tt_chain_token" TargetMode="External"/><Relationship Id="rId1304" Type="http://schemas.openxmlformats.org/officeDocument/2006/relationships/hyperlink" Target="https://p16-sign-va.tiktokcdn.com/tos-maliva-avt-0068/7371496277114421253~tplv-tiktokx-cropcenter:1080:1080.jpeg?dr=14579&amp;refresh_token=2e9b124d&amp;x-expires=1763172000&amp;x-signature=wLXXwnJHePSJeLdLUTqSFYvhJDc%3D&amp;t=4d5b0474&amp;ps=13740610&amp;shp=a5d48078&amp;shcp=81f88b70&amp;idc=my" TargetMode="External"/><Relationship Id="rId55" Type="http://schemas.openxmlformats.org/officeDocument/2006/relationships/hyperlink" Target="https://v16-webapp-prime.tiktok.com/video/tos/useast2a/tos-useast2a-v-27dcd7/okfcKM5EAzJwAEqEsBFlC3DDQ5JRABwkfN3Usl/?a=1988&amp;bti=ODszNWYuMDE6&amp;ch=0&amp;cr=0&amp;dr=0&amp;er=0&amp;lr=default&amp;cd=0%7C0%7C0%7C0&amp;br=250&amp;bt=125&amp;ds=5&amp;ft=GNDpcInz7ThQ9-UPXq8Zmo&amp;mime_type=audio_mpeg&amp;qs=13&amp;rc=ank0OWw5cmxncTMzNzU8M0Bpank0OWw5cmxncTMzNzU8M0BwYGNnMmRrcGJgLS1kMTZzYSNwYGNnMmRrcGJgLS1kMTZzcw%3D%3D&amp;btag=e00048000&amp;expire=1763004279&amp;l=202511131024053FAEE14371AE44A729CC&amp;ply_type=3&amp;policy=3&amp;signature=c7cff97bcf0ef76c719830f6d2c54f99&amp;tk=7571587458748974088" TargetMode="External"/><Relationship Id="rId1305" Type="http://schemas.openxmlformats.org/officeDocument/2006/relationships/hyperlink" Target="https://webapp-va.tiktok.com/53a2bbf07d6e1ed70153b654cda84341/6917e451/kmoat/mps/logo/v3/r/p/v09044g40000cptme7fog65j8kmueg80/1b57d66b87d04145b283387d6f9d6058/80b156fc713702f18f653341e53ad6db/mp4/main.mp4?a=1988&amp;bti=ODszNWYuMDE6&amp;ch=0&amp;cr=3&amp;dr=0&amp;lr=all&amp;cd=0%7C0%7C0%7C&amp;cv=1&amp;br=0&amp;bt=0&amp;cs=0&amp;ds=3&amp;ft=bLZkJmrMPD12Nlcopd-UxB6vSY6e3wv25rcAp&amp;mime_type=video_mp4&amp;qs=0&amp;rc=cnF8b2hsc2d3SkBwaHIxaDFybndmOzNnaWc7NjU4NDM6ZTk6ZUBpM2p4bm05cjpwczMzNzczM0BjRl5Nc3FePmJKYSNvYF90aHFmOiMyMzYzNDA1XzExYTUzYTIuYSM1Ymo1MmRjYnFgLS1kMTZzcw%3D%3D&amp;btag=e000b0000&amp;definition=720p&amp;du=12&amp;item_id=7384615567153433861&amp;l=202511131024053FAEE14371AE44A729CC&amp;logo_type=tiktok_creator&amp;ply_type=2&amp;policy=eyJ2bSI6MiwiY2siOiJ0dF9jaGFpbl90b2tlbiJ9&amp;sign_params=item_id%2Cuser_text&amp;user_text=pedropy08" TargetMode="External"/><Relationship Id="rId54" Type="http://schemas.openxmlformats.org/officeDocument/2006/relationships/hyperlink" Target="https://p16-sign-va.tiktokcdn.com/tos-maliva-avt-0068/9b657748b0b2620f98810c4ee65b50e4~tplv-tiktokx-cropcenter:100:100.jpeg?dr=14579&amp;refresh_token=20675ec2&amp;x-expires=1763172000&amp;x-signature=ewlmc4hVlczUd%2F4ejopMryjHWhs%3D&amp;t=4d5b0474&amp;ps=13740610&amp;shp=a5d48078&amp;shcp=81f88b70&amp;idc=my" TargetMode="External"/><Relationship Id="rId1306" Type="http://schemas.openxmlformats.org/officeDocument/2006/relationships/hyperlink" Target="https://www.tiktok.com/@pedropy08/video/7384615567153433861" TargetMode="External"/><Relationship Id="rId57" Type="http://schemas.openxmlformats.org/officeDocument/2006/relationships/hyperlink" Target="https://v16-webapp-prime.tiktok.com/video/tos/alisg/tos-alisg-pve-0037c001/oYqG5bfyGReycWutAFLASNjBDCenLYCgIygxIu/?a=1988&amp;bti=ODszNWYuMDE6&amp;ch=0&amp;cr=3&amp;dr=0&amp;lr=all&amp;cd=0%7C0%7C0%7C&amp;cv=1&amp;br=2636&amp;bt=1318&amp;cs=0&amp;ds=3&amp;ft=-Csk_mrMPD12Nlcopd-UxB6vSY6e3wv25rcAp&amp;mime_type=video_mp4&amp;qs=0&amp;rc=M2ZkNjllOjNpZWU6N2ZkN0Bpamo5ZXU5cjtncTMzNzczM0BhXzUwMi4yXl4xNTNhYl5hYSNvLy9qMmQ0b2JgLS1kMTZzcw%3D%3D&amp;btag=e00088000&amp;expire=1763173479&amp;l=202511131024053FAEE14371AE44A729CC&amp;ply_type=2&amp;policy=2&amp;signature=a71fcd2d5855c083eb12f79eea5c771f&amp;tk=tt_chain_token" TargetMode="External"/><Relationship Id="rId1307" Type="http://schemas.openxmlformats.org/officeDocument/2006/relationships/hyperlink" Target="https://p77-sign-va.tiktokcdn.com/tos-maliva-avt-0068/8b4bfa4b61a650af0d670888dbc2a00d~tplv-tiktokx-cropcenter:100:100.jpeg?dr=14579&amp;refresh_token=54dcf868&amp;x-expires=1763172000&amp;x-signature=abtz9o%2F63SUg76%2Fd%2BI1StBsbh9Q%3D&amp;t=4d5b0474&amp;ps=13740610&amp;shp=a5d48078&amp;shcp=81f88b70&amp;idc=my" TargetMode="External"/><Relationship Id="rId56" Type="http://schemas.openxmlformats.org/officeDocument/2006/relationships/hyperlink" Target="https://p16-sign-va.tiktokcdn.com/tos-maliva-avt-0068/9b657748b0b2620f98810c4ee65b50e4~tplv-tiktokx-cropcenter:1080:1080.jpeg?dr=14579&amp;refresh_token=7d963c40&amp;x-expires=1763172000&amp;x-signature=WfyfJCOSxWOV4%2BXdXVOLMQAjJbg%3D&amp;t=4d5b0474&amp;ps=13740610&amp;shp=a5d48078&amp;shcp=81f88b70&amp;idc=my" TargetMode="External"/><Relationship Id="rId1308" Type="http://schemas.openxmlformats.org/officeDocument/2006/relationships/hyperlink" Target="https://v16-webapp-prime.tiktok.com/video/tos/useast2a/tos-useast2a-v-27dcd7/oYQeYTCPbqVemLKWo8NGagAoSBCeEnnAaQAVIv/?a=1988&amp;bti=ODszNWYuMDE6&amp;ch=0&amp;cr=0&amp;dr=0&amp;er=0&amp;lr=default&amp;cd=0%7C0%7C0%7C0&amp;br=250&amp;bt=125&amp;ds=5&amp;ft=GNDpcInz7ThzK-UPXq8Zmo&amp;mime_type=audio_mpeg&amp;qs=13&amp;rc=ajN0d3Q5cm5xeTMzNzU8M0BpajN0d3Q5cm5xeTMzNzU8M0BjMl4xMmRzbV5gLS1kMTZzYSNjMl4xMmRzbV5gLS1kMTZzcw%3D%3D&amp;btag=e00078000&amp;expire=1763004182&amp;l=20251113102236D675DBC36011DA84E058&amp;ply_type=3&amp;policy=3&amp;signature=1bacd57bf93bbc1ec7a0b3567bbed156&amp;tk=7571587458748974088" TargetMode="External"/><Relationship Id="rId1309" Type="http://schemas.openxmlformats.org/officeDocument/2006/relationships/hyperlink" Target="https://p77-sign-va.tiktokcdn.com/tos-maliva-avt-0068/8b4bfa4b61a650af0d670888dbc2a00d~tplv-tiktokx-cropcenter:1080:1080.jpeg?dr=14579&amp;refresh_token=990590ba&amp;x-expires=1763172000&amp;x-signature=mrUAg6eUpMqsCZPjH0LlYunNJpU%3D&amp;t=4d5b0474&amp;ps=13740610&amp;shp=a5d48078&amp;shcp=81f88b70&amp;idc=my" TargetMode="External"/><Relationship Id="rId719" Type="http://schemas.openxmlformats.org/officeDocument/2006/relationships/hyperlink" Target="https://www.tiktok.com/@psi.jonathanorlandi/video/7371818503029984518" TargetMode="External"/><Relationship Id="rId718" Type="http://schemas.openxmlformats.org/officeDocument/2006/relationships/hyperlink" Target="https://v16-webapp-prime.tiktok.com/video/tos/useast2a/tos-useast2a-ve-0068c002/o8fMuKVCMAM6QjUFgIFCmXSDbfSkVlfECICPkE/?a=1988&amp;bti=ODszNWYuMDE6&amp;ch=0&amp;cr=3&amp;dr=0&amp;lr=all&amp;cd=0%7C0%7C0%7C&amp;cv=1&amp;br=2130&amp;bt=1065&amp;cs=0&amp;ds=3&amp;ft=-Csk_mrMPD12NF_opd-UxbX5bY6e3wv25zcAp&amp;mime_type=video_mp4&amp;qs=0&amp;rc=ZWlpaDw8ZmQzO2hmODQ2NkBpMzc8bnc5cnB5czMzNzczM0AvNTZgX14zXmAxX2EwXjQzYSMuX2RjMmRzXjNgLS1kMTZzcw%3D%3D&amp;btag=e00090000&amp;expire=1763173664&amp;l=20251113102614E0AE0D1C94494C7B69A1&amp;ply_type=2&amp;policy=2&amp;signature=4ad9cd5775bbb708cd8c13066463f5f3&amp;tk=tt_chain_token" TargetMode="External"/><Relationship Id="rId717"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712" Type="http://schemas.openxmlformats.org/officeDocument/2006/relationships/hyperlink" Target="https://p16-sign-va.tiktokcdn.com/tos-maliva-avt-0068/db2aa230d258e7c56591b8c569ce5386~tplv-tiktokx-cropcenter:1080:1080.jpeg?dr=14579&amp;refresh_token=7f405353&amp;x-expires=1763172000&amp;x-signature=3lNKvlvuxICPHJMSHAQOMC%2BEabA%3D&amp;t=4d5b0474&amp;ps=13740610&amp;shp=a5d48078&amp;shcp=81f88b70&amp;idc=my" TargetMode="External"/><Relationship Id="rId711" Type="http://schemas.openxmlformats.org/officeDocument/2006/relationships/hyperlink" Target="https://v16-webapp-prime.tiktok.com/video/tos/useast2a/tos-useast2a-v-27dcd7/o0SBUBa1AMVLQ3wVQDilsH8hItQVIUXMCviAB/?a=1988&amp;bti=ODszNWYuMDE6&amp;ch=0&amp;cr=0&amp;dr=0&amp;er=0&amp;lr=default&amp;cd=0%7C0%7C0%7C0&amp;br=250&amp;bt=125&amp;ft=GNDpcInz7ThVY-UPXq8Zmo&amp;mime_type=audio_mpeg&amp;qs=6&amp;rc=ZjU3Ozw4Z2Q1NzU0PDg7OUBpM3Z4b2o5cjRsNDMzNzU8M0AzXmAwLmAuNi8xMjM1LTJjYSMzb15eMmRrL25hLS1kMTZzcw%3D%3D&amp;btag=e00090000&amp;expire=1763004466&amp;l=202511131026378F10DAFBB0AF239B249B&amp;ply_type=3&amp;policy=3&amp;signature=023bbb38ec37cbdcb2912977d0fbfafc&amp;tk=7571587458748974088" TargetMode="External"/><Relationship Id="rId710" Type="http://schemas.openxmlformats.org/officeDocument/2006/relationships/hyperlink" Target="https://p77-sign-va.tiktokcdn.com/tos-maliva-avt-0068/db2aa230d258e7c56591b8c569ce5386~tplv-tiktokx-cropcenter:100:100.jpeg?dr=14579&amp;refresh_token=d33445c1&amp;x-expires=1763172000&amp;x-signature=vd5Nhdi0mxbu2ngjlX6Kiy6cwmA%3D&amp;t=4d5b0474&amp;ps=13740610&amp;shp=a5d48078&amp;shcp=81f88b70&amp;idc=my" TargetMode="External"/><Relationship Id="rId716" Type="http://schemas.openxmlformats.org/officeDocument/2006/relationships/hyperlink" Target="https://v16-webapp-prime.tiktok.com/video/tos/useast2a/tos-useast2a-v-27dcd7/o0DCAEkAXI6mnFSoKSefCGS8w7AGCTgRbMIfEC/?a=1988&amp;bti=ODszNWYuMDE6&amp;ch=0&amp;cr=0&amp;dr=0&amp;er=0&amp;lr=default&amp;cd=0%7C0%7C0%7C0&amp;br=250&amp;bt=125&amp;ds=5&amp;ft=GNDpcInz7ThSY-UPXq8Zmo&amp;mime_type=audio_mpeg&amp;qs=13&amp;rc=ajhnO2w5cnN5czMzNzU8M0BpajhnO2w5cnN5czMzNzU8M0AubzUxMmRzXzNgLS1kMTZzYSMubzUxMmRzXzNgLS1kMTZzcw%3D%3D&amp;btag=e00050000&amp;expire=1763004464&amp;l=20251113102614E0AE0D1C94494C7B69A1&amp;ply_type=3&amp;policy=3&amp;signature=180728029072a8ccdea56f5ad873468c&amp;tk=7571587458748974088" TargetMode="External"/><Relationship Id="rId715"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714" Type="http://schemas.openxmlformats.org/officeDocument/2006/relationships/hyperlink" Target="https://www.tiktok.com/@sorayacarvalho.psi/video/7526958621536668984" TargetMode="External"/><Relationship Id="rId713" Type="http://schemas.openxmlformats.org/officeDocument/2006/relationships/hyperlink" Target="https://v16-webapp-prime.tiktok.com/video/tos/useast2a/tos-useast2a-ve-0068c002/oA5m5QfTeACfABGHIAtqHpRgsLjIk6jNMSIgCc/?a=1988&amp;bti=ODszNWYuMDE6&amp;ch=0&amp;cr=3&amp;dr=0&amp;lr=all&amp;cd=0%7C0%7C0%7C&amp;cv=1&amp;br=830&amp;bt=415&amp;cs=0&amp;ds=3&amp;ft=-Csk_mrMPD12NY_opd-Uxz42hY6e3wv25ycAp&amp;mime_type=video_mp4&amp;qs=0&amp;rc=ZjtkODpnOGZpaGgzaDc5ZEBpamhmN3M5cnJsNDMzNzczM0AwMWNiNjU2NmIxMjYzLV42YSNfMzBpMmRzLm5hLS1kMTZzcw%3D%3D&amp;btag=e00090000&amp;expire=1763173666&amp;l=202511131026378F10DAFBB0AF239B249B&amp;ply_type=2&amp;policy=2&amp;signature=795c7bc05d4451d09b5c210ec7b12e33&amp;tk=tt_chain_token" TargetMode="External"/><Relationship Id="rId59"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58" Type="http://schemas.openxmlformats.org/officeDocument/2006/relationships/hyperlink" Target="https://www.tiktok.com/@joaorostand/video/7339985873351593222" TargetMode="External"/><Relationship Id="rId1300" Type="http://schemas.openxmlformats.org/officeDocument/2006/relationships/hyperlink" Target="https://v16-webapp-prime.tiktok.com/video/tos/maliva/tos-maliva-ve-0068c801-us/oUywkRIXlALIBAfIFgtEYgAQBZCSoSNzOqNzhT/?a=1988&amp;bti=ODszNWYuMDE6&amp;ch=0&amp;cr=3&amp;dr=0&amp;lr=all&amp;cd=0%7C0%7C0%7C&amp;cv=1&amp;br=1920&amp;bt=960&amp;cs=0&amp;ds=3&amp;ft=I~da4oKyD12NvnA0i.IxRTF_blBF-UjNSaopiX&amp;mime_type=video_mp4&amp;qs=0&amp;rc=O2Y4aGk4NTc1Nzo4MzpmNEBpamVkcDg6Zmw2bTMzNzczM0AzYjIxNC5jNS8xYzRfYzY1YSM2bi9fcjRnXjFgLS1kMTZzcw%3D%3D&amp;btag=e000b8000&amp;expire=1763173493&amp;l=20251113102438711CFC3830D7669110B2&amp;ply_type=2&amp;policy=2&amp;signature=b43893e008b55d2c1fdb434fb28b67c3&amp;tk=tt_chain_token" TargetMode="External"/><Relationship Id="rId349" Type="http://schemas.openxmlformats.org/officeDocument/2006/relationships/hyperlink" Target="https://www.tiktok.com/@taharibnn/video/7136945772981013765" TargetMode="External"/><Relationship Id="rId348" Type="http://schemas.openxmlformats.org/officeDocument/2006/relationships/hyperlink" Target="https://v16-webapp-prime.tiktok.com/video/tos/maliva/tos-maliva-ve-0068c801-us/0208e4d4a9574dbbbefb3e9bd8bf06c3/?a=1988&amp;bti=ODszNWYuMDE6&amp;ch=0&amp;cr=3&amp;dr=0&amp;lr=all&amp;cd=0%7C0%7C0%7C&amp;cv=1&amp;br=2898&amp;bt=1449&amp;cs=0&amp;ds=3&amp;ft=-Csk_mrMPD12Nzhopd-UxfeFaY6e3wv25HcAp&amp;mime_type=video_mp4&amp;qs=0&amp;rc=ZjNkaWVnZzc0Ojs0NzQ7OkBpM2U2eWY6ZnByZjMzNzczM0A0M2FeLy9eNTYxYjQwY2FfYSNyLmtucjRnYDJgLS1kMTZzcw%3D%3D&amp;btag=e000b0000&amp;expire=1763173374&amp;l=202511131022442EE54DE47B86CCA867A8&amp;ply_type=2&amp;policy=2&amp;signature=ae2a63df27f367156b5d30eab27bb0e5&amp;tk=tt_chain_token" TargetMode="External"/><Relationship Id="rId347" Type="http://schemas.openxmlformats.org/officeDocument/2006/relationships/hyperlink" Target="https://p16-sign-va.tiktokcdn.com/tos-maliva-avt-0068/f6c9ce0e62719a5be566968f7c4b37c5~tplv-tiktokx-cropcenter:1080:1080.jpeg?dr=14579&amp;refresh_token=38b3d5a2&amp;x-expires=1763172000&amp;x-signature=exznBosDlgmPq%2BjQiPdGFf%2BnYRM%3D&amp;t=4d5b0474&amp;ps=13740610&amp;shp=a5d48078&amp;shcp=81f88b70&amp;idc=my" TargetMode="External"/><Relationship Id="rId346" Type="http://schemas.openxmlformats.org/officeDocument/2006/relationships/hyperlink" Target="https://v16-webapp-prime.tiktok.com/video/tos/useast2a/tos-useast2a-v-27dcd7/039ca3f0b89e41e88f79f9d01742a9c2/?a=1988&amp;bti=ODszNWYuMDE6&amp;ch=0&amp;cr=0&amp;dr=0&amp;er=0&amp;lr=default&amp;cd=0%7C0%7C0%7C0&amp;br=248&amp;bt=124&amp;ds=5&amp;ft=GNDpcInz7ThbK-UPXq8Zmo&amp;mime_type=video_mp4&amp;qs=13&amp;rc=am1zdDY6ZnNyZjMzNzU8M0Bpam1zdDY6ZnNyZjMzNzU8M0AwLzZfcjRnYDJgLS1kMTZzYSMwLzZfcjRnYDJgLS1kMTZzcw%3D%3D&amp;btag=e00070000&amp;expire=1763004174&amp;l=202511131022442EE54DE47B86CCA867A8&amp;ply_type=3&amp;policy=3&amp;signature=7839ca4fab98f408f0b6d14dccfc2afc&amp;tk=7571587458748974088" TargetMode="External"/><Relationship Id="rId341" Type="http://schemas.openxmlformats.org/officeDocument/2006/relationships/hyperlink" Target="https://v16-webapp-prime.tiktok.com/video/tos/useast2a/tos-useast2a-v-27dcd7/ogfJEUegF097AA4a03BsEkxrQAi3BoCqGiBJAi/?a=1988&amp;bti=ODszNWYuMDE6&amp;ch=0&amp;cr=0&amp;dr=0&amp;er=0&amp;lr=default&amp;cd=0%7C0%7C0%7C0&amp;br=250&amp;bt=125&amp;ds=5&amp;ft=GNDpcInz7ThyY-UPXq8Zmo&amp;mime_type=audio_mpeg&amp;qs=13&amp;rc=am45aG45cnhkMzMzNzU8M0Bpam45aG45cnhkMzMzNzU8M0AvMjNkMmRzcmFhLS1kMTZzYSMvMjNkMmRzcmFhLS1kMTZzcw%3D%3D&amp;btag=e00050000&amp;expire=1763004472&amp;l=2025111310264583C2663DA446357263D7&amp;ply_type=3&amp;policy=3&amp;signature=c7bcacc16150c6ee6657155c747e54e8&amp;tk=7571587458748974088" TargetMode="External"/><Relationship Id="rId340"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345" Type="http://schemas.openxmlformats.org/officeDocument/2006/relationships/hyperlink" Target="https://p16-sign-va.tiktokcdn.com/tos-maliva-avt-0068/f6c9ce0e62719a5be566968f7c4b37c5~tplv-tiktokx-cropcenter:100:100.jpeg?dr=14579&amp;refresh_token=c3e90c36&amp;x-expires=1763172000&amp;x-signature=l8MI6yyw3ngvM1dtkMLp48303IA%3D&amp;t=4d5b0474&amp;ps=13740610&amp;shp=a5d48078&amp;shcp=81f88b70&amp;idc=my" TargetMode="External"/><Relationship Id="rId344" Type="http://schemas.openxmlformats.org/officeDocument/2006/relationships/hyperlink" Target="https://www.tiktok.com/@igorpsicologo/video/7501501037203721478" TargetMode="External"/><Relationship Id="rId343" Type="http://schemas.openxmlformats.org/officeDocument/2006/relationships/hyperlink" Target="https://v16-webapp-prime.tiktok.com/video/tos/useast2a/tos-useast2a-pve-0068/oQEY3kIQJ4AFWEqr8pRpiGfu84DyBBHEfQ7oda/?a=1988&amp;bti=ODszNWYuMDE6&amp;ch=0&amp;cr=3&amp;dr=0&amp;lr=all&amp;cd=0%7C0%7C0%7C&amp;cv=1&amp;br=1944&amp;bt=972&amp;cs=0&amp;ds=3&amp;ft=-Csk_mrMPD12Nw_opd-UxfeFaY6e3wv25HcAp&amp;mime_type=video_mp4&amp;qs=0&amp;rc=NDc3MzQzPGU2NDc2N2VoOkBpMzxrZ2s5cjxkMzMzNzczM0BiNC81Ni9hXjIxYC8xMWBgYSNfc200MmQ0cGFhLS1kMTZzcw%3D%3D&amp;btag=e00090000&amp;expire=1763173672&amp;l=2025111310264583C2663DA446357263D7&amp;ply_type=2&amp;policy=2&amp;signature=61432986f0c0f9f8d090676af935b5e2&amp;tk=tt_chain_token" TargetMode="External"/><Relationship Id="rId342"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338" Type="http://schemas.openxmlformats.org/officeDocument/2006/relationships/hyperlink" Target="https://v16-webapp-prime.tiktok.com/video/tos/useast2a/tos-useast2a-pve-0068/ogV0GeXXIIQSIwPR9gNgLCmRQNjTAXeCnCeRr9/?a=1988&amp;bti=ODszNWYuMDE6&amp;ch=0&amp;cr=3&amp;dr=0&amp;lr=all&amp;cd=0%7C0%7C0%7C&amp;cv=1&amp;br=1198&amp;bt=599&amp;cs=0&amp;ds=3&amp;ft=-Csk_mrMPD12N8Yopd-UxfeFaY6e3wv25HcAp&amp;mime_type=video_mp4&amp;qs=0&amp;rc=NmRnNjg3aTUzPGVpaWc7M0BpajtlcG85cmQ8dTMzNzczM0BjXl8xNmEwNjExLi9jLi02YSNkcmFzMmRzaWhgLS1kMTZzcw%3D%3D&amp;btag=e00090000&amp;expire=1763173542&amp;l=20251113102343D1A0044B947998B9C2A2&amp;ply_type=2&amp;policy=2&amp;signature=99bbbeb60799f0a78e5ea54049d88b48&amp;tk=tt_chain_token" TargetMode="External"/><Relationship Id="rId337" Type="http://schemas.openxmlformats.org/officeDocument/2006/relationships/hyperlink" Target="https://p77-sign-va.tiktokcdn.com/tos-maliva-avt-0068/e59283bc7cddea9e513758e2827eb4b6~tplv-tiktokx-cropcenter:1080:1080.jpeg?dr=14579&amp;refresh_token=35a8e7b6&amp;x-expires=1763172000&amp;x-signature=XCDRc5y4lEx%2BCP61QjyqGysIOrQ%3D&amp;t=4d5b0474&amp;ps=13740610&amp;shp=a5d48078&amp;shcp=81f88b70&amp;idc=my" TargetMode="External"/><Relationship Id="rId336" Type="http://schemas.openxmlformats.org/officeDocument/2006/relationships/hyperlink" Target="https://v16-webapp-prime.tiktok.com/video/tos/useast2a/tos-useast2a-v-27dcd7/ocED4gVlB4AEYASzyEkii6gdEAgfnAuoPoBnKl/?a=1988&amp;bti=ODszNWYuMDE6&amp;ch=0&amp;cr=0&amp;dr=0&amp;er=0&amp;lr=default&amp;cd=0%7C0%7C0%7C0&amp;br=250&amp;bt=125&amp;ds=5&amp;ft=GNDpcInz7ThaV-UPXq8Zmo&amp;mime_type=audio_mpeg&amp;qs=13&amp;rc=M3JwcnI5cmQ8dTMzNzU8M0BpM3JwcnI5cmQ8dTMzNzU8M0BtLTFmMmRzbmhgLS1kMTZzYSNtLTFmMmRzbmhgLS1kMTZzcw%3D%3D&amp;btag=e00050000&amp;expire=1763004342&amp;l=20251113102343D1A0044B947998B9C2A2&amp;ply_type=3&amp;policy=3&amp;signature=db26d6ff3b23bee751acc0ebcf6c86ff&amp;tk=7571587458748974088" TargetMode="External"/><Relationship Id="rId335" Type="http://schemas.openxmlformats.org/officeDocument/2006/relationships/hyperlink" Target="https://p77-sign-va.tiktokcdn.com/tos-maliva-avt-0068/e59283bc7cddea9e513758e2827eb4b6~tplv-tiktokx-cropcenter:100:100.jpeg?dr=14579&amp;refresh_token=28e748c6&amp;x-expires=1763172000&amp;x-signature=1J4XkU%2F3nPQlHc4evU3lMevU8EI%3D&amp;t=4d5b0474&amp;ps=13740610&amp;shp=a5d48078&amp;shcp=81f88b70&amp;idc=my" TargetMode="External"/><Relationship Id="rId339" Type="http://schemas.openxmlformats.org/officeDocument/2006/relationships/hyperlink" Target="https://www.tiktok.com/@tdahvibe/video/7415349529945312517" TargetMode="External"/><Relationship Id="rId330" Type="http://schemas.openxmlformats.org/officeDocument/2006/relationships/hyperlink" Target="https://www.tiktok.com/@opsiquiatrasincero/video/7567500903712836894" TargetMode="External"/><Relationship Id="rId334" Type="http://schemas.openxmlformats.org/officeDocument/2006/relationships/hyperlink" Target="https://www.tiktok.com/@pisicopop/video/7308804131991440645" TargetMode="External"/><Relationship Id="rId333" Type="http://schemas.openxmlformats.org/officeDocument/2006/relationships/hyperlink" Target="https://p77-sign-va.tiktokcdn.com/tos-maliva-avt-0068/0c857903b1d71ebd63a58d7ad9b30044~tplv-tiktokx-cropcenter:1080:1080.jpeg?dr=14579&amp;refresh_token=2bffa430&amp;x-expires=1763172000&amp;x-signature=wEF%2Fz6Itzq6Pe1hgxJyHAYeXRzc%3D&amp;t=4d5b0474&amp;ps=13740610&amp;shp=a5d48078&amp;shcp=81f88b70&amp;idc=my" TargetMode="External"/><Relationship Id="rId332" Type="http://schemas.openxmlformats.org/officeDocument/2006/relationships/hyperlink" Target="https://v16-webapp-prime.tiktok.com/video/tos/useast2a/tos-useast2a-v-27dcd7/o0EAuyuKxAwAooEz6LEBBiigtFBbQtAspf9Vqk/?a=1988&amp;bti=ODszNWYuMDE6&amp;ch=0&amp;cr=0&amp;dr=0&amp;er=0&amp;lr=default&amp;cd=0%7C0%7C0%7C0&amp;br=250&amp;bt=125&amp;ds=5&amp;ft=GNDpcInz7Th4K-UPXq8Zmo&amp;mime_type=audio_mpeg&amp;qs=13&amp;rc=ampodnQ5cmQ0bzMzNzU8M0BpampodnQ5cmQ0bzMzNzU8M0BycG1oMmRzYWtgLS1kMTZzYSNycG1oMmRzYWtgLS1kMTZzcw%3D%3D&amp;btag=e00050000&amp;expire=1763004188&amp;l=2025111310220790E74D25ACF9796D8D06&amp;ply_type=3&amp;policy=3&amp;signature=29d2b53a65df535d641a6b8910fbd779&amp;tk=7571587458748974088" TargetMode="External"/><Relationship Id="rId331" Type="http://schemas.openxmlformats.org/officeDocument/2006/relationships/hyperlink" Target="https://p77-sign-va.tiktokcdn.com/tos-maliva-avt-0068/0c857903b1d71ebd63a58d7ad9b30044~tplv-tiktokx-cropcenter:100:100.jpeg?dr=14579&amp;refresh_token=bd7ccf7b&amp;x-expires=1763172000&amp;x-signature=qnFlEFg%2F126y2FC73ux9%2Bx6bk0k%3D&amp;t=4d5b0474&amp;ps=13740610&amp;shp=a5d48078&amp;shcp=81f88b70&amp;idc=my" TargetMode="External"/><Relationship Id="rId370"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369" Type="http://schemas.openxmlformats.org/officeDocument/2006/relationships/hyperlink" Target="https://www.tiktok.com/@psi.walace/video/7542648377733844230" TargetMode="External"/><Relationship Id="rId368" Type="http://schemas.openxmlformats.org/officeDocument/2006/relationships/hyperlink" Target="https://v16-webapp-prime.tiktok.com/video/tos/useast2a/tos-useast2a-ve-0068c001/ok15IJb5WDAx3TZs7NFqBRoQ2EfQUBtrEYf0sE/?a=1988&amp;bti=ODszNWYuMDE6&amp;ch=0&amp;cr=3&amp;dr=0&amp;lr=all&amp;cd=0%7C0%7C0%7C&amp;cv=1&amp;br=2822&amp;bt=1411&amp;cs=0&amp;ds=3&amp;ft=-Csk_mrMPD12N-copd-Ux7~2bY6e3wv25bcAp&amp;mime_type=video_mp4&amp;qs=0&amp;rc=NDs4OmZkOzo5OmQ5N2c8ZEBpam5rZG85cm9nNTMzNzczM0A2LWA2YDBiXl4xYjVfMDU2YSNhcmFiMmRrcGphLS1kMTZzcw%3D%3D&amp;btag=e00090000&amp;expire=1763173615&amp;l=20251113102424EE0F9FCD2CC2B68BE0E2&amp;ply_type=2&amp;policy=2&amp;signature=7519176e6a72e0abf564778318831a8d&amp;tk=tt_chain_token" TargetMode="External"/><Relationship Id="rId363" Type="http://schemas.openxmlformats.org/officeDocument/2006/relationships/hyperlink" Target="https://v16-webapp-prime.tiktok.com/video/tos/useast2a/tos-useast2a-ve-0068c004/67555ff4db2042f2a7383ff2c9ca1067/?a=1988&amp;bti=ODszNWYuMDE6&amp;ch=0&amp;cr=3&amp;dr=0&amp;lr=all&amp;cd=0%7C0%7C0%7C&amp;cv=1&amp;br=2712&amp;bt=1356&amp;cs=0&amp;ds=3&amp;ft=-Csk_mrMPD12NOYopd-Uxtv5GY6e3wv252cAp&amp;mime_type=video_mp4&amp;qs=0&amp;rc=Zjk5NjQ8ZGg1aGdkNDM1OUBpM3I1NWg6Zmk8ZjMzNzczM0AzYl5eXy01NjMxLTBhMDVjYSNfMTAycjRnM3JgLS1kMTZzcw%3D%3D&amp;btag=e00090000&amp;expire=1763173556&amp;l=20251113102306B19E1F5BC676BF8CC05E&amp;ply_type=2&amp;policy=2&amp;signature=cadb1ea7e9ac339e399c1007c2944659&amp;tk=tt_chain_token" TargetMode="External"/><Relationship Id="rId362" Type="http://schemas.openxmlformats.org/officeDocument/2006/relationships/hyperlink" Target="https://p77-sg.tiktokcdn.com/aweme/720x720/tos-alisg-v-2774/owyPHEzAZEYPAAUA4dA0LAZiBAwPar9MiqAWD.jpeg" TargetMode="External"/><Relationship Id="rId361" Type="http://schemas.openxmlformats.org/officeDocument/2006/relationships/hyperlink" Target="https://sf16-ies-music-sg.tiktokcdn.com/obj/tos-alisg-ve-2774/58514c1e758a47e2a54a049f9b0a1015" TargetMode="External"/><Relationship Id="rId360" Type="http://schemas.openxmlformats.org/officeDocument/2006/relationships/hyperlink" Target="https://p77-sign-va.tiktokcdn.com/tos-maliva-avt-0068/f5ef76b12fba1261aba4a784145116e5~tplv-tiktokx-cropcenter:100:100.jpeg?dr=14579&amp;refresh_token=7b0cce6c&amp;x-expires=1763172000&amp;x-signature=t49TUU2GLU3oJcG%2BV%2BpN5Y1PSSM%3D&amp;t=4d5b0474&amp;ps=13740610&amp;shp=a5d48078&amp;shcp=81f88b70&amp;idc=my" TargetMode="External"/><Relationship Id="rId367" Type="http://schemas.openxmlformats.org/officeDocument/2006/relationships/hyperlink" Target="https://p77-sign-va.tiktokcdn.com/tos-maliva-avt-0068/1b1ab6d65ae96fbe11db1ee88f115e37~tplv-tiktokx-cropcenter:1080:1080.jpeg?dr=14579&amp;refresh_token=d66e5223&amp;x-expires=1763172000&amp;x-signature=R6kR8LEXgLbL9Kvgxfo27gqUrfM%3D&amp;t=4d5b0474&amp;ps=13740610&amp;shp=a5d48078&amp;shcp=81f88b70&amp;idc=my" TargetMode="External"/><Relationship Id="rId366" Type="http://schemas.openxmlformats.org/officeDocument/2006/relationships/hyperlink" Target="https://v16-webapp-prime.tiktok.com/video/tos/useast2a/tos-useast2a-v-27dcd7/oQBrC3ZrmFCA1UNAEoEDguffEApdQ7uBBJsq2J/?a=1988&amp;bti=ODszNWYuMDE6&amp;ch=0&amp;cr=0&amp;dr=0&amp;er=0&amp;lr=default&amp;cd=0%7C0%7C0%7C0&amp;br=250&amp;bt=125&amp;ds=5&amp;ft=GNDpcInz7ThX9-UPXq8Zmo&amp;mime_type=audio_mpeg&amp;qs=13&amp;rc=amZ3O2o5cnRnNTMzNzU8M0BpamZ3O2o5cnRnNTMzNzU8M0BzajNhMmRrcWphLS1kMTZzYSNzajNhMmRrcWphLS1kMTZzcw%3D%3D&amp;btag=e00050000&amp;expire=1763004415&amp;l=20251113102424EE0F9FCD2CC2B68BE0E2&amp;ply_type=3&amp;policy=3&amp;signature=d7e50cfc03d7045553a7a0d1f0c6d0fc&amp;tk=7571587458748974088" TargetMode="External"/><Relationship Id="rId365"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364" Type="http://schemas.openxmlformats.org/officeDocument/2006/relationships/hyperlink" Target="https://www.tiktok.com/@psi.jess/video/7150752474645728518" TargetMode="External"/><Relationship Id="rId95" Type="http://schemas.openxmlformats.org/officeDocument/2006/relationships/hyperlink" Target="https://p16-sign-sg.tiktokcdn.com/tos-alisg-avt-0068/9832aa685b2cfe94db09e06f702f0a77~tplv-tiktokx-cropcenter:1080:1080.jpeg?dr=14579&amp;refresh_token=d57b4bd0&amp;x-expires=1763172000&amp;x-signature=0nm8UzgqhG3Wa%2Bb2eLmc9Jca%2BrQ%3D&amp;t=4d5b0474&amp;ps=13740610&amp;shp=a5d48078&amp;shcp=81f88b70&amp;idc=my" TargetMode="External"/><Relationship Id="rId94" Type="http://schemas.openxmlformats.org/officeDocument/2006/relationships/hyperlink" Target="https://v16-webapp-prime.tiktok.com/video/tos/useast2a/tos-useast2a-v-27dcd7/o4D00AFSZC9PZU30AVldiYBEAABivmorzkQtE/?a=1988&amp;bti=ODszNWYuMDE6&amp;ch=0&amp;cr=0&amp;dr=0&amp;er=0&amp;lr=default&amp;cd=0%7C0%7C0%7C0&amp;br=250&amp;bt=125&amp;ds=5&amp;ft=GNDpcInz7Th_9-UPXq8Zmo&amp;mime_type=audio_mpeg&amp;qs=13&amp;rc=M3dpbW45cm9wczMzNzU8M0BpM3dpbW45cm9wczMzNzU8M0BobmxvMmRrNWlgLS1kMTZzYSNobmxvMmRrNWlgLS1kMTZzcw%3D%3D&amp;btag=e00050000&amp;expire=1763004383&amp;l=202511131024200DA040BB1F5C349EC2B1&amp;ply_type=3&amp;policy=3&amp;signature=398d08e096076190ad9e1c0e558cf2cb&amp;tk=7571587458748974088" TargetMode="External"/><Relationship Id="rId97" Type="http://schemas.openxmlformats.org/officeDocument/2006/relationships/hyperlink" Target="https://www.tiktok.com/@claralisle/video/7380102671203880197" TargetMode="External"/><Relationship Id="rId96" Type="http://schemas.openxmlformats.org/officeDocument/2006/relationships/hyperlink" Target="https://v16-webapp-prime.tiktok.com/video/tos/useast2a/tos-useast2a-pve-0068/osQTiOmrxVAcBE51HSvBZZPvEiUlEiQI4St42/?a=1988&amp;bti=ODszNWYuMDE6&amp;ch=0&amp;cr=3&amp;dr=0&amp;lr=all&amp;cd=0%7C0%7C0%7C&amp;cv=1&amp;br=2070&amp;bt=1035&amp;cs=0&amp;ds=3&amp;ft=I~da4oKyD12NvyA0i.IxRhq_glBF-UjNSmopiX&amp;mime_type=video_mp4&amp;qs=0&amp;rc=ZDozaDZkNjQ2N2ZoZzc1ZkBpM2tpa3A5cnJwczMzNzczM0A2LjUyMDU1Xl8xNjItMjQuYSM0Xy9eMmRrMmlgLS1kMTZzcw%3D%3D&amp;btag=e00090000&amp;expire=1763173583&amp;l=202511131024200DA040BB1F5C349EC2B1&amp;ply_type=2&amp;policy=2&amp;signature=25b2fb8eed2d84a3e1d63d09b3ce10da&amp;tk=tt_chain_token" TargetMode="External"/><Relationship Id="rId99" Type="http://schemas.openxmlformats.org/officeDocument/2006/relationships/hyperlink" Target="https://v16-webapp-prime.tiktok.com/video/tos/useast2a/tos-useast2a-v-27dcd7/oEKyTefege24fAogYvKYwAeZAgKA8EvgT4BeMk0/?a=1988&amp;bti=ODszNWYuMDE6&amp;ch=0&amp;cr=0&amp;dr=0&amp;er=0&amp;lr=default&amp;cd=0%7C0%7C0%7C0&amp;br=250&amp;bt=125&amp;ds=5&amp;ft=GNDpcInz7ThMV-UPXq8Zmo&amp;mime_type=audio_mpeg&amp;qs=13&amp;rc=ajZpdng5cnN5NDMzNzU8M0BpajZpdng5cnN5NDMzNzU8M0A0MGxzMmQ0b19hLS1kMTZzYSM0MGxzMmQ0b19hLS1kMTZzcw%3D%3D&amp;btag=e00058000&amp;expire=1763004425&amp;l=2025111310232002E5437D242CEA8409F2&amp;ply_type=3&amp;policy=3&amp;signature=592fab6b5a8165cf4275bbe9823413ec&amp;tk=7571587458748974088" TargetMode="External"/><Relationship Id="rId98" Type="http://schemas.openxmlformats.org/officeDocument/2006/relationships/hyperlink" Target="https://p77-sign-va.tiktokcdn.com/tos-maliva-avt-0068/fc1698d10dca32b79684fcca308c78cc~tplv-tiktokx-cropcenter:100:100.jpeg?dr=14579&amp;refresh_token=ce6507a1&amp;x-expires=1763172000&amp;x-signature=Th0dAAjHWibruQ8c2NVpp3gSDiw%3D&amp;t=4d5b0474&amp;ps=13740610&amp;shp=a5d48078&amp;shcp=81f88b70&amp;idc=my" TargetMode="External"/><Relationship Id="rId91" Type="http://schemas.openxmlformats.org/officeDocument/2006/relationships/hyperlink" Target="https://v16-webapp-prime.tiktok.com/video/tos/alisg/tos-alisg-pve-0037c001/ocvFEtQejEtEJG4mAwgEIMQbfPEGYBBJgDoRdF/?a=1988&amp;bti=ODszNWYuMDE6&amp;ch=0&amp;cr=3&amp;dr=0&amp;lr=all&amp;cd=0%7C0%7C0%7C&amp;cv=1&amp;br=1188&amp;bt=594&amp;cs=0&amp;ds=3&amp;ft=-Csk_mrMPD12Nlcopd-UxB6vSY6e3wv25rcAp&amp;mime_type=video_mp4&amp;qs=0&amp;rc=ZjQ4ZGkzaTRnOGQ4OjRkZEBpM2o6aW45cnU4czMzNzczM0A1YTMtXzIuXjYxNDFeNTQuYSNgYS8vMmRzNG5gLS1kMTZzcw%3D%3D&amp;btag=e00088000&amp;expire=1763173487&amp;l=202511131024053FAEE14371AE44A729CC&amp;ply_type=2&amp;policy=2&amp;signature=ae3379c0ac499732646fcaff9895d95a&amp;tk=tt_chain_token" TargetMode="External"/><Relationship Id="rId90" Type="http://schemas.openxmlformats.org/officeDocument/2006/relationships/hyperlink" Target="https://p16-sign-va.tiktokcdn.com/tos-maliva-avt-0068/0a91bc20a22a4afc8805ecc4d5df9b7d~tplv-tiktokx-cropcenter:1080:1080.jpeg?dr=14579&amp;refresh_token=6a2e80f3&amp;x-expires=1763172000&amp;x-signature=UKodVSSqm39ec4H8Dt%2BGuydrEB8%3D&amp;t=4d5b0474&amp;ps=13740610&amp;shp=a5d48078&amp;shcp=81f88b70&amp;idc=my" TargetMode="External"/><Relationship Id="rId93" Type="http://schemas.openxmlformats.org/officeDocument/2006/relationships/hyperlink" Target="https://p16-sign-sg.tiktokcdn.com/tos-alisg-avt-0068/9832aa685b2cfe94db09e06f702f0a77~tplv-tiktokx-cropcenter:100:100.jpeg?dr=14579&amp;refresh_token=7f323dc4&amp;x-expires=1763172000&amp;x-signature=ZYpVkRaxkusjJF3GuxG54nOp0tI%3D&amp;t=4d5b0474&amp;ps=13740610&amp;shp=a5d48078&amp;shcp=81f88b70&amp;idc=my" TargetMode="External"/><Relationship Id="rId92" Type="http://schemas.openxmlformats.org/officeDocument/2006/relationships/hyperlink" Target="https://www.tiktok.com/@psicojaffia/video/7382621171432393990" TargetMode="External"/><Relationship Id="rId359" Type="http://schemas.openxmlformats.org/officeDocument/2006/relationships/hyperlink" Target="https://www.tiktok.com/@vivendocomtdahoficial/video/7549765760147803448" TargetMode="External"/><Relationship Id="rId358" Type="http://schemas.openxmlformats.org/officeDocument/2006/relationships/hyperlink" Target="https://v16-webapp-prime.tiktok.com/video/tos/useast2a/tos-useast2a-ve-0068c004/oULTUzSiavyEpBR5D2nmNAELG3MQIQYkBRiV1/?a=1988&amp;bti=ODszNWYuMDE6&amp;ch=0&amp;cr=3&amp;dr=0&amp;lr=all&amp;cd=0%7C0%7C0%7C&amp;cv=1&amp;br=1246&amp;bt=623&amp;cs=0&amp;ds=3&amp;ft=I~da4oKyD12NviW0i.IxRHqNglBF-UjNSqopiX&amp;mime_type=video_mp4&amp;qs=0&amp;rc=NzszZjk3M2ZkaWY7NzQ2OUBpamVpbnE5cnA1NjMzNzczM0AtNDBhXl8uXl8xMzMvNTYyYSNeZl4yMmRrYzBhLS1kMTZzcw%3D%3D&amp;btag=e00088000&amp;expire=1763173396&amp;l=202511131022270BBA173F4561DD71A814&amp;ply_type=2&amp;policy=2&amp;signature=a5116148f41de34f11c2702e7f625f5c&amp;tk=tt_chain_token" TargetMode="External"/><Relationship Id="rId357" Type="http://schemas.openxmlformats.org/officeDocument/2006/relationships/hyperlink" Target="https://p77-sign-va.tiktokcdn.com/tos-maliva-avt-0068/05f75b0edba43a6b97d613fdef44637b~tplv-tiktokx-cropcenter:1080:1080.jpeg?dr=14579&amp;refresh_token=8c5bd338&amp;x-expires=1763172000&amp;x-signature=QnuJlO2ltt1xAd%2BjxybV%2Bl0Z%2FmI%3D&amp;t=4d5b0474&amp;ps=13740610&amp;shp=a5d48078&amp;shcp=81f88b70&amp;idc=my" TargetMode="External"/><Relationship Id="rId352"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351" Type="http://schemas.openxmlformats.org/officeDocument/2006/relationships/hyperlink" Target="https://v16-webapp-prime.tiktok.com/video/tos/useast2a/tos-useast2a-v-27dcd7/oUEAWy9KuA2A5oEx8cEBCiigz2BAGyAcYfkTak/?a=1988&amp;bti=ODszNWYuMDE6&amp;ch=0&amp;cr=0&amp;dr=0&amp;er=0&amp;lr=default&amp;cd=0%7C0%7C0%7C0&amp;br=250&amp;bt=125&amp;ds=5&amp;ft=GNDpcInz7ThQ9-UPXq8Zmo&amp;mime_type=audio_mpeg&amp;qs=13&amp;rc=MzltZnY5cjxncDMzNzU8M0BpMzltZnY5cjxncDMzNzU8M0Bmbl9gMmRzZ19gLS1kMTZzYSNmbl9gMmRzZ19gLS1kMTZzcw%3D%3D&amp;btag=e00050000&amp;expire=1763004372&amp;l=202511131024053FAEE14371AE44A729CC&amp;ply_type=3&amp;policy=3&amp;signature=a3d79f3e5112b61badc5fb294225129a&amp;tk=7571587458748974088" TargetMode="External"/><Relationship Id="rId350"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356" Type="http://schemas.openxmlformats.org/officeDocument/2006/relationships/hyperlink" Target="https://v16-webapp-prime.tiktok.com/video/tos/useast2a/tos-useast2a-v-27dcd7/oEiAEkjfxAvEZHKEBKY0tAiQBASBXDogBR6PGA/?a=1988&amp;bti=ODszNWYuMDE6&amp;ch=0&amp;cr=0&amp;dr=0&amp;er=0&amp;lr=default&amp;cd=0%7C0%7C0%7C0&amp;br=250&amp;bt=125&amp;ds=5&amp;ft=GNDpcInz7ThUK-UPXq8Zmo&amp;mime_type=audio_mpeg&amp;qs=13&amp;rc=amk4b3Q5cjM1NjMzNzU8M0Bpamk4b3Q5cjM1NjMzNzU8M0AtMG9qMmRzZDBhLS1kMTZzYSMtMG9qMmRzZDBhLS1kMTZzcw%3D%3D&amp;btag=e00048000&amp;expire=1763004196&amp;l=202511131022270BBA173F4561DD71A814&amp;ply_type=3&amp;policy=3&amp;signature=62e7b20cb37460498c0a4ef495e1732c&amp;tk=7571587458748974088" TargetMode="External"/><Relationship Id="rId355" Type="http://schemas.openxmlformats.org/officeDocument/2006/relationships/hyperlink" Target="https://p77-sign-va.tiktokcdn.com/tos-maliva-avt-0068/05f75b0edba43a6b97d613fdef44637b~tplv-tiktokx-cropcenter:100:100.jpeg?dr=14579&amp;refresh_token=86cd1a8a&amp;x-expires=1763172000&amp;x-signature=nMPxmEYfHXtiHiAeuf65zg4rLiI%3D&amp;t=4d5b0474&amp;ps=13740610&amp;shp=a5d48078&amp;shcp=81f88b70&amp;idc=my" TargetMode="External"/><Relationship Id="rId354" Type="http://schemas.openxmlformats.org/officeDocument/2006/relationships/hyperlink" Target="https://www.tiktok.com/@liberdade.mentall/video/7320277478969429254" TargetMode="External"/><Relationship Id="rId353" Type="http://schemas.openxmlformats.org/officeDocument/2006/relationships/hyperlink" Target="https://v16-webapp-prime.tiktok.com/video/tos/alisg/tos-alisg-pve-0037c001/osjWMClfASfRbAfLAbSWQJOLgCa8ogjudgMsIj/?a=1988&amp;bti=ODszNWYuMDE6&amp;ch=0&amp;cr=3&amp;dr=0&amp;lr=all&amp;cd=0%7C0%7C0%7C&amp;cv=1&amp;br=1028&amp;bt=514&amp;cs=0&amp;ds=3&amp;ft=-Csk_mrMPD12Nlcopd-UxB6vSY6e3wv25rcAp&amp;mime_type=video_mp4&amp;qs=0&amp;rc=NzdkNjppPGU2NDQ0ZzZnOUBpMzl5OWw5cmZncDMzNzczM0AtXl9iLTIxNWIxLTViX2NjYSNsNG5eMmRrZl9gLS1kMTZzcw%3D%3D&amp;btag=e00090000&amp;expire=1763173572&amp;l=202511131024053FAEE14371AE44A729CC&amp;ply_type=2&amp;policy=2&amp;signature=81e1764c3e4f19b2d53c789ee2b1c058&amp;tk=tt_chain_token" TargetMode="External"/><Relationship Id="rId1378" Type="http://schemas.openxmlformats.org/officeDocument/2006/relationships/hyperlink" Target="https://p16-sign-sg.tiktokcdn.com/tos-alisg-v-2774/ogIaTFQWfCAHD9D6IfGeAgAAEY7CuE03PAcFzm~720x720.jpeg?lk3s=08d74b56&amp;x-expires=1763022405&amp;x-signature=hyblPIDg9qOV3DvCiAiHtTBT58w%3D" TargetMode="External"/><Relationship Id="rId1379" Type="http://schemas.openxmlformats.org/officeDocument/2006/relationships/hyperlink" Target="https://v16-webapp-prime.tiktok.com/video/tos/maliva/tos-maliva-ve-0068c801-us/oobCGb9ABQBDBkQ0cnnfJkUQhIHw1XRcleAEql/?a=1988&amp;bti=ODszNWYuMDE6&amp;ch=0&amp;cr=3&amp;dr=0&amp;lr=all&amp;cd=0%7C0%7C0%7C&amp;cv=1&amp;br=2688&amp;bt=1344&amp;cs=0&amp;ds=3&amp;ft=-Csk_mrMPD12Nw_opd-UxfeFaY6e3wv25HcAp&amp;mime_type=video_mp4&amp;qs=0&amp;rc=NzRoZjhlOzU6Zjc1OGhnOkBpM3k4N2g6Zmk4bDMzNzczM0A0MGAvLTZiNTAxLzUtXzIuYSMtMWhhcjRfbDBgLS1kMTZzcw%3D%3D&amp;btag=e00088000&amp;expire=1763173647&amp;l=2025111310264583C2663DA446357263D7&amp;ply_type=2&amp;policy=2&amp;signature=4b121a185cda0892890f145f519f7b06&amp;tk=tt_chain_token" TargetMode="External"/><Relationship Id="rId305" Type="http://schemas.openxmlformats.org/officeDocument/2006/relationships/hyperlink" Target="https://www.tiktok.com/@igorpsicologo/video/7561613140161596683" TargetMode="External"/><Relationship Id="rId789" Type="http://schemas.openxmlformats.org/officeDocument/2006/relationships/hyperlink" Target="https://www.tiktok.com/@saude_e_bemestar__/video/7551579467571858700" TargetMode="External"/><Relationship Id="rId304" Type="http://schemas.openxmlformats.org/officeDocument/2006/relationships/hyperlink" Target="https://v16-webapp-prime.tiktok.com/video/tos/useast2a/tos-useast2a-ve-0068c004/ooGQDEJvwfoA0UIcrCEtBF8ERBJDHQ3JdIfniC/?a=1988&amp;bti=ODszNWYuMDE6&amp;ch=0&amp;cr=3&amp;dr=0&amp;lr=all&amp;cd=0%7C0%7C0%7C&amp;cv=1&amp;br=2010&amp;bt=1005&amp;cs=0&amp;ds=3&amp;ft=-Csk_mrMPD12NY_opd-Uxz42hY6e3wv25ycAp&amp;mime_type=video_mp4&amp;qs=0&amp;rc=PGVmNDs8aWU1NDM3OmU2OEBpMzVwdHk5cnU2NjMzNzczM0AwXmAtMjMvNWMxXmIwMV5gYSNuMW8wMmRzb2xhLS1kMTZzcw%3D%3D&amp;btag=e00090000&amp;expire=1763173672&amp;l=202511131026378F10DAFBB0AF239B249B&amp;ply_type=2&amp;policy=2&amp;signature=dc8d6c9ea936e9e1dccc2c47a5df48be&amp;tk=tt_chain_token" TargetMode="External"/><Relationship Id="rId788" Type="http://schemas.openxmlformats.org/officeDocument/2006/relationships/hyperlink" Target="https://v16-webapp-prime.tiktok.com/video/tos/useast2a/tos-useast2a-ve-0068c002/oIGTVoEEIBQop1zfsmFJMpTNHai9pEAjDBJRQf/?a=1988&amp;bti=ODszNWYuMDE6&amp;ch=0&amp;cr=3&amp;dr=0&amp;lr=all&amp;cd=0%7C0%7C0%7C&amp;cv=1&amp;br=1652&amp;bt=826&amp;cs=0&amp;ds=3&amp;ft=-Csk_mrMPD12N8Yopd-UxfeFaY6e3wv25HcAp&amp;mime_type=video_mp4&amp;qs=0&amp;rc=ZWQ5ODkzZDRmNjc0aTRkZEBpam9udXk5cmQ8NjMzNzczM0AtXzIyL18wNmAxXy8zMjMtYSMwbjRlMmRjZTNhLS1kMTZzcw%3D%3D&amp;btag=e00090000&amp;expire=1763173486&amp;l=20251113102343D1A0044B947998B9C2A2&amp;ply_type=2&amp;policy=2&amp;signature=f85e24c0b7f4c7e7d05385906ef4a0e2&amp;tk=tt_chain_token" TargetMode="External"/><Relationship Id="rId303"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787" Type="http://schemas.openxmlformats.org/officeDocument/2006/relationships/hyperlink" Target="https://p77-sg.tiktokcdn.com/aweme/720x720/tos-alisg-v-2774/604e1985ea7e4d018e3eb92ee6d522b4.jpeg" TargetMode="External"/><Relationship Id="rId302" Type="http://schemas.openxmlformats.org/officeDocument/2006/relationships/hyperlink" Target="https://v16-webapp-prime.tiktok.com/video/tos/useast2a/tos-useast2a-v-27dcd7/owewJDOaoEJAUABnPB8F8D8EEiDAiECyhQfky0/?a=1988&amp;bti=ODszNWYuMDE6&amp;ch=0&amp;cr=0&amp;dr=0&amp;er=0&amp;lr=default&amp;cd=0%7C0%7C0%7C0&amp;br=250&amp;bt=125&amp;ds=5&amp;ft=GNDpcInz7ThVY-UPXq8Zmo&amp;mime_type=audio_mpeg&amp;qs=13&amp;rc=M3g4cG05cjs2NjMzNzU8M0BpM3g4cG05cjs2NjMzNzU8M0A0ZmZsMmRjcmxhLS1kMTZzYSM0ZmZsMmRjcmxhLS1kMTZzcw%3D%3D&amp;btag=e00050000&amp;expire=1763004472&amp;l=202511131026378F10DAFBB0AF239B249B&amp;ply_type=3&amp;policy=3&amp;signature=a2129df68f2fbfdf087527361c9427d7&amp;tk=7571587458748974088" TargetMode="External"/><Relationship Id="rId786" Type="http://schemas.openxmlformats.org/officeDocument/2006/relationships/hyperlink" Target="https://sf16-ies-music-sg.tiktokcdn.com/obj/tos-alisg-ve-2774/ec28b201a97b4673ba761ff39b60fe91" TargetMode="External"/><Relationship Id="rId309" Type="http://schemas.openxmlformats.org/officeDocument/2006/relationships/hyperlink" Target="https://v16-webapp-prime.tiktok.com/video/tos/useast2a/tos-useast2a-pve-0068/oUHr5B3QOiCaqB9rCTLIgVGlIqAjQeeRg0eWS2/?a=1988&amp;bti=ODszNWYuMDE6&amp;ch=0&amp;cr=3&amp;dr=0&amp;lr=all&amp;cd=0%7C0%7C0%7C&amp;cv=1&amp;br=2734&amp;bt=1367&amp;cs=0&amp;ds=3&amp;ft=I~da4oKyD12NvOA0i.IxRehNblBF-UjNSMopiX&amp;mime_type=video_mp4&amp;qs=0&amp;rc=Z2k8ODloZTtkaGVkNDM6O0BpMzN3am45cmZ1dzMzNzczM0AzYDA1MzNeNWIxLWBeYWI0YSNeX2NyMmRrMl5gLS1kMTZzcw%3D%3D&amp;btag=e00098000&amp;expire=1763173662&amp;l=20251113102443BFAC5C39F8934C8F8E6A&amp;ply_type=2&amp;policy=2&amp;signature=795a849dc0f4841f65802f4e4faa818b&amp;tk=tt_chain_token" TargetMode="External"/><Relationship Id="rId308" Type="http://schemas.openxmlformats.org/officeDocument/2006/relationships/hyperlink" Target="https://p16-sign-sg.tiktokcdn.com/tos-alisg-avt-0068/52d41b2050c6a63d5901041181b2726c~tplv-tiktokx-cropcenter:1080:1080.jpeg?dr=14579&amp;refresh_token=24febf33&amp;x-expires=1763172000&amp;x-signature=sbpdOPXMx5DsI7%2BjHdEeJEha2Es%3D&amp;t=4d5b0474&amp;ps=13740610&amp;shp=a5d48078&amp;shcp=81f88b70&amp;idc=my" TargetMode="External"/><Relationship Id="rId307" Type="http://schemas.openxmlformats.org/officeDocument/2006/relationships/hyperlink" Target="https://v16-webapp-prime.tiktok.com/video/tos/useast2a/tos-useast2a-v-27dcd7/ocAAkmIIICgOZvqejZLSroCeohY9eoEUGC2TA9/?a=1988&amp;bti=ODszNWYuMDE6&amp;ch=0&amp;cr=0&amp;dr=0&amp;er=0&amp;lr=default&amp;cd=0%7C0%7C0%7C0&amp;br=250&amp;bt=125&amp;ds=5&amp;ft=GNDpcInz7Th29-UPXq8Zmo&amp;mime_type=audio_mpeg&amp;qs=13&amp;rc=M2x3bHk5cjZ1dzMzNzU8M0BpM2x3bHk5cjZ1dzMzNzU8M0BecjReMmQ0M15gLS1kMTZzYSNecjReMmQ0M15gLS1kMTZzcw%3D%3D&amp;btag=e00058000&amp;expire=1763004462&amp;l=20251113102443BFAC5C39F8934C8F8E6A&amp;ply_type=3&amp;policy=3&amp;signature=15af9d5457cfeea996dfb17ccf2608eb&amp;tk=7571587458748974088" TargetMode="External"/><Relationship Id="rId306" Type="http://schemas.openxmlformats.org/officeDocument/2006/relationships/hyperlink" Target="https://p77-sign-sg.tiktokcdn.com/tos-alisg-avt-0068/52d41b2050c6a63d5901041181b2726c~tplv-tiktokx-cropcenter:100:100.jpeg?dr=14579&amp;refresh_token=3ea081dd&amp;x-expires=1763172000&amp;x-signature=vWWHfYp6t6PTvgM%2Bq7l6v3rG0wk%3D&amp;t=4d5b0474&amp;ps=13740610&amp;shp=a5d48078&amp;shcp=81f88b70&amp;idc=my" TargetMode="External"/><Relationship Id="rId781" Type="http://schemas.openxmlformats.org/officeDocument/2006/relationships/hyperlink" Target="https://v16-webapp-prime.tiktok.com/video/tos/useast2a/tos-useast2a-v-27dcd7/ogOsD4QbfCIm2GJJQDJorYBaUEBJFUUeyFBMCs/?a=1988&amp;bti=ODszNWYuMDE6&amp;ch=0&amp;cr=0&amp;dr=0&amp;er=0&amp;lr=default&amp;cd=0%7C0%7C0%7C0&amp;br=250&amp;bt=125&amp;ft=GNDpcInz7ThQ9-UPXq8Zmo&amp;mime_type=audio_mpeg&amp;qs=6&amp;rc=ODs2ZThpZzs6Zzs1NWc4OEBpM3J3b3A5cjM4NDMzNzU8M0AzXjVjLWAxXzUxLy5fL2FfYSNhcWBgMmRzMGphLS1kMTZzcw%3D%3D&amp;btag=e00090000&amp;expire=1763004331&amp;l=202511131024053FAEE14371AE44A729CC&amp;ply_type=3&amp;policy=3&amp;signature=061479a911259e6ea4bc450688dc4ccf&amp;tk=7571587458748974088" TargetMode="External"/><Relationship Id="rId1370" Type="http://schemas.openxmlformats.org/officeDocument/2006/relationships/hyperlink" Target="https://v16-webapp-prime.tiktok.com/video/tos/maliva/tos-maliva-ve-0068c801-us/ocghRPcAkQJMEyBWeB8eKvhDIvngLdAgdQbKay/?a=1988&amp;bti=ODszNWYuMDE6&amp;ch=0&amp;cr=3&amp;dr=0&amp;lr=all&amp;cd=0%7C0%7C0%7C&amp;cv=1&amp;br=1568&amp;bt=784&amp;cs=0&amp;ds=3&amp;ft=-Csk_mrMPD12NdYopd-UxMTFGY6e3wv25LcAp&amp;mime_type=video_mp4&amp;qs=0&amp;rc=ZjY3ZDYzaDczN2RnZzdmO0BpM2p5eGU6ZnFpbTMzNzczM0AtNTA2MWBiXzUxNGFeYzFgYSM0LV4vcjRfZGxgLS1kMTZzcw%3D%3D&amp;btag=e00090000&amp;expire=1763173448&amp;l=202511131023026989DBCE704A6574DC2E&amp;ply_type=2&amp;policy=2&amp;signature=a8ed4b4096f59821b3e1fd09cd1355b1&amp;tk=tt_chain_token" TargetMode="External"/><Relationship Id="rId780"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1371" Type="http://schemas.openxmlformats.org/officeDocument/2006/relationships/hyperlink" Target="https://www.tiktok.com/@tdahuniverse/video/7273587796558793990" TargetMode="External"/><Relationship Id="rId1372"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1373" Type="http://schemas.openxmlformats.org/officeDocument/2006/relationships/hyperlink" Target="https://v16-webapp-prime.tiktok.com/video/tos/useast2a/tos-useast2a-v-27dcd7/oYKU1vgtPFOgCBJ4ro83JvQC4EQefB6DY5XLzg/?a=1988&amp;bti=ODszNWYuMDE6&amp;ch=0&amp;cr=0&amp;dr=0&amp;er=0&amp;lr=default&amp;cd=0%7C0%7C0%7C0&amp;br=250&amp;bt=125&amp;ft=GNDpcInz7ThaV-UPXq8Zmo&amp;mime_type=audio_mpeg&amp;qs=6&amp;rc=NDhkNTY5ZmQ8NTQ4aDM2OkBpM3dweHg5cmdkNTMzNzU8M0BfNGE1XzUwNV8xNmI1M2FiYSM1YmowMmRzcHJhLS1kMTZzcw%3D%3D&amp;btag=e00090000&amp;expire=1763004318&amp;l=20251113102343D1A0044B947998B9C2A2&amp;ply_type=3&amp;policy=3&amp;signature=442c1f029154e38f9ae46f0e43324e66&amp;tk=7571587458748974088" TargetMode="External"/><Relationship Id="rId301"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785" Type="http://schemas.openxmlformats.org/officeDocument/2006/relationships/hyperlink" Target="https://p16-sign-va.tiktokcdn.com/tos-maliva-avt-0068/f33c918b025334118e01aa37b2cabd9d~tplv-tiktokx-cropcenter:100:100.jpeg?dr=14579&amp;refresh_token=92733ba6&amp;x-expires=1763172000&amp;x-signature=LuD2z2UtUmCCGFp7icHNaS9u%2B%2FY%3D&amp;t=4d5b0474&amp;ps=13740610&amp;shp=a5d48078&amp;shcp=81f88b70&amp;idc=my" TargetMode="External"/><Relationship Id="rId1374"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300" Type="http://schemas.openxmlformats.org/officeDocument/2006/relationships/hyperlink" Target="https://www.tiktok.com/@lorenatdahta/video/7339331212869127430" TargetMode="External"/><Relationship Id="rId784" Type="http://schemas.openxmlformats.org/officeDocument/2006/relationships/hyperlink" Target="https://www.tiktok.com/@liberdade.mentall/video/7524478649664277816" TargetMode="External"/><Relationship Id="rId1375" Type="http://schemas.openxmlformats.org/officeDocument/2006/relationships/hyperlink" Target="https://v16-webapp-prime.tiktok.com/video/tos/useast2a/tos-useast2a-pve-0068/owWEpr2kIfvCJkvBB8XDfBHV0mAFQqKQFu4oE7/?a=1988&amp;bti=ODszNWYuMDE6&amp;ch=0&amp;cr=3&amp;dr=0&amp;lr=all&amp;cd=0%7C0%7C0%7C&amp;cv=1&amp;br=980&amp;bt=490&amp;cs=0&amp;ds=3&amp;ft=-Csk_mrMPD12N8Yopd-UxfeFaY6e3wv25HcAp&amp;mime_type=video_mp4&amp;qs=0&amp;rc=NztlaGZkZDQ4ZWRkO2Y8ZUBpajQ6eHE5cjxkNTMzNzgzM0AtMjUxMDM1NWAxYDFfMy9fYSMwYHFzMmRrbnJhLS1kLzZzcw%3D%3D&amp;btag=e00090000&amp;expire=1763173518&amp;l=20251113102343D1A0044B947998B9C2A2&amp;ply_type=2&amp;policy=2&amp;signature=e5c98844d850b68bd5bf67f0054bd4c8&amp;tk=tt_chain_token" TargetMode="External"/><Relationship Id="rId783" Type="http://schemas.openxmlformats.org/officeDocument/2006/relationships/hyperlink" Target="https://v16-webapp-prime.tiktok.com/video/tos/useast2a/tos-useast2a-ve-0068c001/oc8ksrFACQCQNfgFNZMeSQEZ2IIK6UrAKWeEZi/?a=1988&amp;bti=ODszNWYuMDE6&amp;ch=0&amp;cr=3&amp;dr=0&amp;lr=all&amp;cd=0%7C0%7C0%7C&amp;cv=1&amp;br=1562&amp;bt=781&amp;cs=0&amp;ds=3&amp;ft=-Csk_mrMPD12Nlcopd-UxB6vSY6e3wv25rcAp&amp;mime_type=video_mp4&amp;qs=0&amp;rc=Zmc5NjRkPDZlNWc0aTZnZUBpM3lsZWs5cmo4NDMzNzgzM0AtYWE2YWMyXjUxLV5iNl8tYSNjYy9oMmRrL2phLS1kLzZzcw%3D%3D&amp;btag=e00090000&amp;expire=1763173531&amp;l=202511131024053FAEE14371AE44A729CC&amp;ply_type=2&amp;policy=2&amp;signature=44733cab200bc1bd2597a899ad9dd0c1&amp;tk=tt_chain_token" TargetMode="External"/><Relationship Id="rId1376" Type="http://schemas.openxmlformats.org/officeDocument/2006/relationships/hyperlink" Target="https://www.tiktok.com/@liberdade.mentall/video/7547098585024695608" TargetMode="External"/><Relationship Id="rId782"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1377" Type="http://schemas.openxmlformats.org/officeDocument/2006/relationships/hyperlink" Target="https://p16-sign-va.tiktokcdn.com/tos-maliva-avt-0068/b7841460d9b1783162ae78e8d2cf3a44~tplv-tiktokx-cropcenter:100:100.jpeg?dr=14579&amp;refresh_token=2f7c8878&amp;x-expires=1763172000&amp;x-signature=uuBaIbj2GuZsENOAsfMesDoXHb8%3D&amp;t=4d5b0474&amp;ps=13740610&amp;shp=a5d48078&amp;shcp=81f88b70&amp;idc=my" TargetMode="External"/><Relationship Id="rId1367" Type="http://schemas.openxmlformats.org/officeDocument/2006/relationships/hyperlink" Target="https://p16-sign-va.tiktokcdn.com/tos-maliva-avt-0068/df45d1432838340c9c796d007ccac1d1~tplv-tiktokx-cropcenter:100:100.jpeg?dr=14579&amp;refresh_token=68da288c&amp;x-expires=1763172000&amp;x-signature=iiDu75M%2BGVF466B0fO83BkGRuWA%3D&amp;t=4d5b0474&amp;ps=13740610&amp;shp=a5d48078&amp;shcp=81f88b70&amp;idc=my" TargetMode="External"/><Relationship Id="rId1368" Type="http://schemas.openxmlformats.org/officeDocument/2006/relationships/hyperlink" Target="https://sf16-ies-music-sg.tiktokcdn.com/obj/tos-alisg-ve-2774/o831hBCf4IuJrZOgSQtw2eUNvp3YzNOBQzkkBA" TargetMode="External"/><Relationship Id="rId1369" Type="http://schemas.openxmlformats.org/officeDocument/2006/relationships/hyperlink" Target="https://p16-sg.tiktokcdn.com/aweme/720x720/tos-alisg-v-2774/ec1ace0f38ff40c2a188bf7ddc33226c.jpeg" TargetMode="External"/><Relationship Id="rId778" Type="http://schemas.openxmlformats.org/officeDocument/2006/relationships/hyperlink" Target="https://v16-webapp-prime.tiktok.com/video/tos/maliva/tos-maliva-ve-0068c801-us/oUNyvZI4CvzChTIh3OfwVIAGgPKxUoALZ6QksA/?a=1988&amp;bti=ODszNWYuMDE6&amp;ch=0&amp;cr=3&amp;dr=0&amp;lr=all&amp;cd=0%7C0%7C0%7C&amp;cv=1&amp;br=2036&amp;bt=1018&amp;cs=0&amp;ds=3&amp;ft=-Csk_mrMPD12NOYopd-Uxtv5GY6e3wv252cAp&amp;mime_type=video_mp4&amp;qs=0&amp;rc=ZTU7OjY5OzM6ZTc2ZTxpZUBpanQ4ZmU6ZmRtajMzNzczM0BfMjBhLl8tXmExLWAxLTZiYSM0Z2BqcjRnZDZgLS1kMTZzcw%3D%3D&amp;btag=e00090000&amp;expire=1763173466&amp;l=20251113102306B19E1F5BC676BF8CC05E&amp;ply_type=2&amp;policy=2&amp;signature=8037c13187e4747645b7912a142baad7&amp;tk=tt_chain_token" TargetMode="External"/><Relationship Id="rId777" Type="http://schemas.openxmlformats.org/officeDocument/2006/relationships/hyperlink" Target="https://p16-sign-va.tiktokcdn.com/tos-maliva-avt-0068/72466cc9d5b9a27930c91e8fb7677589~tplv-tiktokx-cropcenter:1080:1080.jpeg?dr=14579&amp;refresh_token=72b31f13&amp;x-expires=1763172000&amp;x-signature=BB%2Feg0hCMnot8riQo9d8Z9XOVCQ%3D&amp;t=4d5b0474&amp;ps=13740610&amp;shp=a5d48078&amp;shcp=81f88b70&amp;idc=my" TargetMode="External"/><Relationship Id="rId776" Type="http://schemas.openxmlformats.org/officeDocument/2006/relationships/hyperlink" Target="https://v16-webapp-prime.tiktok.com/video/tos/useast2a/tos-useast2a-v-27dcd7/a40a059d7525485198a3a580e2f2a9f8/?a=1988&amp;bti=ODszNWYuMDE6&amp;ch=0&amp;cr=0&amp;dr=0&amp;er=0&amp;lr=default&amp;cd=0%7C0%7C0%7C0&amp;br=250&amp;bt=125&amp;ds=5&amp;ft=GNDpcInz7ThNV-UPXq8Zmo&amp;mime_type=audio_mpeg&amp;qs=13&amp;rc=M2t3NDQ6ZnBtajMzNzU8M0BpM2t3NDQ6ZnBtajMzNzU8M0BzNWcucjRvZDZgLS1kMTZzYSNzNWcucjRvZDZgLS1kMTZzcw%3D%3D&amp;btag=e00050000&amp;expire=1763004266&amp;l=20251113102306B19E1F5BC676BF8CC05E&amp;ply_type=3&amp;policy=3&amp;signature=6a05f823f385b1c498eb90ce2a9c4536&amp;tk=7571587458748974088" TargetMode="External"/><Relationship Id="rId775" Type="http://schemas.openxmlformats.org/officeDocument/2006/relationships/hyperlink" Target="https://p77-sign-va.tiktokcdn.com/tos-maliva-avt-0068/72466cc9d5b9a27930c91e8fb7677589~tplv-tiktokx-cropcenter:100:100.jpeg?dr=14579&amp;refresh_token=5f5d8ba1&amp;x-expires=1763172000&amp;x-signature=z0g0JQ3%2Fn85I6F4U84rdOVbJcE8%3D&amp;t=4d5b0474&amp;ps=13740610&amp;shp=a5d48078&amp;shcp=81f88b70&amp;idc=my" TargetMode="External"/><Relationship Id="rId779" Type="http://schemas.openxmlformats.org/officeDocument/2006/relationships/hyperlink" Target="https://www.tiktok.com/@brunolnunes/video/7211169343931944198" TargetMode="External"/><Relationship Id="rId770" Type="http://schemas.openxmlformats.org/officeDocument/2006/relationships/hyperlink" Target="https://p77-sign-va.tiktokcdn.com/tos-maliva-avt-0068/54f33af02e8f412b8807f6a009affdb4~tplv-tiktokx-cropcenter:100:100.jpeg?dr=14579&amp;refresh_token=c5f0bfcb&amp;x-expires=1763172000&amp;x-signature=WCGzuhR3g%2Bn3aXU9dW4OV4pKtOQ%3D&amp;t=4d5b0474&amp;ps=13740610&amp;shp=a5d48078&amp;shcp=81f88b70&amp;idc=my" TargetMode="External"/><Relationship Id="rId1360" Type="http://schemas.openxmlformats.org/officeDocument/2006/relationships/hyperlink" Target="https://v16-webapp-prime.tiktok.com/video/tos/maliva/tos-maliva-ve-0068c801-us/owz9VkkiEAoH7IhmONIWCXHgsxqVqoWjQyAEfy/?a=1988&amp;bti=ODszNWYuMDE6&amp;ch=0&amp;cr=3&amp;dr=0&amp;lr=all&amp;cd=0%7C0%7C0%7C&amp;cv=1&amp;br=844&amp;bt=422&amp;cs=0&amp;ds=3&amp;ft=-Csk_mrMPD12N8Yopd-UxfeFaY6e3wv25HcAp&amp;mime_type=video_mp4&amp;qs=0&amp;rc=PDY0ZGc5PGdnOGY0ZDY0OUBpanBoOzo6ZmtvajMzNzczM0BgMDAyMWAvX18xNC0yYl8uYSNeZHNtcjQwZXJgLS1kMTZzcw%3D%3D&amp;btag=e00090000&amp;expire=1763173508&amp;l=20251113102343D1A0044B947998B9C2A2&amp;ply_type=2&amp;policy=2&amp;signature=a0cf014d74b07044ef54af521edd2c45&amp;tk=tt_chain_token" TargetMode="External"/><Relationship Id="rId1361" Type="http://schemas.openxmlformats.org/officeDocument/2006/relationships/hyperlink" Target="https://www.tiktok.com/@sobrevivi2019oficialdid/video/7223027035826916613" TargetMode="External"/><Relationship Id="rId1362" Type="http://schemas.openxmlformats.org/officeDocument/2006/relationships/hyperlink" Target="https://p77-sign-va.tiktokcdn.com/tos-maliva-avt-0068/81bf61f330a07f981a67dd28d5bb361a~tplv-tiktokx-cropcenter:100:100.jpeg?dr=14579&amp;refresh_token=f5e41be0&amp;x-expires=1763172000&amp;x-signature=NjqvOexgTw9RpHc75bajb08jGMs%3D&amp;t=4d5b0474&amp;ps=13740610&amp;shp=a5d48078&amp;shcp=81f88b70&amp;idc=my" TargetMode="External"/><Relationship Id="rId774" Type="http://schemas.openxmlformats.org/officeDocument/2006/relationships/hyperlink" Target="https://www.tiktok.com/@tdah_da_base_ao_avan/video/7539230397813591301" TargetMode="External"/><Relationship Id="rId1363" Type="http://schemas.openxmlformats.org/officeDocument/2006/relationships/hyperlink" Target="https://v16-webapp-prime.tiktok.com/video/tos/useast2a/tos-useast2a-v-27dcd7/osAAY1EIICgMNCffMTFSfVDDQMzgSoEhDC0TA8/?a=1988&amp;bti=ODszNWYuMDE6&amp;ch=0&amp;cr=0&amp;dr=0&amp;er=0&amp;lr=default&amp;cd=0%7C0%7C0%7C0&amp;br=250&amp;bt=125&amp;ds=5&amp;ft=GNDpcInz7ThzK-UPXq8Zmo&amp;mime_type=audio_mpeg&amp;qs=13&amp;rc=M2YzPHg5cm1uczMzNzU8M0BpM2YzPHg5cm1uczMzNzU8M0AxMGY1MmRjbXNgLS1kMTZzYSMxMGY1MmRjbXNgLS1kMTZzcw%3D%3D&amp;btag=e00050000&amp;expire=1763004232&amp;l=20251113102236D675DBC36011DA84E058&amp;ply_type=3&amp;policy=3&amp;signature=5831aa0bee5ebee19cf002a75a9dbe85&amp;tk=7571587458748974088" TargetMode="External"/><Relationship Id="rId773" Type="http://schemas.openxmlformats.org/officeDocument/2006/relationships/hyperlink" Target="https://v16-webapp-prime.tiktok.com/video/tos/useast2a/tos-useast2a-ve-0068c003/oQ81eAGQsqtCWLjnR9fzPgSIgQDBCceIIz3XIV/?a=1988&amp;bti=ODszNWYuMDE6&amp;ch=0&amp;cr=3&amp;dr=0&amp;lr=all&amp;cd=0%7C0%7C0%7C&amp;cv=1&amp;br=1192&amp;bt=596&amp;cs=0&amp;ds=3&amp;ft=-Csk_mrMPD12Nx_opd-Ux7o2aY6e3wv25zcAp&amp;mime_type=video_mp4&amp;qs=0&amp;rc=MzNlZzo8O2c2NjU6ZGVmNkBpM3k6b3c5cnhlNTMzNzczM0AxNTRjMS8wXl4xXjJjYzI2YSNvXm1zMmRjZ2RhLS1kMTZzcw%3D%3D&amp;btag=e00090000&amp;expire=1763173628&amp;l=20251113102607CD4452BD4E07158E0822&amp;ply_type=2&amp;policy=2&amp;signature=56bd1c104e40d593f9c7958e2d05b070&amp;tk=tt_chain_token" TargetMode="External"/><Relationship Id="rId1364" Type="http://schemas.openxmlformats.org/officeDocument/2006/relationships/hyperlink" Target="https://p77-sign-va.tiktokcdn.com/tos-maliva-avt-0068/81bf61f330a07f981a67dd28d5bb361a~tplv-tiktokx-cropcenter:1080:1080.jpeg?dr=14579&amp;refresh_token=afa4e259&amp;x-expires=1763172000&amp;x-signature=%2FfRJbx375WhT1rGZYZluIdSxn2w%3D&amp;t=4d5b0474&amp;ps=13740610&amp;shp=a5d48078&amp;shcp=81f88b70&amp;idc=my" TargetMode="External"/><Relationship Id="rId772" Type="http://schemas.openxmlformats.org/officeDocument/2006/relationships/hyperlink" Target="https://p77-sign-va.tiktokcdn.com/tos-maliva-avt-0068/54f33af02e8f412b8807f6a009affdb4~tplv-tiktokx-cropcenter:1080:1080.jpeg?dr=14579&amp;refresh_token=64378bae&amp;x-expires=1763172000&amp;x-signature=AwoC%2FX5rpTsbnzNMgxKItz9i1e8%3D&amp;t=4d5b0474&amp;ps=13740610&amp;shp=a5d48078&amp;shcp=81f88b70&amp;idc=my" TargetMode="External"/><Relationship Id="rId1365" Type="http://schemas.openxmlformats.org/officeDocument/2006/relationships/hyperlink" Target="https://v16-webapp-prime.tiktok.com/video/tos/maliva/tos-maliva-ve-0068c801-us/ogMfTxrTIS0gCLLIQvUfOCA1gjFP4SfxLgzDyE/?a=1988&amp;bti=ODszNWYuMDE6&amp;ch=0&amp;cr=3&amp;dr=0&amp;lr=all&amp;cd=0%7C0%7C0%7C&amp;cv=1&amp;br=2164&amp;bt=1082&amp;cs=0&amp;ds=3&amp;ft=-Csk_mrMPD12NDhopd-Ux2.2GY6e3wv25rcAp&amp;mime_type=video_mp4&amp;qs=0&amp;rc=NDk0aTNlaWdmZGY6O2llNEBpM285eHI5cmVuczMzNzczM0A2YGBfLy0zNWAxYmE1LWMtYSNsXzRmMmRzbXNgLS1kMTZzcw%3D%3D&amp;btag=e00090000&amp;expire=1763173432&amp;l=20251113102236D675DBC36011DA84E058&amp;ply_type=2&amp;policy=2&amp;signature=6d70fc17dee1b74d69b34a55300c5776&amp;tk=tt_chain_token" TargetMode="External"/><Relationship Id="rId771" Type="http://schemas.openxmlformats.org/officeDocument/2006/relationships/hyperlink" Target="https://v16-webapp-prime.tiktok.com/video/tos/useast2a/tos-useast2a-v-27dcd7/o0QiSTDJAilEKB7ZiAu2AagJC6EU7iCPAACkv/?a=1988&amp;bti=ODszNWYuMDE6&amp;ch=0&amp;cr=0&amp;dr=0&amp;er=0&amp;lr=default&amp;cd=0%7C0%7C0%7C0&amp;br=250&amp;bt=125&amp;ds=5&amp;ft=GNDpcInz7Th8Y-UPXq8Zmo&amp;mime_type=audio_mpeg&amp;qs=13&amp;rc=ajNocnU5cjxlNTMzNzU8M0BpajNocnU5cjxlNTMzNzU8M0AucmtgMmQ0aGRhLS1kMTZzYSMucmtgMmQ0aGRhLS1kMTZzcw%3D%3D&amp;btag=e00050000&amp;expire=1763004428&amp;l=20251113102607CD4452BD4E07158E0822&amp;ply_type=3&amp;policy=3&amp;signature=986d53fb2339ab3f83a6a0a1c3946735&amp;tk=7571587458748974088" TargetMode="External"/><Relationship Id="rId1366" Type="http://schemas.openxmlformats.org/officeDocument/2006/relationships/hyperlink" Target="https://www.tiktok.com/@ciencia.livre/video/7385706318964804869" TargetMode="External"/><Relationship Id="rId327" Type="http://schemas.openxmlformats.org/officeDocument/2006/relationships/hyperlink" Target="https://sf16-ies-music-sg.tiktokcdn.com/obj/tos-alisg-ve-2774/0c5d43b2a5b846d89bc774707470526c" TargetMode="External"/><Relationship Id="rId326" Type="http://schemas.openxmlformats.org/officeDocument/2006/relationships/hyperlink" Target="https://p77-sign-va.tiktokcdn.com/tos-maliva-avt-0068/da7a6883faf98893a78013cae3307500~tplv-tiktokx-cropcenter:100:100.jpeg?dr=14579&amp;refresh_token=5409937a&amp;x-expires=1763172000&amp;x-signature=J59h4PtQaxDpiMVwBFRlhudrkd4%3D&amp;t=4d5b0474&amp;ps=13740610&amp;shp=a5d48078&amp;shcp=81f88b70&amp;idc=my" TargetMode="External"/><Relationship Id="rId325" Type="http://schemas.openxmlformats.org/officeDocument/2006/relationships/hyperlink" Target="https://www.tiktok.com/@brunolnunes/video/7190010685957360902" TargetMode="External"/><Relationship Id="rId324" Type="http://schemas.openxmlformats.org/officeDocument/2006/relationships/hyperlink" Target="https://v16-webapp-prime.tiktok.com/video/tos/useast2a/tos-useast2a-pve-0068/o8OCjXPM4U3SkGQdejDQACkIVfHhRSA2gHBpeH/?a=1988&amp;bti=ODszNWYuMDE6&amp;ch=0&amp;cr=3&amp;dr=0&amp;lr=all&amp;cd=0%7C0%7C0%7C&amp;cv=1&amp;br=1320&amp;bt=660&amp;cs=0&amp;ds=3&amp;ft=-Csk_mrMPD12Nycopd-UxG4vXY6e3wv25McAp&amp;mime_type=video_mp4&amp;qs=0&amp;rc=ZGk3ZztoOGU0OTtnZTY2OEBpM2c6cDo6ZnQzaTMzNzczM0A1YjMuMTEvNS8xLi8vNjFgYSNuZmZucjRfbDFgLS1kMTZzcw%3D%3D&amp;btag=e00090000&amp;expire=1763173520&amp;l=20251113102415EC11E565E652E77F00C9&amp;ply_type=2&amp;policy=2&amp;signature=228776b7cfa99f9891db651450f3de0e&amp;tk=tt_chain_token" TargetMode="External"/><Relationship Id="rId329" Type="http://schemas.openxmlformats.org/officeDocument/2006/relationships/hyperlink" Target="https://v16-webapp-prime.tiktok.com/video/tos/maliva/tos-maliva-ve-0068c799-us/oshE4fSFdAmRDAHEQeiEA7BVKEBFIPx3pihYog/?a=1988&amp;bti=ODszNWYuMDE6&amp;ch=0&amp;cr=3&amp;dr=0&amp;lr=all&amp;cd=0%7C0%7C0%7C&amp;cv=1&amp;br=1694&amp;bt=847&amp;cs=0&amp;ds=3&amp;ft=-Csk_mrMPD12NdYopd-UxMTFGY6e3wv25LcAp&amp;mime_type=video_mp4&amp;qs=0&amp;rc=Zmc7PDM6OmY2MzY8NGY4NkBpMzVzOWs5cnhsNzMzaTczNEAxY2M0YjJgNl4xNC9gXmItYSNwb3MzMmRzZC9hLS1kMTJzcw%3D%3D&amp;btag=e00090000&amp;expire=1763173455&amp;l=202511131023026989DBCE704A6574DC2E&amp;ply_type=2&amp;policy=2&amp;signature=2e01d7c3ff124fd8048226f5f208c313&amp;tk=tt_chain_token" TargetMode="External"/><Relationship Id="rId1390" Type="http://schemas.openxmlformats.org/officeDocument/2006/relationships/hyperlink" Target="https://www.tiktok.com/@lorenatdahta/video/7396104682726329605" TargetMode="External"/><Relationship Id="rId328" Type="http://schemas.openxmlformats.org/officeDocument/2006/relationships/hyperlink" Target="https://p77-sg.tiktokcdn.com/aweme/720x720/tos-alisg-v-2774/47ccb712fc744e03b97c5b232ff279cc.jpeg" TargetMode="External"/><Relationship Id="rId1391" Type="http://schemas.openxmlformats.org/officeDocument/2006/relationships/hyperlink" Target="https://p16-sign-va.tiktokcdn.com/tos-maliva-avt-0068/5e5b84ee647a8a7823fb0c571e620293~tplv-tiktokx-cropcenter:100:100.jpeg?dr=14579&amp;refresh_token=8d76ac4a&amp;x-expires=1763172000&amp;x-signature=JoWqPsimhlIkRN1fyO87c1mR27A%3D&amp;t=4d5b0474&amp;ps=13740610&amp;shp=a5d48078&amp;shcp=81f88b70&amp;idc=my" TargetMode="External"/><Relationship Id="rId1392" Type="http://schemas.openxmlformats.org/officeDocument/2006/relationships/hyperlink" Target="https://v16-webapp-prime.tiktok.com/video/tos/useast2a/tos-useast2a-v-27dcd7/ogIu5AToICEefIGAANAgkQ4eSCLvFCgGA9H355/?a=1988&amp;bti=ODszNWYuMDE6&amp;ch=0&amp;cr=0&amp;dr=0&amp;er=0&amp;lr=default&amp;cd=0%7C0%7C0%7C0&amp;br=250&amp;bt=125&amp;ds=5&amp;ft=GNDpcInz7ThN9-UPXq8Zmo&amp;mime_type=audio_mpeg&amp;qs=13&amp;rc=MzVzNXg5cngzdTMzNzU8M0BpMzVzNXg5cngzdTMzNzU8M0BocjZjMmRzXy1gLS1kMTZzYSNocjZjMmRzXy1gLS1kMTZzcw%3D%3D&amp;btag=e00048000&amp;expire=1763004305&amp;l=20251113102410CE8B814C77F7637842AC&amp;ply_type=3&amp;policy=3&amp;signature=a1c22c091494de43ea94190c2a8a24bf&amp;tk=7571587458748974088" TargetMode="External"/><Relationship Id="rId1393" Type="http://schemas.openxmlformats.org/officeDocument/2006/relationships/hyperlink" Target="https://p16-sign-va.tiktokcdn.com/tos-maliva-avt-0068/5e5b84ee647a8a7823fb0c571e620293~tplv-tiktokx-cropcenter:1080:1080.jpeg?dr=14579&amp;refresh_token=bc417078&amp;x-expires=1763172000&amp;x-signature=YPpUj%2B1aIxlsAw77CFhscmELSgw%3D&amp;t=4d5b0474&amp;ps=13740610&amp;shp=a5d48078&amp;shcp=81f88b70&amp;idc=my" TargetMode="External"/><Relationship Id="rId1394" Type="http://schemas.openxmlformats.org/officeDocument/2006/relationships/hyperlink" Target="https://v16-webapp-prime.tiktok.com/video/tos/maliva/tos-maliva-ve-0068c801-us/o4GiQfVKDBDmFrLEDAEBAgIhwBJEFfPQlXR9VA/?a=1988&amp;bti=ODszNWYuMDE6&amp;ch=0&amp;cr=3&amp;dr=0&amp;lr=all&amp;cd=0%7C0%7C0%7C&amp;cv=1&amp;br=1980&amp;bt=990&amp;cs=0&amp;ds=3&amp;ft=I~da4oKyD12Nv5A0i.IxRIk_glBF-UjNSbopiX&amp;mime_type=video_mp4&amp;qs=0&amp;rc=NTQ5OzpoN2kzM2VoOGloOUBpamRwPGw5cmozdTMzNzczM0BfMzVeYV8zXzQxNmA1MTNgYSNzYzVlMmRzXi1gLS1kMTZzcw%3D%3D&amp;btag=e00088000&amp;expire=1763173505&amp;l=20251113102410CE8B814C77F7637842AC&amp;ply_type=2&amp;policy=2&amp;signature=46d5304f17f3482e795bcac3641239a3&amp;tk=tt_chain_token" TargetMode="External"/><Relationship Id="rId1395" Type="http://schemas.openxmlformats.org/officeDocument/2006/relationships/hyperlink" Target="https://www.tiktok.com/@evolutiva_mente/video/7403924323074870533" TargetMode="External"/><Relationship Id="rId323" Type="http://schemas.openxmlformats.org/officeDocument/2006/relationships/hyperlink" Target="https://p16-sign-va.tiktokcdn.com/tos-maliva-avt-0068/72466cc9d5b9a27930c91e8fb7677589~tplv-tiktokx-cropcenter:1080:1080.jpeg?dr=14579&amp;refresh_token=72b31f13&amp;x-expires=1763172000&amp;x-signature=BB%2Feg0hCMnot8riQo9d8Z9XOVCQ%3D&amp;t=4d5b0474&amp;ps=13740610&amp;shp=a5d48078&amp;shcp=81f88b70&amp;idc=my" TargetMode="External"/><Relationship Id="rId1396"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322" Type="http://schemas.openxmlformats.org/officeDocument/2006/relationships/hyperlink" Target="https://v16-webapp-prime.tiktok.com/video/tos/useast2a/tos-useast2a-v-27dcd7/o09KICIQAJf7pDQjfy8bBBQPUD31ywhTJrnkUp/?a=1988&amp;bti=ODszNWYuMDE6&amp;ch=0&amp;cr=0&amp;dr=0&amp;er=0&amp;lr=default&amp;cd=0%7C0%7C0%7C0&amp;br=250&amp;bt=125&amp;ft=GNDpcInz7Th49-UPXq8Zmo&amp;mime_type=audio_mpeg&amp;qs=6&amp;rc=OjQ0aDhnZWk1OTM2aTo0ZUBpMzg8aTw6ZmQzaTMzNzU8M0AwLS5jYS80Ni4xYC4vLTZiYSMzMW8vcjRfbTFgLS1kMTZzcw%3D%3D&amp;btag=e00090000&amp;expire=1763004320&amp;l=20251113102415EC11E565E652E77F00C9&amp;ply_type=3&amp;policy=3&amp;signature=a62b633fdc27cf327a39b0405383ab29&amp;tk=7571587458748974088" TargetMode="External"/><Relationship Id="rId1397" Type="http://schemas.openxmlformats.org/officeDocument/2006/relationships/hyperlink" Target="https://v16-webapp-prime.tiktok.com/video/tos/maliva/tos-maliva-v-27dcd7c799-us/c333cd205a4f40e8b744be4828d93770/?a=1988&amp;bti=ODszNWYuMDE6&amp;ch=0&amp;cr=0&amp;dr=0&amp;er=0&amp;lr=default&amp;cd=0%7C0%7C0%7C0&amp;br=198&amp;bt=99&amp;ds=5&amp;ft=GNDpcInz7ThN9-UPXq8Zmo&amp;mime_type=audio_mp4&amp;qs=13&amp;rc=anB5djw6Zm81OzMzZzU8NEBpanB5djw6Zm81OzMzZzU8NEBrMmJvcjQwcDVgLS1kMS9zYSNrMmJvcjQwcDVgLS1kMS9zcw%3D%3D&amp;btag=e00070000&amp;expire=1763004261&amp;l=20251113102410CE8B814C77F7637842AC&amp;ply_type=3&amp;policy=3&amp;signature=c2bdf9f3cd56c79aa6114eb55f955c28&amp;tk=7571587458748974088" TargetMode="External"/><Relationship Id="rId321" Type="http://schemas.openxmlformats.org/officeDocument/2006/relationships/hyperlink" Target="https://p16-sign-va.tiktokcdn.com/tos-maliva-avt-0068/72466cc9d5b9a27930c91e8fb7677589~tplv-tiktokx-cropcenter:100:100.jpeg?dr=14579&amp;refresh_token=360b5aa4&amp;x-expires=1763172000&amp;x-signature=p1cIn4dv34Pq8aQhB91qKMjNhdk%3D&amp;t=4d5b0474&amp;ps=13740610&amp;shp=a5d48078&amp;shcp=81f88b70&amp;idc=my" TargetMode="External"/><Relationship Id="rId1398" Type="http://schemas.openxmlformats.org/officeDocument/2006/relationships/hyperlink" Target="https://p16-sign-va.tiktokcdn.com/tos-maliva-avt-0068/bf3e85492ef0c591e6c4fb283a3a3dc7~tplv-tiktokx-cropcenter:1080:1080.jpeg?dr=14579&amp;refresh_token=80a2327b&amp;x-expires=1763172000&amp;x-signature=zcbbLcQ4Iurx%2FF3DQDlwgOaG8RA%3D&amp;t=4d5b0474&amp;ps=13740610&amp;shp=a5d48078&amp;shcp=81f88b70&amp;idc=my" TargetMode="External"/><Relationship Id="rId320" Type="http://schemas.openxmlformats.org/officeDocument/2006/relationships/hyperlink" Target="https://www.tiktok.com/@lorenatdahta/video/7390167456788122886" TargetMode="External"/><Relationship Id="rId1399" Type="http://schemas.openxmlformats.org/officeDocument/2006/relationships/hyperlink" Target="https://v16-webapp-prime.tiktok.com/video/tos/useast2a/tos-useast2a-pve-0068/okokJXcibBTIBAFReBbEmRxMAXEFQrfd42MDEY/?a=1988&amp;bti=ODszNWYuMDE6&amp;ch=0&amp;cr=3&amp;dr=0&amp;lr=all&amp;cd=0%7C0%7C0%7C&amp;cv=1&amp;br=1134&amp;bt=567&amp;cs=0&amp;ds=3&amp;ft=I~da4oKyD12Nv5A0i.IxRIk_glBF-UjNSbopiX&amp;mime_type=video_mp4&amp;qs=0&amp;rc=M2ZoOzloNTVkOjk3NmlnM0BpM21vPHg5cjk0NDMzNzczM0AxMjEtNTFfNTAxNTViX18wYSNgamRlMmRzb2JhLS1kMTZzcw%3D%3D&amp;btag=e000b0000&amp;expire=1763173460&amp;l=20251113102410CE8B814C77F7637842AC&amp;ply_type=2&amp;policy=2&amp;signature=ed9e1dbfcdd9182b4e6f367d2f156c1b&amp;tk=tt_chain_token" TargetMode="External"/><Relationship Id="rId1389" Type="http://schemas.openxmlformats.org/officeDocument/2006/relationships/hyperlink" Target="https://v16-webapp-prime.tiktok.com/video/tos/useast2a/tos-useast2a-ve-0068c003/oQpv4QSDNCP04VRFEB9HhAIfICjkfSKgAjEh2f/?a=1988&amp;bti=ODszNWYuMDE6&amp;ch=0&amp;cr=3&amp;dr=0&amp;lr=all&amp;cd=0%7C0%7C0%7C&amp;br=1564&amp;bt=782&amp;cs=0&amp;ds=3&amp;ft=I~da4oKyD12NviW0i.IxRHqNglBF-UjNSqopiX&amp;mime_type=video_mp4&amp;qs=0&amp;rc=NGk3OzQ5ZGk8NWk1M2ZlN0BpanJnanQ5cnk2dDMzNzczM0AtMi81Mi5gXy4xNDNgMl9gYSNoMDFjMmRzb2ZgLS1kMTZzcw%3D%3D&amp;btag=e000b8000&amp;expire=1763173368&amp;l=202511131022270BBA173F4561DD71A814&amp;ply_type=2&amp;policy=2&amp;signature=b1319f643ced489d862a1e35b066f21f&amp;tk=tt_chain_token" TargetMode="External"/><Relationship Id="rId316"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315" Type="http://schemas.openxmlformats.org/officeDocument/2006/relationships/hyperlink" Target="https://www.tiktok.com/@claralisle/video/7393112094926753029" TargetMode="External"/><Relationship Id="rId799" Type="http://schemas.openxmlformats.org/officeDocument/2006/relationships/hyperlink" Target="https://www.tiktok.com/@veigasaymon/video/7485053498451578117" TargetMode="External"/><Relationship Id="rId314" Type="http://schemas.openxmlformats.org/officeDocument/2006/relationships/hyperlink" Target="https://v16-webapp-prime.tiktok.com/video/tos/useast2a/tos-useast2a-pve-0068/oMyTkIfEBjh3MAnqoiPMAwQoJiwbVzgC8xRIEZ/?a=1988&amp;bti=ODszNWYuMDE6&amp;ch=0&amp;cr=3&amp;dr=0&amp;lr=all&amp;cd=0%7C0%7C0%7C&amp;cv=1&amp;br=2854&amp;bt=1427&amp;cs=0&amp;ds=3&amp;ft=-Csk_mrMPD12NOYopd-Uxtv5GY6e3wv252cAp&amp;mime_type=video_mp4&amp;qs=0&amp;rc=NGc4aTY0ZGg3Mzo7ZTszZ0BpamRmOWs5cnlzdDMzNzczM0A1Xi9iMTI2X2IxY2AxMmAuYSM1Z3BsMmQ0a2BgLS1kMTZzcw%3D%3D&amp;btag=e00090000&amp;expire=1763173510&amp;l=20251113102306B19E1F5BC676BF8CC05E&amp;ply_type=2&amp;policy=2&amp;signature=e096bab0bff33454e5aa34cab9d80b63&amp;tk=tt_chain_token" TargetMode="External"/><Relationship Id="rId798" Type="http://schemas.openxmlformats.org/officeDocument/2006/relationships/hyperlink" Target="https://v16-webapp-prime.tiktok.com/video/tos/useast2a/tos-useast2a-ve-0068c004/oA5UQHBnBQLIyPVgEE3RfgSAA4eD4FnBEJKgOC/?a=1988&amp;bti=ODszNWYuMDE6&amp;ch=0&amp;cr=3&amp;dr=0&amp;lr=all&amp;cd=0%7C0%7C0%7C&amp;cv=1&amp;br=1886&amp;bt=943&amp;cs=0&amp;ds=3&amp;ft=I~da4oKyD12NviW0i.IxRHqNglBF-UjNSqopiX&amp;mime_type=video_mp4&amp;qs=0&amp;rc=NTNnOjQ1MzNlNTg5aGc4NEBpMzx2ZG05cng3eTMzNzgzM0AzMV4xMi4tXjUxMmMzMmBeYSM1XmRyMmQ0LWRgLS1kLzZzcw%3D%3D&amp;btag=e000b8000&amp;expire=1763173366&amp;l=202511131022270BBA173F4561DD71A814&amp;ply_type=2&amp;policy=2&amp;signature=9aa6a7b848336c092cd266ab5cdc0761&amp;tk=tt_chain_token" TargetMode="External"/><Relationship Id="rId313" Type="http://schemas.openxmlformats.org/officeDocument/2006/relationships/hyperlink" Target="https://p16-sign-sg.tiktokcdn.com/tos-alisg-avt-0068/9832aa685b2cfe94db09e06f702f0a77~tplv-tiktokx-cropcenter:1080:1080.jpeg?dr=14579&amp;refresh_token=d57b4bd0&amp;x-expires=1763172000&amp;x-signature=0nm8UzgqhG3Wa%2Bb2eLmc9Jca%2BrQ%3D&amp;t=4d5b0474&amp;ps=13740610&amp;shp=a5d48078&amp;shcp=81f88b70&amp;idc=my" TargetMode="External"/><Relationship Id="rId797" Type="http://schemas.openxmlformats.org/officeDocument/2006/relationships/hyperlink" Target="https://p16-sign-va.tiktokcdn.com/tos-maliva-avt-0068/409b8f094a519052398ae01ba95bf160~tplv-tiktokx-cropcenter:1080:1080.jpeg?dr=14579&amp;refresh_token=fac6ce42&amp;x-expires=1763172000&amp;x-signature=iy4tgtvdI62l3n9pTzcda5Gp1is%3D&amp;t=4d5b0474&amp;ps=13740610&amp;shp=a5d48078&amp;shcp=81f88b70&amp;idc=my" TargetMode="External"/><Relationship Id="rId319" Type="http://schemas.openxmlformats.org/officeDocument/2006/relationships/hyperlink" Target="https://v16-webapp-prime.tiktok.com/video/tos/useast2a/tos-useast2a-pve-0068/oclkDUi6wQm87lBAiSwoWWZrIBLQwEHPLIE26/?a=1988&amp;bti=ODszNWYuMDE6&amp;ch=0&amp;cr=3&amp;dr=0&amp;lr=all&amp;cd=0%7C0%7C0%7C&amp;br=1360&amp;bt=680&amp;cs=0&amp;ds=3&amp;ft=-Csk_mrMPD12Nyhopd-UxFN2aY6e3wv25ycAp&amp;mime_type=video_mp4&amp;qs=0&amp;rc=PDYzODRmNzc8OjU4NTVpaUBpM2p5NXU5cmVsdDMzNzczM0AtMC4wLmE1NjIxMTIxLTAvYSNmYS1xMmQ0XzRgLS1kMTZzcw%3D%3D&amp;btag=e00088000&amp;expire=1763173369&amp;l=2025111310220790E74D25ACF9796D8D06&amp;ply_type=2&amp;policy=2&amp;signature=95fa124de5be171eb278a1725007064a&amp;tk=tt_chain_token" TargetMode="External"/><Relationship Id="rId318" Type="http://schemas.openxmlformats.org/officeDocument/2006/relationships/hyperlink" Target="https://p77-sg.tiktokcdn.com/aweme/720x720/tos-alisg-v-2774/7851b9d4cd8c4aa98ae927a8c7b9fe1b.jpeg" TargetMode="External"/><Relationship Id="rId317" Type="http://schemas.openxmlformats.org/officeDocument/2006/relationships/hyperlink" Target="https://sf16-ies-music-sg.tiktokcdn.com/obj/tos-alisg-ve-2774/8f884d9ce34b47c094368ca53341c44e" TargetMode="External"/><Relationship Id="rId1380" Type="http://schemas.openxmlformats.org/officeDocument/2006/relationships/hyperlink" Target="https://www.tiktok.com/@girodaengrenagem/video/7243579243022617861" TargetMode="External"/><Relationship Id="rId792"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381" Type="http://schemas.openxmlformats.org/officeDocument/2006/relationships/hyperlink" Target="https://p16-sign-va.tiktokcdn.com/tos-maliva-avt-0068/8d35910dac7135054a6f0169a6f4d8b2~tplv-tiktokx-cropcenter:100:100.jpeg?dr=14579&amp;refresh_token=95463fe9&amp;x-expires=1763172000&amp;x-signature=MEDS8ZeKr3gfK6QiYLExfG3S8vI%3D&amp;t=4d5b0474&amp;ps=13740610&amp;shp=a5d48078&amp;shcp=81f88b70&amp;idc=my" TargetMode="External"/><Relationship Id="rId791" Type="http://schemas.openxmlformats.org/officeDocument/2006/relationships/hyperlink" Target="https://v16-webapp-prime.tiktok.com/video/tos/useast2a/tos-useast2a-v-27dcd7/oge5ETCMCgAElATPAE69fAOEbZsDNFgfjSbH0o/?a=1988&amp;bti=ODszNWYuMDE6&amp;ch=0&amp;cr=0&amp;dr=0&amp;er=0&amp;lr=default&amp;cd=0%7C0%7C0%7C0&amp;br=250&amp;bt=125&amp;ds=5&amp;ft=GNDpcInz7Thm9-UPXq8Zmo&amp;mime_type=audio_mpeg&amp;qs=13&amp;rc=amhraGo5cnBrcjMzNzU8M0BpamhraGo5cnBrcjMzNzU8M0A0amJjMmRjc2FgLS1kMTZzYSM0amJjMmRjc2FgLS1kMTZzcw%3D%3D&amp;btag=e00050000&amp;expire=1763004342&amp;l=202511131024337F554789EF0D09A1F8EB&amp;ply_type=3&amp;policy=3&amp;signature=8e7cf37dbc5989267ecc2126908aed18&amp;tk=7571587458748974088" TargetMode="External"/><Relationship Id="rId1382" Type="http://schemas.openxmlformats.org/officeDocument/2006/relationships/hyperlink" Target="https://v16-webapp-prime.tiktok.com/video/tos/useast2a/tos-useast2a-v-27dcd7/oUDcimfpAUpulFAUrlwBCuJNEoEB6EnQJfCA7x/?a=1988&amp;bti=ODszNWYuMDE6&amp;ch=0&amp;cr=0&amp;dr=0&amp;er=0&amp;lr=default&amp;cd=0%7C0%7C0%7C0&amp;br=250&amp;bt=125&amp;ds=5&amp;ft=GNDpcInz7ThYK-UPXq8Zmo&amp;mime_type=audio_mpeg&amp;qs=13&amp;rc=ajw8N3I5cnVocDMzNzU8M0Bpajw8N3I5cnVocDMzNzU8M0Azc3E0MmRraGVgLS1kMTZzYSMzc3E0MmRraGVgLS1kMTZzcw%3D%3D&amp;btag=e00078000&amp;expire=1763004185&amp;l=20251113102250DC012CE1E68AEAAA2B86&amp;ply_type=3&amp;policy=3&amp;signature=0287da4e5b6078a30726aa0a13f88b40&amp;tk=7571587458748974088" TargetMode="External"/><Relationship Id="rId790"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1383" Type="http://schemas.openxmlformats.org/officeDocument/2006/relationships/hyperlink" Target="https://p77-sign-va.tiktokcdn.com/tos-maliva-avt-0068/8d35910dac7135054a6f0169a6f4d8b2~tplv-tiktokx-cropcenter:1080:1080.jpeg?dr=14579&amp;refresh_token=1be106de&amp;x-expires=1763172000&amp;x-signature=%2BhHsdZJuFEeZi0ZJp8daurbZZ50%3D&amp;t=4d5b0474&amp;ps=13740610&amp;shp=a5d48078&amp;shcp=81f88b70&amp;idc=my" TargetMode="External"/><Relationship Id="rId1384" Type="http://schemas.openxmlformats.org/officeDocument/2006/relationships/hyperlink" Target="https://webapp-va.tiktok.com/1c762829525e713807ad7161b22d8001/6917e409/kmoat/mps/logo/v3/r/p/v09044g40000cmhej57og65re9r7bv7g/42eed504a82b49139a2e81dd0287a816/afca0dbe939f372a2a95457e7eb64e94/mp4/main.mp4?a=1988&amp;bti=ODszNWYuMDE6&amp;ch=0&amp;cr=3&amp;dr=0&amp;lr=all&amp;cd=0%7C0%7C0%7C&amp;cv=1&amp;br=0&amp;bt=0&amp;cs=0&amp;ds=3&amp;ft=bLZkJmrMPD12N_hopd-Ux315hY6e3wv25dcAp&amp;mime_type=video_mp4&amp;qs=0&amp;rc=cnF8b2hsc2d3SkBwaHIxaDFybndmOTs6NWc0aGQ2PGU7NzhoNUBpank6PHU5cjhocDMzNzczM0BjRl5Nc3FePmJKYSNvYF90aHFmOiMuXjUtYTUvNi4xL14tYWIxYSM0X29iMmQ0Z2VgLS1kMTZzcw%3D%3D&amp;btag=e000b8000&amp;definition=720p&amp;du=15&amp;item_id=7323673637607836933&amp;l=20251113102250DC012CE1E68AEAAA2B86&amp;logo_type=tiktok_creator&amp;ply_type=2&amp;policy=eyJ2bSI6MiwiY2siOiJ0dF9jaGFpbl90b2tlbiJ9&amp;sign_params=item_id%2Cuser_text&amp;user_text=leibarrosoficial" TargetMode="External"/><Relationship Id="rId312" Type="http://schemas.openxmlformats.org/officeDocument/2006/relationships/hyperlink" Target="https://v16-webapp-prime.tiktok.com/video/tos/useast2a/tos-useast2a-v-27dcd7/ooYzmnAJaIkAQAFNOEZLHEGIITGAzeJ3fAeZNe/?a=1988&amp;bti=ODszNWYuMDE6&amp;ch=0&amp;cr=0&amp;dr=0&amp;er=0&amp;lr=default&amp;cd=0%7C0%7C0%7C0&amp;br=250&amp;bt=125&amp;ds=5&amp;ft=GNDpcInz7ThNV-UPXq8Zmo&amp;mime_type=audio_mpeg&amp;qs=13&amp;rc=M2Y6aW05cnVzdDMzNzU8M0BpM2Y6aW05cnVzdDMzNzU8M0Ata21iMmRzbGBgLS1kMTZzYSMta21iMmRzbGBgLS1kMTZzcw%3D%3D&amp;btag=e00050000&amp;expire=1763004310&amp;l=20251113102306B19E1F5BC676BF8CC05E&amp;ply_type=3&amp;policy=3&amp;signature=a0f9acc749de064dd0c293aeebc38f02&amp;tk=7571587458748974088" TargetMode="External"/><Relationship Id="rId796" Type="http://schemas.openxmlformats.org/officeDocument/2006/relationships/hyperlink" Target="https://v16-webapp-prime.tiktok.com/video/tos/useast2a/tos-useast2a-v-27dcd7/o0eTQoEk8DPfOAVBJlCeQy7AgALhCPEIwPGSAI/?a=1988&amp;bti=ODszNWYuMDE6&amp;ch=0&amp;cr=0&amp;dr=0&amp;er=0&amp;lr=default&amp;cd=0%7C0%7C0%7C0&amp;br=250&amp;bt=125&amp;ds=5&amp;ft=GNDpcInz7ThUK-UPXq8Zmo&amp;mime_type=audio_mpeg&amp;qs=13&amp;rc=amx1a2o5cjQ3eTMzNzU8M0Bpamx1a2o5cjQ3eTMzNzU8M0BjNF9wMmRzLmRgLS1kMTZzYSNjNF9wMmRzLmRgLS1kMTZzcw%3D%3D&amp;btag=e00078000&amp;expire=1763004165&amp;l=202511131022270BBA173F4561DD71A814&amp;ply_type=3&amp;policy=3&amp;signature=16aa21643616dbaae0c7416ef3addc61&amp;tk=7571587458748974088" TargetMode="External"/><Relationship Id="rId1385" Type="http://schemas.openxmlformats.org/officeDocument/2006/relationships/hyperlink" Target="https://www.tiktok.com/@leibarrosoficial/video/7323673637607836933" TargetMode="External"/><Relationship Id="rId311" Type="http://schemas.openxmlformats.org/officeDocument/2006/relationships/hyperlink" Target="https://p77-sign-sg.tiktokcdn.com/tos-alisg-avt-0068/9832aa685b2cfe94db09e06f702f0a77~tplv-tiktokx-cropcenter:100:100.jpeg?dr=14579&amp;refresh_token=03df4f30&amp;x-expires=1763172000&amp;x-signature=hk%2BHpDNlUZoxLmdHkWMMFknvicA%3D&amp;t=4d5b0474&amp;ps=13740610&amp;shp=a5d48078&amp;shcp=81f88b70&amp;idc=my" TargetMode="External"/><Relationship Id="rId795" Type="http://schemas.openxmlformats.org/officeDocument/2006/relationships/hyperlink" Target="https://p77-sign-va.tiktokcdn.com/tos-maliva-avt-0068/409b8f094a519052398ae01ba95bf160~tplv-tiktokx-cropcenter:100:100.jpeg?dr=14579&amp;refresh_token=3ee24052&amp;x-expires=1763172000&amp;x-signature=8q419zgopgapTYRa6loQxNpoZ0g%3D&amp;t=4d5b0474&amp;ps=13740610&amp;shp=a5d48078&amp;shcp=81f88b70&amp;idc=my" TargetMode="External"/><Relationship Id="rId1386"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310" Type="http://schemas.openxmlformats.org/officeDocument/2006/relationships/hyperlink" Target="https://www.tiktok.com/@almanaquesos/video/7446054371571305733" TargetMode="External"/><Relationship Id="rId794" Type="http://schemas.openxmlformats.org/officeDocument/2006/relationships/hyperlink" Target="https://www.tiktok.com/@lorenatdahta/video/7357509398626848005" TargetMode="External"/><Relationship Id="rId1387" Type="http://schemas.openxmlformats.org/officeDocument/2006/relationships/hyperlink" Target="https://v16-webapp-prime.tiktok.com/video/tos/useast2a/tos-useast2a-v-27dcd7/owpCxBEDgnDAJwQ34kAtF2kBf3JACmEUPREMfO/?a=1988&amp;bti=ODszNWYuMDE6&amp;ch=0&amp;cr=0&amp;dr=0&amp;er=0&amp;lr=default&amp;cd=0%7C0%7C0%7C0&amp;br=252&amp;bt=126&amp;ds=5&amp;ft=GNDpcInz7ThUK-UPXq8Zmo&amp;mime_type=audio_mpeg&amp;qs=13&amp;rc=anE5OnU5cjY2dDMzNzU8M0BpanE5OnU5cjY2dDMzNzU8M0Bsb25tMmQ0cGZgLS1kMTZzYSNsb25tMmQ0cGZgLS1kMTZzcw%3D%3D&amp;btag=e00078000&amp;expire=1763004168&amp;l=202511131022270BBA173F4561DD71A814&amp;ply_type=3&amp;policy=3&amp;signature=3c4fc970f9d3c547713e4dba569822a5&amp;tk=7571587458748974088" TargetMode="External"/><Relationship Id="rId793" Type="http://schemas.openxmlformats.org/officeDocument/2006/relationships/hyperlink" Target="https://v16-webapp-prime.tiktok.com/video/tos/maliva/tos-maliva-ve-0068c801-us/o8grBtfDJQlTRJmEQPfSwGlx2B8AZE92FgTHIQ/?a=1988&amp;bti=ODszNWYuMDE6&amp;ch=0&amp;cr=3&amp;dr=0&amp;lr=all&amp;cd=0%7C0%7C0%7C&amp;cv=1&amp;br=2390&amp;bt=1195&amp;cs=0&amp;ds=3&amp;ft=I~da4oKyD12NvuA0i.IxREJNglBF-UjNSmopiX&amp;mime_type=video_mp4&amp;qs=0&amp;rc=OWk0PDpkZGZoNjhmNTZpZ0Bpamx0OGw5cmtrcjMzNzczM0AyMTYwMjE2NS4xYzUwXmJhYSNoNmJoMmRzcmFgLS1kMTZzcw%3D%3D&amp;btag=e00090000&amp;expire=1763173542&amp;l=202511131024337F554789EF0D09A1F8EB&amp;ply_type=2&amp;policy=2&amp;signature=a43df75fb0109dc652653e23eb99cbea&amp;tk=tt_chain_token" TargetMode="External"/><Relationship Id="rId1388" Type="http://schemas.openxmlformats.org/officeDocument/2006/relationships/hyperlink" Target="https://p3-sg.tiktokcdn.com/aweme/720x720/tiktok-obj/7384014270524803857.jpeg" TargetMode="External"/><Relationship Id="rId297" Type="http://schemas.openxmlformats.org/officeDocument/2006/relationships/hyperlink" Target="https://v16-webapp-prime.tiktok.com/video/tos/useast2a/tos-useast2a-v-27dcd7/ogA04lefJlEiDJBZBxDaArFoAuI2QC4EWWiAEU/?a=1988&amp;bti=ODszNWYuMDE6&amp;ch=0&amp;cr=0&amp;dr=0&amp;er=0&amp;lr=default&amp;cd=0%7C0%7C0%7C0&amp;br=250&amp;bt=125&amp;ds=5&amp;ft=GNDpcInz7ThPV-UPXq8Zmo&amp;mime_type=audio_mpeg&amp;qs=13&amp;rc=M3Q1cXY5cnM7cTMzNzU8M0BpM3Q1cXY5cnM7cTMzNzU8M0BjLTAyMmRjaWFgLS1kMTZzYSNjLTAyMmRjaWFgLS1kMTZzcw%3D%3D&amp;btag=e00050000&amp;expire=1763004267&amp;l=202511131023026989DBCE704A6574DC2E&amp;ply_type=3&amp;policy=3&amp;signature=a3852c8e0698fbf806bac33b1e923938&amp;tk=7571587458748974088" TargetMode="External"/><Relationship Id="rId296"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295" Type="http://schemas.openxmlformats.org/officeDocument/2006/relationships/hyperlink" Target="https://www.tiktok.com/@conexaoesentido/video/7479776290283851014" TargetMode="External"/><Relationship Id="rId294" Type="http://schemas.openxmlformats.org/officeDocument/2006/relationships/hyperlink" Target="https://v16-webapp-prime.tiktok.com/video/tos/useast2a/tos-useast2a-pve-0068/ooAnws9gHAt1QREOQIFhzgJDEfD5fQXEBEBTNE/?a=1988&amp;bti=ODszNWYuMDE6&amp;ch=0&amp;cr=3&amp;dr=0&amp;lr=all&amp;cd=0%7C0%7C0%7C&amp;cv=1&amp;br=2030&amp;bt=1015&amp;cs=0&amp;ds=3&amp;ft=-Csk_mrMPD12NXhopd-UxB6vSY6e3wv25rcAp&amp;mime_type=video_mp4&amp;qs=0&amp;rc=Zjw2M2k3OWlmOTZpOmdkOEBpanM0M3Q5cmtxeTMzNzczM0A0YmFeLS5jX14xLWAuNDE2YSNkc2JkMmQ0cjNgLS1kMTZzcw%3D%3D&amp;btag=e00090000&amp;expire=1763173406&amp;l=202511131022245A53A91EDE77CC8B0DB4&amp;ply_type=2&amp;policy=2&amp;signature=97211a9f8ffa04ffc0c379ee05cec763&amp;tk=tt_chain_token" TargetMode="External"/><Relationship Id="rId299" Type="http://schemas.openxmlformats.org/officeDocument/2006/relationships/hyperlink" Target="https://v16-webapp-prime.tiktok.com/video/tos/useast2a/tos-useast2a-pve-0068/ogfnaApABQBEnZQnlFDfJlEx2IKpPiRQoFcErM/?a=1988&amp;bti=ODszNWYuMDE6&amp;ch=0&amp;cr=3&amp;dr=0&amp;lr=all&amp;cd=0%7C0%7C0%7C&amp;cv=1&amp;br=2046&amp;bt=1023&amp;cs=0&amp;ds=3&amp;ft=-Csk_mrMPD12NdYopd-UxMTFGY6e3wv25LcAp&amp;mime_type=video_mp4&amp;qs=0&amp;rc=Ozk5NWY2Ojw2ZWU8ZzhpN0BpM3loc2w5cnQ7cTMzNzczM0AxMi1fYTU1NmExLjItYzM0YSNibWZtMmRjaGFgLS1kMTZzcw%3D%3D&amp;btag=e00090000&amp;expire=1763173466&amp;l=202511131023026989DBCE704A6574DC2E&amp;ply_type=2&amp;policy=2&amp;signature=52f6f5acd86df08ad8879c36e0ec41bc&amp;tk=tt_chain_token" TargetMode="External"/><Relationship Id="rId298"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271" Type="http://schemas.openxmlformats.org/officeDocument/2006/relationships/hyperlink" Target="https://p77-sign-va.tiktokcdn.com/tos-maliva-avt-0068/431bee7578e519987635a70e5b8f7fb3~tplv-tiktokx-cropcenter:100:100.jpeg?dr=14579&amp;refresh_token=e3f271e8&amp;x-expires=1763172000&amp;x-signature=w7vjthC%2FHV5BMUgxQR1CdU54vQE%3D&amp;t=4d5b0474&amp;ps=13740610&amp;shp=a5d48078&amp;shcp=81f88b70&amp;idc=my" TargetMode="External"/><Relationship Id="rId270" Type="http://schemas.openxmlformats.org/officeDocument/2006/relationships/hyperlink" Target="https://www.tiktok.com/@distrair.sim/video/7344407056033565957" TargetMode="External"/><Relationship Id="rId269" Type="http://schemas.openxmlformats.org/officeDocument/2006/relationships/hyperlink" Target="https://p16-sg.tiktokcdn.com/aweme/720x720/tos-alisg-v-2774/o8EtFZBkR5n1Z8SGBkDnngAtQmBbCxeAfEAbD9.jpeg" TargetMode="External"/><Relationship Id="rId264" Type="http://schemas.openxmlformats.org/officeDocument/2006/relationships/hyperlink" Target="https://p77-sign-va.tiktokcdn.com/tos-maliva-avt-0068/4949bb024f91e1b4bc8f1b459a9fc215~tplv-tiktokx-cropcenter:1080:1080.jpeg?dr=14579&amp;refresh_token=62e7cd27&amp;x-expires=1763172000&amp;x-signature=wulijpfzsi9v0AaPlpI3xwkZneM%3D&amp;t=4d5b0474&amp;ps=13740610&amp;shp=a5d48078&amp;shcp=81f88b70&amp;idc=my" TargetMode="External"/><Relationship Id="rId263" Type="http://schemas.openxmlformats.org/officeDocument/2006/relationships/hyperlink" Target="https://v16-webapp-prime.tiktok.com/video/tos/useast2a/tos-useast2a-v-27dcd7/oMYZdAHMR0C6lNkFCdLIgXGBoBETeQexgTe3SW/?a=1988&amp;bti=ODszNWYuMDE6&amp;ch=0&amp;cr=0&amp;dr=0&amp;er=0&amp;lr=default&amp;cd=0%7C0%7C0%7C0&amp;br=250&amp;bt=125&amp;ft=GNDpcInz7Th4K-UPXq8Zmo&amp;mime_type=audio_mpeg&amp;qs=6&amp;rc=Z2U0ZzY3ZjU5Nzw2Mzo6O0Bpam03Z3E5cnJlNTMzNzU8M0AvYjMxMGM2Ni4xNTU2LS8vYSM2b2VeMmQ0Mi5hLS1kMTZzcw%3D%3D&amp;btag=e00090000&amp;expire=1763004258&amp;l=2025111310220790E74D25ACF9796D8D06&amp;ply_type=3&amp;policy=3&amp;signature=e9de863086a23b863c3bdf67051d26fc&amp;tk=7571587458748974088" TargetMode="External"/><Relationship Id="rId262"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261" Type="http://schemas.openxmlformats.org/officeDocument/2006/relationships/hyperlink" Target="https://www.tiktok.com/@psi.carolynedestefani/video/7255084792608247046" TargetMode="External"/><Relationship Id="rId268" Type="http://schemas.openxmlformats.org/officeDocument/2006/relationships/hyperlink" Target="https://sf16-ies-music-sg.tiktokcdn.com/obj/tos-alisg-ve-2774/o0nnfQn5YBE5rQDcvbZ1ttQBaZ1A9gwrdSCqek" TargetMode="External"/><Relationship Id="rId267" Type="http://schemas.openxmlformats.org/officeDocument/2006/relationships/hyperlink" Target="https://p77-sign-va.tiktokcdn.com/tos-maliva-avt-0068/0ba3a01936084552f91d998ee7010370~tplv-tiktokx-cropcenter:100:100.jpeg?dr=14579&amp;refresh_token=0f241cd9&amp;x-expires=1763172000&amp;x-signature=sdOigRzItGqs%2Fo3m%2BFb1O4cfhqc%3D&amp;t=4d5b0474&amp;ps=13740610&amp;shp=a5d48078&amp;shcp=81f88b70&amp;idc=my" TargetMode="External"/><Relationship Id="rId266" Type="http://schemas.openxmlformats.org/officeDocument/2006/relationships/hyperlink" Target="https://www.tiktok.com/@liberdade.mentall/video/7530778160170814725" TargetMode="External"/><Relationship Id="rId265" Type="http://schemas.openxmlformats.org/officeDocument/2006/relationships/hyperlink" Target="https://v16-webapp-prime.tiktok.com/video/tos/useast2a/tos-useast2a-ve-0068c003/oE9C5WiQsIBAz1QAjOuof8iN0CE4IiCgkGuVsA/?a=1988&amp;bti=ODszNWYuMDE6&amp;ch=0&amp;cr=3&amp;dr=0&amp;lr=all&amp;cd=0%7C0%7C0%7C&amp;cv=1&amp;br=844&amp;bt=422&amp;cs=0&amp;ds=3&amp;ft=-Csk_mrMPD12Nyhopd-UxFN2aY6e3wv25ycAp&amp;mime_type=video_mp4&amp;qs=0&amp;rc=N2RoZDVpNjg2NDM1Ojw3aUBpM2ZleW85cnNlNTMzNzczM0AzYjEwNV8zNWAxYzMuMjVeYSM0Zy0zMmRzMC5hLS1kMTZzcw%3D%3D&amp;btag=e00090000&amp;expire=1763173458&amp;l=2025111310220790E74D25ACF9796D8D06&amp;ply_type=2&amp;policy=2&amp;signature=c6632f40c19dc590cf8af4c1e95f1f03&amp;tk=tt_chain_token" TargetMode="External"/><Relationship Id="rId260" Type="http://schemas.openxmlformats.org/officeDocument/2006/relationships/hyperlink" Target="https://v16-webapp-prime.tiktok.com/video/tos/maliva/tos-maliva-ve-0068c801-us/oQLVDGHrQx3RAQ7WkYoiiS8tEeBvJzbPBJgAne/?a=1988&amp;bti=ODszNWYuMDE6&amp;ch=0&amp;cr=3&amp;dr=0&amp;lr=all&amp;cd=0%7C0%7C0%7C&amp;cv=1&amp;br=1536&amp;bt=768&amp;cs=0&amp;ds=3&amp;ft=-Csk_mrMPD12NOYopd-Uxtv5GY6e3wv252cAp&amp;mime_type=video_mp4&amp;qs=0&amp;rc=aWk5M2Y2Njs2aDtkOzplOkBpMzd1dGc6ZmxtbDMzNzczM0BfYzM1NWEyNWIxLzMxXjNiYSNkcjJscjRvbGtgLS1kMTZzcw%3D%3D&amp;btag=e00090000&amp;expire=1763173519&amp;l=20251113102306B19E1F5BC676BF8CC05E&amp;ply_type=2&amp;policy=2&amp;signature=48fb7b143c091c6c544ac060bba8471c&amp;tk=tt_chain_token" TargetMode="External"/><Relationship Id="rId259" Type="http://schemas.openxmlformats.org/officeDocument/2006/relationships/hyperlink" Target="https://p77-sg.tiktokcdn.com/aweme/720x720/tos-alisg-v-2774/47ccb712fc744e03b97c5b232ff279cc.jpeg" TargetMode="External"/><Relationship Id="rId258" Type="http://schemas.openxmlformats.org/officeDocument/2006/relationships/hyperlink" Target="https://sf16-ies-music-sg.tiktokcdn.com/obj/tos-alisg-ve-2774/36c45fbf26c943c0ab9627251afd960b" TargetMode="External"/><Relationship Id="rId253" Type="http://schemas.openxmlformats.org/officeDocument/2006/relationships/hyperlink" Target="https://v16-webapp-prime.tiktok.com/video/tos/alisg/tos-alisg-v-27dcd7/ooInkuAPfDuqUBUkw3TBaLACDFQd1QAIXgbeJS/?a=1988&amp;bti=ODszNWYuMDE6&amp;ch=0&amp;cr=0&amp;dr=0&amp;er=0&amp;lr=default&amp;cd=0%7C0%7C0%7C0&amp;br=250&amp;bt=125&amp;ds=5&amp;ft=GNDpcInz7ThX9-UPXq8Zmo&amp;mime_type=audio_mpeg&amp;qs=13&amp;rc=Mzs5NTo6ZnVkbDMzODU8NEBpMzs5NTo6ZnVkbDMzODU8NEAyX3BtcjRnNnFgLS1kMS1zYSMyX3BtcjRnNnFgLS1kMS1zcw%3D%3D&amp;btag=e00048000&amp;expire=1763004307&amp;l=20251113102424EE0F9FCD2CC2B68BE0E2&amp;ply_type=3&amp;policy=3&amp;signature=bb733098f6d11c5d07cc84f6703decda&amp;tk=7571587458748974088" TargetMode="External"/><Relationship Id="rId252" Type="http://schemas.openxmlformats.org/officeDocument/2006/relationships/hyperlink" Target="https://p16-sign-va.tiktokcdn.com/tos-maliva-avt-0068/32df75d3b89fa1e2fb023193ee39e5b7~tplv-tiktokx-cropcenter:100:100.jpeg?dr=14579&amp;refresh_token=88c740b2&amp;x-expires=1763172000&amp;x-signature=4RhXbb8Bh%2Fu4uFQaixG4Rj8KGJ0%3D&amp;t=4d5b0474&amp;ps=13740610&amp;shp=a5d48078&amp;shcp=81f88b70&amp;idc=my" TargetMode="External"/><Relationship Id="rId251" Type="http://schemas.openxmlformats.org/officeDocument/2006/relationships/hyperlink" Target="https://www.tiktok.com/@felcapensa/video/7530453564590705976" TargetMode="External"/><Relationship Id="rId250" Type="http://schemas.openxmlformats.org/officeDocument/2006/relationships/hyperlink" Target="https://v16-webapp-prime.tiktok.com/video/tos/useast2a/tos-useast2a-pve-0068/ocBLAimgkFCWiEYgQoED48fwIeqGQt8TBJBI5R/?a=1988&amp;bti=ODszNWYuMDE6&amp;ch=0&amp;cr=3&amp;dr=0&amp;lr=all&amp;cd=0%7C0%7C0%7C&amp;cv=1&amp;br=1128&amp;bt=564&amp;cs=0&amp;ds=3&amp;ft=-Csk_mrMPD12Nlcopd-UxB6vSY6e3wv25rcAp&amp;mime_type=video_mp4&amp;qs=0&amp;rc=NjRkODM2PGY4NGY1Mzw4N0BpM21zbHY5cmxyNTMzNzczM0AxMzU0NTI1X2AxYDIuMWEzYSNgbWM1MmQ0ai1hLS1kMTZzcw%3D%3D&amp;btag=e00090000&amp;expire=1763173611&amp;l=202511131024053FAEE14371AE44A729CC&amp;ply_type=2&amp;policy=2&amp;signature=160331bb231e9c5871008562fc35c960&amp;tk=tt_chain_token" TargetMode="External"/><Relationship Id="rId257" Type="http://schemas.openxmlformats.org/officeDocument/2006/relationships/hyperlink" Target="https://p16-sign-va.tiktokcdn.com/tos-maliva-avt-0068/00f6ab8b637b29865ceebe24b10fef4a~tplv-tiktokx-cropcenter:100:100.jpeg?dr=14579&amp;refresh_token=43ba8f66&amp;x-expires=1763172000&amp;x-signature=npx%2B4RzGAoTVUF%2BK%2BqStL%2B7wHcc%3D&amp;t=4d5b0474&amp;ps=13740610&amp;shp=a5d48078&amp;shcp=81f88b70&amp;idc=my" TargetMode="External"/><Relationship Id="rId256" Type="http://schemas.openxmlformats.org/officeDocument/2006/relationships/hyperlink" Target="https://www.tiktok.com/@cattarinalia/video/7270169135575878918" TargetMode="External"/><Relationship Id="rId255" Type="http://schemas.openxmlformats.org/officeDocument/2006/relationships/hyperlink" Target="https://v16-webapp-prime.tiktok.com/video/tos/maliva/tos-maliva-ve-0068c801-us/oUoNBhmoygU81zZPAzAtX5zcfQnIkENIGCDdk8/?a=1988&amp;bti=ODszNWYuMDE6&amp;ch=0&amp;cr=3&amp;dr=0&amp;lr=all&amp;cd=0%7C0%7C0%7C&amp;cv=1&amp;br=3480&amp;bt=1740&amp;cs=0&amp;ds=3&amp;ft=-Csk_mrMPD12N-copd-Ux7~2bY6e3wv25bcAp&amp;mime_type=video_mp4&amp;qs=0&amp;rc=ZTk3NmVlMzw6OmUzNDxpNkBpM20zamk6ZmZnbTMzNzczM0AwXjFhMGIwNmMxNF41NjRfYSNyMHFicjRnNGZgLS1kMTZzcw%3D%3D&amp;btag=e00090000&amp;expire=1763173527&amp;l=20251113102424EE0F9FCD2CC2B68BE0E2&amp;ply_type=2&amp;policy=2&amp;signature=b88267ee3f06cea7ee124a138644d4f1&amp;tk=tt_chain_token" TargetMode="External"/><Relationship Id="rId254" Type="http://schemas.openxmlformats.org/officeDocument/2006/relationships/hyperlink" Target="https://p16-sign-sg.tiktokcdn.com/tos-alisg-avt-0068/03f644960028713d5ef31bc8e00d4382~tplv-tiktokx-cropcenter:1080:1080.jpeg?dr=14579&amp;refresh_token=80c0bdb3&amp;x-expires=1763172000&amp;x-signature=mZ54uJ5Nkva5fo7aX5OhWE%2BC63o%3D&amp;t=4d5b0474&amp;ps=13740610&amp;shp=a5d48078&amp;shcp=81f88b70&amp;idc=my" TargetMode="External"/><Relationship Id="rId293" Type="http://schemas.openxmlformats.org/officeDocument/2006/relationships/hyperlink" Target="https://p16-sign-sg.tiktokcdn.com/tos-alisg-avt-0068/d313dc76b863f4309ac7cf1c4c6c2d84~tplv-tiktokx-cropcenter:1080:1080.jpeg?dr=14579&amp;refresh_token=9ccdc947&amp;x-expires=1763172000&amp;x-signature=hrb0gktgwJSR8x7UaLo5cSTKTnc%3D&amp;t=4d5b0474&amp;ps=13740610&amp;shp=a5d48078&amp;shcp=81f88b70&amp;idc=my" TargetMode="External"/><Relationship Id="rId292" Type="http://schemas.openxmlformats.org/officeDocument/2006/relationships/hyperlink" Target="https://v16-webapp-prime.tiktok.com/video/tos/alisg/tos-alisg-v-27dcd7/9daa3ecee66e471ab79c9529d474b7a5/?a=1988&amp;bti=ODszNWYuMDE6&amp;ch=0&amp;cr=0&amp;dr=0&amp;er=0&amp;lr=default&amp;cd=0%7C0%7C0%7C0&amp;br=252&amp;bt=126&amp;ds=5&amp;ft=GNDpcInz7ThRK-UPXq8Zmo&amp;mime_type=audio_mp4&amp;qs=13&amp;rc=anhuZ202ODY2NDMzODU8M0BpanhuZ202ODY2NDMzODU8M0BnMHJtMTRycHJgLS1kMTRzYSNnMHJtMTRycHJgLS1kMTRzcw%3D%3D&amp;btag=e00050000&amp;expire=1763004235&amp;l=202511131022245A53A91EDE77CC8B0DB4&amp;ply_type=3&amp;policy=3&amp;signature=215a07875c4b90922e896a849b74e222&amp;tk=7571587458748974088" TargetMode="External"/><Relationship Id="rId291" Type="http://schemas.openxmlformats.org/officeDocument/2006/relationships/hyperlink" Target="https://p77-sign-va.tiktokcdn.com/tos-maliva-avt-0068/2812903061ac3d553750149b334f78a1~tplv-tiktokx-cropcenter:100:100.jpeg?dr=14579&amp;refresh_token=36e99b43&amp;x-expires=1763172000&amp;x-signature=nbV4K8oVLqNQgBXscA%2BtKUBvI1k%3D&amp;t=4d5b0474&amp;ps=13740610&amp;shp=a5d48078&amp;shcp=81f88b70&amp;idc=my" TargetMode="External"/><Relationship Id="rId290" Type="http://schemas.openxmlformats.org/officeDocument/2006/relationships/hyperlink" Target="https://www.tiktok.com/@lorenatdahta/video/7243064239751957766" TargetMode="External"/><Relationship Id="rId286"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285" Type="http://schemas.openxmlformats.org/officeDocument/2006/relationships/hyperlink" Target="https://www.tiktok.com/@psi.walace/video/7530401479438486789" TargetMode="External"/><Relationship Id="rId284" Type="http://schemas.openxmlformats.org/officeDocument/2006/relationships/hyperlink" Target="https://v16-webapp-prime.tiktok.com/video/tos/useast2a/tos-useast2a-ve-0068c003/oMwgDfxbEEzJIMumBgoQFBZCQWRVA3gKUBfN8m/?a=1988&amp;bti=ODszNWYuMDE6&amp;ch=0&amp;cr=3&amp;dr=0&amp;lr=all&amp;cd=0%7C0%7C0%7C&amp;cv=1&amp;br=1560&amp;bt=780&amp;cs=0&amp;ds=3&amp;ft=-Csk_mrMPD12Nyhopd-UxFN2aY6e3wv25ycAp&amp;mime_type=video_mp4&amp;qs=0&amp;rc=O2k8NztpOWZpNjxmPDM5NkBpam1zZXI5cjlvNTMzNzczM0A1X2BjYmBfNmAxXjFgLl5jYSMvLTRkMmRzbC1hLS1kMTZzcw%3D%3D&amp;btag=e00090000&amp;expire=1763173400&amp;l=2025111310220790E74D25ACF9796D8D06&amp;ply_type=2&amp;policy=2&amp;signature=fa381ad89f08d726ac60115949d0f098&amp;tk=tt_chain_token" TargetMode="External"/><Relationship Id="rId283" Type="http://schemas.openxmlformats.org/officeDocument/2006/relationships/hyperlink" Target="https://p77-sign-va.tiktokcdn.com/tos-maliva-avt-0068/1b1ab6d65ae96fbe11db1ee88f115e37~tplv-tiktokx-cropcenter:1080:1080.jpeg?dr=14579&amp;refresh_token=d66e5223&amp;x-expires=1763172000&amp;x-signature=R6kR8LEXgLbL9Kvgxfo27gqUrfM%3D&amp;t=4d5b0474&amp;ps=13740610&amp;shp=a5d48078&amp;shcp=81f88b70&amp;idc=my" TargetMode="External"/><Relationship Id="rId289" Type="http://schemas.openxmlformats.org/officeDocument/2006/relationships/hyperlink" Target="https://v16-webapp-prime.tiktok.com/video/tos/alisg/tos-alisg-pve-0037c001/oIEIOkyAkhj3hUU6zgIUVQfioOQAHotGhPCMxn/?a=1988&amp;bti=ODszNWYuMDE6&amp;ch=0&amp;cr=3&amp;dr=0&amp;lr=all&amp;cd=0%7C0%7C0%7C&amp;cv=1&amp;br=1520&amp;bt=760&amp;cs=0&amp;ds=3&amp;ft=-Csk_mrMPD12N9Yopd-Ux315hY6e3wv25dcAp&amp;mime_type=video_mp4&amp;qs=0&amp;rc=Mzg4ZjY4ZTVoNzVpMzQ4NkBpM293djk6ZmQ7bDMzNzczM0AvYy4xMTAzNjUxYC4yMTJgYSNeNTVvcjRfYi9gLS1kMTZzcw%3D%3D&amp;btag=e00090000&amp;expire=1763173548&amp;l=2025111310232002E5437D242CEA8409F2&amp;ply_type=2&amp;policy=2&amp;signature=72dc9ad122f154084e8908be5e73fae3&amp;tk=tt_chain_token" TargetMode="External"/><Relationship Id="rId288"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287" Type="http://schemas.openxmlformats.org/officeDocument/2006/relationships/hyperlink" Target="https://v16-webapp-prime.tiktok.com/video/tos/useast2a/tos-useast2a-v-27dcd7/16794874abc04847b6efe93806f531f1/?a=1988&amp;bti=ODszNWYuMDE6&amp;ch=0&amp;cr=0&amp;dr=0&amp;er=0&amp;lr=default&amp;cd=0%7C0%7C0%7C0&amp;br=250&amp;bt=125&amp;ds=5&amp;ft=GNDpcInz7ThMV-UPXq8Zmo&amp;mime_type=audio_mpeg&amp;qs=13&amp;rc=ajpwcDw6Zjk7bDMzNzU8M0BpajpwcDw6Zjk7bDMzNzU8M0Brai1ncjRnZS9gLS1kMTZzYSNrai1ncjRnZS9gLS1kMTZzcw%3D%3D&amp;btag=e00050000&amp;expire=1763004348&amp;l=2025111310232002E5437D242CEA8409F2&amp;ply_type=3&amp;policy=3&amp;signature=aa80db4083d036665d8f9ce39ca223bb&amp;tk=7571587458748974088" TargetMode="External"/><Relationship Id="rId282" Type="http://schemas.openxmlformats.org/officeDocument/2006/relationships/hyperlink" Target="https://v16-webapp-prime.tiktok.com/video/tos/useast2a/tos-useast2a-v-27dcd7/oYkoGtXkBU4KKwk0Eg7AgNkOEiEZEAiBACAQfB/?a=1988&amp;bti=ODszNWYuMDE6&amp;ch=0&amp;cr=0&amp;dr=0&amp;er=0&amp;lr=default&amp;cd=0%7C0%7C0%7C0&amp;br=250&amp;bt=125&amp;ds=5&amp;ft=GNDpcInz7Th4K-UPXq8Zmo&amp;mime_type=audio_mpeg&amp;qs=13&amp;rc=amdqNGo5cmxvNTMzNzU8M0BpamdqNGo5cmxvNTMzNzU8M0Bxb2heMmRjbC1hLS1kMTZzYSNxb2heMmRjbC1hLS1kMTZzcw%3D%3D&amp;btag=e00050000&amp;expire=1763004200&amp;l=2025111310220790E74D25ACF9796D8D06&amp;ply_type=3&amp;policy=3&amp;signature=b20a7cc6e858b6586262750d59d4196d&amp;tk=7571587458748974088" TargetMode="External"/><Relationship Id="rId281"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280" Type="http://schemas.openxmlformats.org/officeDocument/2006/relationships/hyperlink" Target="https://www.tiktok.com/@psicologo.mateus/video/7238987840082791686" TargetMode="External"/><Relationship Id="rId275" Type="http://schemas.openxmlformats.org/officeDocument/2006/relationships/hyperlink" Target="https://www.tiktok.com/@mr.tdahzinho/video/7329878442994846982" TargetMode="External"/><Relationship Id="rId274" Type="http://schemas.openxmlformats.org/officeDocument/2006/relationships/hyperlink" Target="https://v16-webapp-prime.tiktok.com/video/tos/useast2a/tos-useast2a-ve-0068c002/osrFjrG4Li3X41jr1Gf4AEvR71xgRkAeAWeHfI/?a=1988&amp;bti=ODszNWYuMDE6&amp;ch=0&amp;cr=3&amp;dr=0&amp;lr=all&amp;cd=0%7C0%7C0%7C&amp;cv=1&amp;br=1858&amp;bt=929&amp;cs=0&amp;ds=3&amp;ft=-Csk_mrMPD12NDhopd-Ux2.2GY6e3wv25rcAp&amp;mime_type=video_mp4&amp;qs=0&amp;rc=Omc6aDg5ODw2PGVmNzU1OEBpM3drZnc5cnRpcDMzNzczM0BfLTRfYGMvXjMxMmJhLmJiYSNza2NjMmRzNXBgLS1kMTZzcw%3D%3D&amp;btag=e00090000&amp;expire=1763173432&amp;l=20251113102236D675DBC36011DA84E058&amp;ply_type=2&amp;policy=2&amp;signature=0c76c6e4984d8fe0b632111f42a64dea&amp;tk=tt_chain_token" TargetMode="External"/><Relationship Id="rId273" Type="http://schemas.openxmlformats.org/officeDocument/2006/relationships/hyperlink" Target="https://p16-sign-va.tiktokcdn.com/tos-maliva-avt-0068/431bee7578e519987635a70e5b8f7fb3~tplv-tiktokx-cropcenter:1080:1080.jpeg?dr=14579&amp;refresh_token=ac4d06e8&amp;x-expires=1763172000&amp;x-signature=aP9%2BeRL%2FhEk8DJIKtOd%2BOqyM4R4%3D&amp;t=4d5b0474&amp;ps=13740610&amp;shp=a5d48078&amp;shcp=81f88b70&amp;idc=my" TargetMode="External"/><Relationship Id="rId272" Type="http://schemas.openxmlformats.org/officeDocument/2006/relationships/hyperlink" Target="https://v16-webapp-prime.tiktok.com/video/tos/useast2a/tos-useast2a-v-27dcd7/oQEDluAoldkPUBfgNSWBwPACECJa4nAEUQfFJ9/?a=1988&amp;bti=ODszNWYuMDE6&amp;ch=0&amp;cr=0&amp;dr=0&amp;er=0&amp;lr=default&amp;cd=0%7C0%7C0%7C0&amp;br=250&amp;bt=125&amp;ds=5&amp;ft=GNDpcInz7ThzK-UPXq8Zmo&amp;mime_type=audio_mpeg&amp;qs=13&amp;rc=am10NW45cjxpcDMzNzU8M0Bpam10NW45cjxpcDMzNzU8M0BzY2U1MmQ0X3BgLS1kMTZzYSNzY2U1MmQ0X3BgLS1kMTZzcw%3D%3D&amp;btag=e00050000&amp;expire=1763004232&amp;l=20251113102236D675DBC36011DA84E058&amp;ply_type=3&amp;policy=3&amp;signature=aafcaeb0902fedad609c243a59cb9ee0&amp;tk=7571587458748974088" TargetMode="External"/><Relationship Id="rId279" Type="http://schemas.openxmlformats.org/officeDocument/2006/relationships/hyperlink" Target="https://v16-webapp-prime.tiktok.com/video/tos/maliva/tos-maliva-ve-0068c801-us/o8Ctwfa2A5vIbzCqEDDgFv76JchCOy8koQA2Ia/?a=1988&amp;bti=ODszNWYuMDE6&amp;ch=0&amp;cr=3&amp;dr=0&amp;lr=all&amp;cd=0%7C0%7C0%7C&amp;cv=1&amp;br=1600&amp;bt=800&amp;cs=0&amp;ds=3&amp;ft=-Csk_mrMPD12NDhopd-Ux2.2GY6e3wv25rcAp&amp;mime_type=video_mp4&amp;qs=0&amp;rc=M2Q6ZjhkZWdlO2VpZjM6M0BpamRkcDU6ZjUzazMzNzczM0A0YTJgYTA2NmExLzZjYi4vYSMuc2trcjRvbm9gLS1kMTZzcw%3D%3D&amp;btag=e00088000&amp;expire=1763173385&amp;l=20251113102236D675DBC36011DA84E058&amp;ply_type=2&amp;policy=2&amp;signature=297be81b335963edea48bd0b2576c925&amp;tk=tt_chain_token" TargetMode="External"/><Relationship Id="rId278" Type="http://schemas.openxmlformats.org/officeDocument/2006/relationships/hyperlink" Target="https://p77-sign-va.tiktokcdn.com/tos-maliva-avt-0068/ebc42eb348fcf29a09bcbf1c40faef80~tplv-tiktokx-cropcenter:1080:1080.jpeg?dr=14579&amp;refresh_token=df5311da&amp;x-expires=1763172000&amp;x-signature=%2B%2BNXAf50ujdFa9RF4gitz71stlU%3D&amp;t=4d5b0474&amp;ps=13740610&amp;shp=a5d48078&amp;shcp=81f88b70&amp;idc=my" TargetMode="External"/><Relationship Id="rId277" Type="http://schemas.openxmlformats.org/officeDocument/2006/relationships/hyperlink" Target="https://v16-webapp-prime.tiktok.com/video/tos/useast2a/tos-useast2a-v-27dcd7/5a25064863174c2a8c69404135700d23/?a=1988&amp;bti=ODszNWYuMDE6&amp;ch=0&amp;cr=0&amp;dr=0&amp;er=0&amp;lr=default&amp;cd=0%7C0%7C0%7C0&amp;br=250&amp;bt=125&amp;ds=5&amp;ft=GNDpcInz7ThzK-UPXq8Zmo&amp;mime_type=audio_mpeg&amp;qs=13&amp;rc=ajd0ajM6ZjszazMzNzU8M0Bpajd0ajM6ZjszazMzNzU8M0A1MnBscjQwbm9gLS1kMTZzYSM1MnBscjQwbm9gLS1kMTZzcw%3D%3D&amp;btag=e00048000&amp;expire=1763004185&amp;l=20251113102236D675DBC36011DA84E058&amp;ply_type=3&amp;policy=3&amp;signature=330ab73d34f416bebbe64b0dd46a135a&amp;tk=7571587458748974088" TargetMode="External"/><Relationship Id="rId276" Type="http://schemas.openxmlformats.org/officeDocument/2006/relationships/hyperlink" Target="https://p16-sign-va.tiktokcdn.com/tos-maliva-avt-0068/ebc42eb348fcf29a09bcbf1c40faef80~tplv-tiktokx-cropcenter:100:100.jpeg?dr=14579&amp;refresh_token=2bdf1117&amp;x-expires=1763172000&amp;x-signature=qWkWO%2FiOPhNCyjf1oP1wgqJ%2BWqE%3D&amp;t=4d5b0474&amp;ps=13740610&amp;shp=a5d48078&amp;shcp=81f88b70&amp;idc=my" TargetMode="External"/><Relationship Id="rId1455" Type="http://schemas.openxmlformats.org/officeDocument/2006/relationships/hyperlink" Target="https://www.tiktok.com/@liberdade.mentall/video/7485902148572630327" TargetMode="External"/><Relationship Id="rId1456" Type="http://schemas.openxmlformats.org/officeDocument/2006/relationships/hyperlink" Target="https://p16-sign-va.tiktokcdn.com/tos-maliva-avt-0068/442572ca019bbe9a4d50d8e7525339d6~tplv-tiktokx-cropcenter:100:100.jpeg?dr=14579&amp;refresh_token=7f5e1b0b&amp;x-expires=1763172000&amp;x-signature=ivd8IX3fL15rmvnCDoutUfX%2Br6I%3D&amp;t=4d5b0474&amp;ps=13740610&amp;shp=a5d48078&amp;shcp=81f88b70&amp;idc=my" TargetMode="External"/><Relationship Id="rId1457" Type="http://schemas.openxmlformats.org/officeDocument/2006/relationships/hyperlink" Target="https://v16-webapp-prime.tiktok.com/video/tos/useast2a/tos-useast2a-v-27dcd7/o8DEKALVhfBDOYAoEEFzkpQ3U9hAIGyCUgKtAF/?a=1988&amp;bti=ODszNWYuMDE6&amp;ch=0&amp;cr=0&amp;dr=0&amp;er=0&amp;lr=default&amp;cd=0%7C0%7C0%7C0&amp;br=250&amp;bt=125&amp;ds=5&amp;ft=GNDpcInz7ThYK-UPXq8Zmo&amp;mime_type=audio_mpeg&amp;qs=13&amp;rc=anc2bDk6Zm47bTMzNzU8M0Bpanc2bDk6Zm47bTMzNzU8M0BeY2YucjRvNS5gLS1kMTZzYSNeY2YucjRvNS5gLS1kMTZzcw%3D%3D&amp;btag=e00070000&amp;expire=1763004180&amp;l=20251113102250DC012CE1E68AEAAA2B86&amp;ply_type=3&amp;policy=3&amp;signature=a8ed380d6f487723b9158804ba5f2d3d&amp;tk=7571587458748974088" TargetMode="External"/><Relationship Id="rId1458" Type="http://schemas.openxmlformats.org/officeDocument/2006/relationships/hyperlink" Target="https://p16-sign-va.tiktokcdn.com/tos-maliva-avt-0068/442572ca019bbe9a4d50d8e7525339d6~tplv-tiktokx-cropcenter:1080:1080.jpeg?dr=14579&amp;refresh_token=f4168b84&amp;x-expires=1763172000&amp;x-signature=WxmHNHqSrAUhc78hZMdFJzbgiQM%3D&amp;t=4d5b0474&amp;ps=13740610&amp;shp=a5d48078&amp;shcp=81f88b70&amp;idc=my" TargetMode="External"/><Relationship Id="rId1459" Type="http://schemas.openxmlformats.org/officeDocument/2006/relationships/hyperlink" Target="https://v16-webapp-prime.tiktok.com/video/tos/maliva/tos-maliva-ve-0068c801-us/oIPMwOzmIfAIEwAYbChkXoCFgNUptIwCybd7og/?a=1988&amp;bti=ODszNWYuMDE6&amp;ch=0&amp;cr=3&amp;dr=0&amp;lr=all&amp;cd=0%7C0%7C0%7C&amp;br=212&amp;bt=106&amp;cs=0&amp;ds=3&amp;ft=-Csk_mrMPD12N_hopd-Ux315hY6e3wv25dcAp&amp;mime_type=video_mp4&amp;qs=0&amp;rc=Njs6NDdnMzRpOmVkZDo7ZkBpajMzcGc6Zm07bTMzNzczM0BeMWMuNjAwNjIxNDIxNGBfYSNhbXI0cjRfNS5gLS1kMTZzcw%3D%3D&amp;btag=e000b0000&amp;expire=1763173380&amp;l=20251113102250DC012CE1E68AEAAA2B86&amp;ply_type=2&amp;policy=2&amp;signature=8f6662daea31f07de2a4b458c2d4a562&amp;tk=tt_chain_token" TargetMode="External"/><Relationship Id="rId629" Type="http://schemas.openxmlformats.org/officeDocument/2006/relationships/hyperlink" Target="https://p16-sign-va.tiktokcdn.com/tos-maliva-avt-0068/f6c9ce0e62719a5be566968f7c4b37c5~tplv-tiktokx-cropcenter:1080:1080.jpeg?dr=14579&amp;refresh_token=38b3d5a2&amp;x-expires=1763172000&amp;x-signature=exznBosDlgmPq%2BjQiPdGFf%2BnYRM%3D&amp;t=4d5b0474&amp;ps=13740610&amp;shp=a5d48078&amp;shcp=81f88b70&amp;idc=my" TargetMode="External"/><Relationship Id="rId624" Type="http://schemas.openxmlformats.org/officeDocument/2006/relationships/hyperlink" Target="https://p16-sign-va.tiktokcdn.com/tos-maliva-avt-0068/409b8f094a519052398ae01ba95bf160~tplv-tiktokx-cropcenter:1080:1080.jpeg?dr=14579&amp;refresh_token=fac6ce42&amp;x-expires=1763172000&amp;x-signature=iy4tgtvdI62l3n9pTzcda5Gp1is%3D&amp;t=4d5b0474&amp;ps=13740610&amp;shp=a5d48078&amp;shcp=81f88b70&amp;idc=my" TargetMode="External"/><Relationship Id="rId623" Type="http://schemas.openxmlformats.org/officeDocument/2006/relationships/hyperlink" Target="https://v16-webapp-prime.tiktok.com/video/tos/useast2a/tos-useast2a-v-27dcd7/o4HIoAE4EFEae2AgITrDSvZoBxHAf9NY7C3fC9/?a=1988&amp;bti=ODszNWYuMDE6&amp;ch=0&amp;cr=0&amp;dr=0&amp;er=0&amp;lr=default&amp;cd=0%7C0%7C0%7C0&amp;br=250&amp;bt=125&amp;ds=5&amp;ft=GNDpcInz7ThPV-UPXq8Zmo&amp;mime_type=audio_mpeg&amp;qs=13&amp;rc=M3JtcHg5cnUzdTMzNzU8M0BpM3JtcHg5cnUzdTMzNzU8M0ByNXFqMmRzc2pgLS1kMTZzYSNyNXFqMmRzc2pgLS1kMTZzcw%3D%3D&amp;btag=e00048000&amp;expire=1763004239&amp;l=202511131023026989DBCE704A6574DC2E&amp;ply_type=3&amp;policy=3&amp;signature=4f5ca3c35aec9f6937e9101d1b36359d&amp;tk=7571587458748974088" TargetMode="External"/><Relationship Id="rId622" Type="http://schemas.openxmlformats.org/officeDocument/2006/relationships/hyperlink" Target="https://p16-sign-va.tiktokcdn.com/tos-maliva-avt-0068/409b8f094a519052398ae01ba95bf160~tplv-tiktokx-cropcenter:100:100.jpeg?dr=14579&amp;refresh_token=ec36672c&amp;x-expires=1763172000&amp;x-signature=vGem3E1Yo1z2nI84c29fX7XqBZo%3D&amp;t=4d5b0474&amp;ps=13740610&amp;shp=a5d48078&amp;shcp=81f88b70&amp;idc=my" TargetMode="External"/><Relationship Id="rId621" Type="http://schemas.openxmlformats.org/officeDocument/2006/relationships/hyperlink" Target="https://www.tiktok.com/@literalmente_autismo/video/7502914133822541111" TargetMode="External"/><Relationship Id="rId628" Type="http://schemas.openxmlformats.org/officeDocument/2006/relationships/hyperlink" Target="https://v16-webapp-prime.tiktok.com/video/tos/useast2a/tos-useast2a-v-27dcd7/4dc8724fd1e54499b833bb4a57c7b8aa/?a=1988&amp;bti=ODszNWYuMDE6&amp;ch=0&amp;cr=0&amp;dr=0&amp;er=0&amp;lr=default&amp;cd=0%7C0%7C0%7C0&amp;br=252&amp;bt=126&amp;ds=5&amp;ft=GNDpcInz7ThbK-UPXq8Zmo&amp;mime_type=audio_mpeg&amp;qs=13&amp;rc=amU0NDQ6ZjQ0ajMzNzU8M0BpamU0NDQ6ZjQ0ajMzNzU8M0BpMGc0cjRnbmpgLS1kMTZzYSNpMGc0cjRnbmpgLS1kMTZzcw%3D%3D&amp;btag=e00070000&amp;expire=1763004175&amp;l=202511131022442EE54DE47B86CCA867A8&amp;ply_type=3&amp;policy=3&amp;signature=e81891e7a8c8e0dcd9c688012154b50a&amp;tk=7571587458748974088" TargetMode="External"/><Relationship Id="rId627" Type="http://schemas.openxmlformats.org/officeDocument/2006/relationships/hyperlink" Target="https://p16-sign-va.tiktokcdn.com/tos-maliva-avt-0068/f6c9ce0e62719a5be566968f7c4b37c5~tplv-tiktokx-cropcenter:100:100.jpeg?dr=14579&amp;refresh_token=c3e90c36&amp;x-expires=1763172000&amp;x-signature=l8MI6yyw3ngvM1dtkMLp48303IA%3D&amp;t=4d5b0474&amp;ps=13740610&amp;shp=a5d48078&amp;shcp=81f88b70&amp;idc=my" TargetMode="External"/><Relationship Id="rId626" Type="http://schemas.openxmlformats.org/officeDocument/2006/relationships/hyperlink" Target="https://www.tiktok.com/@veigasaymon/video/7416320171314269446" TargetMode="External"/><Relationship Id="rId625" Type="http://schemas.openxmlformats.org/officeDocument/2006/relationships/hyperlink" Target="https://v16-webapp-prime.tiktok.com/video/tos/useast2a/tos-useast2a-ve-0068c001/owIqNmjIgCAefRfYANyghsmRSCL8AH2GB66DEs/?a=1988&amp;bti=ODszNWYuMDE6&amp;ch=0&amp;cr=3&amp;dr=0&amp;lr=all&amp;cd=0%7C0%7C0%7C&amp;cv=1&amp;br=2758&amp;bt=1379&amp;cs=0&amp;ds=3&amp;ft=-Csk_mrMPD12NdYopd-UxMTFGY6e3wv25LcAp&amp;mime_type=video_mp4&amp;qs=0&amp;rc=ZjZmZTNmMzZpOzhlNzs4OkBpampndHU5cjMzdTMzNzczM0BeXl80YWAyNjUxXmMvY2IuYSMyNS8xMmRjc2pgLS1kMTZzcw%3D%3D&amp;btag=e00088000&amp;expire=1763173439&amp;l=202511131023026989DBCE704A6574DC2E&amp;ply_type=2&amp;policy=2&amp;signature=4f1da8e6a3ba7019176040efca7ce090&amp;tk=tt_chain_token" TargetMode="External"/><Relationship Id="rId1450" Type="http://schemas.openxmlformats.org/officeDocument/2006/relationships/hyperlink" Target="https://www.tiktok.com/@meu.mundotdah/video/7449795601916562694" TargetMode="External"/><Relationship Id="rId620" Type="http://schemas.openxmlformats.org/officeDocument/2006/relationships/hyperlink" Target="https://v16-webapp-prime.tiktok.com/video/tos/useast2a/tos-useast2a-pve-0068/okQIfoyEKB7VMQRQuZIAoFEBRtDU5HgRQfMUNJ/?a=1988&amp;bti=ODszNWYuMDE6&amp;ch=0&amp;cr=3&amp;dr=0&amp;lr=all&amp;cd=0%7C0%7C0%7C&amp;cv=1&amp;br=2220&amp;bt=1110&amp;cs=0&amp;ds=3&amp;ft=-Csk_mrMPD12NH_opd-UxDTFGY6e3wv25ocAp&amp;mime_type=video_mp4&amp;qs=0&amp;rc=NjRlZDQ6OWg4aTw3OjVmZ0BpM3ZtNXE5cm91MzMzNzczM0AvLjYvNDReXmIxNS0vXjItYSNnZi4xMmQ0NWNhLS1kMTZzcw%3D%3D&amp;btag=e00090000&amp;expire=1763173658&amp;l=202511131026218DEF8CE7185C8F9E5844&amp;ply_type=2&amp;policy=2&amp;signature=872c4eb8b79aa5faf3adc18417aae624&amp;tk=tt_chain_token" TargetMode="External"/><Relationship Id="rId1451"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1452" Type="http://schemas.openxmlformats.org/officeDocument/2006/relationships/hyperlink" Target="https://v16-webapp-prime.tiktok.com/video/tos/useast2a/tos-useast2a-v-27dcd7/o8AAujIIICgPJyxefiLSGeHdIMjrEoEJGCoTAa/?a=1988&amp;bti=ODszNWYuMDE6&amp;ch=0&amp;cr=0&amp;dr=0&amp;er=0&amp;lr=default&amp;cd=0%7C0%7C0%7C0&amp;br=250&amp;bt=125&amp;ds=5&amp;ft=GNDpcInz7ThEY-UPXq8Zmo&amp;mime_type=audio_mpeg&amp;qs=13&amp;rc=M3FwOnA5cnNueTMzNzU8M0BpM3FwOnA5cnNueTMzNzU8M0AvcXJlMmQ0NWVgLS1kMTZzYSMvcXJlMmQ0NWVgLS1kMTZzcw%3D%3D&amp;btag=e00050000&amp;expire=1763004470&amp;l=202511131026218DEF8CE7185C8F9E5844&amp;ply_type=3&amp;policy=3&amp;signature=7a2a201d9a8a4a3dd93b477f61c10a7f&amp;tk=7571587458748974088" TargetMode="External"/><Relationship Id="rId1453"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1454" Type="http://schemas.openxmlformats.org/officeDocument/2006/relationships/hyperlink" Target="https://v16-webapp-prime.tiktok.com/video/tos/useast2a/tos-useast2a-ve-0068c002/oQP3AGuIAMQf9gef5inC8WQPgCSp7idEjoxkvA/?a=1988&amp;bti=ODszNWYuMDE6&amp;ch=0&amp;cr=3&amp;dr=0&amp;lr=all&amp;cd=0%7C0%7C0%7C&amp;cv=1&amp;br=1464&amp;bt=732&amp;cs=0&amp;ds=3&amp;ft=-Csk_mrMPD12NH_opd-UxDTFGY6e3wv25ocAp&amp;mime_type=video_mp4&amp;qs=0&amp;rc=OWk1ZWY7ZTVnNTw0ZTw5Z0BpamdsO2s5cjpueTMzNzczM0AxNjFiNDBhXzAxNF82Yy8tYSNvY3FwMmRjNWVgLS1kMTZzcw%3D%3D&amp;btag=e00090000&amp;expire=1763173670&amp;l=202511131026218DEF8CE7185C8F9E5844&amp;ply_type=2&amp;policy=2&amp;signature=607472b8c6ff2090003d1fe00a3d8049&amp;tk=tt_chain_token" TargetMode="External"/><Relationship Id="rId1444" Type="http://schemas.openxmlformats.org/officeDocument/2006/relationships/hyperlink" Target="https://v16-webapp-prime.tiktok.com/video/tos/maliva/tos-maliva-ve-0068c801-us/octLQyaph1GZAfgKcQkINogKI9TRAAzLCUSNIi/?a=1988&amp;bti=ODszNWYuMDE6&amp;ch=0&amp;cr=3&amp;dr=0&amp;lr=all&amp;cd=0%7C0%7C0%7C&amp;cv=1&amp;br=1746&amp;bt=873&amp;cs=0&amp;ds=3&amp;ft=-Csk_mrMPD12N4Yopd-Ux9T2bY6e3wv25IcAp&amp;mime_type=video_mp4&amp;qs=0&amp;rc=PGQ3aWRkNmQ8aGQ6ZjQ7aEBpMzVvcGU6ZnhsbDMzNzczM0A0NmFhXy8tNWMxNjYxLTIyYSMtbWlocjRnZDJgLS1kMTZzcw%3D%3D&amp;btag=e00098000&amp;expire=1763173557&amp;l=20251113102257F8D01E3BFCE9B2911856&amp;ply_type=2&amp;policy=2&amp;signature=010e40ba904ba6d4d2d493dd0fcd1a72&amp;tk=tt_chain_token" TargetMode="External"/><Relationship Id="rId1445" Type="http://schemas.openxmlformats.org/officeDocument/2006/relationships/hyperlink" Target="https://www.tiktok.com/@mirianester159/video/7244929574306401542" TargetMode="External"/><Relationship Id="rId1446" Type="http://schemas.openxmlformats.org/officeDocument/2006/relationships/hyperlink" Target="https://p77-sign-va.tiktokcdn.com/tos-maliva-avt-0068/38f87d0ccea25144d85cc3d0f2f08234~tplv-tiktokx-cropcenter:100:100.jpeg?dr=14579&amp;refresh_token=58a1885b&amp;x-expires=1763172000&amp;x-signature=tYlqf4RgD2XZY%2Bcsl%2BpyaEEWTzQ%3D&amp;t=4d5b0474&amp;ps=13740610&amp;shp=a5d48078&amp;shcp=81f88b70&amp;idc=my" TargetMode="External"/><Relationship Id="rId1447" Type="http://schemas.openxmlformats.org/officeDocument/2006/relationships/hyperlink" Target="https://v16-webapp-prime.tiktok.com/video/tos/useast2a/tos-useast2a-v-27dcd7/osVnYADAIBBEAD6GfUCQImAFFvFpd8Y2aYoJJf/?a=1988&amp;bti=ODszNWYuMDE6&amp;ch=0&amp;cr=0&amp;dr=0&amp;er=0&amp;lr=default&amp;cd=0%7C0%7C0%7C0&amp;br=250&amp;bt=125&amp;ds=5&amp;ft=GNDpcInz7ThRK-UPXq8Zmo&amp;mime_type=audio_mpeg&amp;qs=13&amp;rc=M2ZkNXc5cmRpdzMzNzU8M0BpM2ZkNXc5cmRpdzMzNzU8M0BjLWheMmRjb2VgLS1kMTZzYSNjLWheMmRjb2VgLS1kMTZzcw%3D%3D&amp;btag=e00048000&amp;expire=1763004195&amp;l=202511131022245A53A91EDE77CC8B0DB4&amp;ply_type=3&amp;policy=3&amp;signature=93e88fed0d2a54c68e5fd1cd108dc643&amp;tk=7571587458748974088" TargetMode="External"/><Relationship Id="rId1448" Type="http://schemas.openxmlformats.org/officeDocument/2006/relationships/hyperlink" Target="https://p16-sign-va.tiktokcdn.com/tos-maliva-avt-0068/38f87d0ccea25144d85cc3d0f2f08234~tplv-tiktokx-cropcenter:1080:1080.jpeg?dr=14579&amp;refresh_token=3b8ddf97&amp;x-expires=1763172000&amp;x-signature=rXL%2Bl5dsO5cFTDNsQEi1ALuSMhc%3D&amp;t=4d5b0474&amp;ps=13740610&amp;shp=a5d48078&amp;shcp=81f88b70&amp;idc=my" TargetMode="External"/><Relationship Id="rId1449" Type="http://schemas.openxmlformats.org/officeDocument/2006/relationships/hyperlink" Target="https://v16-webapp-prime.tiktok.com/video/tos/maliva/tos-maliva-v-85c255-us/o8JBYNcExvsDRleFQE3BUif2wNBFjEEnQIYEXm/?a=1988&amp;bti=ODszNWYuMDE6&amp;ch=0&amp;cr=3&amp;dr=0&amp;lr=all&amp;cd=0%7C0%7C0%7C&amp;br=1542&amp;bt=771&amp;cs=0&amp;ds=3&amp;ft=-Csk_mrMPD12NXhopd-UxB6vSY6e3wv25rcAp&amp;mime_type=video_mp4&amp;qs=0&amp;rc=NDVoNjs4OGloOTtpOzw2OkBpM2drcXg5cjtpdzQzNzM2M0BeNF8wNDQtXzAxNGM2Ly00YSNgYjJmMmRrb2VgLS1kLTZzcw%3D%3D&amp;btag=e00088000&amp;expire=1763173395&amp;l=202511131022245A53A91EDE77CC8B0DB4&amp;ply_type=2&amp;policy=2&amp;signature=427bb185e01fa74f1cd1b5ac516fcc8f&amp;tk=tt_chain_token" TargetMode="External"/><Relationship Id="rId619" Type="http://schemas.openxmlformats.org/officeDocument/2006/relationships/hyperlink" Target="https://p77-sg.tiktokcdn.com/aweme/720x720/tiktok-obj/default_clip_cover.png.jpeg" TargetMode="External"/><Relationship Id="rId618" Type="http://schemas.openxmlformats.org/officeDocument/2006/relationships/hyperlink" Target="https://sf16-ies-music-sg.tiktokcdn.com/obj/tos-alisg-ve-2774/c76c8c4d3de34b55b14bae3665d866bc" TargetMode="External"/><Relationship Id="rId613" Type="http://schemas.openxmlformats.org/officeDocument/2006/relationships/hyperlink" Target="https://v16-webapp-prime.tiktok.com/video/tos/useast2a/tos-useast2a-v-27dcd7/oYKH8OQwfCIl4VGCADJnxvBQCEBJFUAr14AIex/?a=1988&amp;bti=ODszNWYuMDE6&amp;ch=0&amp;cr=0&amp;dr=0&amp;er=0&amp;lr=default&amp;cd=0%7C0%7C0%7C0&amp;br=250&amp;bt=125&amp;ds=5&amp;ft=GNDpcInz7Tht9-UPXq8Zmo&amp;mime_type=audio_mpeg&amp;qs=13&amp;rc=MzpvaHI5cnlyeTMzNzU8M0BpMzpvaHI5cnlyeTMzNzU8M0AxXzFxMmQ0Xi5gLS1kMTZzYSMxXzFxMmQ0Xi5gLS1kMTZzcw%3D%3D&amp;btag=e00050000&amp;expire=1763004337&amp;l=20251113102438711CFC3830D7669110B2&amp;ply_type=3&amp;policy=3&amp;signature=812ec76f102b72e338a8bda85a41a1fd&amp;tk=7571587458748974088" TargetMode="External"/><Relationship Id="rId612" Type="http://schemas.openxmlformats.org/officeDocument/2006/relationships/hyperlink" Target="https://p16-sign-va.tiktokcdn.com/tos-maliva-avt-0068/54df30458f3a66aed8bbb7fbd484cf07~tplv-tiktokx-cropcenter:100:100.jpeg?dr=14579&amp;refresh_token=b75f83d5&amp;x-expires=1763172000&amp;x-signature=oBjuRoJSYS%2FYIFLD1sm%2BYHJLgjc%3D&amp;t=4d5b0474&amp;ps=13740610&amp;shp=a5d48078&amp;shcp=81f88b70&amp;idc=my" TargetMode="External"/><Relationship Id="rId611" Type="http://schemas.openxmlformats.org/officeDocument/2006/relationships/hyperlink" Target="https://www.tiktok.com/@lorenatdahta/video/7220801815019851013" TargetMode="External"/><Relationship Id="rId610" Type="http://schemas.openxmlformats.org/officeDocument/2006/relationships/hyperlink" Target="https://v16-webapp-prime.tiktok.com/video/tos/maliva/tos-maliva-ve-0068c801-us/oYFsK1ghrLImGU6yA1QEIcVfuNo1iACkgz6Aou/?a=1988&amp;bti=ODszNWYuMDE6&amp;ch=0&amp;cr=3&amp;dr=0&amp;lr=all&amp;cd=0%7C0%7C0%7C&amp;cv=1&amp;br=1434&amp;bt=717&amp;cs=0&amp;ds=3&amp;ft=I~da4oKyD12Nv5A0i.IxRIk_glBF-UjNSbopiX&amp;mime_type=video_mp4&amp;qs=0&amp;rc=OWQ4ZTQ5OThpOTdlNTpkOkBpMzlsbzg6ZjhxajMzNzczM0BgYDMzMC1iNmIxMDZgNGAvYSNxcWFucjRnLW5gLS1kMTZzcw%3D%3D&amp;btag=e00098000&amp;expire=1763173680&amp;l=20251113102410CE8B814C77F7637842AC&amp;ply_type=2&amp;policy=2&amp;signature=205c050ea6b5df327dca5326342d6f5b&amp;tk=tt_chain_token" TargetMode="External"/><Relationship Id="rId617" Type="http://schemas.openxmlformats.org/officeDocument/2006/relationships/hyperlink" Target="https://p77-sign-va.tiktokcdn.com/tos-maliva-avt-0068/76b855bfb2d655e73a48e3d4068f6f15~tplv-tiktokx-cropcenter:100:100.jpeg?dr=14579&amp;refresh_token=6bf443a7&amp;x-expires=1763172000&amp;x-signature=VpTleES2jls%2Fhcqenr7kNsu7bDE%3D&amp;t=4d5b0474&amp;ps=13740610&amp;shp=a5d48078&amp;shcp=81f88b70&amp;idc=my" TargetMode="External"/><Relationship Id="rId616" Type="http://schemas.openxmlformats.org/officeDocument/2006/relationships/hyperlink" Target="https://www.tiktok.com/@visaopsicologiaof/video/7476966422241922359" TargetMode="External"/><Relationship Id="rId615" Type="http://schemas.openxmlformats.org/officeDocument/2006/relationships/hyperlink" Target="https://v16-webapp-prime.tiktok.com/video/tos/useast2a/tos-useast2a-pve-0068/okDfciKvAYzIbByRELhgAHagzwiC4zikoQADIs/?a=1988&amp;bti=ODszNWYuMDE6&amp;ch=0&amp;cr=3&amp;dr=0&amp;lr=all&amp;cd=0%7C0%7C0%7C&amp;cv=1&amp;br=938&amp;bt=469&amp;cs=0&amp;ds=3&amp;ft=I~da4oKyD12NvnA0i.IxRTF_blBF-UjNSaopiX&amp;mime_type=video_mp4&amp;qs=0&amp;rc=OjQ8aDQ4NzxpO2c7NTtkZUBpams2dWw5cjNyeTMzNzczM0BgLi82MTAzXy0xMzUxXi1iYSMyMzEwMmRjXi5gLS1kMTZzcw%3D%3D&amp;btag=e00090000&amp;expire=1763173537&amp;l=20251113102438711CFC3830D7669110B2&amp;ply_type=2&amp;policy=2&amp;signature=50ab18b3ecfd190e7f008ddaffa7c118&amp;tk=tt_chain_token" TargetMode="External"/><Relationship Id="rId614" Type="http://schemas.openxmlformats.org/officeDocument/2006/relationships/hyperlink" Target="https://p77-sign-va.tiktokcdn.com/tos-maliva-avt-0068/54df30458f3a66aed8bbb7fbd484cf07~tplv-tiktokx-cropcenter:1080:1080.jpeg?dr=14579&amp;refresh_token=3fe86796&amp;x-expires=1763172000&amp;x-signature=7GALVOP7Ef6R%2FOz3mpQxxDUUJX4%3D&amp;t=4d5b0474&amp;ps=13740610&amp;shp=a5d48078&amp;shcp=81f88b70&amp;idc=my" TargetMode="External"/><Relationship Id="rId1440" Type="http://schemas.openxmlformats.org/officeDocument/2006/relationships/hyperlink" Target="https://www.tiktok.com/@cattarinalia/video/7252358453232995589" TargetMode="External"/><Relationship Id="rId1441" Type="http://schemas.openxmlformats.org/officeDocument/2006/relationships/hyperlink" Target="https://p16-sign-va.tiktokcdn.com/tos-maliva-avt-0068/f1534bc204da122a39cdc9daf5569d52~tplv-tiktokx-cropcenter:100:100.jpeg?dr=14579&amp;refresh_token=bcad303e&amp;x-expires=1763172000&amp;x-signature=rmo1PRJ4NFXsUm%2BfX67yfA85jYY%3D&amp;t=4d5b0474&amp;ps=13740610&amp;shp=a5d48078&amp;shcp=81f88b70&amp;idc=my" TargetMode="External"/><Relationship Id="rId1442" Type="http://schemas.openxmlformats.org/officeDocument/2006/relationships/hyperlink" Target="https://v16-webapp-prime.tiktok.com/video/tos/useast2a/tos-useast2a-v-27dcd7/9facb52535ba471cb4ab4bc71ad10931/?a=1988&amp;bti=ODszNWYuMDE6&amp;ch=0&amp;cr=0&amp;dr=0&amp;er=0&amp;lr=default&amp;cd=0%7C0%7C0%7C0&amp;br=250&amp;bt=125&amp;ds=5&amp;ft=GNDpcInz7ThlV-UPXq8Zmo&amp;mime_type=audio_mpeg&amp;qs=13&amp;rc=M246c2c6ZjlsbDMzNzU8M0BpM246c2c6ZjlsbDMzNzU8M0BhczAvcjRfZjJgLS1kMTZzYSNhczAvcjRfZjJgLS1kMTZzcw%3D%3D&amp;btag=e00058000&amp;expire=1763004357&amp;l=20251113102257F8D01E3BFCE9B2911856&amp;ply_type=3&amp;policy=3&amp;signature=d79d73ec9f3bef7c543b93c225e76331&amp;tk=7571587458748974088" TargetMode="External"/><Relationship Id="rId1443" Type="http://schemas.openxmlformats.org/officeDocument/2006/relationships/hyperlink" Target="https://p16-sign-va.tiktokcdn.com/tos-maliva-avt-0068/f1534bc204da122a39cdc9daf5569d52~tplv-tiktokx-cropcenter:1080:1080.jpeg?dr=14579&amp;refresh_token=73cffa73&amp;x-expires=1763172000&amp;x-signature=u9bfg27zVA4ba9FKbJVg3RBwps4%3D&amp;t=4d5b0474&amp;ps=13740610&amp;shp=a5d48078&amp;shcp=81f88b70&amp;idc=my" TargetMode="External"/><Relationship Id="rId1477" Type="http://schemas.openxmlformats.org/officeDocument/2006/relationships/hyperlink" Target="https://sf16-ies-music-sg.tiktokcdn.com/obj/tos-alisg-ve-2774/ooBrqo0B6lnEtkFZ1SYdPlCQ9SgfaW73eNdQdD" TargetMode="External"/><Relationship Id="rId1478" Type="http://schemas.openxmlformats.org/officeDocument/2006/relationships/hyperlink" Target="https://p77-sg.tiktokcdn.com/aweme/720x720/tos-alisg-v-2774/97ebf018613c4a8abbf9e55690232f42.jpeg" TargetMode="External"/><Relationship Id="rId1479" Type="http://schemas.openxmlformats.org/officeDocument/2006/relationships/hyperlink" Target="https://v16-webapp-prime.tiktok.com/video/tos/alisg/tos-alisg-ve-37c813-sg/oQGEvnsFQ9oEJGwBpEYDfBGR1sAFgrkQTetnIn/?a=1988&amp;bti=ODszNWYuMDE6&amp;ch=0&amp;cr=3&amp;dr=0&amp;lr=all&amp;cd=0%7C0%7C0%7C&amp;cv=1&amp;br=2546&amp;bt=1273&amp;cs=0&amp;ds=3&amp;ft=I~da4oKyD12NviW0i.IxRHqNglBF-UjNSqopiX&amp;mime_type=video_mp4&amp;qs=0&amp;rc=M2RlaDw2NDs6ZTwzPDY0Z0Bpam55Zm45cnU3eTMzNzczM0A2YF81NjE1NS0xMTAyYC1iYSNlYHJjMmQ0bi5gLS1kMTZzcw%3D%3D&amp;btag=e00090000&amp;expire=1763173411&amp;l=202511131022270BBA173F4561DD71A814&amp;ply_type=2&amp;policy=2&amp;signature=3232818595a192cb01a6e4cb530bbe19&amp;tk=tt_chain_token" TargetMode="External"/><Relationship Id="rId646" Type="http://schemas.openxmlformats.org/officeDocument/2006/relationships/hyperlink" Target="https://www.tiktok.com/@psi.jonathanorlandi/video/7509499852422647045" TargetMode="External"/><Relationship Id="rId645" Type="http://schemas.openxmlformats.org/officeDocument/2006/relationships/hyperlink" Target="https://v16-webapp-prime.tiktok.com/video/tos/useast2a/tos-useast2a-ve-0068c004/oc8TDQrAEIHEiB3BHU0SQEO3SUPoa2am87iGc/?a=1988&amp;bti=ODszNWYuMDE6&amp;ch=0&amp;cr=3&amp;dr=0&amp;lr=all&amp;cd=0%7C0%7C0%7C&amp;cv=1&amp;br=1398&amp;bt=699&amp;cs=0&amp;ds=3&amp;ft=I~da4oKyD12NvOA0i.IxRehNblBF-UjNSMopiX&amp;mime_type=video_mp4&amp;qs=0&amp;rc=ODc3OjYzODUzOzY5ZTg7ZUBpMzpydHY5cm1rMzMzNzczM0A1LjAvNDBiXjUxNDAzYDRiYSNyNW1vMmQ0aG9hLS1kMTZzcw%3D%3D&amp;btag=e00090000&amp;expire=1763173572&amp;l=20251113102443BFAC5C39F8934C8F8E6A&amp;ply_type=2&amp;policy=2&amp;signature=6dd23604c11430cd80df6267e0b8967d&amp;tk=tt_chain_token" TargetMode="External"/><Relationship Id="rId644" Type="http://schemas.openxmlformats.org/officeDocument/2006/relationships/hyperlink" Target="https://p77-sign-sg.tiktokcdn.com/tos-alisg-avt-0068/a922d44f129753f3f4657ae1aab09386~tplv-tiktokx-cropcenter:1080:1080.jpeg?dr=14579&amp;refresh_token=eea8c9d7&amp;x-expires=1763172000&amp;x-signature=gbJiSnz%2BZvxqNpbpAlTxR2pCe1w%3D&amp;t=4d5b0474&amp;ps=13740610&amp;shp=a5d48078&amp;shcp=81f88b70&amp;idc=my" TargetMode="External"/><Relationship Id="rId643" Type="http://schemas.openxmlformats.org/officeDocument/2006/relationships/hyperlink" Target="https://v16-webapp-prime.tiktok.com/video/tos/useast2a/tos-useast2a-v-27dcd7/oEYBpmDOFBQdNG3MXJNCCBtU8eRIMJQfQox2qE/?a=1988&amp;bti=ODszNWYuMDE6&amp;ch=0&amp;cr=0&amp;dr=0&amp;er=0&amp;lr=default&amp;cd=0%7C0%7C0%7C0&amp;br=250&amp;bt=125&amp;ft=GNDpcInz7Th29-UPXq8Zmo&amp;mime_type=audio_mpeg&amp;qs=6&amp;rc=aWY6NTtlNTRpODRlZzg0NkBpM2o5Z3g5cnFrMzMzNzU8M0AxY141MjQuXzQxLjBgYS4xYSMubmZyMmRjaG9hLS1kMTZzcw%3D%3D&amp;btag=e00090000&amp;expire=1763004372&amp;l=20251113102443BFAC5C39F8934C8F8E6A&amp;ply_type=3&amp;policy=3&amp;signature=a82e02c2d73c7f781afbe80fda2862f6&amp;tk=7571587458748974088" TargetMode="External"/><Relationship Id="rId649" Type="http://schemas.openxmlformats.org/officeDocument/2006/relationships/hyperlink" Target="https://p16-sign-va.tiktokcdn.com/tos-maliva-avt-0068/9af8e5d3e3c65d74ce05ff9527fc6b94~tplv-tiktokx-cropcenter:1080:1080.jpeg?dr=14579&amp;refresh_token=39819ece&amp;x-expires=1763172000&amp;x-signature=tDI1Hl%2B1XVAK5K%2B8eodkUS22m%2BY%3D&amp;t=4d5b0474&amp;ps=13740610&amp;shp=a5d48078&amp;shcp=81f88b70&amp;idc=my" TargetMode="External"/><Relationship Id="rId648" Type="http://schemas.openxmlformats.org/officeDocument/2006/relationships/hyperlink" Target="https://v16-webapp-prime.tiktok.com/video/tos/useast2a/tos-useast2a-v-27dcd7/oAvKTTZhSzQ9CUSAFpBOJqUl5iAA0B8iEEbAo/?a=1988&amp;bti=ODszNWYuMDE6&amp;ch=0&amp;cr=0&amp;dr=0&amp;er=0&amp;lr=default&amp;cd=0%7C0%7C0%7C0&amp;br=250&amp;bt=125&amp;ds=5&amp;ft=GNDpcInz7Th8Y-UPXq8Zmo&amp;mime_type=audio_mpeg&amp;qs=13&amp;rc=ajQ0NXc5cm04dzMzNzU8M0BpajQ0NXc5cm04dzMzNzU8M0BhNGE0MmRrNDJgLS1kMTZzYSNhNGE0MmRrNDJgLS1kMTZzcw%3D%3D&amp;btag=e00048000&amp;expire=1763004416&amp;l=20251113102607CD4452BD4E07158E0822&amp;ply_type=3&amp;policy=3&amp;signature=4699fa3c0c606be47055e82313e5adfc&amp;tk=7571587458748974088" TargetMode="External"/><Relationship Id="rId647" Type="http://schemas.openxmlformats.org/officeDocument/2006/relationships/hyperlink" Target="https://p77-sign-va.tiktokcdn.com/tos-maliva-avt-0068/9af8e5d3e3c65d74ce05ff9527fc6b94~tplv-tiktokx-cropcenter:100:100.jpeg?dr=14579&amp;refresh_token=048f9819&amp;x-expires=1763172000&amp;x-signature=I3BHDi%2FnnGJZxyWlIaHz8MZJbgI%3D&amp;t=4d5b0474&amp;ps=13740610&amp;shp=a5d48078&amp;shcp=81f88b70&amp;idc=my" TargetMode="External"/><Relationship Id="rId1470" Type="http://schemas.openxmlformats.org/officeDocument/2006/relationships/hyperlink" Target="https://www.tiktok.com/@bru.cast/video/7267188704001674502" TargetMode="External"/><Relationship Id="rId1471" Type="http://schemas.openxmlformats.org/officeDocument/2006/relationships/hyperlink" Target="https://p77-sign-va.tiktokcdn.com/tos-maliva-avt-0068/522bf3dd8faecdd86dec50c8be422f69~tplv-tiktokx-cropcenter:100:100.jpeg?dr=14579&amp;refresh_token=c9199c89&amp;x-expires=1763172000&amp;x-signature=XzQP8vo20h8Y27pBq%2BIa6uruo6g%3D&amp;t=4d5b0474&amp;ps=13740610&amp;shp=a5d48078&amp;shcp=81f88b70&amp;idc=my" TargetMode="External"/><Relationship Id="rId1472" Type="http://schemas.openxmlformats.org/officeDocument/2006/relationships/hyperlink" Target="https://sf16-ies-music-sg.tiktokcdn.com/obj/tos-alisg-ve-2774/oQNyjPsEWRzEFiohyMfjlIScAF5SUwACRmEoBB" TargetMode="External"/><Relationship Id="rId642"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1473" Type="http://schemas.openxmlformats.org/officeDocument/2006/relationships/hyperlink" Target="https://p77-sg.tiktokcdn.com/aweme/720x720/tos-alisg-v-2774/375adba142a84ec3809eb35e5a43d649.jpeg" TargetMode="External"/><Relationship Id="rId641" Type="http://schemas.openxmlformats.org/officeDocument/2006/relationships/hyperlink" Target="https://www.tiktok.com/@liberdade.mentall/video/7488864265013579014" TargetMode="External"/><Relationship Id="rId1474" Type="http://schemas.openxmlformats.org/officeDocument/2006/relationships/hyperlink" Target="https://v16-webapp-prime.tiktok.com/video/tos/alisg/tos-alisg-pve-0037c001/o4SZOkVgbABCAynxEfbsDiRQ08Re1sQKsJDgB0/?a=1988&amp;bti=ODszNWYuMDE6&amp;ch=0&amp;cr=3&amp;dr=0&amp;lr=all&amp;cd=0%7C0%7C0%7C&amp;br=1886&amp;bt=943&amp;cs=0&amp;ds=2&amp;ft=-Csk_mrMPD12N8hopd-Ux~v2bY6e3wv251cAp&amp;mime_type=video_mp4&amp;qs=0&amp;rc=ZDk8ZTw2ZGhoNGk3NDM3ZUBpajduZTk6ZnZvbDMzNzczM0BhXy4uMi9gNi4xXjYvNDVeYSNqajJgcjRfLm1gLS1kMTZzcw%3D%3D&amp;btag=e000b8000&amp;expire=1763173378&amp;l=202511131022406C90E0DA9AAAC98C2302&amp;ply_type=2&amp;policy=2&amp;signature=3b170eae1312b198e75be71b8719b0fb&amp;tk=tt_chain_token" TargetMode="External"/><Relationship Id="rId640" Type="http://schemas.openxmlformats.org/officeDocument/2006/relationships/hyperlink" Target="https://v16-webapp-prime.tiktok.com/video/tos/useast2a/tos-useast2a-ve-0068c001/oIA6IqByeL3PKJt7tatrkzGiQnwiICzTgEoAq2/?a=1988&amp;bti=ODszNWYuMDE6&amp;ch=0&amp;cr=3&amp;dr=0&amp;lr=all&amp;cd=0%7C0%7C0%7C&amp;cv=1&amp;br=1502&amp;bt=751&amp;cs=0&amp;ds=3&amp;ft=-Csk_mrMPD12Nw_opd-UxfeFaY6e3wv25HcAp&amp;mime_type=video_mp4&amp;qs=0&amp;rc=Mzc7ZTk4aWk8Ojc5NDZnOUBpanBnZGo5cjl2eTMzNzczM0BfNS80MTE0X18xYGJiYy5gYSNnNHNhMmQ0aGpgLS1kMTZzcw%3D%3D&amp;btag=e00090000&amp;expire=1763173710&amp;l=2025111310264583C2663DA446357263D7&amp;ply_type=2&amp;policy=2&amp;signature=ae4bcb8a398357dab0961bcb4bfadfd3&amp;tk=tt_chain_token" TargetMode="External"/><Relationship Id="rId1475" Type="http://schemas.openxmlformats.org/officeDocument/2006/relationships/hyperlink" Target="https://www.tiktok.com/@tdahmemes/video/7256233694829055237" TargetMode="External"/><Relationship Id="rId1476" Type="http://schemas.openxmlformats.org/officeDocument/2006/relationships/hyperlink" Target="https://p16-sign-va.tiktokcdn.com/tos-maliva-avt-0068/57bbd31068c1a08746eac939ea1daaf8~tplv-tiktokx-cropcenter:100:100.jpeg?dr=14579&amp;refresh_token=f689e2ea&amp;x-expires=1763172000&amp;x-signature=mdnoUY%2Bmv2mi6SRGtzmaL8yWE5o%3D&amp;t=4d5b0474&amp;ps=13740610&amp;shp=a5d48078&amp;shcp=81f88b70&amp;idc=my" TargetMode="External"/><Relationship Id="rId1466" Type="http://schemas.openxmlformats.org/officeDocument/2006/relationships/hyperlink" Target="https://p77-sign-va.tiktokcdn.com/tos-maliva-avt-0068/ab9e8e2664fe95dc4ce1070394adf3ea~tplv-tiktokx-cropcenter:100:100.jpeg?dr=14579&amp;refresh_token=d622767b&amp;x-expires=1763172000&amp;x-signature=wP8XnBQvn6ikHXtJKrdWXuILLWM%3D&amp;t=4d5b0474&amp;ps=13740610&amp;shp=a5d48078&amp;shcp=81f88b70&amp;idc=my" TargetMode="External"/><Relationship Id="rId1467" Type="http://schemas.openxmlformats.org/officeDocument/2006/relationships/hyperlink" Target="https://v16-webapp-prime.tiktok.com/video/tos/useast2a/tos-useast2a-v-27dcd7/o0CUxN82oQnpjaAC3UAQbGDHkoQOJs8BJAejeB/?a=1988&amp;bti=ODszNWYuMDE6&amp;ch=0&amp;cr=0&amp;dr=0&amp;er=0&amp;lr=default&amp;cd=0%7C0%7C0%7C0&amp;br=250&amp;bt=125&amp;ds=5&amp;ft=GNDpcInz7ThX9-UPXq8Zmo&amp;mime_type=audio_mpeg&amp;qs=13&amp;rc=anR2djk6ZnI2bTMzNzU8M0BpanR2djk6ZnI2bTMzNzU8M0AvbGFkcjRvb2FgLS1kMTZzYSMvbGFkcjRvb2FgLS1kMTZzcw%3D%3D&amp;btag=e00050000&amp;expire=1763004383&amp;l=20251113102424EE0F9FCD2CC2B68BE0E2&amp;ply_type=3&amp;policy=3&amp;signature=46cb4121fbbe20465cda18f0f03ea8c6&amp;tk=7571587458748974088" TargetMode="External"/><Relationship Id="rId1468" Type="http://schemas.openxmlformats.org/officeDocument/2006/relationships/hyperlink" Target="https://p16-sign-va.tiktokcdn.com/tos-maliva-avt-0068/ab9e8e2664fe95dc4ce1070394adf3ea~tplv-tiktokx-cropcenter:1080:1080.jpeg?dr=14579&amp;refresh_token=52a30f84&amp;x-expires=1763172000&amp;x-signature=qRgH0YIOo%2BtrJR%2FHDuJO9EGwjtk%3D&amp;t=4d5b0474&amp;ps=13740610&amp;shp=a5d48078&amp;shcp=81f88b70&amp;idc=my" TargetMode="External"/><Relationship Id="rId1469" Type="http://schemas.openxmlformats.org/officeDocument/2006/relationships/hyperlink" Target="https://v16-webapp-prime.tiktok.com/video/tos/alisg/tos-alisg-ve-37c813-sg/o4eeQzfPZEUfrRyziocgNFSBfA7ABLmloNYAft/?a=1988&amp;bti=ODszNWYuMDE6&amp;ch=0&amp;cr=3&amp;dr=0&amp;lr=all&amp;cd=0%7C0%7C0%7C&amp;cv=1&amp;br=1346&amp;bt=673&amp;cs=0&amp;ds=3&amp;ft=-Csk_mrMPD12N-copd-Ux7~2bY6e3wv25bcAp&amp;mime_type=video_mp4&amp;qs=0&amp;rc=PDhnOzw2PDxkNzZmNWQ0Z0BpM3lsdmY6ZmU2bTMzNzczM0AuM19hLy5gXl8xYjE0YF9hYSNscmFrcjRnbGFgLS1kMTZzcw%3D%3D&amp;btag=e00090000&amp;expire=1763173583&amp;l=20251113102424EE0F9FCD2CC2B68BE0E2&amp;ply_type=2&amp;policy=2&amp;signature=9a2ff309c122c1615ac5dc4501d65e24&amp;tk=tt_chain_token" TargetMode="External"/><Relationship Id="rId635" Type="http://schemas.openxmlformats.org/officeDocument/2006/relationships/hyperlink" Target="https://v16-webapp-prime.tiktok.com/video/tos/alisg/tos-alisg-pve-0037c001/ooxt5ng6QEh7etaBjhmEzDlB0IMtJDCfQAkFGR/?a=1988&amp;bti=ODszNWYuMDE6&amp;ch=0&amp;cr=3&amp;dr=0&amp;lr=all&amp;cd=0%7C0%7C0%7C&amp;cv=1&amp;br=2244&amp;bt=1122&amp;cs=0&amp;ds=3&amp;ft=-Csk_mrMPD12N9Yopd-Ux315hY6e3wv25dcAp&amp;mime_type=video_mp4&amp;qs=0&amp;rc=ZjgzaDw7PDw7aGQ3ZDM1aEBpampwOG05cnU2dTMzNzczM0BhNjExL18vNjMxNV4yLi8yYSNyMGttMmRjcDZgLS1kMTZzcw%3D%3D&amp;btag=e00090000&amp;expire=1763173491&amp;l=2025111310232002E5437D242CEA8409F2&amp;ply_type=2&amp;policy=2&amp;signature=caab60c5bec80c779305b011f3b5e6c2&amp;tk=tt_chain_token" TargetMode="External"/><Relationship Id="rId634" Type="http://schemas.openxmlformats.org/officeDocument/2006/relationships/hyperlink" Target="https://p16-sign-va.tiktokcdn.com/tos-maliva-avt-0068/18079c46c06ed7b354e537e2c8d28c00~tplv-tiktokx-cropcenter:1080:1080.jpeg?dr=14579&amp;refresh_token=bab2e0f3&amp;x-expires=1763172000&amp;x-signature=h8rPHhAtuXs0eO48jJNsvNnWTLI%3D&amp;t=4d5b0474&amp;ps=13740610&amp;shp=a5d48078&amp;shcp=81f88b70&amp;idc=my" TargetMode="External"/><Relationship Id="rId633" Type="http://schemas.openxmlformats.org/officeDocument/2006/relationships/hyperlink" Target="https://v16-webapp-prime.tiktok.com/video/tos/useast2a/tos-useast2a-v-27dcd7/o8CABUomJEGAAJkE6ASfBFP0DDYbBjE20YeUlQ/?a=1988&amp;bti=ODszNWYuMDE6&amp;ch=0&amp;cr=0&amp;dr=0&amp;er=0&amp;lr=default&amp;cd=0%7C0%7C0%7C0&amp;br=250&amp;bt=125&amp;ds=5&amp;ft=GNDpcInz7ThMV-UPXq8Zmo&amp;mime_type=audio_mpeg&amp;qs=13&amp;rc=M248ZnU5cjQ2dTMzNzU8M0BpM248ZnU5cjQ2dTMzNzU8M0AtcWktMmRrcTZgLS1kMTZzYSMtcWktMmRrcTZgLS1kMTZzcw%3D%3D&amp;btag=e00050000&amp;expire=1763004291&amp;l=2025111310232002E5437D242CEA8409F2&amp;ply_type=3&amp;policy=3&amp;signature=a6ac98d7c0d52cb983274926c44d3fd5&amp;tk=7571587458748974088" TargetMode="External"/><Relationship Id="rId632" Type="http://schemas.openxmlformats.org/officeDocument/2006/relationships/hyperlink" Target="https://p16-sign-va.tiktokcdn.com/tos-maliva-avt-0068/18079c46c06ed7b354e537e2c8d28c00~tplv-tiktokx-cropcenter:100:100.jpeg?dr=14579&amp;refresh_token=240acca7&amp;x-expires=1763172000&amp;x-signature=Jq0PduQj%2Bj2tJoEuli%2F71Hkc0%2F4%3D&amp;t=4d5b0474&amp;ps=13740610&amp;shp=a5d48078&amp;shcp=81f88b70&amp;idc=my" TargetMode="External"/><Relationship Id="rId639" Type="http://schemas.openxmlformats.org/officeDocument/2006/relationships/hyperlink" Target="https://p77-sign-va.tiktokcdn.com/tos-maliva-avt-0068/4949bb024f91e1b4bc8f1b459a9fc215~tplv-tiktokx-cropcenter:1080:1080.jpeg?dr=14579&amp;refresh_token=62e7cd27&amp;x-expires=1763172000&amp;x-signature=wulijpfzsi9v0AaPlpI3xwkZneM%3D&amp;t=4d5b0474&amp;ps=13740610&amp;shp=a5d48078&amp;shcp=81f88b70&amp;idc=my" TargetMode="External"/><Relationship Id="rId638" Type="http://schemas.openxmlformats.org/officeDocument/2006/relationships/hyperlink" Target="https://v16-webapp-prime.tiktok.com/video/tos/useast2a/tos-useast2a-v-27dcd7/oIn5nEgCHIAO9AfPEsAAEyEteToDRCCSeGPT2L/?a=1988&amp;bti=ODszNWYuMDE6&amp;ch=0&amp;cr=0&amp;dr=0&amp;er=0&amp;lr=default&amp;cd=0%7C0%7C0%7C0&amp;br=250&amp;bt=125&amp;ds=5&amp;ft=GNDpcInz7ThyY-UPXq8Zmo&amp;mime_type=audio_mpeg&amp;qs=13&amp;rc=M3hocW05cnZ2eTMzNzU8M0BpM3hocW05cnZ2eTMzNzU8M0BqMXBzMmRzaGpgLS1kMTZzYSNqMXBzMmRzaGpgLS1kMTZzcw%3D%3D&amp;btag=e00050000&amp;expire=1763004510&amp;l=2025111310264583C2663DA446357263D7&amp;ply_type=3&amp;policy=3&amp;signature=e531213f78d91e5df1d7de28d3c1c000&amp;tk=7571587458748974088" TargetMode="External"/><Relationship Id="rId637"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636" Type="http://schemas.openxmlformats.org/officeDocument/2006/relationships/hyperlink" Target="https://www.tiktok.com/@ritajorge59/video/7409053001735818502" TargetMode="External"/><Relationship Id="rId1460" Type="http://schemas.openxmlformats.org/officeDocument/2006/relationships/hyperlink" Target="https://www.tiktok.com/@abcdaaprendizagem/video/7260511013303356678" TargetMode="External"/><Relationship Id="rId1461" Type="http://schemas.openxmlformats.org/officeDocument/2006/relationships/hyperlink" Target="https://p77-sign-va.tiktokcdn.com/tos-maliva-avt-0068/987a16edb27b7a366cb5166e4d199e31~tplv-tiktokx-cropcenter:100:100.jpeg?dr=14579&amp;refresh_token=5a92103f&amp;x-expires=1763172000&amp;x-signature=N8HoQXkYw45ILtOSKpsxILDvxZ0%3D&amp;t=4d5b0474&amp;ps=13740610&amp;shp=a5d48078&amp;shcp=81f88b70&amp;idc=my" TargetMode="External"/><Relationship Id="rId631" Type="http://schemas.openxmlformats.org/officeDocument/2006/relationships/hyperlink" Target="https://www.tiktok.com/@taharibnn/video/7218176201934834950" TargetMode="External"/><Relationship Id="rId1462" Type="http://schemas.openxmlformats.org/officeDocument/2006/relationships/hyperlink" Target="https://v16-webapp-prime.tiktok.com/video/tos/alisg/tos-alisg-v-27dcd7/ooAvBiLhXiAAUKUAE0iB6vfLEAkTwV8cAoK8pE/?a=1988&amp;bti=ODszNWYuMDE6&amp;ch=0&amp;cr=0&amp;dr=0&amp;er=0&amp;lr=default&amp;cd=0%7C0%7C0%7C0&amp;br=250&amp;bt=125&amp;ds=5&amp;ft=GNDpcInz7ThX9-UPXq8Zmo&amp;mime_type=audio_mpeg&amp;qs=13&amp;rc=amVsOnQ5cng7NzMzODU8NEBpamVsOnQ5cng7NzMzODU8NEAyZjReMmRjaTJhLS1kMS1zYSMyZjReMmRjaTJhLS1kMS1zcw%3D%3D&amp;btag=e00060000&amp;expire=1763004565&amp;l=20251113102424EE0F9FCD2CC2B68BE0E2&amp;ply_type=3&amp;policy=3&amp;signature=d1a0c9a77fc489b0939a5c75d764ca6c&amp;tk=7571587458748974088" TargetMode="External"/><Relationship Id="rId630" Type="http://schemas.openxmlformats.org/officeDocument/2006/relationships/hyperlink" Target="https://v16-webapp-prime.tiktok.com/video/tos/maliva/tos-maliva-ve-0068c801-us/o0U0iQJnkBHM77teDBuBWAIgEBfsbLtQKREQYB/?a=1988&amp;bti=ODszNWYuMDE6&amp;ch=0&amp;cr=3&amp;dr=0&amp;lr=all&amp;cd=0%7C0%7C0%7C&amp;cv=1&amp;br=2360&amp;bt=1180&amp;cs=0&amp;ds=3&amp;ft=-Csk_mrMPD12Nzhopd-UxfeFaY6e3wv25HcAp&amp;mime_type=video_mp4&amp;qs=0&amp;rc=cnF8b2hsc2d3SkBwaHIxaDFybndmOTw5Ozc3Z2VnZTs6O2Y6aEBpM3V4NDk6ZjM0ajMzNzczM0BjRl5Nc3FePmJKYSNvYF90aHFmOiNfNi0vXl9fXmIxXl5iMjJfYSNeb181cjRfbmpgLS1kMTZzcw%3D%3D&amp;btag=e000b0000&amp;expire=1763173376&amp;l=202511131022442EE54DE47B86CCA867A8&amp;ply_type=2&amp;policy=2&amp;signature=18b1642093b504c442c42d6dcda27c66&amp;tk=tt_chain_token" TargetMode="External"/><Relationship Id="rId1463" Type="http://schemas.openxmlformats.org/officeDocument/2006/relationships/hyperlink" Target="https://p16-sign-va.tiktokcdn.com/tos-maliva-avt-0068/987a16edb27b7a366cb5166e4d199e31~tplv-tiktokx-cropcenter:1080:1080.jpeg?dr=14579&amp;refresh_token=7462f4a3&amp;x-expires=1763172000&amp;x-signature=iiBbGLQxu%2FsXJ0MFVmmAUVJIun4%3D&amp;t=4d5b0474&amp;ps=13740610&amp;shp=a5d48078&amp;shcp=81f88b70&amp;idc=my" TargetMode="External"/><Relationship Id="rId1464" Type="http://schemas.openxmlformats.org/officeDocument/2006/relationships/hyperlink" Target="https://v16-webapp-prime.tiktok.com/video/tos/alisg/tos-alisg-pve-0037c001/oIKlCmAUiAH8qc9QBYcEaiiiIQVByCPdPVEBE/?a=1988&amp;bti=ODszNWYuMDE6&amp;ch=0&amp;cr=3&amp;dr=0&amp;lr=all&amp;cd=0%7C0%7C0%7C&amp;br=2014&amp;bt=1007&amp;cs=0&amp;ds=3&amp;ft=-Csk_mrMPD12N-copd-Ux7~2bY6e3wv25bcAp&amp;mime_type=video_mp4&amp;qs=0&amp;rc=Zmk7PGU0NTtlZjM8aDppaUBpMzVvcXc5cjk7NzMzODczNEA1Mi8wLjMtNS0xLzUvY15eYSMuNjA0MmQ0YzJhLS1kMTFzcw%3D%3D&amp;btag=e000a0000&amp;expire=1763173766&amp;l=20251113102424EE0F9FCD2CC2B68BE0E2&amp;ply_type=2&amp;policy=2&amp;signature=f16235b392cb4226fba3faf5b9c090c4&amp;tk=tt_chain_token" TargetMode="External"/><Relationship Id="rId1465" Type="http://schemas.openxmlformats.org/officeDocument/2006/relationships/hyperlink" Target="https://www.tiktok.com/@gabriela.matsuda/video/7569014867475189010" TargetMode="External"/><Relationship Id="rId1411" Type="http://schemas.openxmlformats.org/officeDocument/2006/relationships/hyperlink" Target="https://p16-sign-va.tiktokcdn.com/tos-maliva-avt-0068/38f87d0ccea25144d85cc3d0f2f08234~tplv-tiktokx-cropcenter:100:100.jpeg?dr=14579&amp;refresh_token=7d8dc2f1&amp;x-expires=1763172000&amp;x-signature=P5h0WVaZUwXqcx00LxmUKBJXEpo%3D&amp;t=4d5b0474&amp;ps=13740610&amp;shp=a5d48078&amp;shcp=81f88b70&amp;idc=my" TargetMode="External"/><Relationship Id="rId1412" Type="http://schemas.openxmlformats.org/officeDocument/2006/relationships/hyperlink" Target="https://v16-webapp-prime.tiktok.com/video/tos/useast2a/tos-useast2a-v-27dcd7/ogdUhZADNFbyCBJA3n6HJWQAvEIvfBKDILt4fN/?a=1988&amp;bti=ODszNWYuMDE6&amp;ch=0&amp;cr=0&amp;dr=0&amp;er=0&amp;lr=default&amp;cd=0%7C0%7C0%7C0&amp;br=250&amp;bt=125&amp;ds=5&amp;ft=GNDpcInz7ThYK-UPXq8Zmo&amp;mime_type=audio_mpeg&amp;qs=13&amp;rc=ajhoZnc5cmt3dzMzNzU8M0BpajhoZnc5cmt3dzMzNzU8M0BgbzQwMmRza2ZgLS1kMTZzYSNgbzQwMmRza2ZgLS1kMTZzcw%3D%3D&amp;btag=e00070000&amp;expire=1763004184&amp;l=20251113102250DC012CE1E68AEAAA2B86&amp;ply_type=3&amp;policy=3&amp;signature=27777f17c71fb71936527687ab9d8287&amp;tk=7571587458748974088" TargetMode="External"/><Relationship Id="rId1413" Type="http://schemas.openxmlformats.org/officeDocument/2006/relationships/hyperlink" Target="https://p16-sign-va.tiktokcdn.com/tos-maliva-avt-0068/38f87d0ccea25144d85cc3d0f2f08234~tplv-tiktokx-cropcenter:1080:1080.jpeg?dr=14579&amp;refresh_token=3b8ddf97&amp;x-expires=1763172000&amp;x-signature=rXL%2Bl5dsO5cFTDNsQEi1ALuSMhc%3D&amp;t=4d5b0474&amp;ps=13740610&amp;shp=a5d48078&amp;shcp=81f88b70&amp;idc=my" TargetMode="External"/><Relationship Id="rId1414" Type="http://schemas.openxmlformats.org/officeDocument/2006/relationships/hyperlink" Target="https://webapp-va.tiktok.com/4bacafbc3d357744322487356d0df073/6917e408/kmoat/mps/logo/v3/r/p/v09300g40001ctitng7og65vf5m7r94g/5366f5c05d464a48801099411d62c28a/29e5b0d93281a75a2ca3d19221fc2796/mp4/main.mp4?a=1988&amp;bti=ODszNWYuMDE6&amp;ch=0&amp;cr=3&amp;dr=0&amp;lr=all&amp;cd=0%7C0%7C0%7C&amp;cv=1&amp;br=0&amp;bt=0&amp;cs=0&amp;ds=2&amp;ft=bLZkJmrMPD12N_hopd-Ux315hY6e3wv25dcAp&amp;mime_type=video_mp4&amp;qs=0&amp;rc=cnF8b2hsc2d3SkBwaHIxaDFybndmZDU1ZzQ8MzM7ZDlnMzg5NkBpajw6OHk5cmp3dzQzNzM2M0BjRl5Nc3FePmJKYSNvYF90aHFmOiM1YDMuMTYuNTExMTJgYzMyYSMxb2pjMmQ0a2ZgLS1kLTZzcw%3D%3D&amp;btag=e000b8000&amp;definition=480p&amp;du=15&amp;item_id=7450602754554350853&amp;l=20251113102250DC012CE1E68AEAAA2B86&amp;logo_type=tiktok_creator&amp;ply_type=2&amp;policy=eyJ2bSI6MiwiY2siOiJ0dF9jaGFpbl90b2tlbiJ9&amp;sign_params=item_id%2Cuser_text&amp;user_text=meu.mundotdah" TargetMode="External"/><Relationship Id="rId1415" Type="http://schemas.openxmlformats.org/officeDocument/2006/relationships/hyperlink" Target="https://www.tiktok.com/@meu.mundotdah/video/7450602754554350853" TargetMode="External"/><Relationship Id="rId1416" Type="http://schemas.openxmlformats.org/officeDocument/2006/relationships/hyperlink" Target="https://p77-sign-va.tiktokcdn.com/tos-maliva-avt-0068/ff50e4700c878bbc3dda21248cd221f7~tplv-tiktokx-cropcenter:100:100.jpeg?dr=14579&amp;refresh_token=67d6ddc2&amp;x-expires=1763172000&amp;x-signature=iyTueoGH2A8RR4xfGuJU82VrIaw%3D&amp;t=4d5b0474&amp;ps=13740610&amp;shp=a5d48078&amp;shcp=81f88b70&amp;idc=my" TargetMode="External"/><Relationship Id="rId1417" Type="http://schemas.openxmlformats.org/officeDocument/2006/relationships/hyperlink" Target="https://v16-webapp-prime.tiktok.com/video/tos/useast2a/tos-useast2a-v-27dcd7/ow0EfEDDSCECHFTzRECfhASogIRPCMeIAA9wET/?a=1988&amp;bti=ODszNWYuMDE6&amp;ch=0&amp;cr=0&amp;dr=0&amp;er=0&amp;lr=default&amp;cd=0%7C0%7C0%7C0&amp;br=250&amp;bt=125&amp;ds=5&amp;ft=GNDpcInz7ThRK-UPXq8Zmo&amp;mime_type=audio_mpeg&amp;qs=13&amp;rc=ajQ5NHg5cmlyNTMzNzU8M0BpajQ5NHg5cmlyNTMzNzU8M0AxZ2dlMmRzNTBhLS1kMTZzYSMxZ2dlMmRzNTBhLS1kMTZzcw%3D%3D&amp;btag=e00078000&amp;expire=1763004170&amp;l=202511131022245A53A91EDE77CC8B0DB4&amp;ply_type=3&amp;policy=3&amp;signature=0f61dec0be0e9ba9e1c436031faca44c&amp;tk=7571587458748974088" TargetMode="External"/><Relationship Id="rId1418" Type="http://schemas.openxmlformats.org/officeDocument/2006/relationships/hyperlink" Target="https://p16-sign-va.tiktokcdn.com/tos-maliva-avt-0068/ff50e4700c878bbc3dda21248cd221f7~tplv-tiktokx-cropcenter:1080:1080.jpeg?dr=14579&amp;refresh_token=e889bcd0&amp;x-expires=1763172000&amp;x-signature=zAImnB6rc%2BAycrCuqQHdska%2FbBc%3D&amp;t=4d5b0474&amp;ps=13740610&amp;shp=a5d48078&amp;shcp=81f88b70&amp;idc=my" TargetMode="External"/><Relationship Id="rId1419" Type="http://schemas.openxmlformats.org/officeDocument/2006/relationships/hyperlink" Target="https://v16-webapp-prime.tiktok.com/video/tos/useast2a/tos-useast2a-ve-0068c003/oQsPIfFDVYJEmCYHBQDAELh2RNoQ5BSEC4EJfi/?a=1988&amp;bti=ODszNWYuMDE6&amp;ch=0&amp;cr=3&amp;dr=0&amp;lr=all&amp;cd=0%7C0%7C0%7C&amp;cv=1&amp;br=1422&amp;bt=711&amp;cs=0&amp;ds=3&amp;ft=-Csk_mrMPD12NXhopd-UxB6vSY6e3wv25rcAp&amp;mime_type=video_mp4&amp;qs=0&amp;rc=ZzQ4ZjllOjU3ZzU2NWc6aEBpajRsZXU5cmtyNTMzNzczM0AwYTFeMmM2NWExMTQ0YS0tYSNjYy0wMmQ0MjBhLS1kMTZzcw%3D%3D&amp;btag=e000b8000&amp;expire=1763173370&amp;l=202511131022245A53A91EDE77CC8B0DB4&amp;ply_type=2&amp;policy=2&amp;signature=5a5bfbe2da261cd74151687b4bbdec3b&amp;tk=tt_chain_token" TargetMode="External"/><Relationship Id="rId1410" Type="http://schemas.openxmlformats.org/officeDocument/2006/relationships/hyperlink" Target="https://www.tiktok.com/@liberdade.mentall/video/7307417442958167301" TargetMode="External"/><Relationship Id="rId1400" Type="http://schemas.openxmlformats.org/officeDocument/2006/relationships/hyperlink" Target="https://www.tiktok.com/@psi.walace/video/7519918185961753861" TargetMode="External"/><Relationship Id="rId1401" Type="http://schemas.openxmlformats.org/officeDocument/2006/relationships/hyperlink" Target="https://p16-sign-va.tiktokcdn.com/tos-maliva-avt-0068/38f87d0ccea25144d85cc3d0f2f08234~tplv-tiktokx-cropcenter:100:100.jpeg?dr=14579&amp;refresh_token=7d8dc2f1&amp;x-expires=1763172000&amp;x-signature=P5h0WVaZUwXqcx00LxmUKBJXEpo%3D&amp;t=4d5b0474&amp;ps=13740610&amp;shp=a5d48078&amp;shcp=81f88b70&amp;idc=my" TargetMode="External"/><Relationship Id="rId1402" Type="http://schemas.openxmlformats.org/officeDocument/2006/relationships/hyperlink" Target="https://v16-webapp-prime.tiktok.com/video/tos/useast2a/tos-useast2a-v-27dcd7/oUFQRGofQe0QkpSE5IeM8FMmvfJWAABAAShdQZ/?a=1988&amp;bti=ODszNWYuMDE6&amp;ch=0&amp;cr=0&amp;dr=0&amp;er=0&amp;lr=default&amp;cd=0%7C0%7C0%7C0&amp;br=250&amp;bt=125&amp;ds=5&amp;ft=GNDpcInz7ThYK-UPXq8Zmo&amp;mime_type=audio_mpeg&amp;qs=13&amp;rc=amhrc3A5cnkzdzMzNzU8M0Bpamhrc3A5cnkzdzMzNzU8M0A2aGZnMmRzYTZgLS1kMTZzYSM2aGZnMmRzYTZgLS1kMTZzcw%3D%3D&amp;btag=e00070000&amp;expire=1763004181&amp;l=20251113102250DC012CE1E68AEAAA2B86&amp;ply_type=3&amp;policy=3&amp;signature=0c5da71bc0d50ad76f05f10bf9757286&amp;tk=7571587458748974088" TargetMode="External"/><Relationship Id="rId1403" Type="http://schemas.openxmlformats.org/officeDocument/2006/relationships/hyperlink" Target="https://p16-sign-va.tiktokcdn.com/tos-maliva-avt-0068/38f87d0ccea25144d85cc3d0f2f08234~tplv-tiktokx-cropcenter:1080:1080.jpeg?dr=14579&amp;refresh_token=3b8ddf97&amp;x-expires=1763172000&amp;x-signature=rXL%2Bl5dsO5cFTDNsQEi1ALuSMhc%3D&amp;t=4d5b0474&amp;ps=13740610&amp;shp=a5d48078&amp;shcp=81f88b70&amp;idc=my" TargetMode="External"/><Relationship Id="rId1404" Type="http://schemas.openxmlformats.org/officeDocument/2006/relationships/hyperlink" Target="https://webapp-va.tiktok.com/7658b9662e5d3994a42c3045d5f37730/6917e405/kmoat/mps/logo/v3/r/p/v09300g40001ct90dtvog65ro99tm1dg/9c16a9ac867746929d08c934722821f7/ab5c0556c5ec8d24d2f341d1ff28f27e/mp4/main.mp4?a=1988&amp;bti=ODszNWYuMDE6&amp;ch=0&amp;cr=3&amp;dr=0&amp;lr=all&amp;cd=0%7C0%7C0%7C&amp;cv=1&amp;br=0&amp;bt=0&amp;cs=0&amp;ds=3&amp;ft=bLZkJmrMPD12N_hopd-Ux315hY6e3wv25dcAp&amp;mime_type=video_mp4&amp;qs=0&amp;rc=cnF8b2hsc2d3SkBwaHIxaDFybndmOjQ7NTc8O2c1OTo5Zjw5ZkBpajR3PHU5cnczdzQzNzM2M0BjRl5Nc3FePmJKYSNvYF90aHFmOiNjLy80MGAtNjYxNDVeXi42YSNhajZsMmRzYTZgLS1kLTZzcw%3D%3D&amp;btag=e000b0000&amp;definition=720p&amp;du=12&amp;item_id=7445020773682580792&amp;l=20251113102250DC012CE1E68AEAAA2B86&amp;logo_type=tiktok_creator&amp;ply_type=2&amp;policy=eyJ2bSI6MiwiY2siOiJ0dF9jaGFpbl90b2tlbiJ9&amp;sign_params=item_id%2Cuser_text&amp;user_text=meu.mundotdah" TargetMode="External"/><Relationship Id="rId1405" Type="http://schemas.openxmlformats.org/officeDocument/2006/relationships/hyperlink" Target="https://www.tiktok.com/@meu.mundotdah/video/7445020773682580792" TargetMode="External"/><Relationship Id="rId1406"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1407" Type="http://schemas.openxmlformats.org/officeDocument/2006/relationships/hyperlink" Target="https://v16-webapp-prime.tiktok.com/video/tos/alisg/tos-alisg-v-27dcd7/oownHIAzbEglUBNgLnTIDECs4DDg8oevpeewwX/?a=1988&amp;bti=ODszNWYuMDE6&amp;ch=0&amp;cr=0&amp;dr=0&amp;er=0&amp;lr=default&amp;cd=0%7C0%7C0%7C0&amp;br=250&amp;bt=125&amp;ft=GNDpcInz7ThPV-UPXq8Zmo&amp;mime_type=audio_mpeg&amp;qs=6&amp;rc=aDVpaTRmNWYzMzhpZGY4OUBpamxqNzg6Zmt4azMzODU8NEAxMzAvNC1jNV8xNjJiYTI1YSMyazRxcjRvLWdgLS1kMS1zcw%3D%3D&amp;btag=e000b0000&amp;expire=1763004194&amp;l=202511131023026989DBCE704A6574DC2E&amp;ply_type=3&amp;policy=3&amp;signature=aea3433c88e1e944bf348510a2486ebe&amp;tk=7571587458748974088" TargetMode="External"/><Relationship Id="rId1408" Type="http://schemas.openxmlformats.org/officeDocument/2006/relationships/hyperlink" Target="https://p16-sign-sg.tiktokcdn.com/tos-alisg-avt-0068/40420f4b96af63fb39f7867a9d0b82bf~tplv-tiktokx-cropcenter:1080:1080.jpeg?dr=14579&amp;refresh_token=42c38a95&amp;x-expires=1763172000&amp;x-signature=x8MI4aNB6tT7BrFPDmVRA27CiS8%3D&amp;t=4d5b0474&amp;ps=13740610&amp;shp=a5d48078&amp;shcp=81f88b70&amp;idc=my" TargetMode="External"/><Relationship Id="rId1409" Type="http://schemas.openxmlformats.org/officeDocument/2006/relationships/hyperlink" Target="https://v16-webapp-prime.tiktok.com/video/tos/maliva/tos-maliva-ve-0068c801-us/oIl1J7pexBCISAFR6BFERXwGdaENQBflLjKDEg/?a=1988&amp;bti=ODszNWYuMDE6&amp;ch=0&amp;cr=3&amp;dr=0&amp;lr=all&amp;cd=0%7C0%7C0%7C&amp;cv=1&amp;br=470&amp;bt=235&amp;cs=0&amp;ds=3&amp;ft=-Csk_mrMPD12NdYopd-UxMTFGY6e3wv25LcAp&amp;mime_type=video_mp4&amp;qs=0&amp;rc=NDhnMzQ7OGY8NWc2Njs7ZEBpMzVuN3c5cnZsbzMzNzczM0AtNTAxNjYzNWExLzQ1NWM1YSNkXjZjMmRjZWhgLS1kMTZzcw%3D%3D&amp;btag=e000b0000&amp;expire=1763173396&amp;l=202511131023026989DBCE704A6574DC2E&amp;ply_type=2&amp;policy=2&amp;signature=5e5518e3c40d84f9d2b6dab54c678887&amp;tk=tt_chain_token" TargetMode="External"/><Relationship Id="rId1433" Type="http://schemas.openxmlformats.org/officeDocument/2006/relationships/hyperlink" Target="https://p16-sg.tiktokcdn.com/aweme/720x720/tos-alisg-v-2774/oEEDUsAyVwCm2iDH7PCB3wAWozAfB6lA2EAdiU.jpeg" TargetMode="External"/><Relationship Id="rId1434" Type="http://schemas.openxmlformats.org/officeDocument/2006/relationships/hyperlink" Target="https://v16-webapp-prime.tiktok.com/video/tos/useast2a/tos-useast2a-pve-0068/okeX1ec1BOOZQgIgERKLcIQGCsfStIja7VSAEC/?a=1988&amp;bti=ODszNWYuMDE6&amp;ch=0&amp;cr=3&amp;dr=0&amp;lr=all&amp;cd=0%7C0%7C0%7C&amp;cv=1&amp;br=254&amp;bt=127&amp;cs=0&amp;ds=3&amp;ft=-Csk_mrMPD12N_hopd-Ux315hY6e3wv25dcAp&amp;mime_type=video_mp4&amp;qs=0&amp;rc=cnF8b2hsc2d3SkBwaHIxaDFybndmNzNmZDdlPDtkaTczZWRkM0Bpamlram85cnQzdzMzNzczM0BjRl5Nc3FePmJKYSNvYF90aHFmOiNiXjI2MWItNjYxMDZgYTFiYSMxMnBfMmRzcmFgLS1kMTZzcw%3D%3D&amp;btag=e000b0000&amp;expire=1763173380&amp;l=20251113102250DC012CE1E68AEAAA2B86&amp;ply_type=2&amp;policy=2&amp;signature=bca866fdd369393b9c671f5a9b244b94&amp;tk=tt_chain_token" TargetMode="External"/><Relationship Id="rId1435" Type="http://schemas.openxmlformats.org/officeDocument/2006/relationships/hyperlink" Target="https://www.tiktok.com/@psiqviva/video/7447282791315721477" TargetMode="External"/><Relationship Id="rId1436" Type="http://schemas.openxmlformats.org/officeDocument/2006/relationships/hyperlink" Target="https://p77-sign-va.tiktokcdn.com/tos-maliva-avt-0068/32df75d3b89fa1e2fb023193ee39e5b7~tplv-tiktokx-cropcenter:100:100.jpeg?dr=14579&amp;refresh_token=27ace12f&amp;x-expires=1763172000&amp;x-signature=z7vNydj54ET%2Fz6m9qMVRdASna%2Bw%3D&amp;t=4d5b0474&amp;ps=13740610&amp;shp=a5d48078&amp;shcp=81f88b70&amp;idc=my" TargetMode="External"/><Relationship Id="rId1437" Type="http://schemas.openxmlformats.org/officeDocument/2006/relationships/hyperlink" Target="https://v16-webapp-prime.tiktok.com/video/tos/useast2a/tos-useast2a-v-27dcd7/okasSzU9EBkQhEAKFgjhLAbACECEoAf0ylAb4N/?a=1988&amp;bti=ODszNWYuMDE6&amp;ch=0&amp;cr=0&amp;dr=0&amp;er=0&amp;lr=default&amp;cd=0%7C0%7C0%7C0&amp;br=250&amp;bt=125&amp;ds=5&amp;ft=GNDpcInz7ThN9-UPXq8Zmo&amp;mime_type=audio_mpeg&amp;qs=13&amp;rc=MzdqcDg6ZjtybDMzNzU8M0BpMzdqcDg6ZjtybDMzNzU8M0BwLXJkcjQwb2ZgLS1kMTZzYSNwLXJkcjQwb2ZgLS1kMTZzcw%3D%3D&amp;btag=e00050000&amp;expire=1763004310&amp;l=20251113102410CE8B814C77F7637842AC&amp;ply_type=3&amp;policy=3&amp;signature=174eb68e0ea0d7caabae971631e98178&amp;tk=7571587458748974088" TargetMode="External"/><Relationship Id="rId1438" Type="http://schemas.openxmlformats.org/officeDocument/2006/relationships/hyperlink" Target="https://p16-sign-va.tiktokcdn.com/tos-maliva-avt-0068/32df75d3b89fa1e2fb023193ee39e5b7~tplv-tiktokx-cropcenter:1080:1080.jpeg?dr=14579&amp;refresh_token=623b7885&amp;x-expires=1763172000&amp;x-signature=MPLOSI7ZMmZjb%2Br%2Bolddiur%2FFPI%3D&amp;t=4d5b0474&amp;ps=13740610&amp;shp=a5d48078&amp;shcp=81f88b70&amp;idc=my" TargetMode="External"/><Relationship Id="rId1439" Type="http://schemas.openxmlformats.org/officeDocument/2006/relationships/hyperlink" Target="https://v16-webapp-prime.tiktok.com/video/tos/maliva/tos-maliva-ve-68c800-us/os1xBjbnJQX4RmkETjAeqphYlBaAPDzf8gDUIQ/?a=1988&amp;bti=ODszNWYuMDE6&amp;ch=0&amp;cr=3&amp;dr=0&amp;lr=all&amp;cd=0%7C0%7C0%7C&amp;cv=1&amp;br=540&amp;bt=270&amp;cs=0&amp;ds=3&amp;ft=I~da4oKyD12Nv5A0i.IxRIk_glBF-UjNSbopiX&amp;mime_type=video_mp4&amp;qs=0&amp;rc=M2dlPGQ4ZjY3NDw5OWg2OEBpajs2aTg6Zm9ybDMzNzczM0BiMTAuMC9jXzIxLjMtYTBjYSNjZzBucjQwbWZgLS1kMTZzcw%3D%3D&amp;btag=e00090000&amp;expire=1763173510&amp;l=20251113102410CE8B814C77F7637842AC&amp;ply_type=2&amp;policy=2&amp;signature=be38ccf26ded79bad7edf4cbfff88b6f&amp;tk=tt_chain_token" TargetMode="External"/><Relationship Id="rId609"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608" Type="http://schemas.openxmlformats.org/officeDocument/2006/relationships/hyperlink" Target="https://v16-webapp-prime.tiktok.com/video/tos/useast2a/tos-useast2a-v-27dcd7/5988a7d8c769421581ce8932ae573d87/?a=1988&amp;bti=ODszNWYuMDE6&amp;ch=0&amp;cr=0&amp;dr=0&amp;er=0&amp;lr=default&amp;cd=0%7C0%7C0%7C0&amp;br=250&amp;bt=125&amp;ds=5&amp;ft=GNDpcInz7ThN9-UPXq8Zmo&amp;mime_type=audio_mpeg&amp;qs=13&amp;rc=amtvdGY6ZjRxajMzNzU8M0BpamtvdGY6ZjRxajMzNzU8M0AuX3BrcjRvL25gLS1kMTZzYSMuX3BrcjRvL25gLS1kMTZzcw%3D%3D&amp;btag=e00058000&amp;expire=1763004480&amp;l=20251113102410CE8B814C77F7637842AC&amp;ply_type=3&amp;policy=3&amp;signature=ee56ec804a248e313c01c8590c890111&amp;tk=7571587458748974088" TargetMode="External"/><Relationship Id="rId607"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602"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601" Type="http://schemas.openxmlformats.org/officeDocument/2006/relationships/hyperlink" Target="https://www.tiktok.com/@lorenatdahta/video/7395732807986728198" TargetMode="External"/><Relationship Id="rId600" Type="http://schemas.openxmlformats.org/officeDocument/2006/relationships/hyperlink" Target="https://v16-webapp-prime.tiktok.com/video/tos/useast2a/tos-useast2a-ve-0068c003/o0jCaLCbgo7e19RTeNZgA4SF4SQIIUfBGd1xIg/?a=1988&amp;bti=ODszNWYuMDE6&amp;ch=0&amp;cr=3&amp;dr=0&amp;lr=all&amp;cd=0%7C0%7C0%7C&amp;br=2210&amp;bt=1105&amp;cs=0&amp;ds=3&amp;ft=-Csk_mrMPD12Nx_opd-Ux7o2aY6e3wv25zcAp&amp;mime_type=video_mp4&amp;qs=0&amp;rc=NTc0OmQ4ZjY4OGgzMzk1OUBpM3I0aHk5cnFodDMzNzczM0AtX2IuMl80Xi0xMl8tNjRgYSNyc2ReMmRjamVgLS1kMTZzcw%3D%3D&amp;btag=e00090000&amp;expire=1763173643&amp;l=20251113102607CD4452BD4E07158E0822&amp;ply_type=2&amp;policy=2&amp;signature=ba509197a7737ec5d0c077b474028293&amp;tk=tt_chain_token" TargetMode="External"/><Relationship Id="rId606" Type="http://schemas.openxmlformats.org/officeDocument/2006/relationships/hyperlink" Target="https://www.tiktok.com/@liberdade.mentall/video/7487402562518371639" TargetMode="External"/><Relationship Id="rId605" Type="http://schemas.openxmlformats.org/officeDocument/2006/relationships/hyperlink" Target="https://v16-webapp-prime.tiktok.com/video/tos/useast2a/tos-useast2a-ve-0068c003/ok6MlgPcPnCzeSqRC0FEgDDeI0AjF5oIQPfQST/?a=1988&amp;bti=ODszNWYuMDE6&amp;ch=0&amp;cr=3&amp;dr=0&amp;lr=all&amp;cd=0%7C0%7C0%7C&amp;cv=1&amp;br=1300&amp;bt=650&amp;cs=0&amp;ds=3&amp;ft=-Csk_mrMPD12N3Yopd-Ux24FaY6e3wv25WcAp&amp;mime_type=video_mp4&amp;qs=0&amp;rc=aGhoaGVnMzc6ODc4Mzg0Z0BpMzxueXQ5cnk8eTMzNzczM0AwYTEuM2BiNmAxYTEtLV4zYSM0ZF4wMmRrZGhgLS1kMTZzcw%3D%3D&amp;btag=e00090000&amp;expire=1763173534&amp;l=2025111310235634FE9FF2AA2A079ADB1D&amp;ply_type=2&amp;policy=2&amp;signature=be1842b7a13ad71266c2dd8bb8002bfc&amp;tk=tt_chain_token" TargetMode="External"/><Relationship Id="rId604"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603" Type="http://schemas.openxmlformats.org/officeDocument/2006/relationships/hyperlink" Target="https://v16-webapp-prime.tiktok.com/video/tos/useast2a/tos-useast2a-v-27dcd7/oMAEoi4AEZ8EzBmvoAGeDiQSuBJBKAiCkdoguj/?a=1988&amp;bti=ODszNWYuMDE6&amp;ch=0&amp;cr=0&amp;dr=0&amp;er=0&amp;lr=default&amp;cd=0%7C0%7C0%7C0&amp;br=250&amp;bt=125&amp;ds=5&amp;ft=GNDpcInz7ThiV-UPXq8Zmo&amp;mime_type=audio_mpeg&amp;qs=13&amp;rc=MzRsdXI5cjU8eTMzNzU8M0BpMzRsdXI5cjU8eTMzNzU8M0AwM2tiMmRrZmhgLS1kMTZzYSMwM2tiMmRrZmhgLS1kMTZzcw%3D%3D&amp;btag=e00050000&amp;expire=1763004334&amp;l=2025111310235634FE9FF2AA2A079ADB1D&amp;ply_type=3&amp;policy=3&amp;signature=4ac886eee48f11683d8c8d9e3ccb2fb3&amp;tk=7571587458748974088" TargetMode="External"/><Relationship Id="rId1430" Type="http://schemas.openxmlformats.org/officeDocument/2006/relationships/hyperlink" Target="https://www.tiktok.com/@curioschannel/video/7239365452550458629" TargetMode="External"/><Relationship Id="rId1431" Type="http://schemas.openxmlformats.org/officeDocument/2006/relationships/hyperlink" Target="https://p16-sign-va.tiktokcdn.com/tos-maliva-avt-0068/6ef179c2b7509aa593d24920992f7fa9~tplv-tiktokx-cropcenter:100:100.jpeg?dr=14579&amp;refresh_token=3b027e42&amp;x-expires=1763172000&amp;x-signature=Pm6t7qhRjm53BOe6E8eKj7UoWMk%3D&amp;t=4d5b0474&amp;ps=13740610&amp;shp=a5d48078&amp;shcp=81f88b70&amp;idc=my" TargetMode="External"/><Relationship Id="rId1432" Type="http://schemas.openxmlformats.org/officeDocument/2006/relationships/hyperlink" Target="https://sf16-ies-music-sg.tiktokcdn.com/obj/tos-alisg-ve-2774/osIWuiyQ2AtRAHBiMfjUIoLwip1jPtxSbRvBs6" TargetMode="External"/><Relationship Id="rId1422" Type="http://schemas.openxmlformats.org/officeDocument/2006/relationships/hyperlink" Target="https://v16-webapp-prime.tiktok.com/video/tos/useast2a/tos-useast2a-v-27dcd7/6987e0f9fd334913a9bfd6d7458c461e/?a=1988&amp;bti=ODszNWYuMDE6&amp;ch=0&amp;cr=0&amp;dr=0&amp;er=0&amp;lr=default&amp;cd=0%7C0%7C0%7C0&amp;br=250&amp;bt=125&amp;ds=5&amp;ft=GNDpcInz7ThaK-UPXq8Zmo&amp;mime_type=audio_mpeg&amp;qs=13&amp;rc=M3Y2c2c6ZjpqajMzNzU8M0BpM3Y2c2c6ZjpqajMzNzU8M0AtLWJscjRnYGFgLS1kMTZzYSMtLWJscjRnYGFgLS1kMTZzcw%3D%3D&amp;btag=e00070000&amp;expire=1763004170&amp;l=202511131022406C90E0DA9AAAC98C2302&amp;ply_type=3&amp;policy=3&amp;signature=184070903998890cf437f30c12777ac1&amp;tk=7571587458748974088" TargetMode="External"/><Relationship Id="rId1423" Type="http://schemas.openxmlformats.org/officeDocument/2006/relationships/hyperlink" Target="https://p16-sign-va.tiktokcdn.com/tos-maliva-avt-0068/1c71a0228c5bad5aadc1820539c510e2~tplv-tiktokx-cropcenter:1080:1080.jpeg?dr=14579&amp;refresh_token=0843dda9&amp;x-expires=1763172000&amp;x-signature=OzQLAMQttCR5AqUWComJGMJC6To%3D&amp;t=4d5b0474&amp;ps=13740610&amp;shp=a5d48078&amp;shcp=81f88b70&amp;idc=my" TargetMode="External"/><Relationship Id="rId1424" Type="http://schemas.openxmlformats.org/officeDocument/2006/relationships/hyperlink" Target="https://webapp-va.tiktok.com/e96ef8a06b71e06a5a85b07359b834c7/6917e3fd/kmoat/mps/logo/v3/r/p/v09025g40000cgdgbpbc77u1ua86letg/0a4045493a034991baa15301d9bcc16e/ee34f06a81d3dd14365b49ca1a51860d/mp4/main.mp4?a=1988&amp;bti=ODszNWYuMDE6&amp;ch=0&amp;cr=3&amp;dr=0&amp;lr=all&amp;cd=0%7C0%7C0%7C&amp;cv=1&amp;br=0&amp;bt=0&amp;cs=0&amp;ds=3&amp;ft=bLZkJmrMPD12N8hopd-Ux~v2bY6e3wv251cAp&amp;mime_type=video_mp4&amp;qs=0&amp;rc=cnF8b2hsc2d3SkBwaHIxaDFybndmaDRmPDQ2NGQ0PDZkPDgzZEBpamg5ZDQ6ZnNqajMzNzgzM0BjRl5Nc3FePmJKYSNvYF90aHFmOiMzYF9hLTJeXzYxLTAxMTEtYSNxaTVycjRfX2FgLS1kLzZzcw%3D%3D&amp;btag=e000b0000&amp;definition=720p&amp;du=14&amp;item_id=7213365891981921541&amp;l=202511131022406C90E0DA9AAAC98C2302&amp;logo_type=tiktok_creator&amp;ply_type=2&amp;policy=eyJ2bSI6MiwiY2siOiJ0dF9jaGFpbl90b2tlbiJ9&amp;sign_params=item_id%2Cuser_text&amp;user_text=tdahabitos" TargetMode="External"/><Relationship Id="rId1425" Type="http://schemas.openxmlformats.org/officeDocument/2006/relationships/hyperlink" Target="https://www.tiktok.com/@tdahabitos/video/7213365891981921541" TargetMode="External"/><Relationship Id="rId1426" Type="http://schemas.openxmlformats.org/officeDocument/2006/relationships/hyperlink" Target="https://p16-sign-va.tiktokcdn.com/tos-maliva-avt-0068/7b4941000daaed5c4f1e1574673c1aca~tplv-tiktokx-cropcenter:100:100.jpeg?dr=14579&amp;refresh_token=85223190&amp;x-expires=1763172000&amp;x-signature=9MlZotOX1qqFzk8giFeHFE7EL6o%3D&amp;t=4d5b0474&amp;ps=13740610&amp;shp=a5d48078&amp;shcp=81f88b70&amp;idc=my" TargetMode="External"/><Relationship Id="rId1427" Type="http://schemas.openxmlformats.org/officeDocument/2006/relationships/hyperlink" Target="https://v16-webapp-prime.tiktok.com/video/tos/useast2a/tos-useast2a-v-27dcd7/fa5f63eef6434e6fad8c28e428cabaf7/?a=1988&amp;bti=ODszNWYuMDE6&amp;ch=0&amp;cr=0&amp;dr=0&amp;er=0&amp;lr=default&amp;cd=0%7C0%7C0%7C0&amp;br=250&amp;bt=125&amp;ds=5&amp;ft=GNDpcInz7ThYK-UPXq8Zmo&amp;mime_type=audio_mpeg&amp;qs=13&amp;rc=amtpcjQ6ZjVwazMzNzU8M0BpamtpcjQ6ZjVwazMzNzU8M0A2LWg0cjRvNm9gLS1kMTZzYSM2LWg0cjRvNm9gLS1kMTZzcw%3D%3D&amp;btag=e00048000&amp;expire=1763004199&amp;l=20251113102250DC012CE1E68AEAAA2B86&amp;ply_type=3&amp;policy=3&amp;signature=2d251683c58c3d4e30d268a33f984d98&amp;tk=7571587458748974088" TargetMode="External"/><Relationship Id="rId1428" Type="http://schemas.openxmlformats.org/officeDocument/2006/relationships/hyperlink" Target="https://p16-sign-va.tiktokcdn.com/tos-maliva-avt-0068/7b4941000daaed5c4f1e1574673c1aca~tplv-tiktokx-cropcenter:1080:1080.jpeg?dr=14579&amp;refresh_token=7df9b504&amp;x-expires=1763172000&amp;x-signature=XABWT4z6AIEMirajHKVBYNZxgYI%3D&amp;t=4d5b0474&amp;ps=13740610&amp;shp=a5d48078&amp;shcp=81f88b70&amp;idc=my" TargetMode="External"/><Relationship Id="rId1429" Type="http://schemas.openxmlformats.org/officeDocument/2006/relationships/hyperlink" Target="https://v16-webapp-prime.tiktok.com/video/tos/useast2a/tos-useast2a-ve-0068c001/okEVgbsrnBkke8OEGfDX2tQXdBJIqGAQY4RSKA/?a=1988&amp;bti=ODszNWYuMDE6&amp;ch=0&amp;cr=3&amp;dr=0&amp;lr=all&amp;cd=0%7C0%7C0%7C&amp;cv=1&amp;br=1194&amp;bt=597&amp;cs=0&amp;ds=3&amp;ft=-Csk_mrMPD12N_hopd-Ux315hY6e3wv25dcAp&amp;mime_type=video_mp4&amp;qs=0&amp;rc=NzRoO2ZnaTllOjw1Nzs4ZEBpanB2b2Y6ZjRwazMzNzczM0A0NF4zYDIwNi0xXl9gL2IuYSMuLWBecjRnMm9gLS1kMTZzcw%3D%3D&amp;btag=e00088000&amp;expire=1763173399&amp;l=20251113102250DC012CE1E68AEAAA2B86&amp;ply_type=2&amp;policy=2&amp;signature=51f4bef49c5487c1e4469d8e15b42a65&amp;tk=tt_chain_token" TargetMode="External"/><Relationship Id="rId1420" Type="http://schemas.openxmlformats.org/officeDocument/2006/relationships/hyperlink" Target="https://www.tiktok.com/@larissac.psicologa/video/7532134283587112198" TargetMode="External"/><Relationship Id="rId1421" Type="http://schemas.openxmlformats.org/officeDocument/2006/relationships/hyperlink" Target="https://p77-sign-va.tiktokcdn.com/tos-maliva-avt-0068/1c71a0228c5bad5aadc1820539c510e2~tplv-tiktokx-cropcenter:100:100.jpeg?dr=14579&amp;refresh_token=8e97cb7f&amp;x-expires=1763172000&amp;x-signature=hUSSDUOGRE12BHS2bDdfXoFSrJg%3D&amp;t=4d5b0474&amp;ps=13740610&amp;shp=a5d48078&amp;shcp=81f88b70&amp;idc=my" TargetMode="External"/><Relationship Id="rId1059" Type="http://schemas.openxmlformats.org/officeDocument/2006/relationships/hyperlink" Target="https://v16-webapp-prime.tiktok.com/video/tos/useast2a/tos-useast2a-v-27dcd7/ogC6DfsJUEbJIRIhoAlQFBwSIeJRCAoOHBKAaZ/?a=1988&amp;bti=ODszNWYuMDE6&amp;ch=0&amp;cr=0&amp;dr=0&amp;er=0&amp;lr=default&amp;cd=0%7C0%7C0%7C0&amp;br=250&amp;bt=125&amp;ds=5&amp;ft=GNDpcInz7Th_9-UPXq8Zmo&amp;mime_type=audio_mpeg&amp;qs=13&amp;rc=ampvOXA5cjVrcTMzNzU8M0BpampvOXA5cjVrcTMzNzU8M0BnNS5eMmRjLmhgLS1kMTZzYSNnNS5eMmRjLmhgLS1kMTZzcw%3D%3D&amp;btag=e00050000&amp;expire=1763004343&amp;l=202511131024200DA040BB1F5C349EC2B1&amp;ply_type=3&amp;policy=3&amp;signature=31d2e0e62475aad1f9b37b3a121bd37d&amp;tk=7571587458748974088" TargetMode="External"/><Relationship Id="rId228" Type="http://schemas.openxmlformats.org/officeDocument/2006/relationships/hyperlink" Target="https://v16-webapp-prime.tiktok.com/video/tos/useast2a/tos-useast2a-v-27dcd7/oQNLJFDUJUBbvEA27kEEyjBC2AyQPkAepmfr9C/?a=1988&amp;bti=ODszNWYuMDE6&amp;ch=0&amp;cr=0&amp;dr=0&amp;er=0&amp;lr=default&amp;cd=0%7C0%7C0%7C0&amp;br=250&amp;bt=125&amp;ds=5&amp;ft=GNDpcInz7Thm9-UPXq8Zmo&amp;mime_type=audio_mpeg&amp;qs=13&amp;rc=and1eGw5cndndDMzNzU8M0Bpand1eGw5cndndDMzNzU8M0BpMl8vMmRrZWZgLS1kMTZzYSNpMl8vMmRrZWZgLS1kMTZzcw%3D%3D&amp;btag=e00048000&amp;expire=1763004331&amp;l=202511131024337F554789EF0D09A1F8EB&amp;ply_type=3&amp;policy=3&amp;signature=9b0bb61f659ec198808212266701f4e1&amp;tk=7571587458748974088" TargetMode="External"/><Relationship Id="rId227" Type="http://schemas.openxmlformats.org/officeDocument/2006/relationships/hyperlink" Target="https://p16-sign-va.tiktokcdn.com/tos-maliva-avt-0068/a4433909479e5c5be1a6365400a4bf02~tplv-tiktokx-cropcenter:100:100.jpeg?dr=14579&amp;refresh_token=75096bd2&amp;x-expires=1763172000&amp;x-signature=1PYOFiy6G3nxCyXma8%2BFXXrCvWw%3D&amp;t=4d5b0474&amp;ps=13740610&amp;shp=a5d48078&amp;shcp=81f88b70&amp;idc=my" TargetMode="External"/><Relationship Id="rId226" Type="http://schemas.openxmlformats.org/officeDocument/2006/relationships/hyperlink" Target="https://www.tiktok.com/@rafaelgrattap/video/7244929879337209094" TargetMode="External"/><Relationship Id="rId225" Type="http://schemas.openxmlformats.org/officeDocument/2006/relationships/hyperlink" Target="https://v16-webapp-prime.tiktok.com/video/tos/maliva/tos-maliva-ve-0068c801-us/oAyhcK9WIDLCkERADLjztgOISdAfQvZoD6nyUm/?a=1988&amp;bti=ODszNWYuMDE6&amp;ch=0&amp;cr=3&amp;dr=0&amp;lr=all&amp;cd=0%7C0%7C0%7C&amp;cv=1&amp;br=2180&amp;bt=1090&amp;cs=0&amp;ds=3&amp;ft=-Csk_mrMPD12N4Yopd-Ux9T2bY6e3wv25IcAp&amp;mime_type=video_mp4&amp;qs=0&amp;rc=OGQ0aTdnZGVkaGVoN2VkaUBpMzZtc2U6ZmhsbDMzNzczM0AzMmAxNWBgNTUxYGJeNDVjYSM0bmcucjRvZjJgLS1kMTZzcw%3D%3D&amp;btag=e000b8000&amp;expire=1763173405&amp;l=20251113102257F8D01E3BFCE9B2911856&amp;ply_type=2&amp;policy=2&amp;signature=4796263847e54f6b1faaa41ac8433937&amp;tk=tt_chain_token" TargetMode="External"/><Relationship Id="rId229" Type="http://schemas.openxmlformats.org/officeDocument/2006/relationships/hyperlink" Target="https://p16-sign-va.tiktokcdn.com/tos-maliva-avt-0068/a4433909479e5c5be1a6365400a4bf02~tplv-tiktokx-cropcenter:1080:1080.jpeg?dr=14579&amp;refresh_token=3ae4df48&amp;x-expires=1763172000&amp;x-signature=T%2BcbzCg9Nei9%2Fd5L3wYTSwEerQM%3D&amp;t=4d5b0474&amp;ps=13740610&amp;shp=a5d48078&amp;shcp=81f88b70&amp;idc=my" TargetMode="External"/><Relationship Id="rId1050" Type="http://schemas.openxmlformats.org/officeDocument/2006/relationships/hyperlink" Target="https://p77-sg.tiktokcdn.com/aweme/720x720/tos-alisg-v-2774/o8AGkAMAIOLAQrLAXeuKFAAeFVdmFf1veQGpi9.jpeg" TargetMode="External"/><Relationship Id="rId220" Type="http://schemas.openxmlformats.org/officeDocument/2006/relationships/hyperlink" Target="https://v16-webapp-prime.tiktok.com/video/tos/alisg/tos-alisg-pve-0037c001/o0YxsGa1HA4GQIyXoIfr8EkzmNxD3G0hgCA3PE/?a=1988&amp;bti=ODszNWYuMDE6&amp;ch=0&amp;cr=3&amp;dr=0&amp;lr=all&amp;cd=0%7C0%7C0%7C&amp;cv=1&amp;br=1798&amp;bt=899&amp;cs=0&amp;ds=3&amp;ft=-Csk_mrMPD12Nyhopd-UxFN2aY6e3wv25ycAp&amp;mime_type=video_mp4&amp;qs=0&amp;rc=ZTNlOzVoNzRnZDY6Z2k3O0BpajZxZjk6Zm07aTMzNzczM0AtXzVhNjQuNV4xLjIvMF4xYSNpYmJgcjQwbmdgLS1kMTZzcw%3D%3D&amp;btag=e00090000&amp;expire=1763173395&amp;l=2025111310220790E74D25ACF9796D8D06&amp;ply_type=2&amp;policy=2&amp;signature=ded6a745be907529ea3768e516778c1a&amp;tk=tt_chain_token" TargetMode="External"/><Relationship Id="rId1051" Type="http://schemas.openxmlformats.org/officeDocument/2006/relationships/hyperlink" Target="https://v16-webapp-prime.tiktok.com/video/tos/useast2a/tos-useast2a-pve-0068/o8AEef2TxQxRDRKEQboEATBJbB0FIdO0nssAnn/?a=1988&amp;bti=ODszNWYuMDE6&amp;ch=0&amp;cr=3&amp;dr=0&amp;lr=all&amp;cd=0%7C0%7C0%7C&amp;cv=1&amp;br=2488&amp;bt=1244&amp;cs=0&amp;ds=3&amp;ft=-Csk_mrMPD12Nyhopd-UxFN2aY6e3wv25ycAp&amp;mime_type=video_mp4&amp;qs=0&amp;rc=aDg4MzQ5NzllNDM6NTozZEBpM3BxOW45cjdweTMzNzczM0AyL2E1M2JhNV4xNC1iY2AvYSNjZWUtMmRzajZgLS1kMTZzcw%3D%3D&amp;btag=e00090000&amp;expire=1763173397&amp;l=2025111310220790E74D25ACF9796D8D06&amp;ply_type=2&amp;policy=2&amp;signature=d95edd348c0d91c4748cddbc28dcc7d9&amp;tk=tt_chain_token" TargetMode="External"/><Relationship Id="rId1052" Type="http://schemas.openxmlformats.org/officeDocument/2006/relationships/hyperlink" Target="https://www.tiktok.com/@lorenatdahta/video/7481442083299986743" TargetMode="External"/><Relationship Id="rId1053"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054" Type="http://schemas.openxmlformats.org/officeDocument/2006/relationships/hyperlink" Target="https://v16-webapp-prime.tiktok.com/video/tos/useast2a/tos-useast2a-v-27dcd7/owvwQ7DAAElAFD7roJfBJXFgs6VWq6UDCEBeaE/?a=1988&amp;bti=ODszNWYuMDE6&amp;ch=0&amp;cr=0&amp;dr=0&amp;er=0&amp;lr=default&amp;cd=0%7C0%7C0%7C0&amp;br=250&amp;bt=125&amp;ds=5&amp;ft=GNDpcInz7ThA9-UPXq8Zmo&amp;mime_type=audio_mpeg&amp;qs=13&amp;rc=M2Q6eHc5cmt0cTMzNzU8M0BpM2Q6eHc5cmt0cTMzNzU8M0Bzby0yMmRjaWtgLS1kMTZzYSNzby0yMmRjaWtgLS1kMTZzcw%3D%3D&amp;btag=e00050000&amp;expire=1763004371&amp;l=20251113102449DDADD1FB7AF14A841409&amp;ply_type=3&amp;policy=3&amp;signature=a37bc1ea366d1a966bed2da66705ba31&amp;tk=7571587458748974088" TargetMode="External"/><Relationship Id="rId224" Type="http://schemas.openxmlformats.org/officeDocument/2006/relationships/hyperlink" Target="https://p16-sign-va.tiktokcdn.com/tos-maliva-avt-0068/a4433909479e5c5be1a6365400a4bf02~tplv-tiktokx-cropcenter:1080:1080.jpeg?dr=14579&amp;refresh_token=3ae4df48&amp;x-expires=1763172000&amp;x-signature=T%2BcbzCg9Nei9%2Fd5L3wYTSwEerQM%3D&amp;t=4d5b0474&amp;ps=13740610&amp;shp=a5d48078&amp;shcp=81f88b70&amp;idc=my" TargetMode="External"/><Relationship Id="rId1055"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223" Type="http://schemas.openxmlformats.org/officeDocument/2006/relationships/hyperlink" Target="https://v16-webapp-prime.tiktok.com/video/tos/useast2a/tos-useast2a-v-27dcd7/218454df15564e17963ce7e0d5d62c1a/?a=1988&amp;bti=ODszNWYuMDE6&amp;ch=0&amp;cr=0&amp;dr=0&amp;er=0&amp;lr=default&amp;cd=0%7C0%7C0%7C0&amp;br=250&amp;bt=125&amp;ds=5&amp;ft=GNDpcInz7ThlV-UPXq8Zmo&amp;mime_type=audio_mpeg&amp;qs=13&amp;rc=anV4OGY6ZnFsbDMzNzU8M0BpanV4OGY6ZnFsbDMzNzU8M0BkXjJmcjRfZjJgLS1kMTZzYSNkXjJmcjRfZjJgLS1kMTZzcw%3D%3D&amp;btag=e00078000&amp;expire=1763004205&amp;l=20251113102257F8D01E3BFCE9B2911856&amp;ply_type=3&amp;policy=3&amp;signature=3540024e09d41c9a9b6fc09ca2c5db25&amp;tk=7571587458748974088" TargetMode="External"/><Relationship Id="rId1056" Type="http://schemas.openxmlformats.org/officeDocument/2006/relationships/hyperlink" Target="https://v16-webapp-prime.tiktok.com/video/tos/maliva/tos-maliva-ve-0068c801-us/oAvyw1IXCEB9EvJihqiqqIpvgCLPEoA6ePQkaA/?a=1988&amp;bti=ODszNWYuMDE6&amp;ch=0&amp;cr=3&amp;dr=0&amp;lr=all&amp;cd=0%7C0%7C0%7C&amp;cv=1&amp;br=2356&amp;bt=1178&amp;cs=0&amp;ds=3&amp;ft=I~da4oKyD12NvgA0i.IxRMb_glBF-UjNSaopiX&amp;mime_type=video_mp4&amp;qs=0&amp;rc=NDQ4OzxpNjRpaWY1NWkzZEBpM2ltNnQ5cmR0cTMzNzczM0BfM2NfXjEtNWAxXzEuMzEuYSMuXmxhMmRraWtgLS1kMTZzcw%3D%3D&amp;btag=e00090000&amp;expire=1763173570&amp;l=20251113102449DDADD1FB7AF14A841409&amp;ply_type=2&amp;policy=2&amp;signature=9785b1e1d4f4b08aa4b78ff3c7c1d556&amp;tk=tt_chain_token" TargetMode="External"/><Relationship Id="rId222" Type="http://schemas.openxmlformats.org/officeDocument/2006/relationships/hyperlink" Target="https://p16-sign-va.tiktokcdn.com/tos-maliva-avt-0068/a4433909479e5c5be1a6365400a4bf02~tplv-tiktokx-cropcenter:100:100.jpeg?dr=14579&amp;refresh_token=75096bd2&amp;x-expires=1763172000&amp;x-signature=1PYOFiy6G3nxCyXma8%2BFXXrCvWw%3D&amp;t=4d5b0474&amp;ps=13740610&amp;shp=a5d48078&amp;shcp=81f88b70&amp;idc=my" TargetMode="External"/><Relationship Id="rId1057" Type="http://schemas.openxmlformats.org/officeDocument/2006/relationships/hyperlink" Target="https://www.tiktok.com/@lorenatdahta/video/7345277213412953350" TargetMode="External"/><Relationship Id="rId221" Type="http://schemas.openxmlformats.org/officeDocument/2006/relationships/hyperlink" Target="https://www.tiktok.com/@sonsquecuram/video/7198596524203412742" TargetMode="External"/><Relationship Id="rId1058"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048"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1049" Type="http://schemas.openxmlformats.org/officeDocument/2006/relationships/hyperlink" Target="https://sf19-ies-music-sg.tiktokcdn.com/obj/tos-alisg-ve-2774/okVWvCe1wQOmrEMln7FfBBgUwAQXFyIOZ1Dutn" TargetMode="External"/><Relationship Id="rId217" Type="http://schemas.openxmlformats.org/officeDocument/2006/relationships/hyperlink" Target="https://p77-sign-va.tiktokcdn.com/tos-maliva-avt-0068/54244e479aff55039c0ec9df4c3106ec~tplv-tiktokx-cropcenter:100:100.jpeg?dr=14579&amp;refresh_token=ccfde9d0&amp;x-expires=1763172000&amp;x-signature=sF5VHJa4uUDmJ2nXcNb%2ByuSteTM%3D&amp;t=4d5b0474&amp;ps=13740610&amp;shp=a5d48078&amp;shcp=81f88b70&amp;idc=my" TargetMode="External"/><Relationship Id="rId216" Type="http://schemas.openxmlformats.org/officeDocument/2006/relationships/hyperlink" Target="https://www.tiktok.com/@veigasaymon/video/7184611982375439622" TargetMode="External"/><Relationship Id="rId215" Type="http://schemas.openxmlformats.org/officeDocument/2006/relationships/hyperlink" Target="https://v16-webapp-prime.tiktok.com/video/tos/alisg/tos-alisg-pve-0037c001/o8BRAVztOe4JJENgQjDnDzbOI7zeQ5BOBJWz3R/?a=1988&amp;bti=ODszNWYuMDE6&amp;ch=0&amp;cr=3&amp;dr=0&amp;lr=all&amp;cd=0%7C0%7C0%7C&amp;cv=1&amp;br=1420&amp;bt=710&amp;cs=0&amp;ds=3&amp;ft=-Csk_mrMPD12NH_opd-UxDTFGY6e3wv25ocAp&amp;mime_type=video_mp4&amp;qs=0&amp;rc=aGhnNmdkOWk6OWdlOWQ2M0BpanM2PDQ6ZnZnaDMzNzczM0AwXy0wYjAxNTExM2MyMF8uYSNna2xmcjRvcG5gLS1kMTZzcw%3D%3D&amp;btag=e00088000&amp;expire=1763173634&amp;l=202511131026218DEF8CE7185C8F9E5844&amp;ply_type=2&amp;policy=2&amp;signature=e075b55a65a5f60e849d8c57fb4d534c&amp;tk=tt_chain_token" TargetMode="External"/><Relationship Id="rId699" Type="http://schemas.openxmlformats.org/officeDocument/2006/relationships/hyperlink" Target="https://v16-webapp-prime.tiktok.com/video/tos/useast2a/tos-useast2a-pve-0068/oIzIyJA2iQF6Psw7BU0NZ0xiIQpAUVrdvSE6l/?a=1988&amp;bti=ODszNWYuMDE6&amp;ch=0&amp;cr=3&amp;dr=0&amp;lr=all&amp;cd=0%7C0%7C0%7C&amp;cv=1&amp;br=1952&amp;bt=976&amp;cs=0&amp;ds=3&amp;ft=-Csk_mrMPD12NH_opd-UxDTFGY6e3wv25ocAp&amp;mime_type=video_mp4&amp;qs=0&amp;rc=M2ZoZTNmZGgzOjplaDNpO0BpM25xdWo5cjx2eDMzNzgzM0A1MzJjYS0vNTExNS8uNDMyYSNtYTBpMmRrXm1gLS1kLzZzcw%3D%3D&amp;btag=e00090000&amp;expire=1763173655&amp;l=202511131026218DEF8CE7185C8F9E5844&amp;ply_type=2&amp;policy=2&amp;signature=c515eb5eea8f9e464b7600540e2411a1&amp;tk=tt_chain_token" TargetMode="External"/><Relationship Id="rId214" Type="http://schemas.openxmlformats.org/officeDocument/2006/relationships/hyperlink" Target="https://p16-sign-va.tiktokcdn.com/tos-maliva-avt-0068/409b8f094a519052398ae01ba95bf160~tplv-tiktokx-cropcenter:1080:1080.jpeg?dr=14579&amp;refresh_token=fac6ce42&amp;x-expires=1763172000&amp;x-signature=iy4tgtvdI62l3n9pTzcda5Gp1is%3D&amp;t=4d5b0474&amp;ps=13740610&amp;shp=a5d48078&amp;shcp=81f88b70&amp;idc=my" TargetMode="External"/><Relationship Id="rId698" Type="http://schemas.openxmlformats.org/officeDocument/2006/relationships/hyperlink" Target="https://p16-sign-va.tiktokcdn.com/tos-maliva-avt-0068/409b8f094a519052398ae01ba95bf160~tplv-tiktokx-cropcenter:1080:1080.jpeg?dr=14579&amp;refresh_token=fac6ce42&amp;x-expires=1763172000&amp;x-signature=iy4tgtvdI62l3n9pTzcda5Gp1is%3D&amp;t=4d5b0474&amp;ps=13740610&amp;shp=a5d48078&amp;shcp=81f88b70&amp;idc=my" TargetMode="External"/><Relationship Id="rId219" Type="http://schemas.openxmlformats.org/officeDocument/2006/relationships/hyperlink" Target="https://p16-sg.tiktokcdn.com/aweme/720x720/tos-alisg-v-2774/604e1985ea7e4d018e3eb92ee6d522b4.jpeg" TargetMode="External"/><Relationship Id="rId218" Type="http://schemas.openxmlformats.org/officeDocument/2006/relationships/hyperlink" Target="https://sf16-ies-music-sg.tiktokcdn.com/obj/tos-alisg-ve-2774/ec28b201a97b4673ba761ff39b60fe91" TargetMode="External"/><Relationship Id="rId693"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1040" Type="http://schemas.openxmlformats.org/officeDocument/2006/relationships/hyperlink" Target="https://v16-webapp-prime.tiktok.com/video/tos/alisg/tos-alisg-v-27dcd7/okMKnfHIGwnEBKAEAkziBkAo7AhiEyyN0yZNAA/?a=1988&amp;bti=ODszNWYuMDE6&amp;ch=0&amp;cr=0&amp;dr=0&amp;er=0&amp;lr=default&amp;cd=0%7C0%7C0%7C0&amp;br=250&amp;bt=125&amp;ds=5&amp;ft=GNDpcInz7Tht9-UPXq8Zmo&amp;mime_type=audio_mpeg&amp;qs=13&amp;rc=amxqbW05cmxoNzMzODU8NEBpamxqbW05cmxoNzMzODU8NEBnYWAzMmRjbTFhLS1kMS1zYSNnYWAzMmRjbTFhLS1kMS1zcw%3D%3D&amp;btag=e00048000&amp;expire=1763004326&amp;l=20251113102438711CFC3830D7669110B2&amp;ply_type=3&amp;policy=3&amp;signature=3a1c22703093da01d7d44cb994b7fa12&amp;tk=7571587458748974088" TargetMode="External"/><Relationship Id="rId692" Type="http://schemas.openxmlformats.org/officeDocument/2006/relationships/hyperlink" Target="https://v16-webapp-prime.tiktok.com/video/tos/useast2a/tos-useast2a-v-27dcd7/oktOxcDMEFCKEnBK5AEJA8UABvv3fJiqmooAQf/?a=1988&amp;bti=ODszNWYuMDE6&amp;ch=0&amp;cr=0&amp;dr=0&amp;er=0&amp;lr=default&amp;cd=0%7C0%7C0%7C0&amp;br=250&amp;bt=125&amp;ds=5&amp;ft=GNDpcInz7Th4K-UPXq8Zmo&amp;mime_type=audio_mpeg&amp;qs=13&amp;rc=ank3Z3E5cjZpcjMzNzU8M0Bpank3Z3E5cjZpcjMzNzU8M0BwYi9vMmQ0MmlgLS1kMTZzYSNwYi9vMmQ0MmlgLS1kMTZzcw%3D%3D&amp;btag=e00050000&amp;expire=1763004191&amp;l=2025111310220790E74D25ACF9796D8D06&amp;ply_type=3&amp;policy=3&amp;signature=f7e52be2eb3ed98b4cc40cf4b90a9f6f&amp;tk=7571587458748974088" TargetMode="External"/><Relationship Id="rId1041" Type="http://schemas.openxmlformats.org/officeDocument/2006/relationships/hyperlink" Target="https://p16-sign-va.tiktokcdn.com/tos-maliva-avt-0068/3f2851fddee89c918e3a69c28ed31a70~tplv-tiktokx-cropcenter:1080:1080.jpeg?dr=14579&amp;refresh_token=4e4277be&amp;x-expires=1763172000&amp;x-signature=Fjnw59Za8XnmzVxU52skMf7AueI%3D&amp;t=4d5b0474&amp;ps=13740610&amp;shp=a5d48078&amp;shcp=81f88b70&amp;idc=my" TargetMode="External"/><Relationship Id="rId691"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1042" Type="http://schemas.openxmlformats.org/officeDocument/2006/relationships/hyperlink" Target="https://v16-webapp-prime.tiktok.com/video/tos/alisg/tos-alisg-pve-0037c001/oE6Dz7gaQEBUbbKBOepERD8BCIyncDBfgA7FwR/?a=1988&amp;bti=ODszNWYuMDE6&amp;ch=0&amp;cr=3&amp;dr=0&amp;lr=all&amp;cd=0%7C0%7C0%7C&amp;cv=1&amp;br=1680&amp;bt=840&amp;cs=0&amp;ds=3&amp;ft=I~da4oKyD12NvnA0i.IxRTF_blBF-UjNSaopiX&amp;mime_type=video_mp4&amp;qs=0&amp;rc=Ozw7ODM4Mzs3PGUzODpmNkBpajM7dnc5cmpoNzMzODczNEAzLTZhYS81NS4xLzRiMi5gYSNqMHFyMmRzbTFhLS1kMWBzcw%3D%3D&amp;btag=e00088000&amp;expire=1763173526&amp;l=20251113102438711CFC3830D7669110B2&amp;ply_type=2&amp;policy=2&amp;signature=f368a6f09f39d194e8fbc980eef6e4d9&amp;tk=tt_chain_token" TargetMode="External"/><Relationship Id="rId690" Type="http://schemas.openxmlformats.org/officeDocument/2006/relationships/hyperlink" Target="https://www.tiktok.com/@tdah.com.amorr/video/7545135844810657030" TargetMode="External"/><Relationship Id="rId1043" Type="http://schemas.openxmlformats.org/officeDocument/2006/relationships/hyperlink" Target="https://www.tiktok.com/@labirintodamente6/video/7568559455319772437" TargetMode="External"/><Relationship Id="rId213" Type="http://schemas.openxmlformats.org/officeDocument/2006/relationships/hyperlink" Target="https://v16-webapp-prime.tiktok.com/video/tos/useast2a/tos-useast2a-v-27dcd7/b3f738b66b9542f18db59a9568f3cd65/?a=1988&amp;bti=ODszNWYuMDE6&amp;ch=0&amp;cr=0&amp;dr=0&amp;er=0&amp;lr=default&amp;cd=0%7C0%7C0%7C0&amp;br=250&amp;bt=125&amp;ds=5&amp;ft=GNDpcInz7ThEY-UPXq8Zmo&amp;mime_type=audio_mpeg&amp;qs=13&amp;rc=MzNvbDw6ZjhnaDMzNzU8M0BpMzNvbDw6ZjhnaDMzNzU8M0AtcXJjcjRvcW5gLS1kMTZzYSMtcXJjcjRvcW5gLS1kMTZzcw%3D%3D&amp;btag=e00048000&amp;expire=1763004434&amp;l=202511131026218DEF8CE7185C8F9E5844&amp;ply_type=3&amp;policy=3&amp;signature=f57518dad9681be6b4382c22869b6b10&amp;tk=7571587458748974088" TargetMode="External"/><Relationship Id="rId697" Type="http://schemas.openxmlformats.org/officeDocument/2006/relationships/hyperlink" Target="https://v16-webapp-prime.tiktok.com/video/tos/useast2a/tos-useast2a-v-27dcd7/oga3iO8sQKxJCE1TnAECxWicUxBzJefxBqAqBA/?a=1988&amp;bti=ODszNWYuMDE6&amp;ch=0&amp;cr=0&amp;dr=0&amp;er=0&amp;lr=default&amp;cd=0%7C0%7C0%7C0&amp;br=250&amp;bt=125&amp;ds=5&amp;ft=GNDpcInz7ThEY-UPXq8Zmo&amp;mime_type=audio_mpeg&amp;qs=13&amp;rc=M2RxZms5cmd2eDMzNzU8M0BpM2RxZms5cmd2eDMzNzU8M0BpMGI0MmRjXm1gLS1kMTZzYSNpMGI0MmRjXm1gLS1kMTZzcw%3D%3D&amp;btag=e00050000&amp;expire=1763004455&amp;l=202511131026218DEF8CE7185C8F9E5844&amp;ply_type=3&amp;policy=3&amp;signature=55f9a36e53415eb9b3d56228b8b17304&amp;tk=7571587458748974088" TargetMode="External"/><Relationship Id="rId1044" Type="http://schemas.openxmlformats.org/officeDocument/2006/relationships/hyperlink" Target="https://p77-sign-va.tiktokcdn.com/tos-maliva-avt-0068/fb5fde959395361e8b8f07b2112710ac~tplv-tiktokx-cropcenter:100:100.jpeg?dr=14579&amp;refresh_token=71b8b35e&amp;x-expires=1763172000&amp;x-signature=IvX5eFdVLQdXqa34U00vJl6EJWw%3D&amp;t=4d5b0474&amp;ps=13740610&amp;shp=a5d48078&amp;shcp=81f88b70&amp;idc=my" TargetMode="External"/><Relationship Id="rId212" Type="http://schemas.openxmlformats.org/officeDocument/2006/relationships/hyperlink" Target="https://p77-sign-va.tiktokcdn.com/tos-maliva-avt-0068/409b8f094a519052398ae01ba95bf160~tplv-tiktokx-cropcenter:100:100.jpeg?dr=14579&amp;refresh_token=3ee24052&amp;x-expires=1763172000&amp;x-signature=8q419zgopgapTYRa6loQxNpoZ0g%3D&amp;t=4d5b0474&amp;ps=13740610&amp;shp=a5d48078&amp;shcp=81f88b70&amp;idc=my" TargetMode="External"/><Relationship Id="rId696" Type="http://schemas.openxmlformats.org/officeDocument/2006/relationships/hyperlink" Target="https://p77-sign-va.tiktokcdn.com/tos-maliva-avt-0068/409b8f094a519052398ae01ba95bf160~tplv-tiktokx-cropcenter:100:100.jpeg?dr=14579&amp;refresh_token=3ee24052&amp;x-expires=1763172000&amp;x-signature=8q419zgopgapTYRa6loQxNpoZ0g%3D&amp;t=4d5b0474&amp;ps=13740610&amp;shp=a5d48078&amp;shcp=81f88b70&amp;idc=my" TargetMode="External"/><Relationship Id="rId1045" Type="http://schemas.openxmlformats.org/officeDocument/2006/relationships/hyperlink" Target="https://p16-sign-sg.tiktokcdn.com/tos-alisg-v-2774/owHAAChfCQBziAB0EIEss5xBwiIWoPAXUUSWEA~720x720.jpeg?lk3s=08d74b56&amp;x-expires=1763022156&amp;x-signature=brJjc6Vzd%2FjL8zs1X5A0JhjOohU%3D" TargetMode="External"/><Relationship Id="rId211" Type="http://schemas.openxmlformats.org/officeDocument/2006/relationships/hyperlink" Target="https://www.tiktok.com/@psi.jonathanorlandi/video/7276105452415601925" TargetMode="External"/><Relationship Id="rId695" Type="http://schemas.openxmlformats.org/officeDocument/2006/relationships/hyperlink" Target="https://www.tiktok.com/@igorpsicologo/video/7361963192874061062" TargetMode="External"/><Relationship Id="rId1046" Type="http://schemas.openxmlformats.org/officeDocument/2006/relationships/hyperlink" Target="https://v16-webapp-prime.tiktok.com/video/tos/useast2a/tos-useast2a-ve-0068c004/o0FfJVhE171gR2tGieIgfaAkXDA4eTopVj0Q9Y/?a=1988&amp;bti=ODszNWYuMDE6&amp;ch=0&amp;cr=3&amp;dr=0&amp;lr=all&amp;cd=0%7C0%7C0%7C&amp;cv=1&amp;br=616&amp;bt=308&amp;cs=0&amp;ds=3&amp;ft=-Csk_mrMPD12NDhopd-Ux2.2GY6e3wv25rcAp&amp;mime_type=video_mp4&amp;qs=0&amp;rc=ZTw4ZTw5ZWY2NTc3aTc7ZkBpanllb3A5cm87bzMzNzczM0A0MjA2XmJeXi8xMDA2YTE1YSNrcnNlMmQ0Ym5gLS1kMTZzcw%3D%3D&amp;btag=e00090000&amp;expire=1763173480&amp;l=20251113102236D675DBC36011DA84E058&amp;ply_type=2&amp;policy=2&amp;signature=06292f4c7ebbe6dac9e3316aa1a3fa25&amp;tk=tt_chain_token" TargetMode="External"/><Relationship Id="rId210" Type="http://schemas.openxmlformats.org/officeDocument/2006/relationships/hyperlink" Target="https://v16-webapp-prime.tiktok.com/video/tos/useast2a/tos-useast2a-ve-0068c002/osLI3V7oCn68zSA5Bfe3goEDjABtQB0bILCJ4e/?a=1988&amp;bti=ODszNWYuMDE6&amp;ch=0&amp;cr=3&amp;dr=0&amp;lr=all&amp;cd=0%7C0%7C0%7C&amp;cv=1&amp;br=2252&amp;bt=1126&amp;cs=0&amp;ds=3&amp;ft=I~da4oKyD12NvuA0i.IxREJNglBF-UjNSmopiX&amp;mime_type=video_mp4&amp;qs=0&amp;rc=ZTQ4NmZmZmdmaDQ4OTs5NkBpanc5dzM6Zmd4bTMzNzczM0A1NmAtYGBeXl8xLjMyLi1fYSNzLTBmcjQwaHBgLS1kMTZzcw%3D%3D&amp;btag=e00090000&amp;expire=1763173560&amp;l=202511131024337F554789EF0D09A1F8EB&amp;ply_type=2&amp;policy=2&amp;signature=3af5a7c74b48c47fac27b300f333d0a7&amp;tk=tt_chain_token" TargetMode="External"/><Relationship Id="rId694" Type="http://schemas.openxmlformats.org/officeDocument/2006/relationships/hyperlink" Target="https://v16-webapp-prime.tiktok.com/video/tos/useast2a/tos-useast2a-ve-0068c001/oQEww5QQJuAF6EvIfNR0rKfxKBDABBNIsg3mH1/?a=1988&amp;bti=ODszNWYuMDE6&amp;ch=0&amp;cr=3&amp;dr=0&amp;lr=all&amp;cd=0%7C0%7C0%7C&amp;cv=1&amp;br=1606&amp;bt=803&amp;cs=0&amp;ds=3&amp;ft=-Csk_mrMPD12Nyhopd-UxFN2aY6e3wv25ycAp&amp;mime_type=video_mp4&amp;qs=0&amp;rc=OmlnOzM0NWY7OmQzNTk1ZkBpanQ0eG85cnhpcjMzNzczM0A2LmM2MDZeXzAxYF5jYy1eYSNiYDRlMmRjLWlgLS1kMTZzcw%3D%3D&amp;btag=e00090000&amp;expire=1763173391&amp;l=2025111310220790E74D25ACF9796D8D06&amp;ply_type=2&amp;policy=2&amp;signature=df52343992d2d511d86a96c4f7ad83dc&amp;tk=tt_chain_token" TargetMode="External"/><Relationship Id="rId1047" Type="http://schemas.openxmlformats.org/officeDocument/2006/relationships/hyperlink" Target="https://www.tiktok.com/@tato_psi/video/7310617433704828165" TargetMode="External"/><Relationship Id="rId249" Type="http://schemas.openxmlformats.org/officeDocument/2006/relationships/hyperlink" Target="https://p16-sign-va.tiktokcdn.com/tos-maliva-avt-0068/dab25d3bf4f7caa5b88946351ce41f46~tplv-tiktokx-cropcenter:1080:1080.jpeg?dr=14579&amp;refresh_token=65a310f3&amp;x-expires=1763172000&amp;x-signature=ggwqHgQHfgql1pt0q5e89qDvZGE%3D&amp;t=4d5b0474&amp;ps=13740610&amp;shp=a5d48078&amp;shcp=81f88b70&amp;idc=my" TargetMode="External"/><Relationship Id="rId248" Type="http://schemas.openxmlformats.org/officeDocument/2006/relationships/hyperlink" Target="https://v16-webapp-prime.tiktok.com/video/tos/useast2a/tos-useast2a-v-27dcd7/o8YhJFDrJUBRjMiqPBEITuBCiQhQ7wCmgofgfu/?a=1988&amp;bti=ODszNWYuMDE6&amp;ch=0&amp;cr=0&amp;dr=0&amp;er=0&amp;lr=default&amp;cd=0%7C0%7C0%7C0&amp;br=250&amp;bt=125&amp;ft=GNDpcInz7ThQ9-UPXq8Zmo&amp;mime_type=audio_mpeg&amp;qs=6&amp;rc=aDo6ODQ2Z2ZmaDxlZmZoZkBpM3lnZHI5cmRyNTMzNzU8M0A0LV80LjVgNi4xY2MvNTUzYSNkLmI1MmRray1hLS1kMTZzcw%3D%3D&amp;btag=e00090000&amp;expire=1763004411&amp;l=202511131024053FAEE14371AE44A729CC&amp;ply_type=3&amp;policy=3&amp;signature=1f1bf22e5e5ecf39f7a96053d6b67757&amp;tk=7571587458748974088" TargetMode="External"/><Relationship Id="rId247" Type="http://schemas.openxmlformats.org/officeDocument/2006/relationships/hyperlink" Target="https://p16-sign-va.tiktokcdn.com/tos-maliva-avt-0068/dab25d3bf4f7caa5b88946351ce41f46~tplv-tiktokx-cropcenter:100:100.jpeg?dr=14579&amp;refresh_token=8dbce795&amp;x-expires=1763172000&amp;x-signature=PcMdwpQCv6WTy%2FP3QB822mH85cs%3D&amp;t=4d5b0474&amp;ps=13740610&amp;shp=a5d48078&amp;shcp=81f88b70&amp;idc=my" TargetMode="External"/><Relationship Id="rId1070" Type="http://schemas.openxmlformats.org/officeDocument/2006/relationships/hyperlink" Target="https://p77-sign-va.tiktokcdn.com/tos-maliva-avt-0068/b65580219dd212688aa9c5305651ee47~tplv-tiktokx-cropcenter:1080:1080.jpeg?dr=14579&amp;refresh_token=9bbb6515&amp;x-expires=1763172000&amp;x-signature=2qI%2Fzfdzeuu4ERcvrj042dDT4uU%3D&amp;t=4d5b0474&amp;ps=13740610&amp;shp=a5d48078&amp;shcp=81f88b70&amp;idc=my" TargetMode="External"/><Relationship Id="rId1071" Type="http://schemas.openxmlformats.org/officeDocument/2006/relationships/hyperlink" Target="https://v16-webapp-prime.tiktok.com/video/tos/alisg/tos-alisg-pve-0037c001/oUUSogXajPGRSlZeF6FEAeDPRfAGAQPIQkfaQC/?a=1988&amp;bti=ODszNWYuMDE6&amp;ch=0&amp;cr=3&amp;dr=0&amp;lr=all&amp;cd=0%7C0%7C0%7C&amp;cv=1&amp;br=1992&amp;bt=996&amp;cs=0&amp;ds=3&amp;ft=I~da4oKyD12NvyA0i.IxRhq_glBF-UjNSmopiX&amp;mime_type=video_mp4&amp;qs=0&amp;rc=NDlmNzs5ZzU7Mzw2aTU4NEBpamxsNXc5cjY0NjMzODczNEAtYDMzLzFhNjUxMmM0MDZfYSNqbmU2MmRzY3NhLS1kMTFzcw%3D%3D&amp;btag=e00090000&amp;expire=1763173556&amp;l=202511131024200DA040BB1F5C349EC2B1&amp;ply_type=2&amp;policy=2&amp;signature=0aed01b9389b1fe14594a2acc1ddcefc&amp;tk=tt_chain_token" TargetMode="External"/><Relationship Id="rId1072" Type="http://schemas.openxmlformats.org/officeDocument/2006/relationships/hyperlink" Target="https://www.tiktok.com/@dulcivaldejesussantos/video/7565511003958512916" TargetMode="External"/><Relationship Id="rId242" Type="http://schemas.openxmlformats.org/officeDocument/2006/relationships/hyperlink" Target="https://p16-sign-sg.tiktokcdn.com/tos-alisg-avt-0068/9832aa685b2cfe94db09e06f702f0a77~tplv-tiktokx-cropcenter:100:100.jpeg?dr=14579&amp;refresh_token=7f323dc4&amp;x-expires=1763172000&amp;x-signature=ZYpVkRaxkusjJF3GuxG54nOp0tI%3D&amp;t=4d5b0474&amp;ps=13740610&amp;shp=a5d48078&amp;shcp=81f88b70&amp;idc=my" TargetMode="External"/><Relationship Id="rId1073" Type="http://schemas.openxmlformats.org/officeDocument/2006/relationships/hyperlink" Target="https://p16-sign-va.tiktokcdn.com/tos-maliva-avt-0068/5cd04065c5b84a93bc1c8c2205a3a307~tplv-tiktokx-cropcenter:100:100.jpeg?dr=14579&amp;refresh_token=62a13806&amp;x-expires=1763172000&amp;x-signature=za5Fv0gZFDFA5tjcZcEawmXl5VM%3D&amp;t=4d5b0474&amp;ps=13740610&amp;shp=a5d48078&amp;shcp=81f88b70&amp;idc=my" TargetMode="External"/><Relationship Id="rId241" Type="http://schemas.openxmlformats.org/officeDocument/2006/relationships/hyperlink" Target="https://www.tiktok.com/@fstiegele/video/7483907785650867462" TargetMode="External"/><Relationship Id="rId1074" Type="http://schemas.openxmlformats.org/officeDocument/2006/relationships/hyperlink" Target="https://sf16-ies-music-sg.tiktokcdn.com/obj/tos-alisg-ve-2774/63d1174ec53a45d0a27644a41cc0ff58" TargetMode="External"/><Relationship Id="rId240" Type="http://schemas.openxmlformats.org/officeDocument/2006/relationships/hyperlink" Target="https://v16-webapp-prime.tiktok.com/video/tos/useast2a/tos-useast2a-ve-0068c003/ooAYOn48jPQttSCWCzMweyXFnieugAJgkeuKRI/?a=1988&amp;bti=ODszNWYuMDE6&amp;ch=0&amp;cr=3&amp;dr=0&amp;lr=all&amp;cd=0%7C0%7C0%7C&amp;cv=1&amp;br=1926&amp;bt=963&amp;cs=0&amp;ds=3&amp;ft=-Csk_mrMPD12N4Yopd-Ux9T2bY6e3wv25IcAp&amp;mime_type=video_mp4&amp;qs=0&amp;rc=PDs7NDVlODQ1aGQ1ZGlmZ0BpMzlzO3M5cm41eTMzNzczM0AwM2IuYTEtXzAxXzRiMzViYSM0c2IzMmRzcGJgLS1kMTZzcw%3D%3D&amp;btag=e000b8000&amp;expire=1763173399&amp;l=20251113102257F8D01E3BFCE9B2911856&amp;ply_type=2&amp;policy=2&amp;signature=9877ac02f1395726aa629cfa46489e09&amp;tk=tt_chain_token" TargetMode="External"/><Relationship Id="rId1075" Type="http://schemas.openxmlformats.org/officeDocument/2006/relationships/hyperlink" Target="https://p16-sg.tiktokcdn.com/aweme/720x720/tos-alisg-v-2774/96e8017c3bef4b26aceee9fdc56d0135.jpeg" TargetMode="External"/><Relationship Id="rId1076" Type="http://schemas.openxmlformats.org/officeDocument/2006/relationships/hyperlink" Target="https://v16-webapp-prime.tiktok.com/video/tos/useast2a/tos-useast2a-ve-0068c004/o4AjCeDfNayVVwSiIFK2RdghnbAe8CAPTCZHCR/?a=1988&amp;bti=ODszNWYuMDE6&amp;ch=0&amp;cr=3&amp;dr=0&amp;lr=all&amp;cd=0%7C0%7C0%7C&amp;cv=1&amp;br=1294&amp;bt=647&amp;cs=0&amp;ds=3&amp;ft=-Csk_mrMPD12N9Yopd-Ux315hY6e3wv25dcAp&amp;mime_type=video_mp4&amp;qs=0&amp;rc=aDs4Nmk6NDs8PDgzZDw6PEBpM21nOzM6Zmc1aTMzNzczM0A1Y18zLi5fNS8xXmMzLS81YSNsNl5qcjRnMnBgLS1kMTZzcw%3D%3D&amp;btag=e00090000&amp;expire=1763173483&amp;l=2025111310232002E5437D242CEA8409F2&amp;ply_type=2&amp;policy=2&amp;signature=e726eb08dc38b9c87639bed3d042c664&amp;tk=tt_chain_token" TargetMode="External"/><Relationship Id="rId246" Type="http://schemas.openxmlformats.org/officeDocument/2006/relationships/hyperlink" Target="https://www.tiktok.com/@claralisle/video/7379736571341229318" TargetMode="External"/><Relationship Id="rId1077" Type="http://schemas.openxmlformats.org/officeDocument/2006/relationships/hyperlink" Target="https://www.tiktok.com/@curiosidadesdiarias.ia/video/7203546019907259654" TargetMode="External"/><Relationship Id="rId245" Type="http://schemas.openxmlformats.org/officeDocument/2006/relationships/hyperlink" Target="https://v16-webapp-prime.tiktok.com/video/tos/maliva/tos-maliva-ve-0068c801-us/o0jC0XCTQfn8de1XCMlHAdSqJDIIEDezMCm3Qg/?a=1988&amp;bti=ODszNWYuMDE6&amp;ch=0&amp;cr=3&amp;dr=0&amp;lr=all&amp;cd=0%7C0%7C0%7C&amp;cv=1&amp;br=1432&amp;bt=716&amp;cs=0&amp;ds=3&amp;ft=I~da4oKyD12Nv5A0i.IxRIk_glBF-UjNSbopiX&amp;mime_type=video_mp4&amp;qs=0&amp;rc=Z2ZmaGk8N2c4N2Y8ZmQ2OUBpanE6eXk5cjc0czMzNzczM0AwXzNiL15gNTExMl4tNTIxYSNicXNmMmRzYWlgLS1kMTZzcw%3D%3D&amp;btag=e00088000&amp;expire=1763173484&amp;l=20251113102410CE8B814C77F7637842AC&amp;ply_type=2&amp;policy=2&amp;signature=4286a0e3864b12e880468e681b40dc5f&amp;tk=tt_chain_token" TargetMode="External"/><Relationship Id="rId1078" Type="http://schemas.openxmlformats.org/officeDocument/2006/relationships/hyperlink" Target="https://p77-sign-va.tiktokcdn.com/tos-maliva-avt-0068/409b8f094a519052398ae01ba95bf160~tplv-tiktokx-cropcenter:100:100.jpeg?dr=14579&amp;refresh_token=3ee24052&amp;x-expires=1763172000&amp;x-signature=8q419zgopgapTYRa6loQxNpoZ0g%3D&amp;t=4d5b0474&amp;ps=13740610&amp;shp=a5d48078&amp;shcp=81f88b70&amp;idc=my" TargetMode="External"/><Relationship Id="rId244" Type="http://schemas.openxmlformats.org/officeDocument/2006/relationships/hyperlink" Target="https://p16-sign-sg.tiktokcdn.com/tos-alisg-avt-0068/9832aa685b2cfe94db09e06f702f0a77~tplv-tiktokx-cropcenter:1080:1080.jpeg?dr=14579&amp;refresh_token=d57b4bd0&amp;x-expires=1763172000&amp;x-signature=0nm8UzgqhG3Wa%2Bb2eLmc9Jca%2BrQ%3D&amp;t=4d5b0474&amp;ps=13740610&amp;shp=a5d48078&amp;shcp=81f88b70&amp;idc=my" TargetMode="External"/><Relationship Id="rId1079" Type="http://schemas.openxmlformats.org/officeDocument/2006/relationships/hyperlink" Target="https://sf16-ies-music-sg.tiktokcdn.com/obj/tos-alisg-ve-2774/oMYPkImADMYxCQUm8JLX5ARiBLYHar16iBvWx" TargetMode="External"/><Relationship Id="rId243" Type="http://schemas.openxmlformats.org/officeDocument/2006/relationships/hyperlink" Target="https://v16-webapp-prime.tiktok.com/video/tos/useast2a/tos-useast2a-v-27dcd7/oMCBArpUCJmIfBfA6DDhFIYpJaLJEdFQALgUYN/?a=1988&amp;bti=ODszNWYuMDE6&amp;ch=0&amp;cr=0&amp;dr=0&amp;er=0&amp;lr=default&amp;cd=0%7C0%7C0%7C0&amp;br=250&amp;bt=125&amp;ds=5&amp;ft=GNDpcInz7ThN9-UPXq8Zmo&amp;mime_type=audio_mpeg&amp;qs=13&amp;rc=M24zPHc5cnA0czMzNzU8M0BpM24zPHc5cnA0czMzNzU8M0BqMmovMmQ0YmlgLS1kMTZzYSNqMmovMmQ0YmlgLS1kMTZzcw%3D%3D&amp;btag=e00048000&amp;expire=1763004284&amp;l=20251113102410CE8B814C77F7637842AC&amp;ply_type=3&amp;policy=3&amp;signature=2cc12cddd27356c4f832397ceb272068&amp;tk=7571587458748974088" TargetMode="External"/><Relationship Id="rId239" Type="http://schemas.openxmlformats.org/officeDocument/2006/relationships/hyperlink" Target="https://p77-sign-va.tiktokcdn.com/tos-maliva-avt-0068/aa2f8f9536b46443df4f50ec3d97a8e0~tplv-tiktokx-cropcenter:1080:1080.jpeg?dr=14579&amp;refresh_token=b85dc7a7&amp;x-expires=1763172000&amp;x-signature=5z8tFxyJejx9O8gUJb5q18ZrDEU%3D&amp;t=4d5b0474&amp;ps=13740610&amp;shp=a5d48078&amp;shcp=81f88b70&amp;idc=my" TargetMode="External"/><Relationship Id="rId238" Type="http://schemas.openxmlformats.org/officeDocument/2006/relationships/hyperlink" Target="https://v16-webapp-prime.tiktok.com/video/tos/useast2a/tos-useast2a-v-27dcd7/ocCnBcEAECoFfDLC5Q7E3SGAJ6hPDBApUfJEZJ/?a=1988&amp;bti=ODszNWYuMDE6&amp;ch=0&amp;cr=0&amp;dr=0&amp;er=0&amp;lr=default&amp;cd=0%7C0%7C0%7C0&amp;br=250&amp;bt=125&amp;ds=5&amp;ft=GNDpcInz7ThlV-UPXq8Zmo&amp;mime_type=audio_mpeg&amp;qs=13&amp;rc=M3N5bm45cjM1eTMzNzU8M0BpM3N5bm45cjM1eTMzNzU8M0A2cjFlMmRrcWJgLS1kMTZzYSM2cjFlMmRrcWJgLS1kMTZzcw%3D%3D&amp;btag=e00078000&amp;expire=1763004199&amp;l=20251113102257F8D01E3BFCE9B2911856&amp;ply_type=3&amp;policy=3&amp;signature=03b8c529f7723b3d0993b7a4a5fd42d3&amp;tk=7571587458748974088" TargetMode="External"/><Relationship Id="rId237" Type="http://schemas.openxmlformats.org/officeDocument/2006/relationships/hyperlink" Target="https://p16-sign-va.tiktokcdn.com/tos-maliva-avt-0068/aa2f8f9536b46443df4f50ec3d97a8e0~tplv-tiktokx-cropcenter:100:100.jpeg?dr=14579&amp;refresh_token=5b6b081a&amp;x-expires=1763172000&amp;x-signature=KP21YqYyTsNjRTCWcwCrWelYD9w%3D&amp;t=4d5b0474&amp;ps=13740610&amp;shp=a5d48078&amp;shcp=81f88b70&amp;idc=my" TargetMode="External"/><Relationship Id="rId236" Type="http://schemas.openxmlformats.org/officeDocument/2006/relationships/hyperlink" Target="https://www.tiktok.com/@mr.tdahzinho/video/7466964243288460550" TargetMode="External"/><Relationship Id="rId1060"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061" Type="http://schemas.openxmlformats.org/officeDocument/2006/relationships/hyperlink" Target="https://v16-webapp-prime.tiktok.com/video/tos/maliva/tos-maliva-ve-0068c801-us/oEsLPBgIJLiIgrcfCo1p8kyLE7IO9AcIiEUAQT/?a=1988&amp;bti=ODszNWYuMDE6&amp;ch=0&amp;cr=3&amp;dr=0&amp;lr=all&amp;cd=0%7C0%7C0%7C&amp;cv=1&amp;br=2234&amp;bt=1117&amp;cs=0&amp;ds=3&amp;ft=I~da4oKyD12NvyA0i.IxRhq_glBF-UjNSmopiX&amp;mime_type=video_mp4&amp;qs=0&amp;rc=ODppN2RpZmU4NWk0Njk7ZEBpamZqeW85cmhrcTMzNzczM0AwLTA0XjAzXzAxNDYuYl81YSMxcS8yMmRjLWhgLS1kMTZzcw%3D%3D&amp;btag=e00090000&amp;expire=1763173543&amp;l=202511131024200DA040BB1F5C349EC2B1&amp;ply_type=2&amp;policy=2&amp;signature=390fa3bdb9692fcf674f86d759b7918e&amp;tk=tt_chain_token" TargetMode="External"/><Relationship Id="rId231" Type="http://schemas.openxmlformats.org/officeDocument/2006/relationships/hyperlink" Target="https://www.tiktok.com/@rafaelgrattap/video/7396274967115074822" TargetMode="External"/><Relationship Id="rId1062" Type="http://schemas.openxmlformats.org/officeDocument/2006/relationships/hyperlink" Target="https://www.tiktok.com/@lorenatdahta/video/7343418810621267205" TargetMode="External"/><Relationship Id="rId230" Type="http://schemas.openxmlformats.org/officeDocument/2006/relationships/hyperlink" Target="https://v16-webapp-prime.tiktok.com/video/tos/useast2a/tos-useast2a-ve-0068c003/o0VbZNXq8ACfAvMhIfnTBfRgZXjPbS934SQgCU/?a=1988&amp;bti=ODszNWYuMDE6&amp;ch=0&amp;cr=3&amp;dr=0&amp;lr=all&amp;cd=0%7C0%7C0%7C&amp;cv=1&amp;br=3928&amp;bt=1964&amp;cs=0&amp;ds=3&amp;ft=I~da4oKyD12NvuA0i.IxREJNglBF-UjNSmopiX&amp;mime_type=video_mp4&amp;qs=0&amp;rc=ODxpNjY7ZWhkZjNoOjdoZUBpajhzeHU5cmZndDMzNzczM0AuYi5iNTRiNTAxNS40NjAvYSNecHJjMmQ0ZGZgLS1kMTZzcw%3D%3D&amp;btag=e00088000&amp;expire=1763173531&amp;l=202511131024337F554789EF0D09A1F8EB&amp;ply_type=2&amp;policy=2&amp;signature=96c1ebc231ade44fa9417279f67408a8&amp;tk=tt_chain_token" TargetMode="External"/><Relationship Id="rId1063"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1064" Type="http://schemas.openxmlformats.org/officeDocument/2006/relationships/hyperlink" Target="https://v16-webapp-prime.tiktok.com/video/tos/useast2a/tos-useast2a-v-27dcd7/oEDEKA6riiBR14AoEE4BkmrnIoBAJyzB3gjfAM/?a=1988&amp;bti=ODszNWYuMDE6&amp;ch=0&amp;cr=0&amp;dr=0&amp;er=0&amp;lr=default&amp;cd=0%7C0%7C0%7C0&amp;br=250&amp;bt=125&amp;ds=5&amp;ft=GNDpcInz7ThVY-UPXq8Zmo&amp;mime_type=audio_mpeg&amp;qs=13&amp;rc=ajtocmw5cm1qeTMzNzU8M0Bpajtocmw5cm1qeTMzNzU8M0BpY3E1MmRjNi1gLS1kMTZzYSNpY3E1MmRjNi1gLS1kMTZzcw%3D%3D&amp;btag=e00050000&amp;expire=1763004466&amp;l=202511131026378F10DAFBB0AF239B249B&amp;ply_type=3&amp;policy=3&amp;signature=dce620055ca96a4de4361be88819ffe0&amp;tk=7571587458748974088" TargetMode="External"/><Relationship Id="rId1065"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235" Type="http://schemas.openxmlformats.org/officeDocument/2006/relationships/hyperlink" Target="https://v16-webapp-prime.tiktok.com/video/tos/useast2a/tos-useast2a-pve-0068/ogRg8RuEcVj2QEdIRCFPARKDgFSSiCgLffPIel/?a=1988&amp;bti=ODszNWYuMDE6&amp;ch=0&amp;cr=3&amp;dr=0&amp;lr=all&amp;cd=0%7C0%7C0%7C&amp;cv=1&amp;br=4828&amp;bt=2414&amp;cs=0&amp;ds=3&amp;ft=I~da4oKyD12NviW0i.IxRHqNglBF-UjNSqopiX&amp;mime_type=video_mp4&amp;qs=0&amp;rc=ZjplZDs8NTw0aGg0NmVkZ0BpamtnZGw5cml5eDMzNzczM0A0NC5hNmA0Xi4xYDUuM141YSMvcGtoMmQ0a2NgLS1kMTZzcw%3D%3D&amp;btag=e00090000&amp;expire=1763173464&amp;l=202511131022270BBA173F4561DD71A814&amp;ply_type=2&amp;policy=2&amp;signature=98ec6c6cda29620a6ea72693f20b99be&amp;tk=tt_chain_token" TargetMode="External"/><Relationship Id="rId1066" Type="http://schemas.openxmlformats.org/officeDocument/2006/relationships/hyperlink" Target="https://v16-webapp-prime.tiktok.com/video/tos/useast2a/tos-useast2a-ve-0068c004/oIB5LUiNXQEE1DBAiSH8AIZQ5BbQnEbvrIEIu/?a=1988&amp;bti=ODszNWYuMDE6&amp;ch=0&amp;cr=3&amp;dr=0&amp;lr=all&amp;cd=0%7C0%7C0%7C&amp;cv=1&amp;br=2662&amp;bt=1331&amp;cs=0&amp;ds=3&amp;ft=-Csk_mrMPD12NY_opd-Uxz42hY6e3wv25ycAp&amp;mime_type=video_mp4&amp;qs=0&amp;rc=ZWU7ZDg4NDdlZDk2aTVpZUBpajpmaG85cmpqeTMzNzczM0BiXy4tMV4yX14xMy8vXzQzYSNwZV9rMmRrMy1gLS1kMTZzcw%3D%3D&amp;btag=e00090000&amp;expire=1763173666&amp;l=202511131026378F10DAFBB0AF239B249B&amp;ply_type=2&amp;policy=2&amp;signature=7c8a9be6bc2cc16a8f9da0692fd91cfd&amp;tk=tt_chain_token" TargetMode="External"/><Relationship Id="rId234" Type="http://schemas.openxmlformats.org/officeDocument/2006/relationships/hyperlink" Target="https://p16-sign-va.tiktokcdn.com/tos-maliva-avt-0068/431bee7578e519987635a70e5b8f7fb3~tplv-tiktokx-cropcenter:1080:1080.jpeg?dr=14579&amp;refresh_token=ac4d06e8&amp;x-expires=1763172000&amp;x-signature=aP9%2BeRL%2FhEk8DJIKtOd%2BOqyM4R4%3D&amp;t=4d5b0474&amp;ps=13740610&amp;shp=a5d48078&amp;shcp=81f88b70&amp;idc=my" TargetMode="External"/><Relationship Id="rId1067" Type="http://schemas.openxmlformats.org/officeDocument/2006/relationships/hyperlink" Target="https://www.tiktok.com/@igorpsicologo/video/7476262086847302917" TargetMode="External"/><Relationship Id="rId233" Type="http://schemas.openxmlformats.org/officeDocument/2006/relationships/hyperlink" Target="https://v16-webapp-prime.tiktok.com/video/tos/useast2a/tos-useast2a-v-27dcd7/owAk1AIM8JeJ14HWQAAfCSgChKLf8feAKMgSTv/?a=1988&amp;bti=ODszNWYuMDE6&amp;ch=0&amp;cr=0&amp;dr=0&amp;er=0&amp;lr=default&amp;cd=0%7C0%7C0%7C0&amp;br=250&amp;bt=125&amp;ds=5&amp;ft=GNDpcInz7ThUK-UPXq8Zmo&amp;mime_type=audio_mpeg&amp;qs=13&amp;rc=M3g4N2s5cjh5eDMzNzU8M0BpM3g4N2s5cjh5eDMzNzU8M0BoZV4xMmRzbWNgLS1kMTZzYSNoZV4xMmRzbWNgLS1kMTZzcw%3D%3D&amp;btag=e00050000&amp;expire=1763004264&amp;l=202511131022270BBA173F4561DD71A814&amp;ply_type=3&amp;policy=3&amp;signature=e865beee078575777e7d9cb8cac88347&amp;tk=7571587458748974088" TargetMode="External"/><Relationship Id="rId1068" Type="http://schemas.openxmlformats.org/officeDocument/2006/relationships/hyperlink" Target="https://p16-sign-va.tiktokcdn.com/tos-maliva-avt-0068/b65580219dd212688aa9c5305651ee47~tplv-tiktokx-cropcenter:100:100.jpeg?dr=14579&amp;refresh_token=e9ce48ec&amp;x-expires=1763172000&amp;x-signature=81zBjkEKwGxjAMZ9HD4oBz%2FZx%2Fs%3D&amp;t=4d5b0474&amp;ps=13740610&amp;shp=a5d48078&amp;shcp=81f88b70&amp;idc=my" TargetMode="External"/><Relationship Id="rId232" Type="http://schemas.openxmlformats.org/officeDocument/2006/relationships/hyperlink" Target="https://p16-sign-va.tiktokcdn.com/tos-maliva-avt-0068/431bee7578e519987635a70e5b8f7fb3~tplv-tiktokx-cropcenter:100:100.jpeg?dr=14579&amp;refresh_token=44fd81bd&amp;x-expires=1763172000&amp;x-signature=5qONbfsCauye%2F1LhYL2k7p4zjgc%3D&amp;t=4d5b0474&amp;ps=13740610&amp;shp=a5d48078&amp;shcp=81f88b70&amp;idc=my" TargetMode="External"/><Relationship Id="rId1069" Type="http://schemas.openxmlformats.org/officeDocument/2006/relationships/hyperlink" Target="https://v16-webapp-prime.tiktok.com/video/tos/alisg/tos-alisg-v-27dcd7/ogHIoA0uEFEZnfAAIT1Dg5cMhbGAgpReYDzfCD/?a=1988&amp;bti=ODszNWYuMDE6&amp;ch=0&amp;cr=0&amp;dr=0&amp;er=0&amp;lr=default&amp;cd=0%7C0%7C0%7C0&amp;br=250&amp;bt=125&amp;ds=5&amp;ft=GNDpcInz7Th_9-UPXq8Zmo&amp;mime_type=audio_mpeg&amp;qs=13&amp;rc=amdyaG45cmg0NjMzODU8NEBpamdyaG45cmg0NjMzODU8NEBvYGFqMmRjZHNhLS1kMS1zYSNvYGFqMmRjZHNhLS1kMS1zcw%3D%3D&amp;btag=e00050000&amp;expire=1763004356&amp;l=202511131024200DA040BB1F5C349EC2B1&amp;ply_type=3&amp;policy=3&amp;signature=d571f520b4085dae271010d72b58965a&amp;tk=7571587458748974088" TargetMode="External"/><Relationship Id="rId1015" Type="http://schemas.openxmlformats.org/officeDocument/2006/relationships/hyperlink" Target="https://v16-webapp-prime.tiktok.com/video/tos/useast2a/tos-useast2a-v-27dcd7/oAEiwFE8CiO6QSSIAMAIoUjbCHBVxiAayLlPA/?a=1988&amp;bti=ODszNWYuMDE6&amp;ch=0&amp;cr=0&amp;dr=0&amp;er=0&amp;lr=default&amp;cd=0%7C0%7C0%7C0&amp;br=250&amp;bt=125&amp;ds=5&amp;ft=GNDpcInz7ThNV-UPXq8Zmo&amp;mime_type=audio_mpeg&amp;qs=13&amp;rc=MzU0dnY5cnQ2NTMzNzU8M0BpMzU0dnY5cnQ2NTMzNzU8M0A2a2EvMmQ0Lm1hLS1kMTZzYSM2a2EvMmQ0Lm1hLS1kMTZzcw%3D%3D&amp;btag=e00078000&amp;expire=1763004212&amp;l=20251113102306B19E1F5BC676BF8CC05E&amp;ply_type=3&amp;policy=3&amp;signature=5c8126f94d5e5b9bfb263f166692c62b&amp;tk=7571587458748974088" TargetMode="External"/><Relationship Id="rId1499" Type="http://schemas.openxmlformats.org/officeDocument/2006/relationships/hyperlink" Target="https://www.tiktok.com/@theericastefany/video/7292763541839301894" TargetMode="External"/><Relationship Id="rId1016" Type="http://schemas.openxmlformats.org/officeDocument/2006/relationships/hyperlink" Target="https://p16-sign-va.tiktokcdn.com/tos-maliva-avt-0068/2b7e609cb0681a46ab556279eb956133~tplv-tiktokx-cropcenter:1080:1080.jpeg?dr=14579&amp;refresh_token=6547c633&amp;x-expires=1763172000&amp;x-signature=cLvdWi4O6MVSqlw87QoCbX9Lfhs%3D&amp;t=4d5b0474&amp;ps=13740610&amp;shp=a5d48078&amp;shcp=81f88b70&amp;idc=my" TargetMode="External"/><Relationship Id="rId1017" Type="http://schemas.openxmlformats.org/officeDocument/2006/relationships/hyperlink" Target="https://v16-webapp-prime.tiktok.com/video/tos/useast2a/tos-useast2a-pve-0068/oQiyRHhiD5IzQEDIVAi0APKBoDkECgWKfRWCj3/?a=1988&amp;bti=ODszNWYuMDE6&amp;ch=0&amp;cr=3&amp;dr=0&amp;lr=all&amp;cd=0%7C0%7C0%7C&amp;cv=1&amp;br=1268&amp;bt=634&amp;cs=0&amp;ds=3&amp;ft=-Csk_mrMPD12NOYopd-Uxtv5GY6e3wv252cAp&amp;mime_type=video_mp4&amp;qs=0&amp;rc=O2Y4ZDk6OTk0Njc8OmU5O0BpajVoeHE5cjs2NTMzNzczM0AvMzMxNV8uNS8xX2I1LTMuYSMuNGIwMmRzLm1hLS1kMTZzcw%3D%3D&amp;btag=e000b8000&amp;expire=1763173412&amp;l=20251113102306B19E1F5BC676BF8CC05E&amp;ply_type=2&amp;policy=2&amp;signature=ae0fe96c1c846d89655e1baf3aeee06b&amp;tk=tt_chain_token" TargetMode="External"/><Relationship Id="rId1018" Type="http://schemas.openxmlformats.org/officeDocument/2006/relationships/hyperlink" Target="https://www.tiktok.com/@aprendendocomotdah/video/7544146048311168312" TargetMode="External"/><Relationship Id="rId1019"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668" Type="http://schemas.openxmlformats.org/officeDocument/2006/relationships/hyperlink" Target="https://v16-webapp-prime.tiktok.com/video/tos/useast2a/tos-useast2a-v-27dcd7/oUD44CfQAS6AlFAU1BjBCjJfEuEBBEQQJQCAPO/?a=1988&amp;bti=ODszNWYuMDE6&amp;ch=0&amp;cr=0&amp;dr=0&amp;er=0&amp;lr=default&amp;cd=0%7C0%7C0%7C0&amp;br=250&amp;bt=125&amp;ds=5&amp;ft=GNDpcInz7ThaV-UPXq8Zmo&amp;mime_type=audio_mpeg&amp;qs=13&amp;rc=anc3NWs5cjszcDMzNzU8M0Bpanc3NWs5cjszcDMzNzU8M0BjZC5yMmRzNXBgLS1kMTZzYSNjZC5yMmRzNXBgLS1kMTZzcw%3D%3D&amp;btag=e00050000&amp;expire=1763004318&amp;l=20251113102343D1A0044B947998B9C2A2&amp;ply_type=3&amp;policy=3&amp;signature=569cdd2bd273b82c8ac6656830c577f5&amp;tk=7571587458748974088" TargetMode="External"/><Relationship Id="rId667" Type="http://schemas.openxmlformats.org/officeDocument/2006/relationships/hyperlink" Target="https://p77-sign-va.tiktokcdn.com/tos-maliva-avt-0068/c690e1c09c18ba7a3d9af56ba23e4738~tplv-tiktokx-cropcenter:100:100.jpeg?dr=14579&amp;refresh_token=cf1fcef4&amp;x-expires=1763172000&amp;x-signature=he8nWfZtOUoklQbkRro6KlBeRsY%3D&amp;t=4d5b0474&amp;ps=13740610&amp;shp=a5d48078&amp;shcp=81f88b70&amp;idc=my" TargetMode="External"/><Relationship Id="rId666" Type="http://schemas.openxmlformats.org/officeDocument/2006/relationships/hyperlink" Target="https://www.tiktok.com/@igorpsicologo/video/7480721645401869573" TargetMode="External"/><Relationship Id="rId665" Type="http://schemas.openxmlformats.org/officeDocument/2006/relationships/hyperlink" Target="https://v16-webapp-prime.tiktok.com/video/tos/useast2a/tos-useast2a-ve-0068c002/o4RjaSPAbL8aBDEhGCgQBoLefiACNgeSIuIDZl/?a=1988&amp;bti=ODszNWYuMDE6&amp;ch=0&amp;cr=3&amp;dr=0&amp;lr=all&amp;cd=0%7C0%7C0%7C&amp;cv=1&amp;br=2094&amp;bt=1047&amp;cs=0&amp;ds=3&amp;ft=-Csk_mrMPD12NY_opd-Uxz42hY6e3wv25ycAp&amp;mime_type=video_mp4&amp;qs=0&amp;rc=MzllNDhlaGUzM2U4Z2k6N0BpajNnPG45cmpneTMzNzczM0A0MTYwXzU0Nl8xMmMwLV5iYSM1NWZnMmRjajVgLS1kMTZzcw%3D%3D&amp;btag=e00090000&amp;expire=1763173664&amp;l=202511131026378F10DAFBB0AF239B249B&amp;ply_type=2&amp;policy=2&amp;signature=d7eb46c1ddfb56fb53a3be807d384eb3&amp;tk=tt_chain_token" TargetMode="External"/><Relationship Id="rId669" Type="http://schemas.openxmlformats.org/officeDocument/2006/relationships/hyperlink" Target="https://p16-sign-va.tiktokcdn.com/tos-maliva-avt-0068/c690e1c09c18ba7a3d9af56ba23e4738~tplv-tiktokx-cropcenter:1080:1080.jpeg?dr=14579&amp;refresh_token=f829dcf2&amp;x-expires=1763172000&amp;x-signature=oRM0EkS4UusgtWora2lPJ8%2BH6gM%3D&amp;t=4d5b0474&amp;ps=13740610&amp;shp=a5d48078&amp;shcp=81f88b70&amp;idc=my" TargetMode="External"/><Relationship Id="rId1490" Type="http://schemas.openxmlformats.org/officeDocument/2006/relationships/hyperlink" Target="https://p77-sign-va.tiktokcdn.com/tos-maliva-avt-0068/889071946a8680cf43388c6e7048691b~tplv-tiktokx-cropcenter:100:100.jpeg?dr=14579&amp;refresh_token=716f867c&amp;x-expires=1763172000&amp;x-signature=frriFJNmayKEzYO%2BHm7wh5Zkr2A%3D&amp;t=4d5b0474&amp;ps=13740610&amp;shp=a5d48078&amp;shcp=81f88b70&amp;idc=my" TargetMode="External"/><Relationship Id="rId660" Type="http://schemas.openxmlformats.org/officeDocument/2006/relationships/hyperlink" Target="https://v16-webapp-prime.tiktok.com/video/tos/useast2a/tos-useast2a-ve-0068c004/ooE3fADpeICB3FREmGhxqQJEQIakBiWEXxgBEZ/?a=1988&amp;bti=ODszNWYuMDE6&amp;ch=0&amp;cr=3&amp;dr=0&amp;lr=all&amp;cd=0%7C0%7C0%7C&amp;cv=1&amp;br=2648&amp;bt=1324&amp;cs=0&amp;ds=3&amp;ft=I~da4oKyD12Nv5A0i.IxRIk_glBF-UjNSbopiX&amp;mime_type=video_mp4&amp;qs=0&amp;rc=Nzg4ZTtnZzg4OGU5Ojo3NkBpM2o7bmo5cmY0dDMzNzczM0AyYzI2NTRiXjAxMS41YjA2YSNzbTUuMmRjaWZgLS1kMTZzcw%3D%3D&amp;btag=e00090000&amp;expire=1763173597&amp;l=20251113102410CE8B814C77F7637842AC&amp;ply_type=2&amp;policy=2&amp;signature=9e8a35c8d90d2fbc7e69b4de3177eeee&amp;tk=tt_chain_token" TargetMode="External"/><Relationship Id="rId1491" Type="http://schemas.openxmlformats.org/officeDocument/2006/relationships/hyperlink" Target="https://v16-webapp-prime.tiktok.com/video/tos/useast2a/tos-useast2a-v-27dcd7/oMNq5iAEkByD5ZKDIoAIB7ZOEfSInFgi7YEApA/?a=1988&amp;bti=ODszNWYuMDE6&amp;ch=0&amp;cr=0&amp;dr=0&amp;er=0&amp;lr=default&amp;cd=0%7C0%7C0%7C0&amp;br=250&amp;bt=125&amp;ds=5&amp;ft=GNDpcInz7ThaK-UPXq8Zmo&amp;mime_type=audio_mpeg&amp;qs=13&amp;rc=M2w3bHM5cjdscTMzNzU8M0BpM2w3bHM5cjdscTMzNzU8M0BpcDBnMmRjMDNgLS1kMTZzYSNpcDBnMmRjMDNgLS1kMTZzcw%3D%3D&amp;btag=e00078000&amp;expire=1763004183&amp;l=202511131022406C90E0DA9AAAC98C2302&amp;ply_type=3&amp;policy=3&amp;signature=18204efbf3042eebe955e8d56fd07441&amp;tk=7571587458748974088" TargetMode="External"/><Relationship Id="rId1492" Type="http://schemas.openxmlformats.org/officeDocument/2006/relationships/hyperlink" Target="https://p77-sign-va.tiktokcdn.com/tos-maliva-avt-0068/889071946a8680cf43388c6e7048691b~tplv-tiktokx-cropcenter:1080:1080.jpeg?dr=14579&amp;refresh_token=0fb63b72&amp;x-expires=1763172000&amp;x-signature=7If3EW4Tt5WpV7YYQC7piz4F%2BgA%3D&amp;t=4d5b0474&amp;ps=13740610&amp;shp=a5d48078&amp;shcp=81f88b70&amp;idc=my" TargetMode="External"/><Relationship Id="rId1493" Type="http://schemas.openxmlformats.org/officeDocument/2006/relationships/hyperlink" Target="https://webapp-va.tiktok.com/990785c255dcf1b91c3c9c82d2abfcd0/6917e407/kmoat/mps/logo/v2/r/p/v09044g40000cn6i30nog65pmfhjqokg/229a272922174a8db059133f6f296fab/abf565848893e6abc63cf79db99a3b70/mp4/main.mp4?a=1988&amp;bti=ODszNWYuMDE6&amp;ch=0&amp;cr=3&amp;dr=0&amp;lr=all&amp;cd=0%7C0%7C0%7C&amp;br=0&amp;bt=0&amp;cs=0&amp;ds=3&amp;eid=1286&amp;ft=bLZkJmrMPD12N8hopd-Ux~v2bY6e3wv251cAp&amp;mime_type=video_mp4&amp;qs=0&amp;rc=cnF8b2hsc2d3SkBwaHIxaDFybndmZWk8aWk2PDNnZDo1PDpkNUBpanJtaXM5cjNscTMzNzczM0BjRl5Nc3FePmJKYSNvYF90aHFmOiNeMy8zMC4yXzUxLi8vLzYvYSNobmVqMmRrMDNgLS1kMTZzcw%3D%3D&amp;btag=e000b8000&amp;definition=720p&amp;du=23&amp;item_id=7335556234138995974&amp;l=202511131022406C90E0DA9AAAC98C2302&amp;logo_type=tiktok_m&amp;ply_type=2&amp;policy=eyJ2bSI6MiwiY2siOiJ0dF9jaGFpbl90b2tlbiJ9&amp;user_text=isaquecampos21" TargetMode="External"/><Relationship Id="rId1010" Type="http://schemas.openxmlformats.org/officeDocument/2006/relationships/hyperlink" Target="https://v16-webapp-prime.tiktok.com/video/tos/alisg/tos-alisg-v-27dcd7/ooErdAToIDEfeIAUASAAbuxbgCFfq7FDOcOq0t/?a=1988&amp;bti=ODszNWYuMDE6&amp;ch=0&amp;cr=0&amp;dr=0&amp;er=0&amp;lr=default&amp;cd=0%7C0%7C0%7C0&amp;br=250&amp;bt=125&amp;ds=5&amp;ft=GNDpcInz7ThX9-UPXq8Zmo&amp;mime_type=audio_mpeg&amp;qs=13&amp;rc=am90ZXA5cnQ6NzMzODU8NEBpam90ZXA5cnQ6NzMzODU8NEBfb2FwMmRrYzJhLS1kMS1zYSNfb2FwMmRrYzJhLS1kMS1zcw%3D%3D&amp;btag=e00050000&amp;expire=1763004349&amp;l=20251113102424EE0F9FCD2CC2B68BE0E2&amp;ply_type=3&amp;policy=3&amp;signature=906df53c596aeeef39d55cb5ca63cd9c&amp;tk=7571587458748974088" TargetMode="External"/><Relationship Id="rId1494" Type="http://schemas.openxmlformats.org/officeDocument/2006/relationships/hyperlink" Target="https://www.tiktok.com/@isaquecampos21/video/7335556234138995974" TargetMode="External"/><Relationship Id="rId664"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1011" Type="http://schemas.openxmlformats.org/officeDocument/2006/relationships/hyperlink" Target="https://p77-sign-va.tiktokcdn.com/tos-maliva-avt-0068/1b1ab6d65ae96fbe11db1ee88f115e37~tplv-tiktokx-cropcenter:1080:1080.jpeg?dr=14579&amp;refresh_token=d66e5223&amp;x-expires=1763172000&amp;x-signature=R6kR8LEXgLbL9Kvgxfo27gqUrfM%3D&amp;t=4d5b0474&amp;ps=13740610&amp;shp=a5d48078&amp;shcp=81f88b70&amp;idc=my" TargetMode="External"/><Relationship Id="rId1495" Type="http://schemas.openxmlformats.org/officeDocument/2006/relationships/hyperlink" Target="https://p77-sign-sg.tiktokcdn.com/tos-alisg-avt-0068/2435be54898e0c2a1441f761b3a1dfde~tplv-tiktokx-cropcenter:100:100.jpeg?dr=14579&amp;refresh_token=11841b74&amp;x-expires=1763172000&amp;x-signature=1RjIqWDuQ%2BN8f4T06w4zsjlkLLM%3D&amp;t=4d5b0474&amp;ps=13740610&amp;shp=a5d48078&amp;shcp=81f88b70&amp;idc=my" TargetMode="External"/><Relationship Id="rId663" Type="http://schemas.openxmlformats.org/officeDocument/2006/relationships/hyperlink" Target="https://v16-webapp-prime.tiktok.com/video/tos/useast2a/tos-useast2a-v-27dcd7/o0LrCy2pcBiQzAA7zrAQPpEAil9iZE3vSUDDb/?a=1988&amp;bti=ODszNWYuMDE6&amp;ch=0&amp;cr=0&amp;dr=0&amp;er=0&amp;lr=default&amp;cd=0%7C0%7C0%7C0&amp;br=250&amp;bt=125&amp;ds=5&amp;ft=GNDpcInz7ThVY-UPXq8Zmo&amp;mime_type=audio_mpeg&amp;qs=13&amp;rc=MzxpcHU5cmlneTMzNzU8M0BpMzxpcHU5cmlneTMzNzU8M0BlMnFpMmQ0bTVgLS1kMTZzYSNlMnFpMmQ0bTVgLS1kMTZzcw%3D%3D&amp;btag=e00050000&amp;expire=1763004464&amp;l=202511131026378F10DAFBB0AF239B249B&amp;ply_type=3&amp;policy=3&amp;signature=671d50951006002e0711e3c449a994b3&amp;tk=7571587458748974088" TargetMode="External"/><Relationship Id="rId1012" Type="http://schemas.openxmlformats.org/officeDocument/2006/relationships/hyperlink" Target="https://v16-webapp-prime.tiktok.com/video/tos/alisg/tos-alisg-pve-0037c001/ogYSe4M3gWA9RwCFwAQ4N3IhDtOl8jepSufgA4/?a=1988&amp;bti=ODszNWYuMDE6&amp;ch=0&amp;cr=3&amp;dr=0&amp;lr=all&amp;cd=0%7C0%7C0%7C&amp;cv=1&amp;br=1606&amp;bt=803&amp;cs=0&amp;ds=3&amp;ft=-Csk_mrMPD12N-copd-Ux7~2bY6e3wv25bcAp&amp;mime_type=video_mp4&amp;qs=0&amp;rc=Ozo2Zzs4OTQ0ZGg3Z2g2NEBpM2h4a285cmg6NzMzODczNEBfMzUvM2NfNTExLmAyYjZfYSMzNmJpMmRzYzJhLS1kMWBzcw%3D%3D&amp;btag=e00090000&amp;expire=1763173549&amp;l=20251113102424EE0F9FCD2CC2B68BE0E2&amp;ply_type=2&amp;policy=2&amp;signature=4ce103e1c70e60299dff808a1be62f49&amp;tk=tt_chain_token" TargetMode="External"/><Relationship Id="rId1496" Type="http://schemas.openxmlformats.org/officeDocument/2006/relationships/hyperlink" Target="https://sf16-ies-music-sg.tiktokcdn.com/obj/tos-alisg-ve-2774/oUNeBfzfaiygM4IrCOMAiC17IRzyFjNa9DI1Fs" TargetMode="External"/><Relationship Id="rId662"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1013" Type="http://schemas.openxmlformats.org/officeDocument/2006/relationships/hyperlink" Target="https://www.tiktok.com/@psi.walace/video/7568993913797725460" TargetMode="External"/><Relationship Id="rId1497" Type="http://schemas.openxmlformats.org/officeDocument/2006/relationships/hyperlink" Target="https://p77-sg.tiktokcdn.com/aweme/720x720/tos-alisg-v-2774/oARoug5lACAgAZ0UgEFQNrQD7fGfvnaEBtBA1E.jpeg" TargetMode="External"/><Relationship Id="rId661" Type="http://schemas.openxmlformats.org/officeDocument/2006/relationships/hyperlink" Target="https://www.tiktok.com/@claralisle/video/7396075071866965253" TargetMode="External"/><Relationship Id="rId1014" Type="http://schemas.openxmlformats.org/officeDocument/2006/relationships/hyperlink" Target="https://p77-sign-va.tiktokcdn.com/tos-maliva-avt-0068/2b7e609cb0681a46ab556279eb956133~tplv-tiktokx-cropcenter:100:100.jpeg?dr=14579&amp;refresh_token=ff302aa4&amp;x-expires=1763172000&amp;x-signature=zcU3AIvIB9u20DU5x6221%2FCaCuc%3D&amp;t=4d5b0474&amp;ps=13740610&amp;shp=a5d48078&amp;shcp=81f88b70&amp;idc=my" TargetMode="External"/><Relationship Id="rId1498" Type="http://schemas.openxmlformats.org/officeDocument/2006/relationships/hyperlink" Target="https://v16-webapp-prime.tiktok.com/video/tos/maliva/tos-maliva-ve-0068c801-us/ooJAaKu2ELgSoz0P1TiUQ1IcVlUciAZQS5DDB/?a=1988&amp;bti=ODszNWYuMDE6&amp;ch=0&amp;cr=3&amp;dr=0&amp;lr=all&amp;cd=0%7C0%7C0%7C&amp;cv=1&amp;br=578&amp;bt=289&amp;cs=0&amp;ds=3&amp;ft=I~da4oKyD12NvuA0i.IxREJNglBF-UjNSmopiX&amp;mime_type=video_mp4&amp;qs=0&amp;rc=Z2c3NDlkZzs0OjlnZ2g3OEBpMztvaG05cm9rbjMzNzgzM0A2L2NgMmFiNi0xMi9iYi5fYSMyaWJkMmQ0bG5gLS1kLzZzcw%3D%3D&amp;btag=e00090000&amp;expire=1763173563&amp;l=202511131024337F554789EF0D09A1F8EB&amp;ply_type=2&amp;policy=2&amp;signature=abe032c648728ff0dc47e84ff4b3cdaa&amp;tk=tt_chain_token" TargetMode="External"/><Relationship Id="rId1004"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488" Type="http://schemas.openxmlformats.org/officeDocument/2006/relationships/hyperlink" Target="https://v16-webapp-prime.tiktok.com/video/tos/alisg/tos-alisg-ve-37c813-sg/okANRqiolQJ3EPBfXBJ8JJkDIFngyYADJQbfFz/?a=1988&amp;bti=ODszNWYuMDE6&amp;ch=0&amp;cr=3&amp;dr=0&amp;lr=all&amp;cd=0%7C0%7C0%7C&amp;br=1562&amp;bt=781&amp;cs=0&amp;ds=3&amp;ft=-Csk_mrMPD12NY_opd-Uxz42hY6e3wv25ycAp&amp;mime_type=video_mp4&amp;qs=0&amp;rc=Nzc2aWQ3NWhlMzRmODdnZkBpajNkcGk6ZjVkbjMzNzczM0BiMmExNi8uNTMxLzZgNWIvYSM1MGBwcjRfZmdgLS1kMTZzcw%3D%3D&amp;btag=e00098000&amp;expire=1763173887&amp;l=202511131026378F10DAFBB0AF239B249B&amp;ply_type=2&amp;policy=2&amp;signature=bed34e251b5bdbb5a4745b0a74e9096e&amp;tk=tt_chain_token" TargetMode="External"/><Relationship Id="rId1005" Type="http://schemas.openxmlformats.org/officeDocument/2006/relationships/hyperlink" Target="https://v16-webapp-prime.tiktok.com/video/tos/useast2a/tos-useast2a-v-27dcd7/oQeiM9YwAJAmAmviAELBewkGnele9xYIFQEC8E/?a=1988&amp;bti=ODszNWYuMDE6&amp;ch=0&amp;cr=0&amp;dr=0&amp;er=0&amp;lr=default&amp;cd=0%7C0%7C0%7C0&amp;br=250&amp;bt=125&amp;ds=5&amp;ft=GNDpcInz7ThA9-UPXq8Zmo&amp;mime_type=audio_mpeg&amp;qs=13&amp;rc=ang0bnM5cjdmNTMzNzU8M0Bpang0bnM5cjdmNTMzNzU8M0AtcWtrMmRzM3JhLS1kMTZzYSMtcWtrMmRzM3JhLS1kMTZzcw%3D%3D&amp;btag=e00050000&amp;expire=1763004366&amp;l=20251113102449DDADD1FB7AF14A841409&amp;ply_type=3&amp;policy=3&amp;signature=ef362519f34d45d432075702b25951f9&amp;tk=7571587458748974088" TargetMode="External"/><Relationship Id="rId1489" Type="http://schemas.openxmlformats.org/officeDocument/2006/relationships/hyperlink" Target="https://www.tiktok.com/@mundopsi13/video/7288700501900659974" TargetMode="External"/><Relationship Id="rId1006"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1007" Type="http://schemas.openxmlformats.org/officeDocument/2006/relationships/hyperlink" Target="https://v16-webapp-prime.tiktok.com/video/tos/useast2a/tos-useast2a-ve-0068c002/ocChvgagi1FeJB05EeLIAVGtReAGBiuIQXeJkY/?a=1988&amp;bti=ODszNWYuMDE6&amp;ch=0&amp;cr=3&amp;dr=0&amp;lr=all&amp;cd=0%7C0%7C0%7C&amp;cv=1&amp;br=2852&amp;bt=1426&amp;cs=0&amp;ds=3&amp;ft=I~da4oKyD12NvgA0i.IxRMb_glBF-UjNSaopiX&amp;mime_type=video_mp4&amp;qs=0&amp;rc=OGk1aDtpO2Q3OjQ1OWk6OkBpMzM7cnk5cmdmNTMzNzczM0AyLS4vNmJfNTQxXl40Xy1hYSNsNl8yMmRrMnJhLS1kMTZzcw%3D%3D&amp;btag=e00090000&amp;expire=1763173566&amp;l=20251113102449DDADD1FB7AF14A841409&amp;ply_type=2&amp;policy=2&amp;signature=010f1dbd8691c80979fbcd9572cd5a03&amp;tk=tt_chain_token" TargetMode="External"/><Relationship Id="rId1008" Type="http://schemas.openxmlformats.org/officeDocument/2006/relationships/hyperlink" Target="https://www.tiktok.com/@lorenatdahta/video/7547121453150276870" TargetMode="External"/><Relationship Id="rId1009"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657" Type="http://schemas.openxmlformats.org/officeDocument/2006/relationships/hyperlink" Target="https://p16-sign-sg.tiktokcdn.com/tos-alisg-avt-0068/9832aa685b2cfe94db09e06f702f0a77~tplv-tiktokx-cropcenter:100:100.jpeg?dr=14579&amp;refresh_token=7f323dc4&amp;x-expires=1763172000&amp;x-signature=ZYpVkRaxkusjJF3GuxG54nOp0tI%3D&amp;t=4d5b0474&amp;ps=13740610&amp;shp=a5d48078&amp;shcp=81f88b70&amp;idc=my" TargetMode="External"/><Relationship Id="rId656" Type="http://schemas.openxmlformats.org/officeDocument/2006/relationships/hyperlink" Target="https://www.tiktok.com/@luizaapsicologa/video/7397855879304842501" TargetMode="External"/><Relationship Id="rId655" Type="http://schemas.openxmlformats.org/officeDocument/2006/relationships/hyperlink" Target="https://v16-webapp-prime.tiktok.com/video/tos/alisg/tos-alisg-pve-0037c001/o0CEEUBqABxQm2LiO3aZ2SAnQumQBpi4vHIVE/?a=1988&amp;bti=ODszNWYuMDE6&amp;ch=0&amp;cr=3&amp;dr=0&amp;lr=all&amp;cd=0%7C0%7C0%7C&amp;cv=1&amp;br=1506&amp;bt=753&amp;cs=0&amp;ds=3&amp;ft=-Csk_mrMPD12N3Yopd-Ux24FaY6e3wv25WcAp&amp;mime_type=video_mp4&amp;qs=0&amp;rc=OGUzNDQ3NTo4aWc4Zjo5aUBpM2U4NnI5cjM6dDMzNzczM0BfXzYwMjZhXzYxLjJhNWJhYSNvaGpnMmRrYGlgLS1kMTZzcw%3D%3D&amp;btag=e00090000&amp;expire=1763173508&amp;l=2025111310235634FE9FF2AA2A079ADB1D&amp;ply_type=2&amp;policy=2&amp;signature=3ed8022355c106dc2396e093116dbbec&amp;tk=tt_chain_token" TargetMode="External"/><Relationship Id="rId654" Type="http://schemas.openxmlformats.org/officeDocument/2006/relationships/hyperlink" Target="https://p16-sign-sg.tiktokcdn.com/tos-alisg-avt-0068/2f66c95536f2e768e547d169d6d36ba4~tplv-tiktokx-cropcenter:1080:1080.jpeg?dr=14579&amp;refresh_token=dd020d3c&amp;x-expires=1763172000&amp;x-signature=RtzwjNA50T7DH4EIBda5o198D64%3D&amp;t=4d5b0474&amp;ps=13740610&amp;shp=a5d48078&amp;shcp=81f88b70&amp;idc=my" TargetMode="External"/><Relationship Id="rId659" Type="http://schemas.openxmlformats.org/officeDocument/2006/relationships/hyperlink" Target="https://p16-sign-sg.tiktokcdn.com/tos-alisg-avt-0068/9832aa685b2cfe94db09e06f702f0a77~tplv-tiktokx-cropcenter:1080:1080.jpeg?dr=14579&amp;refresh_token=d57b4bd0&amp;x-expires=1763172000&amp;x-signature=0nm8UzgqhG3Wa%2Bb2eLmc9Jca%2BrQ%3D&amp;t=4d5b0474&amp;ps=13740610&amp;shp=a5d48078&amp;shcp=81f88b70&amp;idc=my" TargetMode="External"/><Relationship Id="rId658" Type="http://schemas.openxmlformats.org/officeDocument/2006/relationships/hyperlink" Target="https://v16-webapp-prime.tiktok.com/video/tos/useast2a/tos-useast2a-v-27dcd7/ogfuIhakUAgil7CEAEIAwABUQuGozzdzBKEkiC/?a=1988&amp;bti=ODszNWYuMDE6&amp;ch=0&amp;cr=0&amp;dr=0&amp;er=0&amp;lr=default&amp;cd=0%7C0%7C0%7C0&amp;br=250&amp;bt=125&amp;ds=5&amp;ft=GNDpcInz7ThN9-UPXq8Zmo&amp;mime_type=audio_mpeg&amp;qs=13&amp;rc=M2puZmo5cmc1dDMzNzU8M0BpM2puZmo5cmc1dDMzNzU8M0AuZHBrMmRjM2ZgLS1kMTZzYSMuZHBrMmRjM2ZgLS1kMTZzcw%3D%3D&amp;btag=e00050000&amp;expire=1763004397&amp;l=20251113102410CE8B814C77F7637842AC&amp;ply_type=3&amp;policy=3&amp;signature=f9ff61f97ed1b36b6e149a861a58a5d4&amp;tk=7571587458748974088" TargetMode="External"/><Relationship Id="rId1480" Type="http://schemas.openxmlformats.org/officeDocument/2006/relationships/hyperlink" Target="https://www.tiktok.com/@rosane.piscologia/video/7476623603304303878" TargetMode="External"/><Relationship Id="rId1481"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1482" Type="http://schemas.openxmlformats.org/officeDocument/2006/relationships/hyperlink" Target="https://p16-sign-sg.tiktokcdn.com/tos-alisg-v-2774/o0AAn7bAAiEqARBOpaBpYUPuiW2QA5mlri7Em~720x720.jpeg?lk3s=08d74b56&amp;x-expires=1763022148&amp;x-signature=t0pqdb%2Forn4KtBHWE8A3CzWCXbk%3D" TargetMode="External"/><Relationship Id="rId1483" Type="http://schemas.openxmlformats.org/officeDocument/2006/relationships/hyperlink" Target="https://v16-webapp-prime.tiktok.com/video/tos/maliva/tos-maliva-ve-0068c801-us/osTg20tHA4QIL2SNjegCCGeglQRZgAXcAekn8M/?a=1988&amp;bti=ODszNWYuMDE6&amp;ch=0&amp;cr=3&amp;dr=0&amp;lr=all&amp;cd=0%7C0%7C0%7C&amp;cv=1&amp;br=1340&amp;bt=670&amp;cs=0&amp;ds=3&amp;ft=I~da4oKyD12NviW0i.IxRHqNglBF-UjNSqopiX&amp;mime_type=video_mp4&amp;qs=0&amp;rc=Mzw1MzdpZWRlaGZpPDU7M0BpM2d4a3g5cjM4dTMzNzczM0AuNWAuYC42NS0xMWMzMl8vYSMxMGpvMmRzaDRgLS1kMTZzcw%3D%3D&amp;btag=e00090000&amp;expire=1763173457&amp;l=202511131022270BBA173F4561DD71A814&amp;ply_type=2&amp;policy=2&amp;signature=3151e677bd3aff7446b9dd7ed9028fc2&amp;tk=tt_chain_token" TargetMode="External"/><Relationship Id="rId653" Type="http://schemas.openxmlformats.org/officeDocument/2006/relationships/hyperlink" Target="https://v16-webapp-prime.tiktok.com/video/tos/useast2a/tos-useast2a-v-27dcd7/oIMBERPoEGI2fgAARVVCeL4f8CSKbEALTqoAWA/?a=1988&amp;bti=ODszNWYuMDE6&amp;ch=0&amp;cr=0&amp;dr=0&amp;er=0&amp;lr=default&amp;cd=0%7C0%7C0%7C0&amp;br=250&amp;bt=125&amp;ds=5&amp;ft=GNDpcInz7ThiV-UPXq8Zmo&amp;mime_type=audio_mpeg&amp;qs=13&amp;rc=amk0cnk5cjZvczMzNzU8M0Bpamk0cnk5cjZvczMzNzU8M0A1ci1mMmRjYzVgLS1kMTZzYSM1ci1mMmRjYzVgLS1kMTZzcw%3D%3D&amp;btag=e00078000&amp;expire=1763004255&amp;l=2025111310235634FE9FF2AA2A079ADB1D&amp;ply_type=3&amp;policy=3&amp;signature=b457a79cb26374039c6c058d611cb8f8&amp;tk=7571587458748974088" TargetMode="External"/><Relationship Id="rId1000" Type="http://schemas.openxmlformats.org/officeDocument/2006/relationships/hyperlink" Target="https://sf16-ies-music-sg.tiktokcdn.com/obj/tos-alisg-ve-2774/oMUBYBZgAjzmzh5LASirQiSPI9QEDAgMWPiVN" TargetMode="External"/><Relationship Id="rId1484" Type="http://schemas.openxmlformats.org/officeDocument/2006/relationships/hyperlink" Target="https://www.tiktok.com/@liberdade.mentall/video/7407958496542559494" TargetMode="External"/><Relationship Id="rId652" Type="http://schemas.openxmlformats.org/officeDocument/2006/relationships/hyperlink" Target="https://p77-sign-va.tiktokcdn.com/tos-maliva-avt-0068/c4ddbb322ecc8a7326a8b416b0b1fbd7~tplv-tiktokx-cropcenter:100:100.jpeg?dr=14579&amp;refresh_token=62317a54&amp;x-expires=1763172000&amp;x-signature=uqeU9Ub0QiVCjImsaTacS51oh%2FI%3D&amp;t=4d5b0474&amp;ps=13740610&amp;shp=a5d48078&amp;shcp=81f88b70&amp;idc=my" TargetMode="External"/><Relationship Id="rId1001" Type="http://schemas.openxmlformats.org/officeDocument/2006/relationships/hyperlink" Target="https://p16-sg.tiktokcdn.com/aweme/720x720/tos-alisg-v-2774/oUG8AAGLIKPebIIr4eMBrqUMeeVeAAi7ABVAL2.jpeg" TargetMode="External"/><Relationship Id="rId1485" Type="http://schemas.openxmlformats.org/officeDocument/2006/relationships/hyperlink" Target="https://p77-sign-va.tiktokcdn.com/tos-maliva-avt-0068/8ca82cc9ed150d573b3fc912a90379f5~tplv-tiktokx-cropcenter:100:100.jpeg?dr=14579&amp;refresh_token=7178cb65&amp;x-expires=1763172000&amp;x-signature=Sdmi8tCbDiuuxH2%2BHrJWBXBIVIc%3D&amp;t=4d5b0474&amp;ps=13740610&amp;shp=a5d48078&amp;shcp=81f88b70&amp;idc=my" TargetMode="External"/><Relationship Id="rId651" Type="http://schemas.openxmlformats.org/officeDocument/2006/relationships/hyperlink" Target="https://www.tiktok.com/@tdahdescomplica/video/7442853429224934712" TargetMode="External"/><Relationship Id="rId1002" Type="http://schemas.openxmlformats.org/officeDocument/2006/relationships/hyperlink" Target="https://v16-webapp-prime.tiktok.com/video/tos/useast2a/tos-useast2a-pve-0068/oQaUHUiD7Qtr9NBAiSnFX4aB3BBQSExvwIEW9/?a=1988&amp;bti=ODszNWYuMDE6&amp;ch=0&amp;cr=3&amp;dr=0&amp;lr=all&amp;cd=0%7C0%7C0%7C&amp;cv=1&amp;br=1092&amp;bt=546&amp;cs=0&amp;ds=3&amp;ft=-Csk_mrMPD12N9Yopd-Ux315hY6e3wv25dcAp&amp;mime_type=video_mp4&amp;qs=0&amp;rc=O2loaTVpNTZnaTo1aDk1ZkBpM2w4d3c5cjRmNDMzNzczM0AwNTFeYDYxX2MxNmM2Ll4tYSNeYHJyMmRrbmFhLS1kMTZzcw%3D%3D&amp;btag=e00090000&amp;expire=1763173514&amp;l=2025111310232002E5437D242CEA8409F2&amp;ply_type=2&amp;policy=2&amp;signature=2f30d581c0feb7a096b48d8c220bca0b&amp;tk=tt_chain_token" TargetMode="External"/><Relationship Id="rId1486" Type="http://schemas.openxmlformats.org/officeDocument/2006/relationships/hyperlink" Target="https://v16-webapp-prime.tiktok.com/video/tos/useast2a/tos-useast2a-v-27dcd7/o0BAAlqBhfqDUteJX1EAXqCJGqQbhKGmAAJEon/?a=1988&amp;bti=ODszNWYuMDE6&amp;ch=0&amp;cr=0&amp;dr=0&amp;er=0&amp;lr=default&amp;cd=0%7C0%7C0%7C0&amp;br=250&amp;bt=125&amp;ds=5&amp;ft=GNDpcInz7ThVY-UPXq8Zmo&amp;mime_type=audio_mpeg&amp;qs=13&amp;rc=am9nOzY6ZjVkbjMzNzU8M0Bpam9nOzY6ZjVkbjMzNzU8M0Bkcy01cjRnaWdgLS1kMTZzYSNkcy01cjRnaWdgLS1kMTZzcw%3D%3D&amp;btag=e00058000&amp;expire=1763004687&amp;l=202511131026378F10DAFBB0AF239B249B&amp;ply_type=3&amp;policy=3&amp;signature=69b40fb1603c76c1f62a8808cb143b4d&amp;tk=7571587458748974088" TargetMode="External"/><Relationship Id="rId650" Type="http://schemas.openxmlformats.org/officeDocument/2006/relationships/hyperlink" Target="https://v16-webapp-prime.tiktok.com/video/tos/useast2a/tos-useast2a-ve-0068c003/ooKhSLGfjICqBR6DepIgqaCATAbg2TUOlOekdE/?a=1988&amp;bti=ODszNWYuMDE6&amp;ch=0&amp;cr=3&amp;dr=0&amp;lr=all&amp;cd=0%7C0%7C0%7C&amp;cv=1&amp;br=1752&amp;bt=876&amp;cs=0&amp;ds=3&amp;ft=-Csk_mrMPD12Nx_opd-Ux7o2aY6e3wv25zcAp&amp;mime_type=video_mp4&amp;qs=0&amp;rc=PGVkOjkzNjk3OTw3NTszZ0BpanFoOW45cmo4dzMzNzczM0A1YF5iNl8tNS8xLy8vLmIzYSNgYWhwMmRjMzJgLS1kMTZzcw%3D%3D&amp;btag=e00088000&amp;expire=1763173617&amp;l=20251113102607CD4452BD4E07158E0822&amp;ply_type=2&amp;policy=2&amp;signature=b994a09c3dfb6df6367804414fabede2&amp;tk=tt_chain_token" TargetMode="External"/><Relationship Id="rId1003" Type="http://schemas.openxmlformats.org/officeDocument/2006/relationships/hyperlink" Target="https://www.tiktok.com/@psi.walace/video/7519548755490704646" TargetMode="External"/><Relationship Id="rId1487" Type="http://schemas.openxmlformats.org/officeDocument/2006/relationships/hyperlink" Target="https://p16-sign-va.tiktokcdn.com/tos-maliva-avt-0068/8ca82cc9ed150d573b3fc912a90379f5~tplv-tiktokx-cropcenter:1080:1080.jpeg?dr=14579&amp;refresh_token=e86e1540&amp;x-expires=1763172000&amp;x-signature=nYn%2FZp8TuKWnNwwNkyGPkfGfBXc%3D&amp;t=4d5b0474&amp;ps=13740610&amp;shp=a5d48078&amp;shcp=81f88b70&amp;idc=my" TargetMode="External"/><Relationship Id="rId1037" Type="http://schemas.openxmlformats.org/officeDocument/2006/relationships/hyperlink" Target="https://v16-webapp-prime.tiktok.com/video/tos/useast2a/tos-useast2a-ve-0068c002/owwjNgICfVZegBS9IXFTwGgQGeAaLCgRMCXQcI/?a=1988&amp;bti=ODszNWYuMDE6&amp;ch=0&amp;cr=3&amp;dr=0&amp;lr=all&amp;cd=0%7C0%7C0%7C&amp;cv=1&amp;br=1184&amp;bt=592&amp;cs=0&amp;ds=3&amp;ft=-Csk_mrMPD12NY_opd-Uxz42hY6e3wv25ycAp&amp;mime_type=video_mp4&amp;qs=0&amp;rc=ZzVpNzlpOjM4ZDszZTk2ZUBpMzt4OG05cmRoNDMzNzczM0BeMWMvMV8wXi4xYi1gNTRiYSNwYGNfMmRjLi1hLS1kMTZzcw%3D%3D&amp;btag=e00090000&amp;expire=1763173745&amp;l=202511131026378F10DAFBB0AF239B249B&amp;ply_type=2&amp;policy=2&amp;signature=ccda71bbefebb30c4edbdfcdca207825&amp;tk=tt_chain_token" TargetMode="External"/><Relationship Id="rId1038" Type="http://schemas.openxmlformats.org/officeDocument/2006/relationships/hyperlink" Target="https://www.tiktok.com/@neurodivergenciaeopapo/video/7512252412501986565" TargetMode="External"/><Relationship Id="rId1039" Type="http://schemas.openxmlformats.org/officeDocument/2006/relationships/hyperlink" Target="https://p77-sign-va.tiktokcdn.com/tos-maliva-avt-0068/3f2851fddee89c918e3a69c28ed31a70~tplv-tiktokx-cropcenter:100:100.jpeg?dr=14579&amp;refresh_token=5a01d0b9&amp;x-expires=1763172000&amp;x-signature=0JtC5O7oz8Jh7Fe5hGit4CEt3E8%3D&amp;t=4d5b0474&amp;ps=13740610&amp;shp=a5d48078&amp;shcp=81f88b70&amp;idc=my" TargetMode="External"/><Relationship Id="rId206" Type="http://schemas.openxmlformats.org/officeDocument/2006/relationships/hyperlink" Target="https://www.tiktok.com/@pisicopop/video/7374439603706531077" TargetMode="External"/><Relationship Id="rId205" Type="http://schemas.openxmlformats.org/officeDocument/2006/relationships/hyperlink" Target="https://p77-sign-va.tiktokcdn.com/tos-maliva-avt-0068/0c857903b1d71ebd63a58d7ad9b30044~tplv-tiktokx-cropcenter:1080:1080.jpeg?dr=14579&amp;refresh_token=2bffa430&amp;x-expires=1763172000&amp;x-signature=wEF%2Fz6Itzq6Pe1hgxJyHAYeXRzc%3D&amp;t=4d5b0474&amp;ps=13740610&amp;shp=a5d48078&amp;shcp=81f88b70&amp;idc=my" TargetMode="External"/><Relationship Id="rId689" Type="http://schemas.openxmlformats.org/officeDocument/2006/relationships/hyperlink" Target="https://v16-webapp-prime.tiktok.com/video/tos/useast2a/tos-useast2a-ve-0068c001/ogf142RbGIGD01KlAaLgSDjJoCepRFCQIGgeIa/?a=1988&amp;bti=ODszNWYuMDE6&amp;ch=0&amp;cr=3&amp;dr=0&amp;lr=all&amp;cd=0%7C0%7C0%7C&amp;cv=1&amp;br=844&amp;bt=422&amp;cs=0&amp;ds=3&amp;ft=-Csk_mrMPD12NdYopd-UxMTFGY6e3wv25LcAp&amp;mime_type=video_mp4&amp;qs=0&amp;rc=MzZnZTpmNDU4aGY2aTQ6ZUBpM25kaWw5cjx1NTMzNzczM0AwYi9eMC0yXi0xLjYyMTUzYSNhbm9nMmQ0Nm5hLS1kMTZzcw%3D%3D&amp;btag=e00088000&amp;expire=1763173439&amp;l=202511131023026989DBCE704A6574DC2E&amp;ply_type=2&amp;policy=2&amp;signature=5abbf3fb994df0b9c9bfea0a58588a98&amp;tk=tt_chain_token" TargetMode="External"/><Relationship Id="rId204" Type="http://schemas.openxmlformats.org/officeDocument/2006/relationships/hyperlink" Target="https://v16-webapp-prime.tiktok.com/video/tos/useast2a/tos-useast2a-v-27dcd7/ooXyyUidMQSd9FBAiSKlJRZxqlpOaM9vSIC2F/?a=1988&amp;bti=ODszNWYuMDE6&amp;ch=0&amp;cr=0&amp;dr=0&amp;er=0&amp;lr=default&amp;cd=0%7C0%7C0%7C0&amp;br=250&amp;bt=125&amp;ft=GNDpcInz7Th49-UPXq8Zmo&amp;mime_type=audio_mpeg&amp;qs=6&amp;rc=N2lkZzg2OTc5ZztoZmdnNUBpM3RxdHc5cmtuczMzNzU8M0BfMWBhLjU1NWAxLS8uMi9iYSNtYGsvMmRrX19gLS1kMTZzcw%3D%3D&amp;btag=e00090000&amp;expire=1763004316&amp;l=20251113102415EC11E565E652E77F00C9&amp;ply_type=3&amp;policy=3&amp;signature=9909a383a8aaac055383c27ac151990c&amp;tk=7571587458748974088" TargetMode="External"/><Relationship Id="rId688" Type="http://schemas.openxmlformats.org/officeDocument/2006/relationships/hyperlink" Target="https://p16-sign-va.tiktokcdn.com/tos-maliva-avt-0068/e36021fab1514000f0e38ef6e435b4da~tplv-tiktokx-cropcenter:1080:1080.jpeg?dr=14579&amp;refresh_token=6c78693a&amp;x-expires=1763172000&amp;x-signature=6VGbsJIiaumelwiXR7zs8YAOQ2E%3D&amp;t=4d5b0474&amp;ps=13740610&amp;shp=a5d48078&amp;shcp=81f88b70&amp;idc=my" TargetMode="External"/><Relationship Id="rId203" Type="http://schemas.openxmlformats.org/officeDocument/2006/relationships/hyperlink" Target="https://p16-sign-va.tiktokcdn.com/tos-maliva-avt-0068/0c857903b1d71ebd63a58d7ad9b30044~tplv-tiktokx-cropcenter:100:100.jpeg?dr=14579&amp;refresh_token=b634ec97&amp;x-expires=1763172000&amp;x-signature=YiukyuqobLHBKOV1wy4y%2FVf%2Bfyk%3D&amp;t=4d5b0474&amp;ps=13740610&amp;shp=a5d48078&amp;shcp=81f88b70&amp;idc=my" TargetMode="External"/><Relationship Id="rId687" Type="http://schemas.openxmlformats.org/officeDocument/2006/relationships/hyperlink" Target="https://v16-webapp-prime.tiktok.com/video/tos/useast2a/tos-useast2a-v-27dcd7/ooAS1rBzDAESRiy1L1VpyUlEHCtMUQACWiAPa/?a=1988&amp;bti=ODszNWYuMDE6&amp;ch=0&amp;cr=0&amp;dr=0&amp;er=0&amp;lr=default&amp;cd=0%7C0%7C0%7C0&amp;br=250&amp;bt=125&amp;ds=5&amp;ft=GNDpcInz7ThPV-UPXq8Zmo&amp;mime_type=audio_mpeg&amp;qs=13&amp;rc=M29nZGw5cjp1NTMzNzU8M0BpM29nZGw5cjp1NTMzNzU8M0A2X2FeMmQ0Xm5hLS1kMTZzYSM2X2FeMmQ0Xm5hLS1kMTZzcw%3D%3D&amp;btag=e00048000&amp;expire=1763004239&amp;l=202511131023026989DBCE704A6574DC2E&amp;ply_type=3&amp;policy=3&amp;signature=6341361ecd32ab0d252b83bdb380e73f&amp;tk=7571587458748974088" TargetMode="External"/><Relationship Id="rId209"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208" Type="http://schemas.openxmlformats.org/officeDocument/2006/relationships/hyperlink" Target="https://v16-webapp-prime.tiktok.com/video/tos/useast2a/tos-useast2a-v-27dcd7/oQ2MEafnAiJ04p45BAzCEWfIJOkQ6BDUAPhWtg/?a=1988&amp;bti=ODszNWYuMDE6&amp;ch=0&amp;cr=0&amp;dr=0&amp;er=0&amp;lr=default&amp;cd=0%7C0%7C0%7C0&amp;br=250&amp;bt=125&amp;ds=5&amp;ft=GNDpcInz7Thm9-UPXq8Zmo&amp;mime_type=audio_mpeg&amp;qs=13&amp;rc=MzxyOzs6ZnR4bTMzNzU8M0BpMzxyOzs6ZnR4bTMzNzU8M0BhbWY0cjRfanBgLS1kMTZzYSNhbWY0cjRfanBgLS1kMTZzcw%3D%3D&amp;btag=e00050000&amp;expire=1763004360&amp;l=202511131024337F554789EF0D09A1F8EB&amp;ply_type=3&amp;policy=3&amp;signature=38b6f88de291fa36664f371c4400b102&amp;tk=7571587458748974088" TargetMode="External"/><Relationship Id="rId207"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682" Type="http://schemas.openxmlformats.org/officeDocument/2006/relationships/hyperlink" Target="https://v16-webapp-prime.tiktok.com/video/tos/useast2a/tos-useast2a-v-27dcd7/ooyAEZ9KBzhivoAA16HANfcETgkCkE02EPjqJA/?a=1988&amp;bti=ODszNWYuMDE6&amp;ch=0&amp;cr=0&amp;dr=0&amp;er=0&amp;lr=default&amp;cd=0%7C0%7C0%7C0&amp;br=250&amp;bt=125&amp;ds=5&amp;ft=GNDpcInz7Th49-UPXq8Zmo&amp;mime_type=audio_mpeg&amp;qs=13&amp;rc=andkZzc6Zmx4bjMzNzU8M0BpandkZzc6Zmx4bjMzNzU8M0BuczJvcjQwZ2BgLS1kMTZzYSNuczJvcjQwZ2BgLS1kMTZzcw%3D%3D&amp;btag=e00050000&amp;expire=1763004402&amp;l=20251113102415EC11E565E652E77F00C9&amp;ply_type=3&amp;policy=3&amp;signature=2253c46f2244524336be6608adcb97ab&amp;tk=7571587458748974088" TargetMode="External"/><Relationship Id="rId681"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030" Type="http://schemas.openxmlformats.org/officeDocument/2006/relationships/hyperlink" Target="https://v16-webapp-prime.tiktok.com/video/tos/useast2a/tos-useast2a-v-27dcd7/oAFISI2HgEuZCteiT52f9JPCfAZJ0HoU4A3OAn/?a=1988&amp;bti=ODszNWYuMDE6&amp;ch=0&amp;cr=0&amp;dr=0&amp;er=0&amp;lr=default&amp;cd=0%7C0%7C0%7C0&amp;br=250&amp;bt=125&amp;ds=5&amp;ft=GNDpcInz7Th29-UPXq8Zmo&amp;mime_type=audio_mpeg&amp;qs=13&amp;rc=M2tocWk6Zmt4bDMzNzU8M0BpM2tocWk6Zmt4bDMzNzU8M0BhaHNpcjRvb21gLS1kMTZzYSNhaHNpcjRvb21gLS1kMTZzcw%3D%3D&amp;btag=e00050000&amp;expire=1763004384&amp;l=20251113102443BFAC5C39F8934C8F8E6A&amp;ply_type=3&amp;policy=3&amp;signature=25355594408c02b4655a3f416e34d4bb&amp;tk=7571587458748974088" TargetMode="External"/><Relationship Id="rId680" Type="http://schemas.openxmlformats.org/officeDocument/2006/relationships/hyperlink" Target="https://www.tiktok.com/@pisicopop/video/7372576486915575045" TargetMode="External"/><Relationship Id="rId1031" Type="http://schemas.openxmlformats.org/officeDocument/2006/relationships/hyperlink" Target="https://p77-sign-sg.tiktokcdn.com/tos-alisg-avt-0068/a922d44f129753f3f4657ae1aab09386~tplv-tiktokx-cropcenter:1080:1080.jpeg?dr=14579&amp;refresh_token=eea8c9d7&amp;x-expires=1763172000&amp;x-signature=gbJiSnz%2BZvxqNpbpAlTxR2pCe1w%3D&amp;t=4d5b0474&amp;ps=13740610&amp;shp=a5d48078&amp;shcp=81f88b70&amp;idc=my" TargetMode="External"/><Relationship Id="rId1032" Type="http://schemas.openxmlformats.org/officeDocument/2006/relationships/hyperlink" Target="https://v16-webapp-prime.tiktok.com/video/tos/maliva/tos-maliva-ve-0068c801-us/ocWzQSUqznAe2wlcqeeGCjJgNIigAC1Zo9bLnD/?a=1988&amp;bti=ODszNWYuMDE6&amp;ch=0&amp;cr=3&amp;dr=0&amp;lr=all&amp;cd=0%7C0%7C0%7C&amp;cv=1&amp;br=3048&amp;bt=1524&amp;cs=0&amp;ds=3&amp;ft=I~da4oKyD12NvOA0i.IxRehNblBF-UjNSMopiX&amp;mime_type=video_mp4&amp;qs=0&amp;rc=Mzc0NzwzZmc3Mzo6ZzgzOEBpMzN1cDY6ZnZ4bDMzNzczM0BgNGAvYzZfXjUxMWNhMy0tYSMyLzBecjRvbW1gLS1kMTZzcw%3D%3D&amp;btag=e00090000&amp;expire=1763173584&amp;l=20251113102443BFAC5C39F8934C8F8E6A&amp;ply_type=2&amp;policy=2&amp;signature=cee079277fb58380cd2f88d88718ce3a&amp;tk=tt_chain_token" TargetMode="External"/><Relationship Id="rId202" Type="http://schemas.openxmlformats.org/officeDocument/2006/relationships/hyperlink" Target="https://www.tiktok.com/@caminhandoecortando/video/7552259161241832716" TargetMode="External"/><Relationship Id="rId686" Type="http://schemas.openxmlformats.org/officeDocument/2006/relationships/hyperlink" Target="https://p16-sign-va.tiktokcdn.com/tos-maliva-avt-0068/e36021fab1514000f0e38ef6e435b4da~tplv-tiktokx-cropcenter:100:100.jpeg?dr=14579&amp;refresh_token=4f86a7fb&amp;x-expires=1763172000&amp;x-signature=PFYw8JbyZ%2BiuetpanBHHT7bEsJc%3D&amp;t=4d5b0474&amp;ps=13740610&amp;shp=a5d48078&amp;shcp=81f88b70&amp;idc=my" TargetMode="External"/><Relationship Id="rId1033" Type="http://schemas.openxmlformats.org/officeDocument/2006/relationships/hyperlink" Target="https://www.tiktok.com/@psi.jonathanorlandi/video/7256404761765891334" TargetMode="External"/><Relationship Id="rId201" Type="http://schemas.openxmlformats.org/officeDocument/2006/relationships/hyperlink" Target="https://v16-webapp-prime.tiktok.com/video/tos/useast2a/tos-useast2a-ve-0068c002/ocAgQOBPAR0EfAlB1PB4sIPukZCIiHioxJ2C7y/?a=1988&amp;bti=ODszNWYuMDE6&amp;ch=0&amp;cr=3&amp;dr=0&amp;lr=all&amp;cd=0%7C0%7C0%7C&amp;cv=1&amp;br=1230&amp;bt=615&amp;cs=0&amp;ds=3&amp;ft=-Csk_mrMPD12NXhopd-UxB6vSY6e3wv25rcAp&amp;mime_type=video_mp4&amp;qs=0&amp;rc=Ojw0ZTw6ODRmZ2Y4NjtpO0BpajR0dm85cjpqNjMzNzczM0AvMy1iNV9iXi0xMTFgYjJjYSNxbGo1MmRzNDRhLS1kMTZzcw%3D%3D&amp;btag=e000b8000&amp;expire=1763173367&amp;l=202511131022245A53A91EDE77CC8B0DB4&amp;ply_type=2&amp;policy=2&amp;signature=f29301e4cc230cc760bf139d82cafdb8&amp;tk=tt_chain_token" TargetMode="External"/><Relationship Id="rId685" Type="http://schemas.openxmlformats.org/officeDocument/2006/relationships/hyperlink" Target="https://www.tiktok.com/@lorenatdahta/video/7285110810274286853" TargetMode="External"/><Relationship Id="rId1034" Type="http://schemas.openxmlformats.org/officeDocument/2006/relationships/hyperlink" Target="https://p16-sign-va.tiktokcdn.com/tos-maliva-avt-0068/fc1698d10dca32b79684fcca308c78cc~tplv-tiktokx-cropcenter:100:100.jpeg?dr=14579&amp;refresh_token=430ac0a3&amp;x-expires=1763172000&amp;x-signature=JzZgoivC8GVRy2ecdpdDiLoynRk%3D&amp;t=4d5b0474&amp;ps=13740610&amp;shp=a5d48078&amp;shcp=81f88b70&amp;idc=my" TargetMode="External"/><Relationship Id="rId200" Type="http://schemas.openxmlformats.org/officeDocument/2006/relationships/hyperlink" Target="https://p77-sign-va.tiktokcdn.com/tos-maliva-avt-0068/9391b64494c1f12bb276ce4437f45ed2~tplv-tiktokx-cropcenter:1080:1080.jpeg?dr=14579&amp;refresh_token=68599386&amp;x-expires=1763172000&amp;x-signature=8TPPGfnqv%2BScAB9RQ85Zr2dVIfQ%3D&amp;t=4d5b0474&amp;ps=13740610&amp;shp=a5d48078&amp;shcp=81f88b70&amp;idc=my" TargetMode="External"/><Relationship Id="rId684" Type="http://schemas.openxmlformats.org/officeDocument/2006/relationships/hyperlink" Target="https://v16-webapp-prime.tiktok.com/video/tos/useast2a/tos-useast2a-ve-0068c001/oAeCjl1bQzrKeCAZQh9Ij0OngD5ISPgPDjMeIi/?a=1988&amp;bti=ODszNWYuMDE6&amp;ch=0&amp;cr=3&amp;dr=0&amp;lr=all&amp;cd=0%7C0%7C0%7C&amp;cv=1&amp;br=1992&amp;bt=996&amp;cs=0&amp;ds=3&amp;ft=-Csk_mrMPD12Nycopd-UxG4vXY6e3wv25McAp&amp;mime_type=video_mp4&amp;qs=0&amp;rc=M2Y1Njo5OmRnNTNmNTc1OUBpMzo6c2Y6Znd4bjMzNzczM0AtYV8uNjY1NTMxMS01My8wYSMvMnJkcjRfZGBgLS1kMTZzcw%3D%3D&amp;btag=e00090000&amp;expire=1763173602&amp;l=20251113102415EC11E565E652E77F00C9&amp;ply_type=2&amp;policy=2&amp;signature=80fe307637e3ccf2558a3f6c6ac5774f&amp;tk=tt_chain_token" TargetMode="External"/><Relationship Id="rId1035" Type="http://schemas.openxmlformats.org/officeDocument/2006/relationships/hyperlink" Target="https://v16-webapp-prime.tiktok.com/video/tos/useast2a/tos-useast2a-v-27dcd7/o8AShKB5XAEuci3AEUcM8UlEzC4BqQABDiAva/?a=1988&amp;bti=ODszNWYuMDE6&amp;ch=0&amp;cr=0&amp;dr=0&amp;er=0&amp;lr=default&amp;cd=0%7C0%7C0%7C0&amp;br=250&amp;bt=125&amp;ds=5&amp;ft=GNDpcInz7ThVY-UPXq8Zmo&amp;mime_type=audio_mpeg&amp;qs=13&amp;rc=M248NnE5cm1oNDMzNzU8M0BpM248NnE5cm1oNDMzNzU8M0BrbC5pMmRrMC1hLS1kMTZzYSNrbC5pMmRrMC1hLS1kMTZzcw%3D%3D&amp;btag=e00050000&amp;expire=1763004545&amp;l=202511131026378F10DAFBB0AF239B249B&amp;ply_type=3&amp;policy=3&amp;signature=f6881e3a0646d4dfffc2a9a552f1fb8d&amp;tk=7571587458748974088" TargetMode="External"/><Relationship Id="rId683"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1036" Type="http://schemas.openxmlformats.org/officeDocument/2006/relationships/hyperlink" Target="https://p77-sign-va.tiktokcdn.com/tos-maliva-avt-0068/fc1698d10dca32b79684fcca308c78cc~tplv-tiktokx-cropcenter:1080:1080.jpeg?dr=14579&amp;refresh_token=39453837&amp;x-expires=1763172000&amp;x-signature=S02rfb1NJnYmdSr9h6XmXwXokiw%3D&amp;t=4d5b0474&amp;ps=13740610&amp;shp=a5d48078&amp;shcp=81f88b70&amp;idc=my" TargetMode="External"/><Relationship Id="rId1026" Type="http://schemas.openxmlformats.org/officeDocument/2006/relationships/hyperlink" Target="https://p77-sign-va.tiktokcdn.com/tos-maliva-avt-0068/1b1ab6d65ae96fbe11db1ee88f115e37~tplv-tiktokx-cropcenter:1080:1080.jpeg?dr=14579&amp;refresh_token=d66e5223&amp;x-expires=1763172000&amp;x-signature=R6kR8LEXgLbL9Kvgxfo27gqUrfM%3D&amp;t=4d5b0474&amp;ps=13740610&amp;shp=a5d48078&amp;shcp=81f88b70&amp;idc=my" TargetMode="External"/><Relationship Id="rId1027" Type="http://schemas.openxmlformats.org/officeDocument/2006/relationships/hyperlink" Target="https://v16-webapp-prime.tiktok.com/video/tos/alisg/tos-alisg-pve-0037c001/ooxddMfApZX6M0R8iApfxgHU2fNCfAHfQixLBl/?a=1988&amp;bti=ODszNWYuMDE6&amp;ch=0&amp;cr=3&amp;dr=0&amp;lr=all&amp;cd=0%7C0%7C0%7C&amp;cv=1&amp;br=1432&amp;bt=716&amp;cs=0&amp;ds=3&amp;ft=I~da4oKyD12NvuA0i.IxREJNglBF-UjNSmopiX&amp;mime_type=video_mp4&amp;qs=0&amp;rc=ZzY7aWhoaWQ0OWRpNDs1OEBpanBydXc5cnR4NjMzODczNEAxL2AyNC5eNWAxYTA1XjQwYSMzZGUyMmQ0a3NhLS1kMWBzcw%3D%3D&amp;btag=e00090000&amp;expire=1763173601&amp;l=202511131024337F554789EF0D09A1F8EB&amp;ply_type=2&amp;policy=2&amp;signature=63bd046722619f89670b72aed79ed17e&amp;tk=tt_chain_token" TargetMode="External"/><Relationship Id="rId1028" Type="http://schemas.openxmlformats.org/officeDocument/2006/relationships/hyperlink" Target="https://www.tiktok.com/@psi.walace/video/7566025460065357077" TargetMode="External"/><Relationship Id="rId1029"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679" Type="http://schemas.openxmlformats.org/officeDocument/2006/relationships/hyperlink" Target="https://p77-sign-va.tiktokcdn.com/tos-maliva-avt-0068/0c857903b1d71ebd63a58d7ad9b30044~tplv-tiktokx-cropcenter:1080:1080.jpeg?dr=14579&amp;refresh_token=2bffa430&amp;x-expires=1763172000&amp;x-signature=wEF%2Fz6Itzq6Pe1hgxJyHAYeXRzc%3D&amp;t=4d5b0474&amp;ps=13740610&amp;shp=a5d48078&amp;shcp=81f88b70&amp;idc=my" TargetMode="External"/><Relationship Id="rId678" Type="http://schemas.openxmlformats.org/officeDocument/2006/relationships/hyperlink" Target="https://v16-webapp-prime.tiktok.com/video/tos/useast2a/tos-useast2a-v-27dcd7/oAFdFB5mUCWfBPKQE6BKhJqBJsQfM5HAU29QID/?a=1988&amp;bti=ODszNWYuMDE6&amp;ch=0&amp;cr=0&amp;dr=0&amp;er=0&amp;lr=default&amp;cd=0%7C0%7C0%7C0&amp;br=250&amp;bt=125&amp;ft=GNDpcInz7ThQ9-UPXq8Zmo&amp;mime_type=audio_mpeg&amp;qs=6&amp;rc=Z2hpZzZlNTQ5ZDMzNTg5OUBpamlpanc5cmxkczMzNzU8M0AvYzIxMy1jNjUxYzZgNmIwYSNycjFhMmRrYjVgLS1kMTZzcw%3D%3D&amp;btag=e00090000&amp;expire=1763004311&amp;l=202511131024053FAEE14371AE44A729CC&amp;ply_type=3&amp;policy=3&amp;signature=3d5404a1694c257998d79f4635ec8093&amp;tk=7571587458748974088" TargetMode="External"/><Relationship Id="rId677" Type="http://schemas.openxmlformats.org/officeDocument/2006/relationships/hyperlink" Target="https://p77-sign-va.tiktokcdn.com/tos-maliva-avt-0068/0c857903b1d71ebd63a58d7ad9b30044~tplv-tiktokx-cropcenter:100:100.jpeg?dr=14579&amp;refresh_token=bd7ccf7b&amp;x-expires=1763172000&amp;x-signature=qnFlEFg%2F126y2FC73ux9%2Bx6bk0k%3D&amp;t=4d5b0474&amp;ps=13740610&amp;shp=a5d48078&amp;shcp=81f88b70&amp;idc=my" TargetMode="External"/><Relationship Id="rId676" Type="http://schemas.openxmlformats.org/officeDocument/2006/relationships/hyperlink" Target="https://www.tiktok.com/@maylahaddad/video/7479557548773887237" TargetMode="External"/><Relationship Id="rId671" Type="http://schemas.openxmlformats.org/officeDocument/2006/relationships/hyperlink" Target="https://www.tiktok.com/@portaldrauziovarella/video/7329612907409444102" TargetMode="External"/><Relationship Id="rId670" Type="http://schemas.openxmlformats.org/officeDocument/2006/relationships/hyperlink" Target="https://v16-webapp-prime.tiktok.com/video/tos/alisg/tos-alisg-pve-0037c001/oQARpuEHEIiLTTJuEMQCBJQIDfATFBQReBTlAE/?a=1988&amp;bti=ODszNWYuMDE6&amp;ch=0&amp;cr=3&amp;dr=0&amp;lr=all&amp;cd=0%7C0%7C0%7C&amp;cv=1&amp;br=1378&amp;bt=689&amp;cs=0&amp;ds=3&amp;ft=-Csk_mrMPD12N8Yopd-UxfeFaY6e3wv25HcAp&amp;mime_type=video_mp4&amp;qs=0&amp;rc=ZjQ5aTQ2NGk3aWVlOmc1aUBpM2s8a245cjMzcDMzNzczM0BjMDY1MC0tX2AxMzIuLzQyYSMtcGRsMmRrNXBgLS1kMTZzcw%3D%3D&amp;btag=e00090000&amp;expire=1763173518&amp;l=20251113102343D1A0044B947998B9C2A2&amp;ply_type=2&amp;policy=2&amp;signature=89ec1958b440714829f5f82b2e9c3e45&amp;tk=tt_chain_token" TargetMode="External"/><Relationship Id="rId1020" Type="http://schemas.openxmlformats.org/officeDocument/2006/relationships/hyperlink" Target="https://v16-webapp-prime.tiktok.com/video/tos/useast2a/tos-useast2a-v-27dcd7/o0EBzGA3OKEWKADwmm1g5TABiAkoyXAE6ofiE2/?a=1988&amp;bti=ODszNWYuMDE6&amp;ch=0&amp;cr=0&amp;dr=0&amp;er=0&amp;lr=default&amp;cd=0%7C0%7C0%7C0&amp;br=250&amp;bt=125&amp;ds=5&amp;ft=GNDpcInz7Tht9-UPXq8Zmo&amp;mime_type=audio_mpeg&amp;qs=13&amp;rc=anE8aHE5cjVncjMzNzU8M0BpanE8aHE5cjVncjMzNzU8M0AuM2VsMmRjaW1gLS1kMTZzYSMuM2VsMmRjaW1gLS1kMTZzcw%3D%3D&amp;btag=e00050000&amp;expire=1763004347&amp;l=20251113102438711CFC3830D7669110B2&amp;ply_type=3&amp;policy=3&amp;signature=cfcaa16e9c222f7d487a466065fc568a&amp;tk=7571587458748974088" TargetMode="External"/><Relationship Id="rId1021"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675" Type="http://schemas.openxmlformats.org/officeDocument/2006/relationships/hyperlink" Target="https://v16-webapp-prime.tiktok.com/video/tos/useast2a/tos-useast2a-pve-0068/o0QRfRBnPzZdlF015KmDCQgEJWBfADxh1IKVEL/?a=1988&amp;bti=ODszNWYuMDE6&amp;ch=0&amp;cr=3&amp;dr=0&amp;lr=all&amp;cd=0%7C0%7C0%7C&amp;cv=1&amp;br=1410&amp;bt=705&amp;cs=0&amp;ds=3&amp;ft=-Csk_mrMPD12N8hopd-Ux~v2bY6e3wv251cAp&amp;mime_type=video_mp4&amp;qs=0&amp;rc=aWQ1NzM6N2YzNDs3Zzg6M0BpamVlZHY5cmpleTMzNzczM0AwMTFeLi02NTMxX19jYGEvYSMvaGtwMmRzZjNgLS1kMTZzcw%3D%3D&amp;btag=e00090000&amp;expire=1763173421&amp;l=202511131022406C90E0DA9AAAC98C2302&amp;ply_type=2&amp;policy=2&amp;signature=41ce78c6c0df0054faff52370a196096&amp;tk=tt_chain_token" TargetMode="External"/><Relationship Id="rId1022" Type="http://schemas.openxmlformats.org/officeDocument/2006/relationships/hyperlink" Target="https://v16-webapp-prime.tiktok.com/video/tos/maliva/tos-maliva-ve-0068c801-us/oc2ETEsDQKIBmmKFfjmRBQA0IwyeqMEXt8EUEJ/?a=1988&amp;bti=ODszNWYuMDE6&amp;ch=0&amp;cr=3&amp;dr=0&amp;lr=all&amp;cd=0%7C0%7C0%7C&amp;cv=1&amp;br=2026&amp;bt=1013&amp;cs=0&amp;ds=3&amp;ft=I~da4oKyD12NvnA0i.IxRTF_blBF-UjNSaopiX&amp;mime_type=video_mp4&amp;qs=0&amp;rc=OzM1OzM3ZTRlOWc8M2Y0N0BpM2RyOnQ5cmlncjMzNzczM0BhNTMwLV8yXmAxMzZiNTIwYSNqaGhgMmQ0Z21gLS1kMTZzcw%3D%3D&amp;btag=e00090000&amp;expire=1763173547&amp;l=20251113102438711CFC3830D7669110B2&amp;ply_type=2&amp;policy=2&amp;signature=52704ff186333f8905a3d59b09c26d29&amp;tk=tt_chain_token" TargetMode="External"/><Relationship Id="rId674" Type="http://schemas.openxmlformats.org/officeDocument/2006/relationships/hyperlink" Target="https://p77-sg.tiktokcdn.com/aweme/720x720/tos-alisg-v-2774/0c6f9b5b9dbe4ce79434e9b5f3aa6e97.jpeg" TargetMode="External"/><Relationship Id="rId1023" Type="http://schemas.openxmlformats.org/officeDocument/2006/relationships/hyperlink" Target="https://www.tiktok.com/@lorenatdahta/video/7364188586348088582" TargetMode="External"/><Relationship Id="rId673" Type="http://schemas.openxmlformats.org/officeDocument/2006/relationships/hyperlink" Target="https://sf16-ies-music-sg.tiktokcdn.com/obj/tos-alisg-ve-2774/o0eyc3nzQ8CnoxB50dDQBUtrBT6ybZHPjpfng3" TargetMode="External"/><Relationship Id="rId1024"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672" Type="http://schemas.openxmlformats.org/officeDocument/2006/relationships/hyperlink" Target="https://p77-sign-va.tiktokcdn.com/tos-maliva-avt-0068/9e06e976e88a97c1965a9363892b8bc4~tplv-tiktokx-cropcenter:100:100.jpeg?dr=14579&amp;refresh_token=d87e39ae&amp;x-expires=1763172000&amp;x-signature=zqBRPwgUIAHQxwIaWE6J11eCr6s%3D&amp;t=4d5b0474&amp;ps=13740610&amp;shp=a5d48078&amp;shcp=81f88b70&amp;idc=my" TargetMode="External"/><Relationship Id="rId1025" Type="http://schemas.openxmlformats.org/officeDocument/2006/relationships/hyperlink" Target="https://v16-webapp-prime.tiktok.com/video/tos/alisg/tos-alisg-v-27dcd7/oo17IAAajHGWMMCfF5FEAyDJQfJmNnAIIrfKAe/?a=1988&amp;bti=ODszNWYuMDE6&amp;ch=0&amp;cr=0&amp;dr=0&amp;er=0&amp;lr=default&amp;cd=0%7C0%7C0%7C0&amp;br=250&amp;bt=125&amp;ds=5&amp;ft=GNDpcInz7Thm9-UPXq8Zmo&amp;mime_type=audio_mpeg&amp;qs=13&amp;rc=ajk3eHY5cjV4NjMzODU8NEBpajk3eHY5cjV4NjMzODU8NEAzXmhuMmRjbXNhLS1kMS1zYSMzXmhuMmRjbXNhLS1kMS1zcw%3D%3D&amp;btag=e00050000&amp;expire=1763004401&amp;l=202511131024337F554789EF0D09A1F8EB&amp;ply_type=3&amp;policy=3&amp;signature=991ae88c6f2dc25e60e68b44d4a32f0e&amp;tk=7571587458748974088" TargetMode="External"/><Relationship Id="rId190" Type="http://schemas.openxmlformats.org/officeDocument/2006/relationships/hyperlink" Target="https://p77-sign-va.tiktokcdn.com/tos-maliva-avt-0068/b7841460d9b1783162ae78e8d2cf3a44~tplv-tiktokx-cropcenter:1080:1080.jpeg?dr=14579&amp;refresh_token=4865b881&amp;x-expires=1763172000&amp;x-signature=%2BFrJ6Bqjeaur4hPqLEnK%2Bi5w5xk%3D&amp;t=4d5b0474&amp;ps=13740610&amp;shp=a5d48078&amp;shcp=81f88b70&amp;idc=my" TargetMode="External"/><Relationship Id="rId194" Type="http://schemas.openxmlformats.org/officeDocument/2006/relationships/hyperlink" Target="https://v16-webapp-prime.tiktok.com/video/tos/useast2a/tos-useast2a-v-27dcd7/okhEVfgAIbSXIQfeUfMJKP8RAHM1KJAgqAP9Cf/?a=1988&amp;bti=ODszNWYuMDE6&amp;ch=0&amp;cr=0&amp;dr=0&amp;er=0&amp;lr=default&amp;cd=0%7C0%7C0%7C0&amp;br=250&amp;bt=125&amp;ds=5&amp;ft=GNDpcInz7Th_9-UPXq8Zmo&amp;mime_type=audio_mpeg&amp;qs=13&amp;rc=ams1N3M5cnl5eDMzNzU8M0Bpams1N3M5cnl5eDMzNzU8M0AxXmU1MmRzbGdgLS1kMTZzYSMxXmU1MmRzbGdgLS1kMTZzcw%3D%3D&amp;btag=e00050000&amp;expire=1763004321&amp;l=202511131024200DA040BB1F5C349EC2B1&amp;ply_type=3&amp;policy=3&amp;signature=49e7d90a9a97c127561455f43326c95e&amp;tk=7571587458748974088" TargetMode="External"/><Relationship Id="rId193"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192" Type="http://schemas.openxmlformats.org/officeDocument/2006/relationships/hyperlink" Target="https://www.tiktok.com/@girodaengrenagem/video/7273920974033145094" TargetMode="External"/><Relationship Id="rId191" Type="http://schemas.openxmlformats.org/officeDocument/2006/relationships/hyperlink" Target="https://v16-webapp-prime.tiktok.com/video/tos/alisg/tos-alisg-pve-0037/oUJISho3dCbQEAerNC9ICgLhC5ERgubeie0nD2/?a=1988&amp;bti=ODszNWYuMDE6&amp;ch=0&amp;cr=3&amp;dr=0&amp;lr=all&amp;cd=0%7C0%7C0%7C&amp;cv=1&amp;br=1894&amp;bt=947&amp;cs=0&amp;ds=3&amp;ft=-Csk_mrMPD12Nyhopd-UxFN2aY6e3wv25ycAp&amp;mime_type=video_mp4&amp;qs=0&amp;rc=ZzVmNTczNmdmODc1ZmZkaUBpamc2cjk6Zjo1bTMzNzgzM0A2XzFfNTZfXmIxYC9jXl5jYSNxcTZxcjRfY21gLS1kLzZzcw%3D%3D&amp;btag=e00098000&amp;expire=1763173609&amp;l=2025111310220790E74D25ACF9796D8D06&amp;ply_type=2&amp;policy=2&amp;signature=c394bf7ef95a352ba498a7c05b170d2d&amp;tk=tt_chain_token" TargetMode="External"/><Relationship Id="rId187" Type="http://schemas.openxmlformats.org/officeDocument/2006/relationships/hyperlink" Target="https://www.tiktok.com/@claralisle/video/7376794159052541189" TargetMode="External"/><Relationship Id="rId186" Type="http://schemas.openxmlformats.org/officeDocument/2006/relationships/hyperlink" Target="https://v16-webapp-prime.tiktok.com/video/tos/useast2a/tos-useast2a-pve-0068/oofypFBRJDmCXZEMoQHYAr0xQfhJOUBEVwIM6g/?a=1988&amp;bti=ODszNWYuMDE6&amp;ch=0&amp;cr=3&amp;dr=0&amp;lr=all&amp;cd=0%7C0%7C0%7C&amp;cv=1&amp;br=1504&amp;bt=752&amp;cs=0&amp;ds=3&amp;ft=-Csk_mrMPD12N4Yopd-Ux9T2bY6e3wv25IcAp&amp;mime_type=video_mp4&amp;qs=0&amp;rc=ZTlkNDZoN2Y6NjRlPGloaEBpamptbW45cjV0czMzNzczM0AtLTAyLTEyNTExLzUtNjFgYSNwZS5nMmRjM2NgLS1kMTZzcw%3D%3D&amp;btag=e00088000&amp;expire=1763173416&amp;l=20251113102257F8D01E3BFCE9B2911856&amp;ply_type=2&amp;policy=2&amp;signature=ed29fa69015bb5bf78a1882c8f4f86da&amp;tk=tt_chain_token" TargetMode="External"/><Relationship Id="rId185" Type="http://schemas.openxmlformats.org/officeDocument/2006/relationships/hyperlink" Target="https://p16-sign-sg.tiktokcdn.com/tos-alisg-avt-0068/9832aa685b2cfe94db09e06f702f0a77~tplv-tiktokx-cropcenter:1080:1080.jpeg?dr=14579&amp;refresh_token=d57b4bd0&amp;x-expires=1763172000&amp;x-signature=0nm8UzgqhG3Wa%2Bb2eLmc9Jca%2BrQ%3D&amp;t=4d5b0474&amp;ps=13740610&amp;shp=a5d48078&amp;shcp=81f88b70&amp;idc=my" TargetMode="External"/><Relationship Id="rId184" Type="http://schemas.openxmlformats.org/officeDocument/2006/relationships/hyperlink" Target="https://v16-webapp-prime.tiktok.com/video/tos/useast2a/tos-useast2a-v-27dcd7/ogLBeEGvARFCnLT3Mq65ZASogQefCGgQAAM0Ia/?a=1988&amp;bti=ODszNWYuMDE6&amp;ch=0&amp;cr=0&amp;dr=0&amp;er=0&amp;lr=default&amp;cd=0%7C0%7C0%7C0&amp;br=250&amp;bt=125&amp;ds=5&amp;ft=GNDpcInz7ThlV-UPXq8Zmo&amp;mime_type=audio_mpeg&amp;qs=13&amp;rc=M2hxO205cml0czMzNzU8M0BpM2hxO205cml0czMzNzU8M0BkYWEyMmQ0M2NgLS1kMTZzYSNkYWEyMmQ0M2NgLS1kMTZzcw%3D%3D&amp;btag=e00048000&amp;expire=1763004216&amp;l=20251113102257F8D01E3BFCE9B2911856&amp;ply_type=3&amp;policy=3&amp;signature=55ee633e91bc91c58640fa6ba3e0ba3f&amp;tk=7571587458748974088" TargetMode="External"/><Relationship Id="rId189" Type="http://schemas.openxmlformats.org/officeDocument/2006/relationships/hyperlink" Target="https://v16-webapp-prime.tiktok.com/video/tos/useast2a/tos-useast2a-v-27dcd7/oUIUyekziBE8B3ntMbayTJQQDHKUh8SheTjCJP/?a=1988&amp;bti=ODszNWYuMDE6&amp;ch=0&amp;cr=0&amp;dr=0&amp;er=0&amp;lr=default&amp;cd=0%7C0%7C0%7C0&amp;br=250&amp;bt=125&amp;ft=GNDpcInz7Th4K-UPXq8Zmo&amp;mime_type=audio_mpeg&amp;qs=6&amp;rc=aThmaTQ0NWYzO2hmNTQ3NkBpanZpdDw6ZnI1bTMzNzU8M0BfNS42M2MzXjMxMDAtMWMuYSNkcWdgcjRfZW1gLS1kMTZzcw%3D%3D&amp;btag=e00098000&amp;expire=1763004409&amp;l=2025111310220790E74D25ACF9796D8D06&amp;ply_type=3&amp;policy=3&amp;signature=ce9e74d1e85c31854cacfba64b2f0eaa&amp;tk=7571587458748974088" TargetMode="External"/><Relationship Id="rId188" Type="http://schemas.openxmlformats.org/officeDocument/2006/relationships/hyperlink" Target="https://p16-sign-va.tiktokcdn.com/tos-maliva-avt-0068/b7841460d9b1783162ae78e8d2cf3a44~tplv-tiktokx-cropcenter:100:100.jpeg?dr=14579&amp;refresh_token=2f7c8878&amp;x-expires=1763172000&amp;x-signature=uuBaIbj2GuZsENOAsfMesDoXHb8%3D&amp;t=4d5b0474&amp;ps=13740610&amp;shp=a5d48078&amp;shcp=81f88b70&amp;idc=my" TargetMode="External"/><Relationship Id="rId183" Type="http://schemas.openxmlformats.org/officeDocument/2006/relationships/hyperlink" Target="https://p16-sign-sg.tiktokcdn.com/tos-alisg-avt-0068/9832aa685b2cfe94db09e06f702f0a77~tplv-tiktokx-cropcenter:100:100.jpeg?dr=14579&amp;refresh_token=7f323dc4&amp;x-expires=1763172000&amp;x-signature=ZYpVkRaxkusjJF3GuxG54nOp0tI%3D&amp;t=4d5b0474&amp;ps=13740610&amp;shp=a5d48078&amp;shcp=81f88b70&amp;idc=my" TargetMode="External"/><Relationship Id="rId182" Type="http://schemas.openxmlformats.org/officeDocument/2006/relationships/hyperlink" Target="https://www.tiktok.com/@gabrielafidelis_/video/7184583301187833094" TargetMode="External"/><Relationship Id="rId181" Type="http://schemas.openxmlformats.org/officeDocument/2006/relationships/hyperlink" Target="https://v16-webapp-prime.tiktok.com/video/tos/alisg/tos-alisg-pve-0037c001/oU9C2Df2hIzpVMQAInyoNChAxnEiIUCgkJMmlA/?a=1988&amp;bti=ODszNWYuMDE6&amp;ch=0&amp;cr=3&amp;dr=0&amp;lr=all&amp;cd=0%7C0%7C0%7C&amp;cv=1&amp;br=2406&amp;bt=1203&amp;cs=0&amp;ds=3&amp;ft=-Csk_mrMPD12N8hopd-Ux~v2bY6e3wv251cAp&amp;mime_type=video_mp4&amp;qs=0&amp;rc=aDU8PGQzNGc5ODw5NmdpNUBpajRlM2Y6ZmRmaDMzNzczM0AzYTMxXzA0NmAxLjBjNmNfYSNnYWQtcjRnNW5gLS1kMTZzcw%3D%3D&amp;btag=e00090000&amp;expire=1763173422&amp;l=202511131022406C90E0DA9AAAC98C2302&amp;ply_type=2&amp;policy=2&amp;signature=0df87a5c4274f4d50712aac85990ba81&amp;tk=tt_chain_token" TargetMode="External"/><Relationship Id="rId180" Type="http://schemas.openxmlformats.org/officeDocument/2006/relationships/hyperlink" Target="https://p16-sign-va.tiktokcdn.com/tos-maliva-avt-0068/ed21d51408171852de114499558d74d7~tplv-tiktokx-cropcenter:1080:1080.jpeg?dr=14579&amp;refresh_token=c6125f67&amp;x-expires=1763172000&amp;x-signature=3QpYHVKGIuqp%2BjNgO9okxNcGlEo%3D&amp;t=4d5b0474&amp;ps=13740610&amp;shp=a5d48078&amp;shcp=81f88b70&amp;idc=my" TargetMode="External"/><Relationship Id="rId176" Type="http://schemas.openxmlformats.org/officeDocument/2006/relationships/hyperlink" Target="https://v16-webapp-prime.tiktok.com/video/tos/maliva/tos-maliva-v-85c255-us/owJvyyiBxIJBw9FBiofQIqB4iDfQEBSIDE9LGi/?a=1988&amp;bti=ODszNWYuMDE6&amp;ch=0&amp;cr=3&amp;dr=0&amp;lr=all&amp;cd=0%7C0%7C0%7C&amp;cv=1&amp;br=1360&amp;bt=680&amp;cs=0&amp;ds=3&amp;ft=-Csk_mrMPD12Nn.opd-UxJTFGY6e3wv25bcAp&amp;mime_type=video_mp4&amp;qs=0&amp;rc=NDZpaTlpaGY8aGc5aDM2ZEBpM2s5a3I5cjR5NjQzNzM2M0AuXy4tYTIwNS8xMC1gXjExYSNtczUxMmRzXjJhLS1kLTZzcw%3D%3D&amp;btag=e00090000&amp;expire=1763173641&amp;l=2025111310254344385823DD6566920070&amp;ply_type=2&amp;policy=2&amp;signature=52ba9e6beb6e0ea60c0624000a142a96&amp;tk=tt_chain_token" TargetMode="External"/><Relationship Id="rId175" Type="http://schemas.openxmlformats.org/officeDocument/2006/relationships/hyperlink" Target="https://p16-sign-va.tiktokcdn.com/tos-maliva-avt-0068/558a1246010c72cc49bee2096709c74b~tplv-tiktokx-cropcenter:1080:1080.jpeg?dr=14579&amp;refresh_token=4d9047ba&amp;x-expires=1763172000&amp;x-signature=sp17fZwbm11zXkReH5aKX8FqjYs%3D&amp;t=4d5b0474&amp;ps=13740610&amp;shp=a5d48078&amp;shcp=81f88b70&amp;idc=my" TargetMode="External"/><Relationship Id="rId174" Type="http://schemas.openxmlformats.org/officeDocument/2006/relationships/hyperlink" Target="https://v16-webapp-prime.tiktok.com/video/tos/useast2a/tos-useast2a-v-27dcd7/ocgro9guQIfaskCFe9jQLGRELY83kXfeAJvLPm/?a=1988&amp;bti=ODszNWYuMDE6&amp;ch=0&amp;cr=0&amp;dr=0&amp;er=0&amp;lr=default&amp;cd=0%7C0%7C0%7C0&amp;br=250&amp;bt=125&amp;ft=GNDpcInz7ThGD-UPXq8Zmo&amp;mime_type=audio_mpeg&amp;qs=6&amp;rc=NWQ8OGk4OWRnaGk3Zzs8NEBpanl0eXk5cjh5NjMzNzU8M0BeYTUvX14vXzUxY18yMy42YSNvX2JhMmRjXjJhLS1kMTZzcw%3D%3D&amp;btag=e00090000&amp;expire=1763004441&amp;l=2025111310254344385823DD6566920070&amp;ply_type=3&amp;policy=3&amp;signature=5c771d12b4e92fca49b9f3850d7c2204&amp;tk=7571587458748974088" TargetMode="External"/><Relationship Id="rId173" Type="http://schemas.openxmlformats.org/officeDocument/2006/relationships/hyperlink" Target="https://p77-sign-va.tiktokcdn.com/tos-maliva-avt-0068/558a1246010c72cc49bee2096709c74b~tplv-tiktokx-cropcenter:100:100.jpeg?dr=14579&amp;refresh_token=01d16009&amp;x-expires=1763172000&amp;x-signature=YRGNX3zy5Gmk5RmSOo9v7dTyUnQ%3D&amp;t=4d5b0474&amp;ps=13740610&amp;shp=a5d48078&amp;shcp=81f88b70&amp;idc=my" TargetMode="External"/><Relationship Id="rId179" Type="http://schemas.openxmlformats.org/officeDocument/2006/relationships/hyperlink" Target="https://v16-webapp-prime.tiktok.com/video/tos/useast2a/tos-useast2a-v-27dcd7/c00a827e0ab64af0a1fdff44bae6b87d/?a=1988&amp;bti=ODszNWYuMDE6&amp;ch=0&amp;cr=0&amp;dr=0&amp;er=0&amp;lr=default&amp;cd=0%7C0%7C0%7C0&amp;br=250&amp;bt=125&amp;ds=5&amp;ft=GNDpcInz7ThaK-UPXq8Zmo&amp;mime_type=audio_mpeg&amp;qs=13&amp;rc=anM4dmc6ZnlmaDMzNzU8M0BpanM4dmc6ZnlmaDMzNzU8M0BjNXEycjRvNW5gLS1kMTZzYSNjNXEycjRvNW5gLS1kMTZzcw%3D%3D&amp;btag=e00050000&amp;expire=1763004222&amp;l=202511131022406C90E0DA9AAAC98C2302&amp;ply_type=3&amp;policy=3&amp;signature=f4b344a21720aa5a4d9ac84dae0485b4&amp;tk=7571587458748974088" TargetMode="External"/><Relationship Id="rId178" Type="http://schemas.openxmlformats.org/officeDocument/2006/relationships/hyperlink" Target="https://p77-sign-va.tiktokcdn.com/tos-maliva-avt-0068/ed21d51408171852de114499558d74d7~tplv-tiktokx-cropcenter:100:100.jpeg?dr=14579&amp;refresh_token=798cdc28&amp;x-expires=1763172000&amp;x-signature=T%2BejteNk4phfZ6HyTE4jpZpmj9w%3D&amp;t=4d5b0474&amp;ps=13740610&amp;shp=a5d48078&amp;shcp=81f88b70&amp;idc=my" TargetMode="External"/><Relationship Id="rId177" Type="http://schemas.openxmlformats.org/officeDocument/2006/relationships/hyperlink" Target="https://www.tiktok.com/@fgmedpos/video/7551398640418295052" TargetMode="External"/><Relationship Id="rId198" Type="http://schemas.openxmlformats.org/officeDocument/2006/relationships/hyperlink" Target="https://p77-sign-va.tiktokcdn.com/tos-maliva-avt-0068/9391b64494c1f12bb276ce4437f45ed2~tplv-tiktokx-cropcenter:100:100.jpeg?dr=14579&amp;refresh_token=ac7a8022&amp;x-expires=1763172000&amp;x-signature=yKED%2F7qJ8uD2otCeS4cEifBJ8pQ%3D&amp;t=4d5b0474&amp;ps=13740610&amp;shp=a5d48078&amp;shcp=81f88b70&amp;idc=my" TargetMode="External"/><Relationship Id="rId197" Type="http://schemas.openxmlformats.org/officeDocument/2006/relationships/hyperlink" Target="https://www.tiktok.com/@igorpsicologo/video/7469210932044958981" TargetMode="External"/><Relationship Id="rId196" Type="http://schemas.openxmlformats.org/officeDocument/2006/relationships/hyperlink" Target="https://v16-webapp-prime.tiktok.com/video/tos/useast2a/tos-useast2a-pve-0068/oQs5qgIMeJ7ifQpXQNGeeAQfiKnP8nkAbMI89L/?a=1988&amp;bti=ODszNWYuMDE6&amp;ch=0&amp;cr=3&amp;dr=0&amp;lr=all&amp;cd=0%7C0%7C0%7C&amp;cv=1&amp;br=1766&amp;bt=883&amp;cs=0&amp;ds=3&amp;ft=I~da4oKyD12NvyA0i.IxRhq_glBF-UjNSmopiX&amp;mime_type=video_mp4&amp;qs=0&amp;rc=OTkzNWVlZDc5PDxmOTw3NkBpM3k6d3Y5cjx5eDMzNzczM0BeYzZjMzBfNTMxLl8yNTQtYSNvaGtfMmRjYmdgLS1kMTZzcw%3D%3D&amp;btag=e00090000&amp;expire=1763173521&amp;l=202511131024200DA040BB1F5C349EC2B1&amp;ply_type=2&amp;policy=2&amp;signature=c758fe74366c4ca07807e24ddd184c29&amp;tk=tt_chain_token" TargetMode="External"/><Relationship Id="rId195"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199" Type="http://schemas.openxmlformats.org/officeDocument/2006/relationships/hyperlink" Target="https://v16-webapp-prime.tiktok.com/video/tos/useast2a/tos-useast2a-v-27dcd7/oMOM0DuixUpSalgA7bAh85qAEQRqPECDABviA/?a=1988&amp;bti=ODszNWYuMDE6&amp;ch=0&amp;cr=0&amp;dr=0&amp;er=0&amp;lr=default&amp;cd=0%7C0%7C0%7C0&amp;br=250&amp;bt=125&amp;ds=5&amp;ft=GNDpcInz7ThRK-UPXq8Zmo&amp;mime_type=audio_mpeg&amp;qs=13&amp;rc=anM2OW45cmhqNjMzNzU8M0BpanM2OW45cmhqNjMzNzU8M0BkMHBpMmRrNDRhLS1kMTZzYSNkMHBpMmRrNDRhLS1kMTZzcw%3D%3D&amp;btag=e00078000&amp;expire=1763004167&amp;l=202511131022245A53A91EDE77CC8B0DB4&amp;ply_type=3&amp;policy=3&amp;signature=836dc6b0b5ce153d851db786c6f7ba9c&amp;tk=7571587458748974088" TargetMode="External"/><Relationship Id="rId150" Type="http://schemas.openxmlformats.org/officeDocument/2006/relationships/hyperlink" Target="https://p16-sign-va.tiktokcdn.com/tos-maliva-avt-0068/a8c07d9cf8714e5a6a84c15bd0263d8a~tplv-tiktokx-cropcenter:1080:1080.jpeg?dr=14579&amp;refresh_token=23a8c4f0&amp;x-expires=1763172000&amp;x-signature=pkTKvJrnKpBp0taa5UUEStXt5h0%3D&amp;t=4d5b0474&amp;ps=13740610&amp;shp=a5d48078&amp;shcp=81f88b70&amp;idc=my" TargetMode="External"/><Relationship Id="rId149" Type="http://schemas.openxmlformats.org/officeDocument/2006/relationships/hyperlink" Target="https://v16-webapp-prime.tiktok.com/video/tos/useast2a/tos-useast2a-v-27dcd7/oYsNEJezwDC3cPACA3F8BJoAAUDQOBjNE9fz3E/?a=1988&amp;bti=ODszNWYuMDE6&amp;ch=0&amp;cr=0&amp;dr=0&amp;er=0&amp;lr=default&amp;cd=0%7C0%7C0%7C0&amp;br=250&amp;bt=125&amp;ds=5&amp;ft=GNDpcInz7ThzK-UPXq8Zmo&amp;mime_type=audio_mpeg&amp;qs=13&amp;rc=Mzp0c3g5cnZxMzMzNzU8M0BpMzp0c3g5cnZxMzMzNzU8M0BjMHNgMmQ0M29hLS1kMTZzYSNjMHNgMmQ0M29hLS1kMTZzcw%3D%3D&amp;btag=e00050000&amp;expire=1763004216&amp;l=20251113102236D675DBC36011DA84E058&amp;ply_type=3&amp;policy=3&amp;signature=d22a0952a17b315486f3725d18f3ae94&amp;tk=7571587458748974088" TargetMode="External"/><Relationship Id="rId148" Type="http://schemas.openxmlformats.org/officeDocument/2006/relationships/hyperlink" Target="https://p16-sign-va.tiktokcdn.com/tos-maliva-avt-0068/a8c07d9cf8714e5a6a84c15bd0263d8a~tplv-tiktokx-cropcenter:100:100.jpeg?dr=14579&amp;refresh_token=be08f1e4&amp;x-expires=1763172000&amp;x-signature=S8WEm34cYzlJrmIAiSA0lImkLfM%3D&amp;t=4d5b0474&amp;ps=13740610&amp;shp=a5d48078&amp;shcp=81f88b70&amp;idc=my" TargetMode="External"/><Relationship Id="rId1090" Type="http://schemas.openxmlformats.org/officeDocument/2006/relationships/hyperlink" Target="https://p77-sign-va.tiktokcdn.com/tos-maliva-avt-0068/f6c9ce0e62719a5be566968f7c4b37c5~tplv-tiktokx-cropcenter:1080:1080.jpeg?dr=14579&amp;refresh_token=cbfe2310&amp;x-expires=1763172000&amp;x-signature=LA%2FqpRluxlLST4y%2F2CjEj68IAgk%3D&amp;t=4d5b0474&amp;ps=13740610&amp;shp=a5d48078&amp;shcp=81f88b70&amp;idc=my" TargetMode="External"/><Relationship Id="rId1091" Type="http://schemas.openxmlformats.org/officeDocument/2006/relationships/hyperlink" Target="https://v16-webapp-prime.tiktok.com/video/tos/useast2a/tos-useast2a-ve-0068c002/oIlYDf3rIENSEVDUAQPgFCVyIrjfALofqCdId0/?a=1988&amp;bti=ODszNWYuMDE6&amp;ch=0&amp;cr=3&amp;dr=0&amp;lr=all&amp;cd=0%7C0%7C0%7C&amp;cv=1&amp;br=2236&amp;bt=1118&amp;cs=0&amp;ds=3&amp;ft=-Csk_mrMPD12N8hopd-Ux~v2bY6e3wv251cAp&amp;mime_type=video_mp4&amp;qs=0&amp;rc=aDo4OWg8ZTg2Zjw4OWlkaEBpamR1NXU5cnR5eDMzNzczM0BhYC9hMWBeNi8xMTMtMF4zYSNjNWlkMmRzZmxgLS1kMTZzcw%3D%3D&amp;btag=e00090000&amp;expire=1763173419&amp;l=202511131022406C90E0DA9AAAC98C2302&amp;ply_type=2&amp;policy=2&amp;signature=6ce112f5685610add40fa120962d479a&amp;tk=tt_chain_token" TargetMode="External"/><Relationship Id="rId1092" Type="http://schemas.openxmlformats.org/officeDocument/2006/relationships/hyperlink" Target="https://www.tiktok.com/@taharibnn/video/7472027625481915654" TargetMode="External"/><Relationship Id="rId1093"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1094" Type="http://schemas.openxmlformats.org/officeDocument/2006/relationships/hyperlink" Target="https://sf16-ies-music-sg.tiktokcdn.com/obj/tos-alisg-ve-2774/okb1iABidIR10sOwhgWmiCMN9boOBfdAoTbywx" TargetMode="External"/><Relationship Id="rId143" Type="http://schemas.openxmlformats.org/officeDocument/2006/relationships/hyperlink" Target="https://p77-sign-va.tiktokcdn.com/tos-maliva-avt-0068/4842f829bdaf28a70fa2e96759a81700~tplv-tiktokx-cropcenter:100:100.jpeg?dr=14579&amp;refresh_token=992af602&amp;x-expires=1763172000&amp;x-signature=JGblNlIlLYOiRnYYXckwOonB7EQ%3D&amp;t=4d5b0474&amp;ps=13740610&amp;shp=a5d48078&amp;shcp=81f88b70&amp;idc=my" TargetMode="External"/><Relationship Id="rId1095" Type="http://schemas.openxmlformats.org/officeDocument/2006/relationships/hyperlink" Target="https://p77-sg.tiktokcdn.com/aweme/720x720/tos-alisg-v-2774/o87RxCrEaQAVLEElAMFfBBgSKoZAEeEiZADxtV.jpeg" TargetMode="External"/><Relationship Id="rId142" Type="http://schemas.openxmlformats.org/officeDocument/2006/relationships/hyperlink" Target="https://www.tiktok.com/@igorpsicologo/video/7483688263765462278" TargetMode="External"/><Relationship Id="rId1096" Type="http://schemas.openxmlformats.org/officeDocument/2006/relationships/hyperlink" Target="https://v16-webapp-prime.tiktok.com/video/tos/alisg/tos-alisg-pve-0037c001/owJDoN4cEnfgIDFQmCZAkD5f429RBKE3FQBgQ7/?a=1988&amp;bti=ODszNWYuMDE6&amp;ch=0&amp;cr=3&amp;dr=0&amp;lr=all&amp;cd=0%7C0%7C0%7C&amp;cv=1&amp;br=1562&amp;bt=781&amp;cs=0&amp;ds=3&amp;ft=-Csk_mrMPD12NE.opd-UxG4vXY6e3wv25McAp&amp;mime_type=video_mp4&amp;qs=0&amp;rc=NmdoZTxkNGdoZztmN2ZlZEBpM2Y8NXg5cjVzdTMzNzczM0BgLTYzXjNeXy4xLTE0LTQuYSNuby9yMmRrb2NgLS1kMTZzcw%3D%3D&amp;btag=e00090000&amp;expire=1763173603&amp;l=20251113102536F89EBD83B531C49CD72A&amp;ply_type=2&amp;policy=2&amp;signature=8f86a12069117f0575e6df1dc44b5644&amp;tk=tt_chain_token" TargetMode="External"/><Relationship Id="rId141" Type="http://schemas.openxmlformats.org/officeDocument/2006/relationships/hyperlink" Target="https://v16-webapp-prime.tiktok.com/video/tos/useast2a/tos-useast2a-ve-0068c004/okhZP8EjiUm9BvrJvTvkiQpqSbHtAEzIQZBL7/?a=1988&amp;bti=ODszNWYuMDE6&amp;ch=0&amp;cr=3&amp;dr=0&amp;lr=all&amp;cd=0%7C0%7C0%7C&amp;cv=1&amp;br=2592&amp;bt=1296&amp;cs=0&amp;ds=3&amp;ft=-Csk_mrMPD12NE.opd-UxG4vXY6e3wv25McAp&amp;mime_type=video_mp4&amp;qs=0&amp;rc=NTk8aTw4ZjM7aTNoMzRkZ0BpamU4eXU5cm1weTMzNzczM0AxXy41YC4xXmExYy40YjUvYSNrNDBoMmRrNmFgLS1kMTZzcw%3D%3D&amp;btag=e00090000&amp;expire=1763173603&amp;l=20251113102536F89EBD83B531C49CD72A&amp;ply_type=2&amp;policy=2&amp;signature=47c24d9e9e23ad94b270faa43205ac23&amp;tk=tt_chain_token" TargetMode="External"/><Relationship Id="rId1097" Type="http://schemas.openxmlformats.org/officeDocument/2006/relationships/hyperlink" Target="https://www.tiktok.com/@lorenatdahta/video/7412817886198205702" TargetMode="External"/><Relationship Id="rId140"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1098" Type="http://schemas.openxmlformats.org/officeDocument/2006/relationships/hyperlink" Target="https://p16-sign-va.tiktokcdn.com/tos-maliva-avt-0068/0cb45cf7466f595eb7489f64464112ee~tplv-tiktokx-cropcenter:100:100.jpeg?dr=14579&amp;refresh_token=e8827f1f&amp;x-expires=1763172000&amp;x-signature=LxhsgOj1Xjj%2FW92qHLJlTltxH%2BI%3D&amp;t=4d5b0474&amp;ps=13740610&amp;shp=a5d48078&amp;shcp=81f88b70&amp;idc=my" TargetMode="External"/><Relationship Id="rId147" Type="http://schemas.openxmlformats.org/officeDocument/2006/relationships/hyperlink" Target="https://www.tiktok.com/@draanabeatriz11/video/7279604970134015237" TargetMode="External"/><Relationship Id="rId1099" Type="http://schemas.openxmlformats.org/officeDocument/2006/relationships/hyperlink" Target="https://sf16-ies-music-sg.tiktokcdn.com/obj/tos-alisg-ve-2774/oQPMCodrI3vLR5fF2AiQaKXIz3gYGDd0ae8Yeg" TargetMode="External"/><Relationship Id="rId146" Type="http://schemas.openxmlformats.org/officeDocument/2006/relationships/hyperlink" Target="https://v16-webapp-prime.tiktok.com/video/tos/alisg/tos-alisg-pve-0037c001/ocIeIEBiQeRJWmQHQbL0EIl1lE2MQn7ABgDQAB/?a=1988&amp;bti=ODszNWYuMDE6&amp;ch=0&amp;cr=3&amp;dr=0&amp;lr=all&amp;cd=0%7C0%7C0%7C&amp;cv=1&amp;br=1968&amp;bt=984&amp;cs=0&amp;ds=3&amp;ft=-Csk_mrMPD12NE.opd-UxG4vXY6e3wv25McAp&amp;mime_type=video_mp4&amp;qs=0&amp;rc=PDM6aDU7MzU1OGRoaDU2OEBpMzdlNTg6ZjQ4bjMzNzczM0A2MjBjY2JgXi8xYy9gYTNgYSMvLzBxcjRvZzBgLS1kMTZzcw%3D%3D&amp;btag=e00090000&amp;expire=1763173603&amp;l=20251113102536F89EBD83B531C49CD72A&amp;ply_type=2&amp;policy=2&amp;signature=28a165fef07c0bebedce8c6c7d2a0900&amp;tk=tt_chain_token" TargetMode="External"/><Relationship Id="rId145" Type="http://schemas.openxmlformats.org/officeDocument/2006/relationships/hyperlink" Target="https://p77-sign-va.tiktokcdn.com/tos-maliva-avt-0068/4842f829bdaf28a70fa2e96759a81700~tplv-tiktokx-cropcenter:1080:1080.jpeg?dr=14579&amp;refresh_token=2364b330&amp;x-expires=1763172000&amp;x-signature=YlrhiUb%2BmIFzg%2F03XBPPWs2P0%2BI%3D&amp;t=4d5b0474&amp;ps=13740610&amp;shp=a5d48078&amp;shcp=81f88b70&amp;idc=my" TargetMode="External"/><Relationship Id="rId144" Type="http://schemas.openxmlformats.org/officeDocument/2006/relationships/hyperlink" Target="https://v16-webapp-prime.tiktok.com/video/tos/useast2a/tos-useast2a-v-27dcd7/o4byoBAfEDLXIYABlWlUGnjBBEIuJ3AbQCTeAJ/?a=1988&amp;bti=ODszNWYuMDE6&amp;ch=0&amp;cr=0&amp;dr=0&amp;er=0&amp;lr=default&amp;cd=0%7C0%7C0%7C0&amp;br=250&amp;bt=125&amp;ds=5&amp;ft=GNDpcInz7ThOD-UPXq8Zmo&amp;mime_type=audio_mpeg&amp;qs=13&amp;rc=ajhpdzM6ZmY4bjMzNzU8M0BpajhpdzM6ZmY4bjMzNzU8M0Bza21ocjRnaDBgLS1kMTZzYSNza21ocjRnaDBgLS1kMTZzcw%3D%3D&amp;btag=e00050000&amp;expire=1763004403&amp;l=20251113102536F89EBD83B531C49CD72A&amp;ply_type=3&amp;policy=3&amp;signature=0c26c0b0733bdfcfdfe7ed60d32d32f3&amp;tk=7571587458748974088" TargetMode="External"/><Relationship Id="rId139" Type="http://schemas.openxmlformats.org/officeDocument/2006/relationships/hyperlink" Target="https://v16-webapp-prime.tiktok.com/video/tos/useast2a/tos-useast2a-v-27dcd7/ooeb2PEzE7CsEFyDaASEAgCZIeAtC1D5oEtfTm/?a=1988&amp;bti=ODszNWYuMDE6&amp;ch=0&amp;cr=0&amp;dr=0&amp;er=0&amp;lr=default&amp;cd=0%7C0%7C0%7C0&amp;br=250&amp;bt=125&amp;ds=5&amp;ft=GNDpcInz7ThOD-UPXq8Zmo&amp;mime_type=audio_mpeg&amp;qs=13&amp;rc=ajlzcnY5cnFweTMzNzU8M0BpajlzcnY5cnFweTMzNzU8M0BuaWdwMmRrYWFgLS1kMTZzYSNuaWdwMmRrYWFgLS1kMTZzcw%3D%3D&amp;btag=e00050000&amp;expire=1763004403&amp;l=20251113102536F89EBD83B531C49CD72A&amp;ply_type=3&amp;policy=3&amp;signature=5a472414fe51ed2678aadc5087e044b3&amp;tk=7571587458748974088" TargetMode="External"/><Relationship Id="rId138"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137" Type="http://schemas.openxmlformats.org/officeDocument/2006/relationships/hyperlink" Target="https://www.tiktok.com/@olucascavalcanti/video/7274246260524174598" TargetMode="External"/><Relationship Id="rId1080" Type="http://schemas.openxmlformats.org/officeDocument/2006/relationships/hyperlink" Target="https://p16-sg.tiktokcdn.com/aweme/720x720/tos-alisg-v-2774/oYHMADhIgAFdBaDftgrjLQoIsFZSsCeZEIpBAa.jpeg" TargetMode="External"/><Relationship Id="rId1081" Type="http://schemas.openxmlformats.org/officeDocument/2006/relationships/hyperlink" Target="https://v16-webapp-prime.tiktok.com/video/tos/maliva/tos-maliva-ve-0068c801-us/ooblQS6XpnAsefQqwH85CjJg3IngrCdfIIbt4D/?a=1988&amp;bti=ODszNWYuMDE6&amp;ch=0&amp;cr=3&amp;dr=0&amp;lr=all&amp;cd=0%7C0%7C0%7C&amp;cv=1&amp;br=1654&amp;bt=827&amp;cs=0&amp;ds=3&amp;ft=I~da4oKyD12NvuA0i.IxREJNglBF-UjNSmopiX&amp;mime_type=video_mp4&amp;qs=0&amp;rc=ZTk7N2Y5Z2U6ZTNkPDloZUBpam9reWg6ZnQ6bTMzNzczM0AyMV40Yi42NjQxNDQ2XjVhYSNyNHBecjRfZnJgLS1kMTZzcw%3D%3D&amp;btag=e00090000&amp;expire=1763173557&amp;l=202511131024337F554789EF0D09A1F8EB&amp;ply_type=2&amp;policy=2&amp;signature=babe2dec58556537d020f36800c79f78&amp;tk=tt_chain_token" TargetMode="External"/><Relationship Id="rId1082" Type="http://schemas.openxmlformats.org/officeDocument/2006/relationships/hyperlink" Target="https://www.tiktok.com/@veigasaymon/video/7276825993392786694" TargetMode="External"/><Relationship Id="rId1083" Type="http://schemas.openxmlformats.org/officeDocument/2006/relationships/hyperlink" Target="https://p16-sign-va.tiktokcdn.com/tos-maliva-avt-0068/72466cc9d5b9a27930c91e8fb7677589~tplv-tiktokx-cropcenter:100:100.jpeg?dr=14579&amp;refresh_token=360b5aa4&amp;x-expires=1763172000&amp;x-signature=p1cIn4dv34Pq8aQhB91qKMjNhdk%3D&amp;t=4d5b0474&amp;ps=13740610&amp;shp=a5d48078&amp;shcp=81f88b70&amp;idc=my" TargetMode="External"/><Relationship Id="rId132" Type="http://schemas.openxmlformats.org/officeDocument/2006/relationships/hyperlink" Target="https://www.tiktok.com/@cansei.deserotario/video/7090555724526308614" TargetMode="External"/><Relationship Id="rId1084" Type="http://schemas.openxmlformats.org/officeDocument/2006/relationships/hyperlink" Target="https://v16-webapp-prime.tiktok.com/video/tos/useast2a/tos-useast2a-v-27dcd7/1377a05523d9478ca0c21d1c85ac5346/?a=1988&amp;bti=ODszNWYuMDE6&amp;ch=0&amp;cr=0&amp;dr=0&amp;er=0&amp;lr=default&amp;cd=0%7C0%7C0%7C0&amp;br=250&amp;bt=125&amp;ds=5&amp;ft=GNDpcInz7Th49-UPXq8Zmo&amp;mime_type=audio_mpeg&amp;qs=13&amp;rc=am01NWk6Znk8bDMzNzU8M0Bpam01NWk6Znk8bDMzNzU8M0BoMHNhcjRnbS1gLS1kMTZzYSNoMHNhcjRnbS1gLS1kMTZzcw%3D%3D&amp;btag=e00050000&amp;expire=1763004345&amp;l=20251113102415EC11E565E652E77F00C9&amp;ply_type=3&amp;policy=3&amp;signature=a7d5c1384ed0f67d93602734e435ec07&amp;tk=7571587458748974088" TargetMode="External"/><Relationship Id="rId131" Type="http://schemas.openxmlformats.org/officeDocument/2006/relationships/hyperlink" Target="https://v16-webapp-prime.tiktok.com/video/tos/alisg/tos-alisg-pve-0037c001/okE0O0QQJWAeADrDP1R7QZbifVntBBJIKgliod/?a=1988&amp;bti=ODszNWYuMDE6&amp;ch=0&amp;cr=3&amp;dr=0&amp;lr=all&amp;cd=0%7C0%7C0%7C&amp;cv=1&amp;br=1300&amp;bt=650&amp;cs=0&amp;ds=3&amp;ft=-Csk_mrMPD12NH_opd-UxDTFGY6e3wv25ocAp&amp;mime_type=video_mp4&amp;qs=0&amp;rc=aGdkZTVnZTozZDxmZGZkOkBpM3c7Nzs6ZndlPDMzNzczM0AtXjAzMmEzXi8xXzIwL2MwYSNkXl9ecjQwXmdgLS1kMTZzcw%3D%3D&amp;btag=e00088000&amp;expire=1763173639&amp;l=202511131026218DEF8CE7185C8F9E5844&amp;ply_type=2&amp;policy=2&amp;signature=bf3f7834f16c3c3da0d3a8337d1ac988&amp;tk=tt_chain_token" TargetMode="External"/><Relationship Id="rId1085" Type="http://schemas.openxmlformats.org/officeDocument/2006/relationships/hyperlink" Target="https://p16-sign-va.tiktokcdn.com/tos-maliva-avt-0068/72466cc9d5b9a27930c91e8fb7677589~tplv-tiktokx-cropcenter:1080:1080.jpeg?dr=14579&amp;refresh_token=72b31f13&amp;x-expires=1763172000&amp;x-signature=BB%2Feg0hCMnot8riQo9d8Z9XOVCQ%3D&amp;t=4d5b0474&amp;ps=13740610&amp;shp=a5d48078&amp;shcp=81f88b70&amp;idc=my" TargetMode="External"/><Relationship Id="rId130" Type="http://schemas.openxmlformats.org/officeDocument/2006/relationships/hyperlink" Target="https://p16-sign-va.tiktokcdn.com/tos-maliva-avt-0068/41d2e0effe06cb8a5f52e9f24371109a~tplv-tiktokx-cropcenter:1080:1080.jpeg?dr=14579&amp;refresh_token=2d801521&amp;x-expires=1763172000&amp;x-signature=maezkmfXVJIPk5rdZyYvIlXo3zE%3D&amp;t=4d5b0474&amp;ps=13740610&amp;shp=a5d48078&amp;shcp=81f88b70&amp;idc=my" TargetMode="External"/><Relationship Id="rId1086" Type="http://schemas.openxmlformats.org/officeDocument/2006/relationships/hyperlink" Target="https://v16-webapp-prime.tiktok.com/video/tos/maliva/tos-maliva-ve-0068c801-us/ogORAAztJJQnfDUkKgebBBQKLn3MzYIJRInTEj/?a=1988&amp;bti=ODszNWYuMDE6&amp;ch=0&amp;cr=3&amp;dr=0&amp;lr=all&amp;cd=0%7C0%7C0%7C&amp;cv=1&amp;br=1502&amp;bt=751&amp;cs=0&amp;ds=3&amp;ft=-Csk_mrMPD12Nycopd-UxG4vXY6e3wv25McAp&amp;mime_type=video_mp4&amp;qs=0&amp;rc=NmY2MzdoODY5aTQ4aDZoNUBpM2V5PDw6ZnI8bDMzNzczM0AvL2AyNF80XjUxLzQuLV8yYSNgM29mcjRvbS1gLS1kMTZzcw%3D%3D&amp;btag=e00090000&amp;expire=1763173545&amp;l=20251113102415EC11E565E652E77F00C9&amp;ply_type=2&amp;policy=2&amp;signature=0f6272f301a81ee62bee70e11c250d5d&amp;tk=tt_chain_token" TargetMode="External"/><Relationship Id="rId1087" Type="http://schemas.openxmlformats.org/officeDocument/2006/relationships/hyperlink" Target="https://www.tiktok.com/@brunolnunes/video/7241960772794895621" TargetMode="External"/><Relationship Id="rId136" Type="http://schemas.openxmlformats.org/officeDocument/2006/relationships/hyperlink" Target="https://v16-webapp-prime.tiktok.com/video/tos/alisg/tos-alisg-pve-0037c001/o0bRIEA7AeBPWE3qzrBOERClQQ85BkA18fnJrD/?a=1988&amp;bti=ODszNWYuMDE6&amp;ch=0&amp;cr=3&amp;dr=0&amp;lr=all&amp;cd=0%7C0%7C0%7C&amp;cv=1&amp;br=878&amp;bt=439&amp;cs=0&amp;ds=3&amp;ft=-Csk_mrMPD12N9Yopd-Ux315hY6e3wv25dcAp&amp;mime_type=video_mp4&amp;qs=0&amp;rc=OWlpaTU3ZDNoaGQ7aWU6aUBpM204eGk6ZjNvbTMzNzczM0BhNF8zXmI1NmExLS1fL2JhYSMtc3BicjRfLW1gLS1kMTZzcw%3D%3D&amp;btag=e00090000&amp;expire=1763173483&amp;l=2025111310232002E5437D242CEA8409F2&amp;ply_type=2&amp;policy=2&amp;signature=da1b3ec8de6647c3ee30ed6f71931167&amp;tk=tt_chain_token" TargetMode="External"/><Relationship Id="rId1088" Type="http://schemas.openxmlformats.org/officeDocument/2006/relationships/hyperlink" Target="https://p77-sign-va.tiktokcdn.com/tos-maliva-avt-0068/f6c9ce0e62719a5be566968f7c4b37c5~tplv-tiktokx-cropcenter:100:100.jpeg?dr=14579&amp;refresh_token=48b36c7a&amp;x-expires=1763172000&amp;x-signature=hmDgxOXW1qEb1KI5lhx%2FXS%2FcUw0%3D&amp;t=4d5b0474&amp;ps=13740610&amp;shp=a5d48078&amp;shcp=81f88b70&amp;idc=my" TargetMode="External"/><Relationship Id="rId135" Type="http://schemas.openxmlformats.org/officeDocument/2006/relationships/hyperlink" Target="https://p16-sign-va.tiktokcdn.com/tos-maliva-avt-0068/d9d6fd23fb9944744ec98c9a6f9ca6f4~tplv-tiktokx-cropcenter:1080:1080.jpeg?dr=14579&amp;refresh_token=2595f07a&amp;x-expires=1763172000&amp;x-signature=vBil8vQOUG%2FoPKpdOBUu3ftA4Sg%3D&amp;t=4d5b0474&amp;ps=13740610&amp;shp=a5d48078&amp;shcp=81f88b70&amp;idc=my" TargetMode="External"/><Relationship Id="rId1089" Type="http://schemas.openxmlformats.org/officeDocument/2006/relationships/hyperlink" Target="https://v16-webapp-prime.tiktok.com/video/tos/useast2a/tos-useast2a-v-27dcd7/ogPASIjrSCpIfEFTlC6IVZIAAYoYg3fFFmeDE6/?a=1988&amp;bti=ODszNWYuMDE6&amp;ch=0&amp;cr=0&amp;dr=0&amp;er=0&amp;lr=default&amp;cd=0%7C0%7C0%7C0&amp;br=250&amp;bt=125&amp;ds=5&amp;ft=GNDpcInz7ThaK-UPXq8Zmo&amp;mime_type=audio_mpeg&amp;qs=13&amp;rc=am5rdGw5cjd5eDMzNzU8M0Bpam5rdGw5cjd5eDMzNzU8M0BybmluMmRrZ2xgLS1kMTZzYSNybmluMmRrZ2xgLS1kMTZzcw%3D%3D&amp;btag=e00050000&amp;expire=1763004219&amp;l=202511131022406C90E0DA9AAAC98C2302&amp;ply_type=3&amp;policy=3&amp;signature=7394a43bc37f888d7509bf00447d2d28&amp;tk=7571587458748974088" TargetMode="External"/><Relationship Id="rId134" Type="http://schemas.openxmlformats.org/officeDocument/2006/relationships/hyperlink" Target="https://v16-webapp-prime.tiktok.com/video/tos/useast2a/tos-useast2a-v-27dcd7/ogAHo1gSnIHP4mTBCZeAJeJ8LBb4kABIDtQkU8/?a=1988&amp;bti=ODszNWYuMDE6&amp;ch=0&amp;cr=0&amp;dr=0&amp;er=0&amp;lr=default&amp;cd=0%7C0%7C0%7C0&amp;br=250&amp;bt=125&amp;ds=5&amp;ft=GNDpcInz7ThMV-UPXq8Zmo&amp;mime_type=audio_mpeg&amp;qs=13&amp;rc=Mzhobjw6ZnlvbTMzNzU8M0BpMzhobjw6ZnlvbTMzNzU8M0BybWRocjQwLW1gLS1kMTZzYSNybWRocjQwLW1gLS1kMTZzcw%3D%3D&amp;btag=e00050000&amp;expire=1763004283&amp;l=2025111310232002E5437D242CEA8409F2&amp;ply_type=3&amp;policy=3&amp;signature=4de6a0714fe74aea4f1427b3779ce4af&amp;tk=7571587458748974088" TargetMode="External"/><Relationship Id="rId133" Type="http://schemas.openxmlformats.org/officeDocument/2006/relationships/hyperlink" Target="https://p77-sign-va.tiktokcdn.com/tos-maliva-avt-0068/d9d6fd23fb9944744ec98c9a6f9ca6f4~tplv-tiktokx-cropcenter:100:100.jpeg?dr=14579&amp;refresh_token=cfc0b249&amp;x-expires=1763172000&amp;x-signature=XhOy4yPf1pp7Moiqtp89eeAaofo%3D&amp;t=4d5b0474&amp;ps=13740610&amp;shp=a5d48078&amp;shcp=81f88b70&amp;idc=my" TargetMode="External"/><Relationship Id="rId172" Type="http://schemas.openxmlformats.org/officeDocument/2006/relationships/hyperlink" Target="https://www.tiktok.com/@diario.do.tdah/video/7423178064366193926" TargetMode="External"/><Relationship Id="rId171" Type="http://schemas.openxmlformats.org/officeDocument/2006/relationships/hyperlink" Target="https://v16-webapp-prime.tiktok.com/video/tos/alisg/tos-alisg-pve-0037c001/o8IYRAUAGJgl2EIneBFfBBQQsIWX0YQ3RKDoEO/?a=1988&amp;bti=ODszNWYuMDE6&amp;ch=0&amp;cr=3&amp;dr=0&amp;lr=all&amp;cd=0%7C0%7C0%7C&amp;cv=1&amp;br=1928&amp;bt=964&amp;cs=0&amp;ds=3&amp;ft=-Csk_mrMPD12N8Yopd-UxfeFaY6e3wv25HcAp&amp;mime_type=video_mp4&amp;qs=0&amp;rc=Zzo2NzY0ZDY5OmRpaDw8aEBpM3Bmc245cjY5djMzNzczM0A1XjMtMi4uNjAxYGJgMDUvYSMzaDBhMmRrbi9gLS1kMTZzcw%3D%3D&amp;btag=e00088000&amp;expire=1763173464&amp;l=20251113102343D1A0044B947998B9C2A2&amp;ply_type=2&amp;policy=2&amp;signature=337864098b298f4fe936290e946fe5a3&amp;tk=tt_chain_token" TargetMode="External"/><Relationship Id="rId170" Type="http://schemas.openxmlformats.org/officeDocument/2006/relationships/hyperlink" Target="https://p77-sign-va.tiktokcdn.com/tos-maliva-avt-0068/91bd50ddc7ab01c8dfdc4361fe4d1101~tplv-tiktokx-cropcenter:1080:1080.jpeg?dr=14579&amp;refresh_token=c3519b96&amp;x-expires=1763172000&amp;x-signature=bZvNTdZGfh5X9CZcan20KeX1U8s%3D&amp;t=4d5b0474&amp;ps=13740610&amp;shp=a5d48078&amp;shcp=81f88b70&amp;idc=my" TargetMode="External"/><Relationship Id="rId165" Type="http://schemas.openxmlformats.org/officeDocument/2006/relationships/hyperlink" Target="https://p16-sg.tiktokcdn.com/aweme/720x720/tos-alisg-v-2774/oYUgDFIp7gAr4IEMABLeDCAWf2MAQMEFzAGeaV.jpeg" TargetMode="External"/><Relationship Id="rId164" Type="http://schemas.openxmlformats.org/officeDocument/2006/relationships/hyperlink" Target="https://sf16-ies-music-sg.tiktokcdn.com/obj/tos-alisg-ve-2774/oMmXQADAFByIeCiZ5BFMyg7OoAtZgBfQC02BiQ" TargetMode="External"/><Relationship Id="rId163" Type="http://schemas.openxmlformats.org/officeDocument/2006/relationships/hyperlink" Target="https://p77-sign-va.tiktokcdn.com/tos-maliva-avt-0068/19646a8c33d8ce4c69d221dd717c4509~tplv-tiktokx-cropcenter:100:100.jpeg?dr=14579&amp;refresh_token=8fe40a0f&amp;x-expires=1763172000&amp;x-signature=356BhtDSFSszPrSWx4586JHUs64%3D&amp;t=4d5b0474&amp;ps=13740610&amp;shp=a5d48078&amp;shcp=81f88b70&amp;idc=my" TargetMode="External"/><Relationship Id="rId162" Type="http://schemas.openxmlformats.org/officeDocument/2006/relationships/hyperlink" Target="https://www.tiktok.com/@psicologo.mateus/video/7234531239645007110" TargetMode="External"/><Relationship Id="rId169" Type="http://schemas.openxmlformats.org/officeDocument/2006/relationships/hyperlink" Target="https://v16-webapp-prime.tiktok.com/video/tos/useast2a/tos-useast2a-v-27dcd7/oc1FgofBkE36E7zKrbgEAgHjEASBHiaAiAAWEo/?a=1988&amp;bti=ODszNWYuMDE6&amp;ch=0&amp;cr=0&amp;dr=0&amp;er=0&amp;lr=default&amp;cd=0%7C0%7C0%7C0&amp;br=250&amp;bt=125&amp;ds=5&amp;ft=GNDpcInz7ThaV-UPXq8Zmo&amp;mime_type=audio_mpeg&amp;qs=13&amp;rc=Mzo2a3E5cmU5djMzNzU8M0BpMzo2a3E5cmU5djMzNzU8M0AvamFpMmRjbi9gLS1kMTZzYSMvamFpMmRjbi9gLS1kMTZzcw%3D%3D&amp;btag=e00048000&amp;expire=1763004263&amp;l=20251113102343D1A0044B947998B9C2A2&amp;ply_type=3&amp;policy=3&amp;signature=1a2d2ced5dc4e93ed7e24f41f9593a92&amp;tk=7571587458748974088" TargetMode="External"/><Relationship Id="rId168" Type="http://schemas.openxmlformats.org/officeDocument/2006/relationships/hyperlink" Target="https://p77-sign-va.tiktokcdn.com/tos-maliva-avt-0068/91bd50ddc7ab01c8dfdc4361fe4d1101~tplv-tiktokx-cropcenter:100:100.jpeg?dr=14579&amp;refresh_token=a0fec839&amp;x-expires=1763172000&amp;x-signature=yR0Co955B4p8TckeCtAYyJiFTX8%3D&amp;t=4d5b0474&amp;ps=13740610&amp;shp=a5d48078&amp;shcp=81f88b70&amp;idc=my" TargetMode="External"/><Relationship Id="rId167" Type="http://schemas.openxmlformats.org/officeDocument/2006/relationships/hyperlink" Target="https://www.tiktok.com/@ga.meireles/video/7159211808480414981" TargetMode="External"/><Relationship Id="rId166" Type="http://schemas.openxmlformats.org/officeDocument/2006/relationships/hyperlink" Target="https://v16-webapp-prime.tiktok.com/video/tos/maliva/tos-maliva-ve-0068c801-us/oMqjBaMBD1Ue2NoAKQBIWfoSRE2jnBQFEbLU7J/?a=1988&amp;bti=ODszNWYuMDE6&amp;ch=0&amp;cr=3&amp;dr=0&amp;lr=all&amp;cd=0%7C0%7C0%7C&amp;cv=1&amp;br=1388&amp;bt=694&amp;cs=0&amp;ds=3&amp;ft=-Csk_mrMPD12N4Yopd-Ux9T2bY6e3wv25IcAp&amp;mime_type=video_mp4&amp;qs=0&amp;rc=Nmg3ZmY4Ozs1NGRkZGk6O0Bpanc6OTU6ZmdkZzMzNzczM0BjNjYuNWFgXy8xNjUtXzFjYSNzam5ucjRfL2FgLS1kMTZzcw%3D%3D&amp;btag=e000b8000&amp;expire=1763173392&amp;l=20251113102257F8D01E3BFCE9B2911856&amp;ply_type=2&amp;policy=2&amp;signature=7da39f0db0ae69dccd1e150fa43b95ff&amp;tk=tt_chain_token" TargetMode="External"/><Relationship Id="rId161" Type="http://schemas.openxmlformats.org/officeDocument/2006/relationships/hyperlink" Target="https://v16-webapp-prime.tiktok.com/video/tos/maliva/tos-maliva-ve-0068c801-us/o0eMjGM9IQSEIYCIqCz8A7fDohngIeA9UgbK9z/?a=1988&amp;bti=ODszNWYuMDE6&amp;ch=0&amp;cr=3&amp;dr=0&amp;lr=all&amp;cd=0%7C0%7C0%7C&amp;cv=1&amp;br=1558&amp;bt=779&amp;cs=0&amp;ds=3&amp;ft=I~da4oKyD12Nv5A0i.IxRIk_glBF-UjNSbopiX&amp;mime_type=video_mp4&amp;qs=0&amp;rc=OGk4aWY4Njw8ODo0M2c0NUBpM3k0NjU6Zm82azMzNzczM0AuYDFeXmJfNi8xYjYuLjEuYSMwcjQucjQwY2dgLS1kMTZzcw%3D%3D&amp;btag=e000b8000&amp;expire=1763173473&amp;l=20251113102410CE8B814C77F7637842AC&amp;ply_type=2&amp;policy=2&amp;signature=6ea36a2cde4e6986647d802740d7122b&amp;tk=tt_chain_token" TargetMode="External"/><Relationship Id="rId160" Type="http://schemas.openxmlformats.org/officeDocument/2006/relationships/hyperlink" Target="https://p16-sg.tiktokcdn.com/aweme/720x720/tos-alisg-v-2774/ocfmiKZBtSDNvsTEe5FOnIA0B4AnIgBintAQpC.jpeg" TargetMode="External"/><Relationship Id="rId159" Type="http://schemas.openxmlformats.org/officeDocument/2006/relationships/hyperlink" Target="https://sf16-ies-music-sg.tiktokcdn.com/obj/tos-alisg-ve-2774/oo8EMC5hnQP4DDYkyRebBBgL5fEVxcQJZrndtA" TargetMode="External"/><Relationship Id="rId154" Type="http://schemas.openxmlformats.org/officeDocument/2006/relationships/hyperlink" Target="https://v16-webapp-prime.tiktok.com/video/tos/useast2a/tos-useast2a-v-27dcd7/ooa25FCTSDPDtaoOAgAeEdd0EfjeL5CEWMEAAA/?a=1988&amp;bti=ODszNWYuMDE6&amp;ch=0&amp;cr=0&amp;dr=0&amp;er=0&amp;lr=default&amp;cd=0%7C0%7C0%7C0&amp;br=250&amp;bt=125&amp;ds=5&amp;ft=GNDpcInz7ThlV-UPXq8Zmo&amp;mime_type=audio_mpeg&amp;qs=13&amp;rc=MzZleXY5cnEzeTMzNzU8M0BpMzZleXY5cnEzeTMzNzU8M0BvNmdmMmRrMGFgLS1kMTZzYSNvNmdmMmRrMGFgLS1kMTZzcw%3D%3D&amp;btag=e00050000&amp;expire=1763004276&amp;l=20251113102257F8D01E3BFCE9B2911856&amp;ply_type=3&amp;policy=3&amp;signature=4cd1e04a89beaef45824ce34fafef247&amp;tk=7571587458748974088" TargetMode="External"/><Relationship Id="rId153" Type="http://schemas.openxmlformats.org/officeDocument/2006/relationships/hyperlink" Target="https://p16-sign-va.tiktokcdn.com/tos-maliva-avt-0068/fc1698d10dca32b79684fcca308c78cc~tplv-tiktokx-cropcenter:100:100.jpeg?dr=14579&amp;refresh_token=430ac0a3&amp;x-expires=1763172000&amp;x-signature=JzZgoivC8GVRy2ecdpdDiLoynRk%3D&amp;t=4d5b0474&amp;ps=13740610&amp;shp=a5d48078&amp;shcp=81f88b70&amp;idc=my" TargetMode="External"/><Relationship Id="rId152" Type="http://schemas.openxmlformats.org/officeDocument/2006/relationships/hyperlink" Target="https://www.tiktok.com/@janainaferreira.2/video/7509597762946682117" TargetMode="External"/><Relationship Id="rId151" Type="http://schemas.openxmlformats.org/officeDocument/2006/relationships/hyperlink" Target="https://v16-webapp-prime.tiktok.com/video/tos/useast2a/tos-useast2a-ve-0068c001/o00mIkLtwBA3c4GoI7i5gI0QoCOoKAJGEEfc3i/?a=1988&amp;bti=ODszNWYuMDE6&amp;ch=0&amp;cr=3&amp;dr=0&amp;lr=all&amp;cd=0%7C0%7C0%7C&amp;cv=1&amp;br=1664&amp;bt=832&amp;cs=0&amp;ds=3&amp;ft=-Csk_mrMPD12NDhopd-Ux2.2GY6e3wv25rcAp&amp;mime_type=video_mp4&amp;qs=0&amp;rc=N2ZoaWRoZmQ0ZzhlODpoNEBpamRqeHM5cnJxMzMzNzczM0BeXy0zXzYtNS4xYWI2MWEwYSMycC1qMmRjM29hLS1kMTZzcw%3D%3D&amp;btag=e00090000&amp;expire=1763173416&amp;l=20251113102236D675DBC36011DA84E058&amp;ply_type=2&amp;policy=2&amp;signature=c1944f59f5bc86288659c728cdfa1cdf&amp;tk=tt_chain_token" TargetMode="External"/><Relationship Id="rId158" Type="http://schemas.openxmlformats.org/officeDocument/2006/relationships/hyperlink" Target="https://p16-sign-va.tiktokcdn.com/tos-maliva-avt-0068/ebc42eb348fcf29a09bcbf1c40faef80~tplv-tiktokx-cropcenter:100:100.jpeg?dr=14579&amp;refresh_token=2bdf1117&amp;x-expires=1763172000&amp;x-signature=qWkWO%2FiOPhNCyjf1oP1wgqJ%2BWqE%3D&amp;t=4d5b0474&amp;ps=13740610&amp;shp=a5d48078&amp;shcp=81f88b70&amp;idc=my" TargetMode="External"/><Relationship Id="rId157" Type="http://schemas.openxmlformats.org/officeDocument/2006/relationships/hyperlink" Target="https://www.tiktok.com/@neurodivergenciaeopapo/video/7483295703821749510" TargetMode="External"/><Relationship Id="rId156" Type="http://schemas.openxmlformats.org/officeDocument/2006/relationships/hyperlink" Target="https://v16-webapp-prime.tiktok.com/video/tos/useast2a/tos-useast2a-ve-0068c004/oUUPYfFfUAyjAjcvggWQtASMB8TRY8AQCICe0R/?a=1988&amp;bti=ODszNWYuMDE6&amp;ch=0&amp;cr=3&amp;dr=0&amp;lr=all&amp;cd=0%7C0%7C0%7C&amp;cv=1&amp;br=854&amp;bt=427&amp;cs=0&amp;ds=2&amp;ft=-Csk_mrMPD12N4Yopd-Ux9T2bY6e3wv25IcAp&amp;mime_type=video_mp4&amp;qs=0&amp;rc=NmVpZGg2aDU3OWU2Z2c3PEBpMzd5O245cjszeTMzNzczM0AzXi9hLjMwXi8xLjZfMzQyYSNeYGdhMmQ0LmFgLS1kMTZzcw%3D%3D&amp;btag=e00090000&amp;expire=1763173476&amp;l=20251113102257F8D01E3BFCE9B2911856&amp;ply_type=2&amp;policy=2&amp;signature=79c6a70db58690558e4e123c203fe8ad&amp;tk=tt_chain_token" TargetMode="External"/><Relationship Id="rId155" Type="http://schemas.openxmlformats.org/officeDocument/2006/relationships/hyperlink" Target="https://p77-sign-va.tiktokcdn.com/tos-maliva-avt-0068/fc1698d10dca32b79684fcca308c78cc~tplv-tiktokx-cropcenter:1080:1080.jpeg?dr=14579&amp;refresh_token=39453837&amp;x-expires=1763172000&amp;x-signature=S02rfb1NJnYmdSr9h6XmXwXokiw%3D&amp;t=4d5b0474&amp;ps=13740610&amp;shp=a5d48078&amp;shcp=81f88b70&amp;idc=my" TargetMode="External"/><Relationship Id="rId1510" Type="http://schemas.openxmlformats.org/officeDocument/2006/relationships/hyperlink" Target="https://sf16-ies-music-sg.tiktokcdn.com/obj/tos-alisg-ve-2774/oAct8xFbCID8upGC0VzgfeEDltMGZvoBQMTYjB" TargetMode="External"/><Relationship Id="rId1511" Type="http://schemas.openxmlformats.org/officeDocument/2006/relationships/hyperlink" Target="https://p16-sg.tiktokcdn.com/aweme/720x720/tos-alisg-v-2774/o0EVEAAAsiNCBNBzBiAdfP5JdU4WRiAwoGsiAl.jpeg" TargetMode="External"/><Relationship Id="rId1512" Type="http://schemas.openxmlformats.org/officeDocument/2006/relationships/hyperlink" Target="https://webapp-va.tiktok.com/5025c234ea8192ed5816ab130c6cfe19/6917e3fa/kmoat/mps/logo/v3/r/p/v09044g40000cpepodnog65vr4bsdovg/7a48aaf36ae040878605caa7d299d59a/d936bbe4b634bffa9fcdc1e141d9efd1/mp4/main.mp4?a=1988&amp;bti=ODszNWYuMDE6&amp;ch=0&amp;cr=3&amp;dr=0&amp;lr=all&amp;cd=0%7C0%7C0%7C&amp;cv=1&amp;br=0&amp;bt=0&amp;cs=0&amp;ds=3&amp;ft=bLZkJmrMPD12N8hopd-Ux~v2bY6e3wv251cAp&amp;mime_type=video_mp4&amp;qs=0&amp;rc=cnF8b2hsc2d3SkBwaHIxaDFybndmZDg8NTpkODk6MzNkNmQ7ZEBpanJ2N3k5cmdzczMzNzczM0BjRl5Nc3FePmJKYSNvYF90aHFmOiM2YTZhXmAtNTUxYjNjXjE0YSNzYV9vMmRrbGJgLS1kMTZzcw%3D%3D&amp;btag=e000b0000&amp;definition=720p&amp;du=10&amp;item_id=7376224055265037574&amp;l=202511131022406C90E0DA9AAAC98C2302&amp;logo_type=tiktok_creator&amp;ply_type=2&amp;policy=eyJ2bSI6MiwiY2siOiJ0dF9jaGFpbl90b2tlbiJ9&amp;sign_params=item_id%2Cuser_text&amp;user_text=tdahadulto" TargetMode="External"/><Relationship Id="rId1513" Type="http://schemas.openxmlformats.org/officeDocument/2006/relationships/hyperlink" Target="https://www.tiktok.com/@tdahadulto/video/7376224055265037574" TargetMode="External"/><Relationship Id="rId1514" Type="http://schemas.openxmlformats.org/officeDocument/2006/relationships/hyperlink" Target="https://p16-sign-va.tiktokcdn.com/tos-maliva-avt-0068/3f2851fddee89c918e3a69c28ed31a70~tplv-tiktokx-cropcenter:100:100.jpeg?dr=14579&amp;refresh_token=68bd2df2&amp;x-expires=1763172000&amp;x-signature=MOIrIx7TMTU%2BZK3m0Wj4qNdWo%2Fk%3D&amp;t=4d5b0474&amp;ps=13740610&amp;shp=a5d48078&amp;shcp=81f88b70&amp;idc=my" TargetMode="External"/><Relationship Id="rId1515" Type="http://schemas.openxmlformats.org/officeDocument/2006/relationships/hyperlink" Target="https://v16-webapp-prime.tiktok.com/video/tos/alisg/tos-alisg-v-27dcd7/ocj2YAUiaPBCABGMAArwhAEqI8QAEAjLl6ivU/?a=1988&amp;bti=ODszNWYuMDE6&amp;ch=0&amp;cr=0&amp;dr=0&amp;er=0&amp;lr=default&amp;cd=0%7C0%7C0%7C0&amp;br=250&amp;bt=125&amp;ds=5&amp;ft=GNDpcInz7ThGD-UPXq8Zmo&amp;mime_type=audio_mpeg&amp;qs=13&amp;rc=amRya3Y5cjNoNzMzODU8NEBpamRya3Y5cjNoNzMzODU8NEBrbWplMmQ0ajFhLS1kMS1zYSNrbWplMmQ0ajFhLS1kMS1zcw%3D%3D&amp;btag=e00050000&amp;expire=1763004416&amp;l=2025111310254344385823DD6566920070&amp;ply_type=3&amp;policy=3&amp;signature=81e4a7c805ce79c89c2d1ea68673a756&amp;tk=7571587458748974088" TargetMode="External"/><Relationship Id="rId1516" Type="http://schemas.openxmlformats.org/officeDocument/2006/relationships/hyperlink" Target="https://p77-sign-va.tiktokcdn.com/tos-maliva-avt-0068/3f2851fddee89c918e3a69c28ed31a70~tplv-tiktokx-cropcenter:1080:1080.jpeg?dr=14579&amp;refresh_token=50fef0bb&amp;x-expires=1763172000&amp;x-signature=m1tvTCrpvcxusOuiCsPZStSI2uA%3D&amp;t=4d5b0474&amp;ps=13740610&amp;shp=a5d48078&amp;shcp=81f88b70&amp;idc=my" TargetMode="External"/><Relationship Id="rId1517" Type="http://schemas.openxmlformats.org/officeDocument/2006/relationships/hyperlink" Target="https://v16-webapp-prime.tiktok.com/video/tos/alisg/tos-alisg-pve-0037c001/ogRJgCDg9IpXFgVqUcfBROwJxo4ceOErAEBwwQ/?a=1988&amp;bti=ODszNWYuMDE6&amp;ch=0&amp;cr=3&amp;dr=0&amp;lr=all&amp;cd=0%7C0%7C0%7C&amp;cv=1&amp;br=2716&amp;bt=1358&amp;cs=0&amp;ds=3&amp;ft=-Csk_mrMPD12Nn.opd-UxJTFGY6e3wv25bcAp&amp;mime_type=video_mp4&amp;qs=0&amp;rc=ZTw1ODw7ZWU2aGQ7Zmc6OUBpM3Zwa245cmZoNzMzODczNEBiXy00MTFeNmIxYF8tLzBgYSNgaTMwMmQ0aTFhLS1kMWBzcw%3D%3D&amp;btag=e00090000&amp;expire=1763173616&amp;l=2025111310254344385823DD6566920070&amp;ply_type=2&amp;policy=2&amp;signature=1a8393a66c10c448551ef62ca0ed91a9&amp;tk=tt_chain_token" TargetMode="External"/><Relationship Id="rId1518" Type="http://schemas.openxmlformats.org/officeDocument/2006/relationships/hyperlink" Target="https://www.tiktok.com/@labirintodamente6/video/7568557507300412693" TargetMode="External"/><Relationship Id="rId1519" Type="http://schemas.openxmlformats.org/officeDocument/2006/relationships/hyperlink" Target="https://p77-sign-va.tiktokcdn.com/tos-maliva-avt-0068/3403ddfcebd64115e73e8071a88d6b95~tplv-tiktokx-cropcenter:100:100.jpeg?dr=14579&amp;refresh_token=f0e971de&amp;x-expires=1763172000&amp;x-signature=JTMxFqP%2FmdDxu%2Brc1bmrGh8L5mw%3D&amp;t=4d5b0474&amp;ps=13740610&amp;shp=a5d48078&amp;shcp=81f88b70&amp;idc=my" TargetMode="External"/><Relationship Id="rId1500" Type="http://schemas.openxmlformats.org/officeDocument/2006/relationships/hyperlink" Target="https://p16-sign-va.tiktokcdn.com/tos-maliva-avt-0068/377405ce9a41275b9b6f008b78c94af6~tplv-tiktokx-cropcenter:100:100.jpeg?dr=14579&amp;refresh_token=50829d2c&amp;x-expires=1763172000&amp;x-signature=ydWQYLT4x%2BYCFKdIimBTTRzwZxs%3D&amp;t=4d5b0474&amp;ps=13740610&amp;shp=a5d48078&amp;shcp=81f88b70&amp;idc=my" TargetMode="External"/><Relationship Id="rId1501" Type="http://schemas.openxmlformats.org/officeDocument/2006/relationships/hyperlink" Target="https://v16-webapp-prime.tiktok.com/video/tos/alisg/tos-alisg-v-27dcd7/oQBtEAnNA3N7VAA0ClvIMAAUipavI2YSgiQEC/?a=1988&amp;bti=ODszNWYuMDE6&amp;ch=0&amp;cr=0&amp;dr=0&amp;er=0&amp;lr=default&amp;cd=0%7C0%7C0%7C0&amp;br=250&amp;bt=125&amp;ds=5&amp;ft=GNDpcInz7Th49-UPXq8Zmo&amp;mime_type=audio_mpeg&amp;qs=13&amp;rc=amZkeHE5cnBsNzMzODU8NEBpamZkeHE5cnBsNzMzODU8NEBqYm5rMmRrLjNhLS1kMS1zYSNqYm5rMmRrLjNhLS1kMS1zcw%3D%3D&amp;btag=e00048000&amp;expire=1763004314&amp;l=20251113102415EC11E565E652E77F00C9&amp;ply_type=3&amp;policy=3&amp;signature=4d9c1d47f7112700df9871bd0600c1a1&amp;tk=7571587458748974088" TargetMode="External"/><Relationship Id="rId1502" Type="http://schemas.openxmlformats.org/officeDocument/2006/relationships/hyperlink" Target="https://p16-sign-va.tiktokcdn.com/tos-maliva-avt-0068/377405ce9a41275b9b6f008b78c94af6~tplv-tiktokx-cropcenter:1080:1080.jpeg?dr=14579&amp;refresh_token=47a1c46c&amp;x-expires=1763172000&amp;x-signature=y4BFpGqdpekK6k8NRec5wUnVIOY%3D&amp;t=4d5b0474&amp;ps=13740610&amp;shp=a5d48078&amp;shcp=81f88b70&amp;idc=my" TargetMode="External"/><Relationship Id="rId1503" Type="http://schemas.openxmlformats.org/officeDocument/2006/relationships/hyperlink" Target="https://v16-webapp-prime.tiktok.com/video/tos/alisg/tos-alisg-pve-0037c001/os9EagiDOIBT11QAf1LgfUiHpNEJRwGBpGORIB/?a=1988&amp;bti=ODszNWYuMDE6&amp;ch=0&amp;cr=3&amp;dr=0&amp;lr=all&amp;cd=0%7C0%7C0%7C&amp;cv=1&amp;br=1730&amp;bt=865&amp;cs=0&amp;ds=3&amp;ft=-Csk_mrMPD12Nycopd-UxG4vXY6e3wv25McAp&amp;mime_type=video_mp4&amp;qs=0&amp;rc=NDZmOjNoNWQ2NmU6Z2Y8OUBpamhzb285cnRrNzMzODczNUBiLTReLS40Xi4xLWAwYDEtYSNuaC0wMmRzczNhLS1kMTZzcw%3D%3D&amp;btag=e00088000&amp;expire=1763173514&amp;l=20251113102415EC11E565E652E77F00C9&amp;ply_type=2&amp;policy=2&amp;signature=33ebff0fdb96d521fb0fa2c5b8da1dcd&amp;tk=tt_chain_token" TargetMode="External"/><Relationship Id="rId1504" Type="http://schemas.openxmlformats.org/officeDocument/2006/relationships/hyperlink" Target="https://www.tiktok.com/@terapiadafe/video/7569742618993773845" TargetMode="External"/><Relationship Id="rId1505" Type="http://schemas.openxmlformats.org/officeDocument/2006/relationships/hyperlink" Target="https://p16-sign-va.tiktokcdn.com/tos-maliva-avt-0068/b3e6dfe8b52a56e509e3243a43a51a53~tplv-tiktokx-cropcenter:100:100.jpeg?dr=14579&amp;refresh_token=2ee4d2b4&amp;x-expires=1763172000&amp;x-signature=5Z%2BmJ8HpGB6DDhIsPkHvt%2FmhYw0%3D&amp;t=4d5b0474&amp;ps=13740610&amp;shp=a5d48078&amp;shcp=81f88b70&amp;idc=my" TargetMode="External"/><Relationship Id="rId1506" Type="http://schemas.openxmlformats.org/officeDocument/2006/relationships/hyperlink" Target="https://v16-webapp-prime.tiktok.com/video/tos/useast2a/tos-useast2a-v-27dcd7/o8EE7DpfINioSQCCnKYDfCCTf2EFAAggAkUPIr/?a=1988&amp;bti=ODszNWYuMDE6&amp;ch=0&amp;cr=0&amp;dr=0&amp;er=0&amp;lr=default&amp;cd=0%7C0%7C0%7C0&amp;br=250&amp;bt=125&amp;ds=5&amp;ft=GNDpcInz7ThRK-UPXq8Zmo&amp;mime_type=audio_mpeg&amp;qs=13&amp;rc=am1xZ2s5cndqeDMzNzU8M0Bpam1xZ2s5cndqeDMzNzU8M0BkNmMwMmRrYy9gLS1kMTZzYSNkNmMwMmRrYy9gLS1kMTZzcw%3D%3D&amp;btag=e00078000&amp;expire=1763004159&amp;l=202511131022245A53A91EDE77CC8B0DB4&amp;ply_type=3&amp;policy=3&amp;signature=53ef70fad0bd94bfc66763583ffc37ac&amp;tk=7571587458748974088" TargetMode="External"/><Relationship Id="rId1507" Type="http://schemas.openxmlformats.org/officeDocument/2006/relationships/hyperlink" Target="https://p16-sign-va.tiktokcdn.com/tos-maliva-avt-0068/b3e6dfe8b52a56e509e3243a43a51a53~tplv-tiktokx-cropcenter:1080:1080.jpeg?dr=14579&amp;refresh_token=d2204308&amp;x-expires=1763172000&amp;x-signature=CR6rF3foPMrP59nY%2B8ASun6zlok%3D&amp;t=4d5b0474&amp;ps=13740610&amp;shp=a5d48078&amp;shcp=81f88b70&amp;idc=my" TargetMode="External"/><Relationship Id="rId1508" Type="http://schemas.openxmlformats.org/officeDocument/2006/relationships/hyperlink" Target="https://www.tiktok.com/@patriciats91/video/7459377078920563974" TargetMode="External"/><Relationship Id="rId1509" Type="http://schemas.openxmlformats.org/officeDocument/2006/relationships/hyperlink" Target="https://p77-sign-va.tiktokcdn.com/tos-maliva-avt-0068/6ab08493d79690026fe801eb75b12c68~tplv-tiktokx-cropcenter:100:100.jpeg?dr=14579&amp;refresh_token=f77f951c&amp;x-expires=1763172000&amp;x-signature=UI3gI62IbHaq5cfEANMbTpr7MH4%3D&amp;t=4d5b0474&amp;ps=13740610&amp;shp=a5d48078&amp;shcp=81f88b70&amp;idc=my" TargetMode="External"/><Relationship Id="rId1576" Type="http://schemas.openxmlformats.org/officeDocument/2006/relationships/hyperlink" Target="https://www.tiktok.com/@tdahcommaisperformance/video/7547311945926430008" TargetMode="External"/><Relationship Id="rId1577" Type="http://schemas.openxmlformats.org/officeDocument/2006/relationships/hyperlink" Target="https://p77-sign-va.tiktokcdn.com/tos-maliva-avt-0068/c1ee97d6f774e6680b42d29a8376eac3~tplv-tiktokx-cropcenter:100:100.jpeg?dr=14579&amp;refresh_token=d87e9a2e&amp;x-expires=1763172000&amp;x-signature=EV3grDxg9n27IWT4KtAkVDJto%2B4%3D&amp;t=4d5b0474&amp;ps=13740610&amp;shp=a5d48078&amp;shcp=81f88b70&amp;idc=my" TargetMode="External"/><Relationship Id="rId1578" Type="http://schemas.openxmlformats.org/officeDocument/2006/relationships/hyperlink" Target="https://sf16-ies-music-sg.tiktokcdn.com/obj/tos-alisg-ve-2774/owQVYdBDZKlqCGDnmFt9fUs6iQqt1ErgQkpHBf" TargetMode="External"/><Relationship Id="rId1579" Type="http://schemas.openxmlformats.org/officeDocument/2006/relationships/hyperlink" Target="https://p16-sg.tiktokcdn.com/aweme/720x720/tos-alisg-v-2774/oEy9IcDCEFCwEDBqgAEQAjtABoo4fZ8qnfACgL.jpeg" TargetMode="External"/><Relationship Id="rId509" Type="http://schemas.openxmlformats.org/officeDocument/2006/relationships/hyperlink" Target="https://p77-sign-va.tiktokcdn.com/tos-maliva-avt-0068/50ef81d77f5f6db1e258e8c98b2de598~tplv-tiktokx-cropcenter:1080:1080.jpeg?dr=14579&amp;refresh_token=8590c7df&amp;x-expires=1763172000&amp;x-signature=GVLZ4AHp16euWVxKeKlPPfCO5oU%3D&amp;t=4d5b0474&amp;ps=13740610&amp;shp=a5d48078&amp;shcp=81f88b70&amp;idc=my" TargetMode="External"/><Relationship Id="rId508" Type="http://schemas.openxmlformats.org/officeDocument/2006/relationships/hyperlink" Target="https://v16-webapp-prime.tiktok.com/video/tos/useast2a/tos-useast2a-v-27dcd7/o4tWAhKCOytPEoh31nEfMKjzArAkVEEppEkBAg/?a=1988&amp;bti=ODszNWYuMDE6&amp;ch=0&amp;cr=0&amp;dr=0&amp;er=0&amp;lr=default&amp;cd=0%7C0%7C0%7C0&amp;br=250&amp;bt=125&amp;ds=5&amp;ft=GNDpcInz7ThYK-UPXq8Zmo&amp;mime_type=audio_mpeg&amp;qs=13&amp;rc=MzR2ZTc6ZmV3bDMzNzU8M0BpMzR2ZTc6ZmV3bDMzNzU8M0BmNmAzcjRfNmhgLS1kMTZzYSNmNmAzcjRfNmhgLS1kMTZzcw%3D%3D&amp;btag=e00048000&amp;expire=1763004211&amp;l=20251113102250DC012CE1E68AEAAA2B86&amp;ply_type=3&amp;policy=3&amp;signature=bdb4b5ca2682d520aa1654c5900ae553&amp;tk=7571587458748974088" TargetMode="External"/><Relationship Id="rId503" Type="http://schemas.openxmlformats.org/officeDocument/2006/relationships/hyperlink" Target="https://sf16-ies-music-sg.tiktokcdn.com/obj/tos-alisg-ve-2774/oMUBYBZgAjzmzh5LASirQiSPI9QEDAgMWPiVN" TargetMode="External"/><Relationship Id="rId987" Type="http://schemas.openxmlformats.org/officeDocument/2006/relationships/hyperlink" Target="https://v16-webapp-prime.tiktok.com/video/tos/alisg/tos-alisg-pve-0037c001/oAHcJQhInxkQkBHzQDbQA5gWWe7uRkBEeTSRDW/?a=1988&amp;bti=ODszNWYuMDE6&amp;ch=0&amp;cr=3&amp;dr=0&amp;lr=all&amp;cd=0%7C0%7C0%7C&amp;cv=1&amp;br=2270&amp;bt=1135&amp;cs=0&amp;ds=3&amp;ft=-Csk_mrMPD12N8Yopd-UxfeFaY6e3wv25HcAp&amp;mime_type=video_mp4&amp;qs=0&amp;rc=aDg5OTdmNTc0M2k4ZDhkZ0BpanM1dzw6Zjs3azMzNzczM0AyYzI1MDNiX2IxYS8vXl5gYSNoam9ycjRfNW1gLS1kMTZzcw%3D%3D&amp;btag=e00088000&amp;expire=1763173482&amp;l=20251113102343D1A0044B947998B9C2A2&amp;ply_type=2&amp;policy=2&amp;signature=d3fafc2dc568474fdd644605d60eba04&amp;tk=tt_chain_token" TargetMode="External"/><Relationship Id="rId502"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986" Type="http://schemas.openxmlformats.org/officeDocument/2006/relationships/hyperlink" Target="https://p77-sg.tiktokcdn.com/aweme/720x720/tos-alisg-v-2774/oUA7EiLHwAYxr9BA3U7aJhWAA1lnAPdQAEivz.jpeg" TargetMode="External"/><Relationship Id="rId501" Type="http://schemas.openxmlformats.org/officeDocument/2006/relationships/hyperlink" Target="https://www.tiktok.com/@psi.jonathanorlandi/video/7567357838679362837" TargetMode="External"/><Relationship Id="rId985" Type="http://schemas.openxmlformats.org/officeDocument/2006/relationships/hyperlink" Target="https://sf16-ies-music-sg.tiktokcdn.com/obj/tos-alisg-ve-2774/owydIViGoyoP6udKAMBBMGBysxzwoAsWaVi0fR" TargetMode="External"/><Relationship Id="rId500" Type="http://schemas.openxmlformats.org/officeDocument/2006/relationships/hyperlink" Target="https://v16-webapp-prime.tiktok.com/video/tos/alisg/tos-alisg-pve-0037c001/oogiYcViavKEQBqzN2nTSAEVExQQIAS4B3iV7/?a=1988&amp;bti=ODszNWYuMDE6&amp;ch=0&amp;cr=3&amp;dr=0&amp;lr=all&amp;cd=0%7C0%7C0%7C&amp;cv=1&amp;br=2530&amp;bt=1265&amp;cs=0&amp;ds=3&amp;ft=I~da4oKyD12NvyA0i.IxRhq_glBF-UjNSmopiX&amp;mime_type=video_mp4&amp;qs=0&amp;rc=NTdoOTk0aDdlZzxmOTg2O0Bpam9lZGs5cnBkNzMzODczNEAxMy5gM2M1NWIxLmM1MGFhYSNeM2hkMmRrYy9hLS1kMTFzcw%3D%3D&amp;btag=e00090000&amp;expire=1763173546&amp;l=202511131024200DA040BB1F5C349EC2B1&amp;ply_type=2&amp;policy=2&amp;signature=ba8abc69c483e15d0970c14dc6e4c7b8&amp;tk=tt_chain_token" TargetMode="External"/><Relationship Id="rId984" Type="http://schemas.openxmlformats.org/officeDocument/2006/relationships/hyperlink" Target="https://p16-sign-va.tiktokcdn.com/tos-maliva-avt-0068/b5b8616e7ad0f537b77f3f29a3b4aad1~tplv-tiktokx-cropcenter:100:100.jpeg?dr=14579&amp;refresh_token=95481c76&amp;x-expires=1763172000&amp;x-signature=uOqgGtqqZnmNWA4Y6cPz1mIiH0g%3D&amp;t=4d5b0474&amp;ps=13740610&amp;shp=a5d48078&amp;shcp=81f88b70&amp;idc=my" TargetMode="External"/><Relationship Id="rId507" Type="http://schemas.openxmlformats.org/officeDocument/2006/relationships/hyperlink" Target="https://p77-sign-va.tiktokcdn.com/tos-maliva-avt-0068/50ef81d77f5f6db1e258e8c98b2de598~tplv-tiktokx-cropcenter:100:100.jpeg?dr=14579&amp;refresh_token=8c28bf35&amp;x-expires=1763172000&amp;x-signature=ue8h5YZNYA1UQGyUejk2TrlGI%2BI%3D&amp;t=4d5b0474&amp;ps=13740610&amp;shp=a5d48078&amp;shcp=81f88b70&amp;idc=my" TargetMode="External"/><Relationship Id="rId506" Type="http://schemas.openxmlformats.org/officeDocument/2006/relationships/hyperlink" Target="https://www.tiktok.com/@psi.walace/video/7516671993526095109" TargetMode="External"/><Relationship Id="rId505" Type="http://schemas.openxmlformats.org/officeDocument/2006/relationships/hyperlink" Target="https://v16-webapp-prime.tiktok.com/video/tos/useast2a/tos-useast2a-ve-0068c001/owrGfADUfltBYFRaoIncTQJEQIxQBDTEFN5JE0/?a=1988&amp;bti=ODszNWYuMDE6&amp;ch=0&amp;cr=3&amp;dr=0&amp;lr=all&amp;cd=0%7C0%7C0%7C&amp;cv=1&amp;br=1382&amp;bt=691&amp;cs=0&amp;ds=3&amp;ft=-Csk_mrMPD12NXhopd-UxB6vSY6e3wv25rcAp&amp;mime_type=video_mp4&amp;qs=0&amp;rc=aTs3ZzM7ZTozOjU4NzlkOkBpam1vM3Y5cnE8NDMzNzczM0AuMmAuMzM1NWAxMjBfMmFgYSNzaGFmMmQ0NjVhLS1kMTZzcw%3D%3D&amp;btag=e00090000&amp;expire=1763173405&amp;l=202511131022245A53A91EDE77CC8B0DB4&amp;ply_type=2&amp;policy=2&amp;signature=5ff8a0aaebdb517f1408dc0fda27da21&amp;tk=tt_chain_token" TargetMode="External"/><Relationship Id="rId989" Type="http://schemas.openxmlformats.org/officeDocument/2006/relationships/hyperlink" Target="https://p77-sign-va.tiktokcdn.com/tos-maliva-avt-0068/a4192a1c951aa0f10f1994fa288f119b~tplv-tiktokx-cropcenter:100:100.jpeg?dr=14579&amp;refresh_token=882e0d6e&amp;x-expires=1763172000&amp;x-signature=nsM9CX9prHdUdf5ZnXDLbRdvD3I%3D&amp;t=4d5b0474&amp;ps=13740610&amp;shp=a5d48078&amp;shcp=81f88b70&amp;idc=my" TargetMode="External"/><Relationship Id="rId504" Type="http://schemas.openxmlformats.org/officeDocument/2006/relationships/hyperlink" Target="https://p77-sg.tiktokcdn.com/aweme/720x720/tos-alisg-v-2774/oUG8AAGLIKPebIIr4eMBrqUMeeVeAAi7ABVAL2.jpeg" TargetMode="External"/><Relationship Id="rId988" Type="http://schemas.openxmlformats.org/officeDocument/2006/relationships/hyperlink" Target="https://www.tiktok.com/@natgarcianeuro/video/7237922527778000134" TargetMode="External"/><Relationship Id="rId1570" Type="http://schemas.openxmlformats.org/officeDocument/2006/relationships/hyperlink" Target="https://v16-webapp-prime.tiktok.com/video/tos/maliva/tos-maliva-ve-0068c801-us/ocHSnHLfVlEMXJBpBeDknFFNTd95QA5Inz8tEC/?a=1988&amp;bti=ODszNWYuMDE6&amp;ch=0&amp;cr=3&amp;dr=0&amp;lr=all&amp;cd=0%7C0%7C0%7C&amp;br=864&amp;bt=432&amp;cs=0&amp;ds=3&amp;ft=-Csk_mrMPD12Nzhopd-UxfeFaY6e3wv25HcAp&amp;mime_type=video_mp4&amp;qs=0&amp;rc=cnF8b2hsc2d3SkBwaHIxaDFybndmNDk0ODplZzZlNDQ4M2g3OUBpamx0dnY5cmtncTMzNzgzM0BjRl5Nc3FePmJKYSNvYF90aHFmOiMzMC8wYGAxXzExMy82MTRhYSMyYnNtMmRzL2ZgLS1kLzZzcw%3D%3D&amp;btag=e000b0000&amp;expire=1763173373&amp;l=202511131022442EE54DE47B86CCA867A8&amp;ply_type=2&amp;policy=2&amp;signature=aec120c64679a545ae48bd72f80ac629&amp;tk=tt_chain_token" TargetMode="External"/><Relationship Id="rId1571" Type="http://schemas.openxmlformats.org/officeDocument/2006/relationships/hyperlink" Target="https://www.tiktok.com/@trintadedobemestar/video/7322885689375296773" TargetMode="External"/><Relationship Id="rId983" Type="http://schemas.openxmlformats.org/officeDocument/2006/relationships/hyperlink" Target="https://www.tiktok.com/@liberdade.mentall/video/7488485939438767365" TargetMode="External"/><Relationship Id="rId1572" Type="http://schemas.openxmlformats.org/officeDocument/2006/relationships/hyperlink" Target="https://p77-sign-va.tiktokcdn.com/tos-maliva-avt-0068/fa233712dfcf05abd3a56a8d8aa1b5c6~tplv-tiktokx-cropcenter:100:100.jpeg?dr=14579&amp;refresh_token=60c48fcf&amp;x-expires=1763172000&amp;x-signature=s74cMnVCzmPUsWg%2F4r8JhaMlBxA%3D&amp;t=4d5b0474&amp;ps=13740610&amp;shp=a5d48078&amp;shcp=81f88b70&amp;idc=my" TargetMode="External"/><Relationship Id="rId982" Type="http://schemas.openxmlformats.org/officeDocument/2006/relationships/hyperlink" Target="https://v16-webapp-prime.tiktok.com/video/tos/useast2a/tos-useast2a-pve-0068/oQweCOeGSIuRjrPIVcJaz2eOsCoAxIQBLQHdEg/?a=1988&amp;bti=ODszNWYuMDE6&amp;ch=0&amp;cr=3&amp;dr=0&amp;lr=all&amp;cd=0%7C0%7C0%7C&amp;cv=1&amp;br=1246&amp;bt=623&amp;cs=0&amp;ds=3&amp;ft=-Csk_mrMPD12NY_opd-Uxz42hY6e3wv25ycAp&amp;mime_type=video_mp4&amp;qs=0&amp;rc=NGQ4ZWUzZWRlaWc2Mzw4NEBpM3h3cXU5cjY6eTMzNzczM0AvLjIzXmAvNTExLmBfMTYwYSNhX2xmMmRrMWpgLS1kMTZzcw%3D%3D&amp;btag=e00090000&amp;expire=1763173690&amp;l=202511131026378F10DAFBB0AF239B249B&amp;ply_type=2&amp;policy=2&amp;signature=be938821218283cd2648433ff33f7e30&amp;tk=tt_chain_token" TargetMode="External"/><Relationship Id="rId1573" Type="http://schemas.openxmlformats.org/officeDocument/2006/relationships/hyperlink" Target="https://sf16-ies-music-sg.tiktokcdn.com/obj/tos-alisg-ve-2774/826033f166d448029eefc3940921daaf" TargetMode="External"/><Relationship Id="rId981"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1574" Type="http://schemas.openxmlformats.org/officeDocument/2006/relationships/hyperlink" Target="https://p77-sg.tiktokcdn.com/aweme/720x720/tos-alisg-v-2774/568a79982fd64d27bf506255ecb58f1e.jpeg" TargetMode="External"/><Relationship Id="rId980" Type="http://schemas.openxmlformats.org/officeDocument/2006/relationships/hyperlink" Target="https://v16-webapp-prime.tiktok.com/video/tos/useast2a/tos-useast2a-v-27dcd7/osAMA1feTPIuDSCRCeGsRSLOAlc2gEbEcpcAEo/?a=1988&amp;bti=ODszNWYuMDE6&amp;ch=0&amp;cr=0&amp;dr=0&amp;er=0&amp;lr=default&amp;cd=0%7C0%7C0%7C0&amp;br=250&amp;bt=125&amp;ds=5&amp;ft=GNDpcInz7ThVY-UPXq8Zmo&amp;mime_type=audio_mpeg&amp;qs=13&amp;rc=ajl2anA5cnA6eTMzNzU8M0Bpajl2anA5cnA6eTMzNzU8M0BjZS5vMmRrMWpgLS1kMTZzYSNjZS5vMmRrMWpgLS1kMTZzcw%3D%3D&amp;btag=e00050000&amp;expire=1763004490&amp;l=202511131026378F10DAFBB0AF239B249B&amp;ply_type=3&amp;policy=3&amp;signature=8151ea3900a5513d2065ffe22d0a5f50&amp;tk=7571587458748974088" TargetMode="External"/><Relationship Id="rId1575" Type="http://schemas.openxmlformats.org/officeDocument/2006/relationships/hyperlink" Target="https://v16-webapp-prime.tiktok.com/video/tos/alisg/tos-alisg-ve-37c813-sg/o4CBd7ouQcRZEM6EFWAySIED9QDJvmVBnHf3Fe/?a=1988&amp;bti=ODszNWYuMDE6&amp;ch=0&amp;cr=3&amp;dr=0&amp;lr=all&amp;cd=0%7C0%7C0%7C&amp;cv=1&amp;br=816&amp;bt=408&amp;cs=0&amp;ds=3&amp;ft=-Csk_mrMPD12N8hopd-Ux~v2bY6e3wv251cAp&amp;mime_type=video_mp4&amp;qs=0&amp;rc=OGQ2NDRmaGc6aTVoPDlmZkBpanNvZXg5cm1wNTMzNzczM0BhNjBhXy4xNTAxYC4vNi1iYSNnXmdxMmQ0cXJhLS1kMTZzcw%3D%3D&amp;btag=e00088000&amp;expire=1763173412&amp;l=202511131022406C90E0DA9AAAC98C2302&amp;ply_type=2&amp;policy=2&amp;signature=64738f4377a56d9c5f02e1ea18798f5e&amp;tk=tt_chain_token" TargetMode="External"/><Relationship Id="rId1565" Type="http://schemas.openxmlformats.org/officeDocument/2006/relationships/hyperlink" Target="https://webapp-va.tiktok.com/c88614147ee832ff3b01f052ef647fd2/6917e41a/kmoat/mps/logo/v2/r/p/v09044g40000crfoaqvog65rb8jqtak0/a571fd7de91042e1b9e062ce1a71e0eb/f4639ffe09bd0dde351bf8ffedfd7b8e/mp4/main.mp4?a=1988&amp;bti=ODszNWYuMDE6&amp;ch=0&amp;cr=3&amp;dr=0&amp;lr=all&amp;cd=0%7C0%7C0%7C&amp;cv=1&amp;br=0&amp;bt=0&amp;cs=0&amp;ds=3&amp;eid=1286&amp;ft=bLZkJmrMPD12N4Yopd-Ux9T2bY6e3wv25IcAp&amp;mime_type=video_mp4&amp;qs=0&amp;rc=cnF8b2hsc2d3SkBwaHIxaDFybndmZTM0ZGg1Mzw0NTM8Z2c0OEBpM2R0O3U5cnRydTMzNzczM0BjRl5Nc3FePmJKYSNvYF90aHFmOiNiYjQuYDNiX2IxLmI0YzReYSNocWdfMmRzXmNgLS1kMTZzcw%3D%3D&amp;btag=e000b8000&amp;definition=720p&amp;du=26&amp;item_id=7412790904672636166&amp;l=20251113102257F8D01E3BFCE9B2911856&amp;logo_type=tiktok_m&amp;ply_type=2&amp;policy=eyJ2bSI6MiwiY2siOiJ0dF9jaGFpbl90b2tlbiJ9&amp;user_text=dicas_descontos" TargetMode="External"/><Relationship Id="rId1566" Type="http://schemas.openxmlformats.org/officeDocument/2006/relationships/hyperlink" Target="https://www.tiktok.com/@dicas_descontos/video/7412790904672636166" TargetMode="External"/><Relationship Id="rId1567" Type="http://schemas.openxmlformats.org/officeDocument/2006/relationships/hyperlink" Target="https://p16-sign-va.tiktokcdn.com/tos-maliva-avt-0068/af2e626856556626c46fc495e4da441c~tplv-tiktokx-cropcenter:100:100.jpeg?dr=14579&amp;refresh_token=7122678c&amp;x-expires=1763172000&amp;x-signature=63fVYJ%2B44y%2BwVvEqS9R5lCjGbOY%3D&amp;t=4d5b0474&amp;ps=13740610&amp;shp=a5d48078&amp;shcp=81f88b70&amp;idc=my" TargetMode="External"/><Relationship Id="rId1568" Type="http://schemas.openxmlformats.org/officeDocument/2006/relationships/hyperlink" Target="https://v16-webapp-prime.tiktok.com/video/tos/maliva/tos-maliva-ve-27dcd7c799-us/owJDxPlBSxJxEcUUF2CCSQYDmgCSUu6BGBf2eg/?a=1988&amp;bti=ODszNWYuMDE6&amp;ch=0&amp;cr=0&amp;dr=0&amp;er=0&amp;lr=default&amp;cd=0%7C0%7C0%7C0&amp;br=250&amp;bt=125&amp;ft=GNDpcInz7ThbK-UPXq8Zmo&amp;mime_type=audio_mpeg&amp;qs=6&amp;rc=Zmc8OTw4Zzg7aWZmOTNoNUBpanI2M2o5cnFwbzMzZzU8NEAtYF8uLjM1XzExLS80NGBfYSNlbjQyMmQ0NDZgLS1kMS9zcw%3D%3D&amp;btag=e00088000&amp;expire=1763004201&amp;l=202511131022442EE54DE47B86CCA867A8&amp;ply_type=3&amp;policy=3&amp;signature=52f6251978ad37c6a3b665c58b2724c5&amp;tk=7571587458748974088" TargetMode="External"/><Relationship Id="rId1569" Type="http://schemas.openxmlformats.org/officeDocument/2006/relationships/hyperlink" Target="https://p16-sign-va.tiktokcdn.com/tos-maliva-avt-0068/372c8194bccc408b29e0a731a3f80e46~tplv-tiktokx-cropcenter:1080:1080.jpeg?dr=14579&amp;refresh_token=3283e59c&amp;x-expires=1763172000&amp;x-signature=aNapVRSgQRjB5O2yKeWp4b%2F9Etg%3D&amp;t=4d5b0474&amp;ps=13740610&amp;shp=a5d48078&amp;shcp=81f88b70&amp;idc=my" TargetMode="External"/><Relationship Id="rId976" Type="http://schemas.openxmlformats.org/officeDocument/2006/relationships/hyperlink" Target="https://p16-sign-va.tiktokcdn.com/tos-maliva-avt-0068/72466cc9d5b9a27930c91e8fb7677589~tplv-tiktokx-cropcenter:1080:1080.jpeg?dr=14579&amp;refresh_token=72b31f13&amp;x-expires=1763172000&amp;x-signature=BB%2Feg0hCMnot8riQo9d8Z9XOVCQ%3D&amp;t=4d5b0474&amp;ps=13740610&amp;shp=a5d48078&amp;shcp=81f88b70&amp;idc=my" TargetMode="External"/><Relationship Id="rId975" Type="http://schemas.openxmlformats.org/officeDocument/2006/relationships/hyperlink" Target="https://v16-webapp-prime.tiktok.com/video/tos/useast2a/tos-useast2a-v-27dcd7/oMmrgg5NzAk6Gm8eFePJwSf4meSAyEVQtZH32D/?a=1988&amp;bti=ODszNWYuMDE6&amp;ch=0&amp;cr=0&amp;dr=0&amp;er=0&amp;lr=default&amp;cd=0%7C0%7C0%7C0&amp;br=250&amp;bt=125&amp;ft=GNDpcInz7ThaV-UPXq8Zmo&amp;mime_type=audio_mpeg&amp;qs=6&amp;rc=aTRlNjtmZmY5ZzZnPDM4OEBpM3Nxcmk6ZnFmbDMzNzU8M0A0MjQtLzQvNi8xMC4vLjI0YSNoaS4wcjRfaHNgLS1kMTZzcw%3D%3D&amp;btag=e00090000&amp;expire=1763004286&amp;l=20251113102343D1A0044B947998B9C2A2&amp;ply_type=3&amp;policy=3&amp;signature=6fd0fefda13b0e89fdc31c06f89087a5&amp;tk=7571587458748974088" TargetMode="External"/><Relationship Id="rId974" Type="http://schemas.openxmlformats.org/officeDocument/2006/relationships/hyperlink" Target="https://p77-sign-va.tiktokcdn.com/tos-maliva-avt-0068/72466cc9d5b9a27930c91e8fb7677589~tplv-tiktokx-cropcenter:100:100.jpeg?dr=14579&amp;refresh_token=5f5d8ba1&amp;x-expires=1763172000&amp;x-signature=z0g0JQ3%2Fn85I6F4U84rdOVbJcE8%3D&amp;t=4d5b0474&amp;ps=13740610&amp;shp=a5d48078&amp;shcp=81f88b70&amp;idc=my" TargetMode="External"/><Relationship Id="rId973" Type="http://schemas.openxmlformats.org/officeDocument/2006/relationships/hyperlink" Target="https://www.tiktok.com/@curiosos_epicos/video/7491860058838404407" TargetMode="External"/><Relationship Id="rId979"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978" Type="http://schemas.openxmlformats.org/officeDocument/2006/relationships/hyperlink" Target="https://www.tiktok.com/@brunolnunes/video/7259462091919183109" TargetMode="External"/><Relationship Id="rId977" Type="http://schemas.openxmlformats.org/officeDocument/2006/relationships/hyperlink" Target="https://v16-webapp-prime.tiktok.com/video/tos/alisg/tos-alisg-pve-0037c001/oAJRQg5fVIPn4eQAR4sA2eHaSREHGAfFkF6ZNE/?a=1988&amp;bti=ODszNWYuMDE6&amp;ch=0&amp;cr=3&amp;dr=0&amp;lr=all&amp;cd=0%7C0%7C0%7C&amp;cv=1&amp;br=1394&amp;bt=697&amp;cs=0&amp;ds=3&amp;ft=-Csk_mrMPD12N8Yopd-UxfeFaY6e3wv25HcAp&amp;mime_type=video_mp4&amp;qs=0&amp;rc=OTg8NjpnZGRkZjc6ZWlpZ0BpM293ZWk6ZmlmbDMzNzczM0BeMC0tYl9fXmMxLmEwL2ItYSNwLW9ncjQwaHNgLS1kMTZzcw%3D%3D&amp;btag=e00090000&amp;expire=1763173486&amp;l=20251113102343D1A0044B947998B9C2A2&amp;ply_type=2&amp;policy=2&amp;signature=7fa7751f43f121d93975df513028ee24&amp;tk=tt_chain_token" TargetMode="External"/><Relationship Id="rId1560" Type="http://schemas.openxmlformats.org/officeDocument/2006/relationships/hyperlink" Target="https://v16-webapp-prime.tiktok.com/video/tos/useast2a/tos-useast2a-ve-0068c004/oACqZA8KcJQOkEEmn2FfBBQtt0OGgsIfRCD4E4/?a=1988&amp;bti=ODszNWYuMDE6&amp;ch=0&amp;cr=3&amp;dr=0&amp;lr=all&amp;cd=0%7C0%7C0%7C&amp;cv=1&amp;br=1054&amp;bt=527&amp;cs=0&amp;ds=3&amp;ft=-Csk_mrMPD12Nx_opd-Ux7o2aY6e3wv25zcAp&amp;mime_type=video_mp4&amp;qs=0&amp;rc=Ozw7aGVlPDo4Mzw6aGQ5Z0BpM2dtanY5cmh2dTMzNzczM0A0NDIyYF82NjAxMS0vX2NiYSNqbWhjMmQ0ZGBgLS1kMTZzcw%3D%3D&amp;btag=e00088000&amp;expire=1763173600&amp;l=20251113102607CD4452BD4E07158E0822&amp;ply_type=2&amp;policy=2&amp;signature=5b8f467d14e4d9c59f750609fbb21fc5&amp;tk=tt_chain_token" TargetMode="External"/><Relationship Id="rId972" Type="http://schemas.openxmlformats.org/officeDocument/2006/relationships/hyperlink" Target="https://v16-webapp-prime.tiktok.com/video/tos/useast2a/tos-useast2a-ve-0068c004/osePfg2NYA7pgjGNgQL283SGPe7wUmNICICvwI/?a=1988&amp;bti=ODszNWYuMDE6&amp;ch=0&amp;cr=3&amp;dr=0&amp;lr=all&amp;cd=0%7C0%7C0%7C&amp;cv=1&amp;br=2878&amp;bt=1439&amp;cs=0&amp;ds=3&amp;ft=I~da4oKyD12NvnA0i.IxRTF_blBF-UjNSaopiX&amp;mime_type=video_mp4&amp;qs=0&amp;rc=NTdnNWY1OGdpOzdmZjtpZEBpanJ0cXQ5cms5eTMzNzczM0AtNF5eMmEvNS0xMjQyNV9gYSNhaGBjMmRzcXBgLS1kMTZzcw%3D%3D&amp;btag=e00090000&amp;expire=1763173548&amp;l=20251113102438711CFC3830D7669110B2&amp;ply_type=2&amp;policy=2&amp;signature=ffc1eda95517de161b43703cf2a40ed8&amp;tk=tt_chain_token" TargetMode="External"/><Relationship Id="rId1561" Type="http://schemas.openxmlformats.org/officeDocument/2006/relationships/hyperlink" Target="https://www.tiktok.com/@drdanieltales/video/7411174844793916677" TargetMode="External"/><Relationship Id="rId971" Type="http://schemas.openxmlformats.org/officeDocument/2006/relationships/hyperlink" Target="https://p77-sign-va.tiktokcdn.com/tos-maliva-avt-0068/ca391b0efaba2677f1bf5fc8b151dfa6~tplv-tiktokx-cropcenter:1080:1080.jpeg?dr=14579&amp;refresh_token=b00aaac9&amp;x-expires=1763172000&amp;x-signature=FvR8fGROY9BnKSrL7rSyQvjWyF8%3D&amp;t=4d5b0474&amp;ps=13740610&amp;shp=a5d48078&amp;shcp=81f88b70&amp;idc=my" TargetMode="External"/><Relationship Id="rId1562" Type="http://schemas.openxmlformats.org/officeDocument/2006/relationships/hyperlink" Target="https://p16-sign-va.tiktokcdn.com/tos-maliva-avt-0068/a3dbb624410916b410c542b581ad35e2~tplv-tiktokx-cropcenter:100:100.jpeg?dr=14579&amp;refresh_token=e65183ba&amp;x-expires=1763172000&amp;x-signature=E9Y3Glkqe7khPDxG4tOal3MuzVs%3D&amp;t=4d5b0474&amp;ps=13740610&amp;shp=a5d48078&amp;shcp=81f88b70&amp;idc=my" TargetMode="External"/><Relationship Id="rId970" Type="http://schemas.openxmlformats.org/officeDocument/2006/relationships/hyperlink" Target="https://v16-webapp-prime.tiktok.com/video/tos/useast2a/tos-useast2a-v-27dcd7/oUPXI42oEBiHjgFBObZCfiy0eCSpNM4gTGeO5Q/?a=1988&amp;bti=ODszNWYuMDE6&amp;ch=0&amp;cr=0&amp;dr=0&amp;er=0&amp;lr=default&amp;cd=0%7C0%7C0%7C0&amp;br=250&amp;bt=125&amp;ft=GNDpcInz7Tht9-UPXq8Zmo&amp;mime_type=audio_mpeg&amp;qs=6&amp;rc=OzY4NDloaGU8NDo5Ozw5ZkBpM3B0aG45cjk5eTMzNzU8M0A0LzAuYjMzNTIxMjY0MS4yYSM0NC5kMmRzcnBgLS1kMTZzcw%3D%3D&amp;btag=e00090000&amp;expire=1763004348&amp;l=20251113102438711CFC3830D7669110B2&amp;ply_type=3&amp;policy=3&amp;signature=7544cfe0ef03c295161b63cf86205c87&amp;tk=7571587458748974088" TargetMode="External"/><Relationship Id="rId1563" Type="http://schemas.openxmlformats.org/officeDocument/2006/relationships/hyperlink" Target="https://sf16-ies-music-sg.tiktokcdn.com/obj/tos-alisg-ve-2774/oMJHApG7VwRWLtUqfgeCz75HXHdf1OaGFIDAXg" TargetMode="External"/><Relationship Id="rId1564" Type="http://schemas.openxmlformats.org/officeDocument/2006/relationships/hyperlink" Target="https://p77-sg.tiktokcdn.com/aweme/720x720/tos-alisg-v-2774/osNCgWMDzaDdEIAvvsQIzvCF2A1AfVA6rR8eeG.jpeg" TargetMode="External"/><Relationship Id="rId1114" Type="http://schemas.openxmlformats.org/officeDocument/2006/relationships/hyperlink" Target="https://v16-webapp-prime.tiktok.com/video/tos/useast2a/tos-useast2a-v-27dcd7/o4TqeAAMPKC92zLvC8XQgXMtoVETezAQQb8fS9/?a=1988&amp;bti=ODszNWYuMDE6&amp;ch=0&amp;cr=0&amp;dr=0&amp;er=0&amp;lr=default&amp;cd=0%7C0%7C0%7C0&amp;br=250&amp;bt=125&amp;ds=5&amp;ft=GNDpcInz7ThOD-UPXq8Zmo&amp;mime_type=audio_mpeg&amp;qs=13&amp;rc=anY4cHk5cnd4eDMzNzU8M0BpanY4cHk5cnd4eDMzNzU8M0Btc2dlMmRraWlgLS1kMTZzYSNtc2dlMmRraWlgLS1kMTZzcw%3D%3D&amp;btag=e00050000&amp;expire=1763004403&amp;l=20251113102536F89EBD83B531C49CD72A&amp;ply_type=3&amp;policy=3&amp;signature=cf50892e377864b2b18c2cd098e9a287&amp;tk=7571587458748974088" TargetMode="External"/><Relationship Id="rId1598" Type="http://schemas.openxmlformats.org/officeDocument/2006/relationships/hyperlink" Target="https://v16-webapp-prime.tiktok.com/video/tos/useast2a/tos-useast2a-v-27dcd7/og3PMZSclNAiP1CAJCApYTDIBaE8EwUQdAJiS/?a=1988&amp;bti=ODszNWYuMDE6&amp;ch=0&amp;cr=0&amp;dr=0&amp;er=0&amp;lr=default&amp;cd=0%7C0%7C0%7C0&amp;br=250&amp;bt=125&amp;ds=5&amp;ft=GNDpcInz7ThGD-UPXq8Zmo&amp;mime_type=audio_mpeg&amp;qs=13&amp;rc=M2k0NW85cnFqNjMzNzU8M0BpM2k0NW85cnFqNjMzNzU8M0BiZjByMmQ0ZzZhLS1kMTZzYSNiZjByMmQ0ZzZhLS1kMTZzcw%3D%3D&amp;btag=e00050000&amp;expire=1763004450&amp;l=2025111310254344385823DD6566920070&amp;ply_type=3&amp;policy=3&amp;signature=8034b56c3470043a97b25fbea50c4c91&amp;tk=7571587458748974088" TargetMode="External"/><Relationship Id="rId1115"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599" Type="http://schemas.openxmlformats.org/officeDocument/2006/relationships/hyperlink" Target="https://p16-sign-va.tiktokcdn.com/tos-maliva-avt-0068/51cd598376c564c9365627652afcb2c1~tplv-tiktokx-cropcenter:1080:1080.jpeg?dr=14579&amp;refresh_token=3b2380cc&amp;x-expires=1763172000&amp;x-signature=MCnGYwE%2BE87Qt8kHjHgUAT7kcKw%3D&amp;t=4d5b0474&amp;ps=13740610&amp;shp=a5d48078&amp;shcp=81f88b70&amp;idc=my" TargetMode="External"/><Relationship Id="rId1116" Type="http://schemas.openxmlformats.org/officeDocument/2006/relationships/hyperlink" Target="https://v16-webapp-prime.tiktok.com/video/tos/useast2a/tos-useast2a-ve-0068c004/ogqXt7gVeAg0vUVfAGjPohC01ICSLIey19nRRl/?a=1988&amp;bti=ODszNWYuMDE6&amp;ch=0&amp;cr=3&amp;dr=0&amp;lr=all&amp;cd=0%7C0%7C0%7C&amp;cv=1&amp;br=2448&amp;bt=1224&amp;cs=0&amp;ds=3&amp;ft=-Csk_mrMPD12NE.opd-UxG4vXY6e3wv25McAp&amp;mime_type=video_mp4&amp;qs=0&amp;rc=NzVnOmhnZWc4ZWVkOWlpZkBpamhkcHM5cjh4eDMzNzczM0A2YWIvXmM0NmAxYGAtNl4tYSNybWViMmRraWlgLS1kMTZzcw%3D%3D&amp;btag=e00090000&amp;expire=1763173603&amp;l=20251113102536F89EBD83B531C49CD72A&amp;ply_type=2&amp;policy=2&amp;signature=df2c8a86d61f055fdf8cb11f1ec20c65&amp;tk=tt_chain_token" TargetMode="External"/><Relationship Id="rId1117" Type="http://schemas.openxmlformats.org/officeDocument/2006/relationships/hyperlink" Target="https://www.tiktok.com/@lorenatdahta/video/7470322687919934775" TargetMode="External"/><Relationship Id="rId1118" Type="http://schemas.openxmlformats.org/officeDocument/2006/relationships/hyperlink" Target="https://p77-sign-va.tiktokcdn.com/tos-maliva-avt-0068/1f7f69a35f80647531597a72a07df16c~tplv-tiktokx-cropcenter:100:100.jpeg?dr=14579&amp;refresh_token=cb3d1cda&amp;x-expires=1763172000&amp;x-signature=GrcANy2Vqfmo4nAkVitga0dFMOU%3D&amp;t=4d5b0474&amp;ps=13740610&amp;shp=a5d48078&amp;shcp=81f88b70&amp;idc=my" TargetMode="External"/><Relationship Id="rId1119" Type="http://schemas.openxmlformats.org/officeDocument/2006/relationships/hyperlink" Target="https://v16-webapp-prime.tiktok.com/video/tos/useast2a/tos-useast2a-v-27dcd7/okJBADnE10xDVB6IQwJPSfEyFUCJCAt3HMDfAE/?a=1988&amp;bti=ODszNWYuMDE6&amp;ch=0&amp;cr=0&amp;dr=0&amp;er=0&amp;lr=default&amp;cd=0%7C0%7C0%7C0&amp;br=250&amp;bt=125&amp;ds=5&amp;ft=GNDpcInz7ThX9-UPXq8Zmo&amp;mime_type=audio_mpeg&amp;qs=13&amp;rc=M2s7d3U5cnZseDMzNzU8M0BpM2s7d3U5cnZseDMzNzU8M0AzNDRzMmQ0Lm5gLS1kMTZzYSMzNDRzMmQ0Lm5gLS1kMTZzcw%3D%3D&amp;btag=e00050000&amp;expire=1763004346&amp;l=20251113102424EE0F9FCD2CC2B68BE0E2&amp;ply_type=3&amp;policy=3&amp;signature=745704b2a6ad5b8723d118d4bf18fd13&amp;tk=7571587458748974088" TargetMode="External"/><Relationship Id="rId525" Type="http://schemas.openxmlformats.org/officeDocument/2006/relationships/hyperlink" Target="https://v16-webapp-prime.tiktok.com/video/tos/useast2a/tos-useast2a-ve-0068c002/oowDFBzlwEg9ETajIQQcEf4pJR4GoEAEkBfRQ5/?a=1988&amp;bti=ODszNWYuMDE6&amp;ch=0&amp;cr=3&amp;dr=0&amp;lr=all&amp;cd=0%7C0%7C0%7C&amp;cv=1&amp;br=2538&amp;bt=1269&amp;cs=0&amp;ds=3&amp;ft=-Csk_mrMPD12Nw_opd-UxfeFaY6e3wv25HcAp&amp;mime_type=video_mp4&amp;qs=0&amp;rc=ZWdoOmdmZGk2ZTg0ZjtoM0BpMzc6O2o5cmRqNjMzNzczM0AuLmFgYjNeNWExMmNiMS9fYSNwcmc2MmRjYWVhLS1kMTZzcw%3D%3D&amp;btag=e00090000&amp;expire=1763173714&amp;l=2025111310264583C2663DA446357263D7&amp;ply_type=2&amp;policy=2&amp;signature=589d3c9fe9ad7e9d53d5e4f57a5e9029&amp;tk=tt_chain_token" TargetMode="External"/><Relationship Id="rId524"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523" Type="http://schemas.openxmlformats.org/officeDocument/2006/relationships/hyperlink" Target="https://v16-webapp-prime.tiktok.com/video/tos/useast2a/tos-useast2a-v-27dcd7/o0EUjFofyBAKBiDvEfh4AJAQE7I0O4pLjDDCJM/?a=1988&amp;bti=ODszNWYuMDE6&amp;ch=0&amp;cr=0&amp;dr=0&amp;er=0&amp;lr=default&amp;cd=0%7C0%7C0%7C0&amp;br=250&amp;bt=125&amp;ds=5&amp;ft=GNDpcInz7ThyY-UPXq8Zmo&amp;mime_type=audio_mpeg&amp;qs=13&amp;rc=M2Rkd245cmxsNjMzNzU8M0BpM2Rkd245cmxsNjMzNzU8M0A0MzFzMmRzLmVhLS1kMTZzYSM0MzFzMmRzLmVhLS1kMTZzcw%3D%3D&amp;btag=e00050000&amp;expire=1763004514&amp;l=2025111310264583C2663DA446357263D7&amp;ply_type=3&amp;policy=3&amp;signature=433dbe328314c90b326b3804cb3851fb&amp;tk=7571587458748974088" TargetMode="External"/><Relationship Id="rId522"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529"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528" Type="http://schemas.openxmlformats.org/officeDocument/2006/relationships/hyperlink" Target="https://v16-webapp-prime.tiktok.com/video/tos/useast2a/tos-useast2a-v-27dcd7/ooAAPIAkR5oCy0SeVrEkBFCUJBmD8QpJFIfAnx/?a=1988&amp;bti=ODszNWYuMDE6&amp;ch=0&amp;cr=0&amp;dr=0&amp;er=0&amp;lr=default&amp;cd=0%7C0%7C0%7C0&amp;br=250&amp;bt=125&amp;ds=5&amp;ft=GNDpcInz7ThNV-UPXq8Zmo&amp;mime_type=audio_mpeg&amp;qs=13&amp;rc=anJlNXY5cnNpMzMzNzU8M0BpanJlNXY5cnNpMzMzNzU8M0BwNGhzMmQ0aDFhLS1kMTZzYSNwNGhzMmQ0aDFhLS1kMTZzcw%3D%3D&amp;btag=e00078000&amp;expire=1763004208&amp;l=20251113102306B19E1F5BC676BF8CC05E&amp;ply_type=3&amp;policy=3&amp;signature=f2cc78755aef058fc33d54fd7c1642d0&amp;tk=7571587458748974088" TargetMode="External"/><Relationship Id="rId527"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526" Type="http://schemas.openxmlformats.org/officeDocument/2006/relationships/hyperlink" Target="https://www.tiktok.com/@igorpsicologo/video/7557920607778721035" TargetMode="External"/><Relationship Id="rId1590" Type="http://schemas.openxmlformats.org/officeDocument/2006/relationships/hyperlink" Target="https://v16-webapp-prime.tiktok.com/video/tos/useast2a/tos-useast2a-pve-0068/oM5rcFxIEEOIgUYRgjfffCKAjzoAKDSICQ2ZC7/?a=1988&amp;bti=ODszNWYuMDE6&amp;ch=0&amp;cr=3&amp;dr=0&amp;lr=all&amp;cd=0%7C0%7C0%7C&amp;br=1788&amp;bt=894&amp;cs=0&amp;ds=3&amp;ft=-Csk_mrMPD12N9Yopd-Ux315hY6e3wv25dcAp&amp;mime_type=video_mp4&amp;qs=0&amp;rc=aDw7NjNpZjc5aDM6OmhkM0BpamhqZ285cmxqbjMzNzczM0BjXjFeYGJiNl4xNmAtLzY1YSNjZS1wMmRrY2xgLS1kMTZzcw%3D%3D&amp;btag=e000b8000&amp;expire=1763173421&amp;l=2025111310232002E5437D242CEA8409F2&amp;ply_type=2&amp;policy=2&amp;signature=3603456dcd28be4492b86cc75094b6e8&amp;tk=tt_chain_token" TargetMode="External"/><Relationship Id="rId1591" Type="http://schemas.openxmlformats.org/officeDocument/2006/relationships/hyperlink" Target="https://www.tiktok.com/@tdahmemes/video/7291618027433479429" TargetMode="External"/><Relationship Id="rId1592" Type="http://schemas.openxmlformats.org/officeDocument/2006/relationships/hyperlink" Target="https://p16-sign-va.tiktokcdn.com/tos-maliva-avt-0068/3a086195329f6cf80b84b44a330f168a~tplv-tiktokx-cropcenter:100:100.jpeg?dr=14579&amp;refresh_token=a901cde0&amp;x-expires=1763172000&amp;x-signature=kXLY0jAGuczu5PEKpDeobLy4pGM%3D&amp;t=4d5b0474&amp;ps=13740610&amp;shp=a5d48078&amp;shcp=81f88b70&amp;idc=my" TargetMode="External"/><Relationship Id="rId1593" Type="http://schemas.openxmlformats.org/officeDocument/2006/relationships/hyperlink" Target="https://v16-webapp-prime.tiktok.com/video/tos/useast2a/tos-useast2a-v-27dcd7/o4vpixaCDrQyCUSAGkDClzMl4iAAOBaiEECA8/?a=1988&amp;bti=ODszNWYuMDE6&amp;ch=0&amp;cr=0&amp;dr=0&amp;er=0&amp;lr=default&amp;cd=0%7C0%7C0%7C0&amp;br=250&amp;bt=125&amp;ds=5&amp;ft=GNDpcInz7Th49-UPXq8Zmo&amp;mime_type=audio_mpeg&amp;qs=13&amp;rc=MzVsPGw5cmVtNjMzNzU8M0BpMzVsPGw5cmVtNjMzNzU8M0AuMWMuMmRrMGhhLS1kMTZzYSMuMWMuMmRrMGhhLS1kMTZzcw%3D%3D&amp;btag=e00050000&amp;expire=1763004341&amp;l=20251113102415EC11E565E652E77F00C9&amp;ply_type=3&amp;policy=3&amp;signature=add0878893cae256c1760866fe6097dc&amp;tk=7571587458748974088" TargetMode="External"/><Relationship Id="rId521" Type="http://schemas.openxmlformats.org/officeDocument/2006/relationships/hyperlink" Target="https://www.tiktok.com/@liberdade.mentall/video/7488113342129655045" TargetMode="External"/><Relationship Id="rId1110"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1594" Type="http://schemas.openxmlformats.org/officeDocument/2006/relationships/hyperlink" Target="https://p77-sign-va.tiktokcdn.com/tos-maliva-avt-0068/3a086195329f6cf80b84b44a330f168a~tplv-tiktokx-cropcenter:1080:1080.jpeg?dr=14579&amp;refresh_token=1f23cd66&amp;x-expires=1763172000&amp;x-signature=ELf10EEPg5X6uZ21z4T0fyoQNEo%3D&amp;t=4d5b0474&amp;ps=13740610&amp;shp=a5d48078&amp;shcp=81f88b70&amp;idc=my" TargetMode="External"/><Relationship Id="rId520" Type="http://schemas.openxmlformats.org/officeDocument/2006/relationships/hyperlink" Target="https://v16-webapp-prime.tiktok.com/video/tos/useast2a/tos-useast2a-ve-0068c002/o8JEQErQR8LInAHfrvc63x7FVU2DEBFSJfWBAE/?a=1988&amp;bti=ODszNWYuMDE6&amp;ch=0&amp;cr=3&amp;dr=0&amp;lr=all&amp;cd=0%7C0%7C0%7C&amp;cv=1&amp;br=1332&amp;bt=666&amp;cs=0&amp;ds=3&amp;ft=I~da4oKyD12NvyA0i.IxRhq_glBF-UjNSmopiX&amp;mime_type=video_mp4&amp;qs=0&amp;rc=aWg3O2ZnaDM0Ojs5Ozo0ZUBpM25mb285cjdreTMzNzczM0A1YDMwYl8xNmAxX2E0LS1eYSNiNTZzMmRrcmlgLS1kMTZzcw%3D%3D&amp;btag=e00090000&amp;expire=1763173580&amp;l=202511131024200DA040BB1F5C349EC2B1&amp;ply_type=2&amp;policy=2&amp;signature=a3a57b1d864a002c8d9044bb7e03acec&amp;tk=tt_chain_token" TargetMode="External"/><Relationship Id="rId1111" Type="http://schemas.openxmlformats.org/officeDocument/2006/relationships/hyperlink" Target="https://v16-webapp-prime.tiktok.com/video/tos/useast2a/tos-useast2a-pve-0068/oA0HCcoAUcEB3BQmJGzkjEi4SZia3V37IN0Qv/?a=1988&amp;bti=ODszNWYuMDE6&amp;ch=0&amp;cr=3&amp;dr=0&amp;lr=all&amp;cd=0%7C0%7C0%7C&amp;cv=1&amp;br=1870&amp;bt=935&amp;cs=0&amp;ds=3&amp;ft=-Csk_mrMPD12NE.opd-UxG4vXY6e3wv25McAp&amp;mime_type=video_mp4&amp;qs=0&amp;rc=ZTRpOGk3NDo3PDpoNWU1N0Bpajd3OHI5cjttdzMzNzczM0BhMDA2LTVjNjMxXy5eYjIzYSMwbWJuMmRrNG9gLS1kMTZzcw%3D%3D&amp;btag=e00090000&amp;expire=1763173597&amp;l=20251113102536F89EBD83B531C49CD72A&amp;ply_type=2&amp;policy=2&amp;signature=49e9e7d42cb987490ba630c648120df0&amp;tk=tt_chain_token" TargetMode="External"/><Relationship Id="rId1595" Type="http://schemas.openxmlformats.org/officeDocument/2006/relationships/hyperlink" Target="https://v16-webapp-prime.tiktok.com/video/tos/useast2a/tos-useast2a-pve-0068/oEIapOUDivDikzBEA7WVQEB7xUayQnOGx32MS/?a=1988&amp;bti=ODszNWYuMDE6&amp;ch=0&amp;cr=3&amp;dr=0&amp;lr=all&amp;cd=0%7C0%7C0%7C&amp;cv=1&amp;br=610&amp;bt=305&amp;cs=0&amp;ds=2&amp;ft=-Csk_mrMPD12Nycopd-UxG4vXY6e3wv25McAp&amp;mime_type=video_mp4&amp;qs=0&amp;rc=NDo5aDM0PGZnaWk2Nzk6ZEBpanR1NHU5cjptNjMzNzczM0A0MC5gMGEtNjQxYDEyNDVhYSNeYGZtMmRrMGhhLS1kMTZzcw%3D%3D&amp;btag=e00090000&amp;expire=1763173541&amp;l=20251113102415EC11E565E652E77F00C9&amp;ply_type=2&amp;policy=2&amp;signature=ac55fb8cddc591c13540645bff3d40df&amp;tk=tt_chain_token" TargetMode="External"/><Relationship Id="rId1112" Type="http://schemas.openxmlformats.org/officeDocument/2006/relationships/hyperlink" Target="https://www.tiktok.com/@igorpsicologo/video/7455486279208160517" TargetMode="External"/><Relationship Id="rId1596" Type="http://schemas.openxmlformats.org/officeDocument/2006/relationships/hyperlink" Target="https://www.tiktok.com/@tatiananolasco_/video/7559628020055641400" TargetMode="External"/><Relationship Id="rId1113"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1597" Type="http://schemas.openxmlformats.org/officeDocument/2006/relationships/hyperlink" Target="https://p77-sign-va.tiktokcdn.com/tos-maliva-avt-0068/51cd598376c564c9365627652afcb2c1~tplv-tiktokx-cropcenter:100:100.jpeg?dr=14579&amp;refresh_token=71f0bec9&amp;x-expires=1763172000&amp;x-signature=GAACIHRxYcWgB1D2T49WMM61W%2FM%3D&amp;t=4d5b0474&amp;ps=13740610&amp;shp=a5d48078&amp;shcp=81f88b70&amp;idc=my" TargetMode="External"/><Relationship Id="rId1103" Type="http://schemas.openxmlformats.org/officeDocument/2006/relationships/hyperlink" Target="https://p16-sign-va.tiktokcdn.com/tos-maliva-avt-0068/b65580219dd212688aa9c5305651ee47~tplv-tiktokx-cropcenter:100:100.jpeg?dr=14579&amp;refresh_token=e9ce48ec&amp;x-expires=1763172000&amp;x-signature=81zBjkEKwGxjAMZ9HD4oBz%2FZx%2Fs%3D&amp;t=4d5b0474&amp;ps=13740610&amp;shp=a5d48078&amp;shcp=81f88b70&amp;idc=my" TargetMode="External"/><Relationship Id="rId1587" Type="http://schemas.openxmlformats.org/officeDocument/2006/relationships/hyperlink" Target="https://p16-sign-va.tiktokcdn.com/tos-maliva-avt-0068/522bf3dd8faecdd86dec50c8be422f69~tplv-tiktokx-cropcenter:100:100.jpeg?dr=14579&amp;refresh_token=d5657c41&amp;x-expires=1763172000&amp;x-signature=4cqRnHKiNu1sf5U15G8zZ0RbhGE%3D&amp;t=4d5b0474&amp;ps=13740610&amp;shp=a5d48078&amp;shcp=81f88b70&amp;idc=my" TargetMode="External"/><Relationship Id="rId1104" Type="http://schemas.openxmlformats.org/officeDocument/2006/relationships/hyperlink" Target="https://v16-webapp-prime.tiktok.com/video/tos/alisg/tos-alisg-v-27dcd7/oUfdA47HARshIAEsCa1FSoeDCWAUeITwXigEAD/?a=1988&amp;bti=ODszNWYuMDE6&amp;ch=0&amp;cr=0&amp;dr=0&amp;er=0&amp;lr=default&amp;cd=0%7C0%7C0%7C0&amp;br=250&amp;bt=125&amp;ds=5&amp;ft=GNDpcInz7ThaV-UPXq8Zmo&amp;mime_type=audio_mpeg&amp;qs=13&amp;rc=M3Zvb2s5cnEzNjMzODU8NEBpM3Zvb2s5cnEzNjMzODU8NEAyaWUxMmRjX3BhLS1kMS1zYSMyaWUxMmRjX3BhLS1kMS1zcw%3D%3D&amp;btag=e00050000&amp;expire=1763004308&amp;l=20251113102343D1A0044B947998B9C2A2&amp;ply_type=3&amp;policy=3&amp;signature=35cabdb118dc6a16f0c7b1b70ad29579&amp;tk=7571587458748974088" TargetMode="External"/><Relationship Id="rId1588" Type="http://schemas.openxmlformats.org/officeDocument/2006/relationships/hyperlink" Target="https://v16-webapp-prime.tiktok.com/video/tos/useast2a/tos-useast2a-v-27dcd7/o0BUEE7AQ5fW2DHJfAJQxIsAmfe6MFAQQ8jQsk/?a=1988&amp;bti=ODszNWYuMDE6&amp;ch=0&amp;cr=0&amp;dr=0&amp;er=0&amp;lr=default&amp;cd=0%7C0%7C0%7C0&amp;br=250&amp;bt=125&amp;ds=5&amp;ft=GNDpcInz7ThMV-UPXq8Zmo&amp;mime_type=audio_mpeg&amp;qs=13&amp;rc=M2V0c2w5cnlqbjMzNzU8M0BpM2V0c2w5cnlqbjMzNzU8M0Aub3EvMmQ0Y2xgLS1kMTZzYSMub3EvMmQ0Y2xgLS1kMTZzcw%3D%3D&amp;btag=e00078000&amp;expire=1763004221&amp;l=2025111310232002E5437D242CEA8409F2&amp;ply_type=3&amp;policy=3&amp;signature=6a6a5454efae53fca70c7152323375b9&amp;tk=7571587458748974088" TargetMode="External"/><Relationship Id="rId1105" Type="http://schemas.openxmlformats.org/officeDocument/2006/relationships/hyperlink" Target="https://p16-sign-va.tiktokcdn.com/tos-maliva-avt-0068/b65580219dd212688aa9c5305651ee47~tplv-tiktokx-cropcenter:1080:1080.jpeg?dr=14579&amp;refresh_token=025361fd&amp;x-expires=1763172000&amp;x-signature=8AqsZ4oIvJ0vuASfc%2FfKVn89STg%3D&amp;t=4d5b0474&amp;ps=13740610&amp;shp=a5d48078&amp;shcp=81f88b70&amp;idc=my" TargetMode="External"/><Relationship Id="rId1589" Type="http://schemas.openxmlformats.org/officeDocument/2006/relationships/hyperlink" Target="https://p16-sign-va.tiktokcdn.com/tos-maliva-avt-0068/522bf3dd8faecdd86dec50c8be422f69~tplv-tiktokx-cropcenter:1080:1080.jpeg?dr=14579&amp;refresh_token=fca8ae0b&amp;x-expires=1763172000&amp;x-signature=DyU3Xdjsxouw1FGIp0I%2BRMg7%2FJ8%3D&amp;t=4d5b0474&amp;ps=13740610&amp;shp=a5d48078&amp;shcp=81f88b70&amp;idc=my" TargetMode="External"/><Relationship Id="rId1106" Type="http://schemas.openxmlformats.org/officeDocument/2006/relationships/hyperlink" Target="https://v16-webapp-prime.tiktok.com/video/tos/alisg/tos-alisg-pve-0037c001/oQf8oAViMujtACFaAQ85AwAKBXHBzRDIfZ5jeg/?a=1988&amp;bti=ODszNWYuMDE6&amp;ch=0&amp;cr=3&amp;dr=0&amp;lr=all&amp;cd=0%7C0%7C0%7C&amp;cv=1&amp;br=1238&amp;bt=619&amp;cs=0&amp;ds=2&amp;ft=-Csk_mrMPD12N8Yopd-UxfeFaY6e3wv25HcAp&amp;mime_type=video_mp4&amp;qs=0&amp;rc=ZTkzN2RmNzszODQ8ZDc8NUBpamVxaHU5cmQzNjMzODczNEAuMzY2NF8wXy4xLzM0MTVeYSNfLS4xMmRrX3BhLS1kMTFzcw%3D%3D&amp;btag=e00090000&amp;expire=1763173508&amp;l=20251113102343D1A0044B947998B9C2A2&amp;ply_type=2&amp;policy=2&amp;signature=7e458d61cb3e3d2f2b1eaa8a7b95bca3&amp;tk=tt_chain_token" TargetMode="External"/><Relationship Id="rId1107" Type="http://schemas.openxmlformats.org/officeDocument/2006/relationships/hyperlink" Target="https://www.tiktok.com/@dulcivaldejesussantos/video/7563801967756168469" TargetMode="External"/><Relationship Id="rId1108"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1109" Type="http://schemas.openxmlformats.org/officeDocument/2006/relationships/hyperlink" Target="https://v16-webapp-prime.tiktok.com/video/tos/useast2a/tos-useast2a-v-27dcd7/ocRPCEVQzEUTAASB0TA1yAviB3FcZlNViTSC3/?a=1988&amp;bti=ODszNWYuMDE6&amp;ch=0&amp;cr=0&amp;dr=0&amp;er=0&amp;lr=default&amp;cd=0%7C0%7C0%7C0&amp;br=250&amp;bt=125&amp;ds=5&amp;ft=GNDpcInz7ThOD-UPXq8Zmo&amp;mime_type=audio_mpeg&amp;qs=13&amp;rc=M21vam45cm9tdzMzNzU8M0BpM21vam45cm9tdzMzNzU8M0BtMWRtMmQ0Xm9gLS1kMTZzYSNtMWRtMmQ0Xm9gLS1kMTZzcw%3D%3D&amp;btag=e00050000&amp;expire=1763004397&amp;l=20251113102536F89EBD83B531C49CD72A&amp;ply_type=3&amp;policy=3&amp;signature=a28b538a40f5f19d340774c4fb905cb9&amp;tk=7571587458748974088" TargetMode="External"/><Relationship Id="rId519"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514" Type="http://schemas.openxmlformats.org/officeDocument/2006/relationships/hyperlink" Target="https://p77-sg.tiktokcdn.com/aweme/720x720/tos-alisg-v-2774/owfbJHoBAAAiA4wG6xBuo0ElBEAkOMsvJiOWAV.jpeg" TargetMode="External"/><Relationship Id="rId998" Type="http://schemas.openxmlformats.org/officeDocument/2006/relationships/hyperlink" Target="https://www.tiktok.com/@psi.walace/video/7515186422962261254" TargetMode="External"/><Relationship Id="rId513" Type="http://schemas.openxmlformats.org/officeDocument/2006/relationships/hyperlink" Target="https://sf16-ies-music-sg.tiktokcdn.com/obj/tos-alisg-ve-2774/oknMrdNYqFfndzcxAQL63IgGPeeJTaEIDaCVuY" TargetMode="External"/><Relationship Id="rId997" Type="http://schemas.openxmlformats.org/officeDocument/2006/relationships/hyperlink" Target="https://v16-webapp-prime.tiktok.com/video/tos/useast2a/tos-useast2a-ve-0068c001/ogXgQuBoBQQIXyR4MEfMfgGAWYZDSF240JpnVE/?a=1988&amp;bti=ODszNWYuMDE6&amp;ch=0&amp;cr=3&amp;dr=0&amp;lr=all&amp;cd=0%7C0%7C0%7C&amp;cv=1&amp;br=1380&amp;bt=690&amp;cs=0&amp;ds=3&amp;ft=I~da4oKyD12NvuA0i.IxREJNglBF-UjNSmopiX&amp;mime_type=video_mp4&amp;qs=0&amp;rc=aTRkaDplOTo6Omk8ZGRoN0BpMzZldnU5cjluNDMzNzczM0AuLTYzNGE0Xy4xNGFhNDE2YSNiNi4yMmQ0cDJhLS1kMTZzcw%3D%3D&amp;btag=e00090000&amp;expire=1763173546&amp;l=202511131024337F554789EF0D09A1F8EB&amp;ply_type=2&amp;policy=2&amp;signature=d978861f7c3192f26806a64b962359d3&amp;tk=tt_chain_token" TargetMode="External"/><Relationship Id="rId512" Type="http://schemas.openxmlformats.org/officeDocument/2006/relationships/hyperlink" Target="https://p77-sign-va.tiktokcdn.com/musically-maliva-obj/1594805258216454~tplv-tiktokx-cropcenter:100:100.jpeg?dr=14579&amp;refresh_token=98921230&amp;x-expires=1763172000&amp;x-signature=L7QJ16DzkHYCX5MBX0m4u3ZjZaE%3D&amp;t=4d5b0474&amp;ps=13740610&amp;shp=a5d48078&amp;shcp=81f88b70&amp;idc=my" TargetMode="External"/><Relationship Id="rId996" Type="http://schemas.openxmlformats.org/officeDocument/2006/relationships/hyperlink" Target="https://p77-sg.tiktokcdn.com/aweme/720x720/tos-alisg-v-2774/oUG8AAGLIKPebIIr4eMBrqUMeeVeAAi7ABVAL2.jpeg" TargetMode="External"/><Relationship Id="rId511" Type="http://schemas.openxmlformats.org/officeDocument/2006/relationships/hyperlink" Target="https://www.tiktok.com/@alan_neris/video/7253562458537774341" TargetMode="External"/><Relationship Id="rId995" Type="http://schemas.openxmlformats.org/officeDocument/2006/relationships/hyperlink" Target="https://sf16-ies-music-sg.tiktokcdn.com/obj/tos-alisg-ve-2774/oMUBYBZgAjzmzh5LASirQiSPI9QEDAgMWPiVN" TargetMode="External"/><Relationship Id="rId518" Type="http://schemas.openxmlformats.org/officeDocument/2006/relationships/hyperlink" Target="https://v16-webapp-prime.tiktok.com/video/tos/useast2a/tos-useast2a-v-27dcd7/oQAC07PpAPThEf2oFjEHwIIDWgZS1AvCuefOv0/?a=1988&amp;bti=ODszNWYuMDE6&amp;ch=0&amp;cr=0&amp;dr=0&amp;er=0&amp;lr=default&amp;cd=0%7C0%7C0%7C0&amp;br=250&amp;bt=125&amp;ds=5&amp;ft=GNDpcInz7Th_9-UPXq8Zmo&amp;mime_type=audio_mpeg&amp;qs=13&amp;rc=amo8b3Q5cnlreTMzNzU8M0Bpamo8b3Q5cnlreTMzNzU8M0BvYzRhMmRzcmlgLS1kMTZzYSNvYzRhMmRzcmlgLS1kMTZzcw%3D%3D&amp;btag=e00050000&amp;expire=1763004380&amp;l=202511131024200DA040BB1F5C349EC2B1&amp;ply_type=3&amp;policy=3&amp;signature=795a5c3d2bbf4316903934be2ee0a5bf&amp;tk=7571587458748974088" TargetMode="External"/><Relationship Id="rId517"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516" Type="http://schemas.openxmlformats.org/officeDocument/2006/relationships/hyperlink" Target="https://www.tiktok.com/@anabeatrizbrazil/video/7344007493384752390" TargetMode="External"/><Relationship Id="rId515" Type="http://schemas.openxmlformats.org/officeDocument/2006/relationships/hyperlink" Target="https://v16-webapp-prime.tiktok.com/video/tos/maliva/tos-maliva-ve-0068c801-us/oIs4NXeIjRzADSeerOgAKPGLBNsLICDkCgM8o1/?a=1988&amp;bti=ODszNWYuMDE6&amp;ch=0&amp;cr=3&amp;dr=0&amp;lr=all&amp;cd=0%7C0%7C0%7C&amp;cv=1&amp;br=636&amp;bt=318&amp;cs=0&amp;ds=3&amp;ft=-Csk_mrMPD12NH_opd-UxDTFGY6e3wv25ocAp&amp;mime_type=video_mp4&amp;qs=0&amp;rc=ZWc0aDM0NTlkOmZlNWdlOkBpajZpZnQ5cjNscTMzNzczM0BiNjQuNmA2NTUxNi1hNWMuYSNhcGhyMmRjY2lgLS1kMTZzcw%3D%3D&amp;btag=e00090000&amp;expire=1763173728&amp;l=202511131026218DEF8CE7185C8F9E5844&amp;ply_type=2&amp;policy=2&amp;signature=f7293e849173d6f7c40a096a52e0a086&amp;tk=tt_chain_token" TargetMode="External"/><Relationship Id="rId999"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990" Type="http://schemas.openxmlformats.org/officeDocument/2006/relationships/hyperlink" Target="https://v16-webapp-prime.tiktok.com/video/tos/useast2a/tos-useast2a-v-27dcd7/o4iElAEtwApFAvBkAofgigBkAGEtyAnUgvF04K/?a=1988&amp;bti=ODszNWYuMDE6&amp;ch=0&amp;cr=0&amp;dr=0&amp;er=0&amp;lr=default&amp;cd=0%7C0%7C0%7C0&amp;br=250&amp;bt=125&amp;ds=5&amp;ft=GNDpcInz7Tht9-UPXq8Zmo&amp;mime_type=audio_mpeg&amp;qs=13&amp;rc=M2dwNGo5cmR4MzMzNzU8M0BpM2dwNGo5cmR4MzMzNzU8M0BkNmBkMmRjM2phLS1kMTZzYSNkNmBkMmRjM2phLS1kMTZzcw%3D%3D&amp;btag=e00050000&amp;expire=1763004370&amp;l=20251113102438711CFC3830D7669110B2&amp;ply_type=3&amp;policy=3&amp;signature=ab05dbd841a7cdf29d4d8078daa1fd40&amp;tk=7571587458748974088" TargetMode="External"/><Relationship Id="rId1580" Type="http://schemas.openxmlformats.org/officeDocument/2006/relationships/hyperlink" Target="https://webapp-va.tiktok.com/bec3ebf23ddb6c6fb50e7bb153ea22f1/6917e419/kmoat/mps/logo/v2/r/p/v09044g40000cj9bm9rc77u27j5d3ljg/2eb26c6d0a5744318076a933c9c05669/f60396c42eefe470b0c924f85da74e80/mp4/main.mp4?a=1988&amp;bti=ODszNWYuMDE6&amp;ch=0&amp;cr=3&amp;dr=0&amp;lr=all&amp;cd=0%7C0%7C0%7C&amp;cv=1&amp;br=0&amp;bt=0&amp;cs=0&amp;ds=3&amp;eid=1286&amp;ft=bLZkJmrMPD12NOYopd-Uxtv5GY6e3wv252cAp&amp;mime_type=video_mp4&amp;qs=0&amp;rc=cnF8b2hsc2d3SkBwaHIxaDFybndmPDkzPDY8OTM0NzpkZ2Y1aEBpam9nbTU6ZjxlbTMzNzczM0BjRl5Nc3FePmJKYSNvYF90aHFmOiMzMmBgMF40NTAxMi0zM18vYSNnMDI0cjRvajZgLS1kMTZzcw%3D%3D&amp;btag=e000b8000&amp;definition=720p&amp;du=15&amp;item_id=7265075837878144261&amp;l=20251113102306B19E1F5BC676BF8CC05E&amp;logo_type=tiktok_m&amp;ply_type=2&amp;policy=eyJ2bSI6MiwiY2siOiJ0dF9jaGFpbl90b2tlbiJ9&amp;user_text=frangaesforcada" TargetMode="External"/><Relationship Id="rId1581" Type="http://schemas.openxmlformats.org/officeDocument/2006/relationships/hyperlink" Target="https://www.tiktok.com/@frangaesforcada/video/7265075837878144261" TargetMode="External"/><Relationship Id="rId1582" Type="http://schemas.openxmlformats.org/officeDocument/2006/relationships/hyperlink" Target="https://p77-sign-va.tiktokcdn.com/tos-maliva-avt-0068/fa233712dfcf05abd3a56a8d8aa1b5c6~tplv-tiktokx-cropcenter:100:100.jpeg?dr=14579&amp;refresh_token=60c48fcf&amp;x-expires=1763172000&amp;x-signature=s74cMnVCzmPUsWg%2F4r8JhaMlBxA%3D&amp;t=4d5b0474&amp;ps=13740610&amp;shp=a5d48078&amp;shcp=81f88b70&amp;idc=my" TargetMode="External"/><Relationship Id="rId510" Type="http://schemas.openxmlformats.org/officeDocument/2006/relationships/hyperlink" Target="https://v16-webapp-prime.tiktok.com/video/tos/alisg/tos-alisg-pve-0037c001/ocGCOtOmFoYIzLFEQ7IhA6AkbgVfIdrYyuoiNr/?a=1988&amp;bti=ODszNWYuMDE6&amp;ch=0&amp;cr=3&amp;dr=0&amp;lr=all&amp;cd=0%7C0%7C0%7C&amp;cv=1&amp;br=1868&amp;bt=934&amp;cs=0&amp;ds=3&amp;ft=-Csk_mrMPD12N_hopd-Ux315hY6e3wv25dcAp&amp;mime_type=video_mp4&amp;qs=0&amp;rc=PDlpOWZmNTQ7ZDk8ZDNnOEBpM2hmOTs6Znd3bDMzNzczM0BgYTBfYzNfNTAxNGBfLzYzYSM0XzRlcjRfNWhgLS1kMTZzcw%3D%3D&amp;btag=e00088000&amp;expire=1763173411&amp;l=20251113102250DC012CE1E68AEAAA2B86&amp;ply_type=2&amp;policy=2&amp;signature=e66aad86d03b41f64a6884f88b9545d7&amp;tk=tt_chain_token" TargetMode="External"/><Relationship Id="rId994"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1583" Type="http://schemas.openxmlformats.org/officeDocument/2006/relationships/hyperlink" Target="https://sf16-ies-music-sg.tiktokcdn.com/obj/tos-alisg-ve-2774/826033f166d448029eefc3940921daaf" TargetMode="External"/><Relationship Id="rId993" Type="http://schemas.openxmlformats.org/officeDocument/2006/relationships/hyperlink" Target="https://www.tiktok.com/@eu_lidando_com_td/video/7506905886867115269" TargetMode="External"/><Relationship Id="rId1100" Type="http://schemas.openxmlformats.org/officeDocument/2006/relationships/hyperlink" Target="https://p77-sg.tiktokcdn.com/aweme/720x720/tos-alisg-v-2774/oM2CAM3ICAXPDPl8aAnoegMvfBzeaFIOQI2CAJ.jpeg" TargetMode="External"/><Relationship Id="rId1584" Type="http://schemas.openxmlformats.org/officeDocument/2006/relationships/hyperlink" Target="https://p16-sg.tiktokcdn.com/aweme/720x720/tos-alisg-v-2774/568a79982fd64d27bf506255ecb58f1e.jpeg" TargetMode="External"/><Relationship Id="rId992" Type="http://schemas.openxmlformats.org/officeDocument/2006/relationships/hyperlink" Target="https://v16-webapp-prime.tiktok.com/video/tos/alisg/tos-alisg-ve-37c813-sg/oUyFIkRnsBAEElJ8uvi6gI0Q4CVoFASFEYfEui/?a=1988&amp;bti=ODszNWYuMDE6&amp;ch=0&amp;cr=3&amp;dr=0&amp;lr=all&amp;cd=0%7C0%7C0%7C&amp;cv=1&amp;br=1696&amp;bt=848&amp;cs=0&amp;ds=3&amp;ft=I~da4oKyD12NvnA0i.IxRTF_blBF-UjNSaopiX&amp;mime_type=video_mp4&amp;qs=0&amp;rc=OzM1ZWVmaWkzNThnaWY3PEBpajg0c3Q5cnB4MzMzNzczM0AzNDZgNS1hXmAxLzZfNmFeYSM1Xl9nMmRjMmphLS1kMTZzcw%3D%3D&amp;btag=e00090000&amp;expire=1763173572&amp;l=20251113102438711CFC3830D7669110B2&amp;ply_type=2&amp;policy=2&amp;signature=948948aeafed5f819057264a743c62d3&amp;tk=tt_chain_token" TargetMode="External"/><Relationship Id="rId1101" Type="http://schemas.openxmlformats.org/officeDocument/2006/relationships/hyperlink" Target="https://v16-webapp-prime.tiktok.com/video/tos/alisg/tos-alisg-ve-37c813-sg/oMEKIJXfXAmQ7OERqeBodgFdgrrDj4QBAOpwKB/?a=1988&amp;bti=ODszNWYuMDE6&amp;ch=0&amp;cr=3&amp;dr=0&amp;lr=all&amp;cd=0%7C0%7C0%7C&amp;cv=1&amp;br=1708&amp;bt=854&amp;cs=0&amp;ds=3&amp;ft=I~da4oKyD12NvOA0i.IxRehNblBF-UjNSMopiX&amp;mime_type=video_mp4&amp;qs=0&amp;rc=ZmY0ZWg3OzY6NTdmNWQ2PEBpM21wZm45cnRxMzMzNzczM0BfMF5eLTZfNTQxYTM1MWMwYSM1YmNrMmRrYi9hLS1kMTZzcw%3D%3D&amp;btag=e00088000&amp;expire=1763173534&amp;l=20251113102443BFAC5C39F8934C8F8E6A&amp;ply_type=2&amp;policy=2&amp;signature=76791b8ab4854a5f719ac92867f11fe8&amp;tk=tt_chain_token" TargetMode="External"/><Relationship Id="rId1585" Type="http://schemas.openxmlformats.org/officeDocument/2006/relationships/hyperlink" Target="https://v16-webapp-prime.tiktok.com/video/tos/alisg/tos-alisg-ve-37c813-sg/oIQeRXGRAFA8riLeAieAcxoLkEWltqfMq8tlcJ/?a=1988&amp;bti=ODszNWYuMDE6&amp;ch=0&amp;cr=3&amp;dr=0&amp;lr=all&amp;cd=0%7C0%7C0%7C&amp;br=792&amp;bt=396&amp;cs=0&amp;ds=3&amp;ft=-Csk_mrMPD12Nzhopd-UxfeFaY6e3wv25HcAp&amp;mime_type=video_mp4&amp;qs=0&amp;rc=NzY4ZmQzZDZnNGdkaWc5ZUBpM3c7ams5cmZvNTMzNzczM0AtYDMwNDRjNWIxMWE1NC4uYSNrZnAzMmRrNnNhLS1kMTZzcw%3D%3D&amp;btag=e00090000&amp;expire=1763173425&amp;l=202511131022442EE54DE47B86CCA867A8&amp;ply_type=2&amp;policy=2&amp;signature=0533c076977ef8bbf7cdb08b8233ddc5&amp;tk=tt_chain_token" TargetMode="External"/><Relationship Id="rId991" Type="http://schemas.openxmlformats.org/officeDocument/2006/relationships/hyperlink" Target="https://p16-sign-va.tiktokcdn.com/tos-maliva-avt-0068/a4192a1c951aa0f10f1994fa288f119b~tplv-tiktokx-cropcenter:1080:1080.jpeg?dr=14579&amp;refresh_token=c21d5cf4&amp;x-expires=1763172000&amp;x-signature=03NIXqJvVJ8eB2XkYBDc4kJRfhI%3D&amp;t=4d5b0474&amp;ps=13740610&amp;shp=a5d48078&amp;shcp=81f88b70&amp;idc=my" TargetMode="External"/><Relationship Id="rId1102" Type="http://schemas.openxmlformats.org/officeDocument/2006/relationships/hyperlink" Target="https://www.tiktok.com/@coringafrasesia/video/7495529064619429126" TargetMode="External"/><Relationship Id="rId1586" Type="http://schemas.openxmlformats.org/officeDocument/2006/relationships/hyperlink" Target="https://www.tiktok.com/@tdahcommaisperformance/video/7547845189474241798" TargetMode="External"/><Relationship Id="rId1532" Type="http://schemas.openxmlformats.org/officeDocument/2006/relationships/hyperlink" Target="https://p77-sign-va.tiktokcdn.com/tos-maliva-avt-0068/522bf3dd8faecdd86dec50c8be422f69~tplv-tiktokx-cropcenter:100:100.jpeg?dr=14579&amp;refresh_token=c9199c89&amp;x-expires=1763172000&amp;x-signature=XzQP8vo20h8Y27pBq%2BIa6uruo6g%3D&amp;t=4d5b0474&amp;ps=13740610&amp;shp=a5d48078&amp;shcp=81f88b70&amp;idc=my" TargetMode="External"/><Relationship Id="rId1533" Type="http://schemas.openxmlformats.org/officeDocument/2006/relationships/hyperlink" Target="https://p16-sign-sg.tiktokcdn.com/tos-alisg-v-2774/oEfLEaCXE3zgB2AJEeCylEoeOsARhGQOyAIAFD~720x720.jpeg?lk3s=08d74b56&amp;x-expires=1763022236&amp;x-signature=7AvTebbqkTU1mo2PHVeaELm8PnY%3D" TargetMode="External"/><Relationship Id="rId1534" Type="http://schemas.openxmlformats.org/officeDocument/2006/relationships/hyperlink" Target="https://v16-webapp-prime.tiktok.com/video/tos/alisg/tos-alisg-pve-0037c001/o8LHLEoWNAItFoW6QzIyapAT7hgkfCqc4tCEcF/?a=1988&amp;bti=ODszNWYuMDE6&amp;ch=0&amp;cr=3&amp;dr=0&amp;lr=all&amp;cd=0%7C0%7C0%7C&amp;br=2034&amp;bt=1017&amp;cs=0&amp;ds=2&amp;ft=-Csk_mrMPD12N3Yopd-Ux24FaY6e3wv25WcAp&amp;mime_type=video_mp4&amp;qs=0&amp;rc=NGZkZ2ZmODszaThoNjVmPEBpajdnOTg6Zjh1bDMzNzczM0AwMV5fXmIzXl8xYzYzY2MuYSM2bGVwcjRnNW5gLS1kMTZzcw%3D%3D&amp;btag=e000b8000&amp;expire=1763173453&amp;l=2025111310235634FE9FF2AA2A079ADB1D&amp;ply_type=2&amp;policy=2&amp;signature=619f311e352a6fbc7cef4350912d9511&amp;tk=tt_chain_token" TargetMode="External"/><Relationship Id="rId1535" Type="http://schemas.openxmlformats.org/officeDocument/2006/relationships/hyperlink" Target="https://www.tiktok.com/@tdahmemes/video/7256904953757699333" TargetMode="External"/><Relationship Id="rId1536" Type="http://schemas.openxmlformats.org/officeDocument/2006/relationships/hyperlink" Target="https://p16-sign-va.tiktokcdn.com/tos-maliva-avt-0068/1b2cbd4cbd8b9322457b2c2f8a0f3593~tplv-tiktokx-cropcenter:100:100.jpeg?dr=14579&amp;refresh_token=edded554&amp;x-expires=1763172000&amp;x-signature=AEG6PvQtZLCQ%2Fd0B48bZAjuDhSU%3D&amp;t=4d5b0474&amp;ps=13740610&amp;shp=a5d48078&amp;shcp=81f88b70&amp;idc=my" TargetMode="External"/><Relationship Id="rId1537" Type="http://schemas.openxmlformats.org/officeDocument/2006/relationships/hyperlink" Target="https://v16-webapp-prime.tiktok.com/video/tos/useast2a/tos-useast2a-v-2370-euttp/o0VAjGfE2gd2Mj5eZEENTbEoAYEOFcoADeAe47/?a=1988&amp;bti=ODszNWYuMDE6&amp;ch=0&amp;cr=0&amp;dr=0&amp;er=0&amp;lr=default&amp;cd=0%7C0%7C0%7C0&amp;br=250&amp;bt=125&amp;ds=5&amp;ft=GNDpcInz7ThSY-UPXq8Zmo&amp;mime_type=audio_mpeg&amp;qs=13&amp;rc=ajZrcHg5cnJ4cjMzZjU8M0BpajZrcHg5cnJ4cjMzZjU8M0BwazBgMmRzM3FgLS1kMWNzYSNwazBgMmRzM3FgLS1kMWNzcw%3D%3D&amp;btag=e00058000&amp;expire=1763004627&amp;l=20251113102614E0AE0D1C94494C7B69A1&amp;ply_type=3&amp;policy=3&amp;signature=2cad3183fe19af5ecfd9da86e8510a85&amp;tk=7571587458748974088" TargetMode="External"/><Relationship Id="rId1538" Type="http://schemas.openxmlformats.org/officeDocument/2006/relationships/hyperlink" Target="https://p19-common-sign-useastred.tiktokcdn-eu.com/tos-useast2a-avt-0068-euttp/aef08c932f06f3dfcbe7cd92188a70ad~tplv-tiktokx-cropcenter:1080:1080.jpeg?dr=14579&amp;refresh_token=627d8a72&amp;x-expires=1763172000&amp;x-signature=ZQdP%2FP9noPRlAH6cw5YlQJLKyU4%3D&amp;t=4d5b0474&amp;ps=13740610&amp;shp=a5d48078&amp;shcp=81f88b70&amp;idc=my" TargetMode="External"/><Relationship Id="rId1539" Type="http://schemas.openxmlformats.org/officeDocument/2006/relationships/hyperlink" Target="https://v16-webapp-prime.tiktok.com/video/tos/alisg/tos-alisg-ve-37c813-sg/oQNtROhIw0jXARcgfCLQAfBGgMSlZCsTevNITW/?a=1988&amp;bti=ODszNWYuMDE6&amp;ch=0&amp;cr=3&amp;dr=0&amp;lr=all&amp;cd=0%7C0%7C0%7C&amp;cv=1&amp;br=1054&amp;bt=527&amp;cs=0&amp;ds=3&amp;ft=-Csk_mrMPD12NF_opd-UxbX5bY6e3wv25zcAp&amp;mime_type=video_mp4&amp;qs=0&amp;rc=ZTpmMzU1aGVnPDs2PGg7ZUBpam1xdW85cmRxMzMzNzczM0AzNF4tYi9gX2MxL2JeYC0vYSM2NjVlMmQ0bGFhLS1kMTZzcw%3D%3D&amp;btag=e00090000&amp;expire=1763173675&amp;l=20251113102614E0AE0D1C94494C7B69A1&amp;ply_type=2&amp;policy=2&amp;signature=1741e4a1a488866596284b23e14bc864&amp;tk=tt_chain_token" TargetMode="External"/><Relationship Id="rId949"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948" Type="http://schemas.openxmlformats.org/officeDocument/2006/relationships/hyperlink" Target="https://www.tiktok.com/@psi.jonathanorlandi/video/7457158230075116806" TargetMode="External"/><Relationship Id="rId943" Type="http://schemas.openxmlformats.org/officeDocument/2006/relationships/hyperlink" Target="https://www.tiktok.com/@luciane.martins.t/video/7528914894612221190" TargetMode="External"/><Relationship Id="rId942" Type="http://schemas.openxmlformats.org/officeDocument/2006/relationships/hyperlink" Target="https://v16-webapp-prime.tiktok.com/video/tos/useast2a/tos-useast2a-pve-0068/owxE8AbKBSQLmEEQdfFfCCgxsFNXQeIdjBD8IH/?a=1988&amp;bti=ODszNWYuMDE6&amp;ch=0&amp;cr=3&amp;dr=0&amp;lr=all&amp;cd=0%7C0%7C0%7C&amp;cv=1&amp;br=1318&amp;bt=659&amp;cs=0&amp;ds=3&amp;ft=-Csk_mrMPD12Nzhopd-UxfeFaY6e3wv25HcAp&amp;mime_type=video_mp4&amp;qs=0&amp;rc=cnF8b2hsc2d3SkBwaHIxaDFybndmNjc6ZGY6N2hpO2QzNzVkPEBpM3BmaHg5cjQ0NDMzNzczM0BjRl5Nc3FePmJKYSNvYF90aHFmOiNiLmAzLS9hXzIxYl4wYzY2YSNjbzM0MmRzNXJhLS1kMTZzcw%3D%3D&amp;btag=e000b8000&amp;expire=1763173381&amp;l=202511131022442EE54DE47B86CCA867A8&amp;ply_type=2&amp;policy=2&amp;signature=4ab1eee5cebae574162afdea2ceebc47&amp;tk=tt_chain_token" TargetMode="External"/><Relationship Id="rId941" Type="http://schemas.openxmlformats.org/officeDocument/2006/relationships/hyperlink" Target="https://p16-sign-va.tiktokcdn.com/tos-maliva-avt-0068/2e8d5e10cae0d02e2bdbb7855e8a62ae~tplv-tiktokx-cropcenter:1080:1080.jpeg?dr=14579&amp;refresh_token=85433e22&amp;x-expires=1763172000&amp;x-signature=b3lSWsVGQCV%2BHNZZ3IkWUJa56mk%3D&amp;t=4d5b0474&amp;ps=13740610&amp;shp=a5d48078&amp;shcp=81f88b70&amp;idc=my" TargetMode="External"/><Relationship Id="rId940" Type="http://schemas.openxmlformats.org/officeDocument/2006/relationships/hyperlink" Target="https://v16-webapp-prime.tiktok.com/video/tos/useast2a/tos-useast2a-v-27dcd7/ocHqIWFfAFkf67R4FADJIhegmlhAKEDQACEuf1/?a=1988&amp;bti=ODszNWYuMDE6&amp;ch=0&amp;cr=0&amp;dr=0&amp;er=0&amp;lr=default&amp;cd=0%7C0%7C0%7C0&amp;br=250&amp;bt=125&amp;ds=5&amp;ft=GNDpcInz7ThbK-UPXq8Zmo&amp;mime_type=audio_mpeg&amp;qs=13&amp;rc=and3O2o5cmk0NDMzNzU8M0Bpand3O2o5cmk0NDMzNzU8M0BpXmo2MmRzNXJhLS1kMTZzYSNpXmo2MmRzNXJhLS1kMTZzcw%3D%3D&amp;btag=e00078000&amp;expire=1763004181&amp;l=202511131022442EE54DE47B86CCA867A8&amp;ply_type=3&amp;policy=3&amp;signature=21c57e38b6a1941de7dc555cd16bdf2f&amp;tk=7571587458748974088" TargetMode="External"/><Relationship Id="rId947" Type="http://schemas.openxmlformats.org/officeDocument/2006/relationships/hyperlink" Target="https://v16-webapp-prime.tiktok.com/video/tos/useast2a/tos-useast2a-ve-0068c001/oIJoQfr0DCZOFz0In9EKSqIDfCSEeOTgtGjBXA/?a=1988&amp;bti=ODszNWYuMDE6&amp;ch=0&amp;cr=3&amp;dr=0&amp;lr=all&amp;cd=0%7C0%7C0%7C&amp;cv=1&amp;br=1692&amp;bt=846&amp;cs=0&amp;ds=3&amp;ft=-Csk_mrMPD12NOYopd-Uxtv5GY6e3wv252cAp&amp;mime_type=video_mp4&amp;qs=0&amp;rc=OzxoNTM3OzszODc8OmdkaUBpM2VrZ3A5cnNsdzMzNzczM0BjLTNiYjYtNV4xLWI0M2FfYSM0NDNzMmRzX3JgLS1kMTZzcw%3D%3D&amp;btag=e00090000&amp;expire=1763173480&amp;l=20251113102306B19E1F5BC676BF8CC05E&amp;ply_type=2&amp;policy=2&amp;signature=2a2aa2c23568586d5a58d73051e7f681&amp;tk=tt_chain_token" TargetMode="External"/><Relationship Id="rId946"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945" Type="http://schemas.openxmlformats.org/officeDocument/2006/relationships/hyperlink" Target="https://v16-webapp-prime.tiktok.com/video/tos/useast2a/tos-useast2a-v-27dcd7/oUIA6ONoXCSAlgTj1tIEDFECXSDRpfAPxfSzfS/?a=1988&amp;bti=ODszNWYuMDE6&amp;ch=0&amp;cr=0&amp;dr=0&amp;er=0&amp;lr=default&amp;cd=0%7C0%7C0%7C0&amp;br=250&amp;bt=125&amp;ds=5&amp;ft=GNDpcInz7ThNV-UPXq8Zmo&amp;mime_type=audio_mpeg&amp;qs=13&amp;rc=am50ZnQ5cnZsdzMzNzU8M0Bpam50ZnQ5cnZsdzMzNzU8M0BoYWJwMmRzX3JgLS1kMTZzYSNoYWJwMmRzX3JgLS1kMTZzcw%3D%3D&amp;btag=e00050000&amp;expire=1763004280&amp;l=20251113102306B19E1F5BC676BF8CC05E&amp;ply_type=3&amp;policy=3&amp;signature=01b45437c46560eee50269f00f55dd39&amp;tk=7571587458748974088" TargetMode="External"/><Relationship Id="rId944"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1530" Type="http://schemas.openxmlformats.org/officeDocument/2006/relationships/hyperlink" Target="https://v16-webapp-prime.tiktok.com/video/tos/useast2a/tos-useast2a-ve-0068c002/okAGpLCjSGPVdeI1jgE3AqycQeLDYUCIgeIBBg/?a=1988&amp;bti=ODszNWYuMDE6&amp;ch=0&amp;cr=3&amp;dr=0&amp;lr=all&amp;cd=0%7C0%7C0%7C&amp;cv=1&amp;br=1640&amp;bt=820&amp;cs=0&amp;ds=3&amp;ft=-Csk_mrMPD12NdYopd-UxMTFGY6e3wv25LcAp&amp;mime_type=video_mp4&amp;qs=0&amp;rc=ZDQ4MzQ0N2VpNDs5ZDxlN0Bpajh2NnQ5cjszeDMzNzczM0AwMGAxYGMzX2IxNi0uYzI0YSNlcGNfMmRjcXFgLS1kMTZzcw%3D%3D&amp;btag=e000b8000&amp;expire=1763173398&amp;l=202511131023026989DBCE704A6574DC2E&amp;ply_type=2&amp;policy=2&amp;signature=467d8b0995ef50b3ab9a7f2ae1648c06&amp;tk=tt_chain_token" TargetMode="External"/><Relationship Id="rId1531" Type="http://schemas.openxmlformats.org/officeDocument/2006/relationships/hyperlink" Target="https://www.tiktok.com/@naiara.souzaa1/video/7474303434699705655" TargetMode="External"/><Relationship Id="rId1521" Type="http://schemas.openxmlformats.org/officeDocument/2006/relationships/hyperlink" Target="https://p77-sign-va.tiktokcdn.com/tos-maliva-avt-0068/3403ddfcebd64115e73e8071a88d6b95~tplv-tiktokx-cropcenter:1080:1080.jpeg?dr=14579&amp;refresh_token=4c32e19e&amp;x-expires=1763172000&amp;x-signature=RXcVuQoiGEH4yyF9bG0U60FRvJs%3D&amp;t=4d5b0474&amp;ps=13740610&amp;shp=a5d48078&amp;shcp=81f88b70&amp;idc=my" TargetMode="External"/><Relationship Id="rId1522" Type="http://schemas.openxmlformats.org/officeDocument/2006/relationships/hyperlink" Target="https://www.tiktok.com/@podzzera/video/7306536318371204357" TargetMode="External"/><Relationship Id="rId1523" Type="http://schemas.openxmlformats.org/officeDocument/2006/relationships/hyperlink" Target="https://p77-sign-va.tiktokcdn.com/tos-maliva-avt-0068/ff6e3eda5e04d647bbc778c2ac26b3f4~tplv-tiktokx-cropcenter:100:100.jpeg?dr=14579&amp;refresh_token=e5e5daf8&amp;x-expires=1763172000&amp;x-signature=IOjcdmN3Yo%2FcEus1A08u%2BiiG%2B0o%3D&amp;t=4d5b0474&amp;ps=13740610&amp;shp=a5d48078&amp;shcp=81f88b70&amp;idc=my" TargetMode="External"/><Relationship Id="rId1524" Type="http://schemas.openxmlformats.org/officeDocument/2006/relationships/hyperlink" Target="https://v16-webapp-prime.tiktok.com/video/tos/useast2a/tos-useast2a-v-27dcd7/oM4KgvBkYEBi4AEJ3YW38fANgoi0ZABBzEEEAi/?a=1988&amp;bti=ODszNWYuMDE6&amp;ch=0&amp;cr=0&amp;dr=0&amp;er=0&amp;lr=default&amp;cd=0%7C0%7C0%7C0&amp;br=250&amp;bt=125&amp;ds=5&amp;ft=GNDpcInz7ThMV-UPXq8Zmo&amp;mime_type=audio_mpeg&amp;qs=13&amp;rc=M3JtbG45cjM4dzMzNzU8M0BpM3JtbG45cjM4dzMzNzU8M0BkYzVgMmRza3JgLS1kMTZzYSNkYzVgMmRza3JgLS1kMTZzcw%3D%3D&amp;btag=e00048000&amp;expire=1763004244&amp;l=2025111310232002E5437D242CEA8409F2&amp;ply_type=3&amp;policy=3&amp;signature=566c60257788b72b3e02e8c90aec5869&amp;tk=7571587458748974088" TargetMode="External"/><Relationship Id="rId1525" Type="http://schemas.openxmlformats.org/officeDocument/2006/relationships/hyperlink" Target="https://p77-sign-va.tiktokcdn.com/tos-maliva-avt-0068/ff6e3eda5e04d647bbc778c2ac26b3f4~tplv-tiktokx-cropcenter:1080:1080.jpeg?dr=14579&amp;refresh_token=27a39e2d&amp;x-expires=1763172000&amp;x-signature=sqMi5St7Bt4gATfe6aYtVlDvkRo%3D&amp;t=4d5b0474&amp;ps=13740610&amp;shp=a5d48078&amp;shcp=81f88b70&amp;idc=my" TargetMode="External"/><Relationship Id="rId1526" Type="http://schemas.openxmlformats.org/officeDocument/2006/relationships/hyperlink" Target="https://www.tiktok.com/@neuropsirenataramos/video/7456935658557426950" TargetMode="External"/><Relationship Id="rId1527" Type="http://schemas.openxmlformats.org/officeDocument/2006/relationships/hyperlink" Target="https://p77-sign-va.tiktokcdn.com/tos-maliva-avt-0068/145b5f38168e6aa56f1ec1bd7d93aa6d~tplv-tiktokx-cropcenter:100:100.jpeg?dr=14579&amp;refresh_token=b8864211&amp;x-expires=1763172000&amp;x-signature=OC7bmuos%2Bun%2Fq0SpNNq1XgaAwqI%3D&amp;t=4d5b0474&amp;ps=13740610&amp;shp=a5d48078&amp;shcp=81f88b70&amp;idc=my" TargetMode="External"/><Relationship Id="rId1528" Type="http://schemas.openxmlformats.org/officeDocument/2006/relationships/hyperlink" Target="https://v16-webapp-prime.tiktok.com/video/tos/useast2a/tos-useast2a-v-27dcd7/ok6TfjEBEAdykHS2osdp5ZgEDfE1FCASOCAMeE/?a=1988&amp;bti=ODszNWYuMDE6&amp;ch=0&amp;cr=0&amp;dr=0&amp;er=0&amp;lr=default&amp;cd=0%7C0%7C0%7C0&amp;br=250&amp;bt=125&amp;ds=5&amp;ft=GNDpcInz7ThPV-UPXq8Zmo&amp;mime_type=audio_mpeg&amp;qs=13&amp;rc=M2xqdXk5cnR4czMzNzU8M0BpM2xqdXk5cnR4czMzNzU8M0BxcC1iMmRjYjBgLS1kMTZzYSNxcC1iMmRjYjBgLS1kMTZzcw%3D%3D&amp;btag=e00050000&amp;expire=1763004242&amp;l=202511131023026989DBCE704A6574DC2E&amp;ply_type=3&amp;policy=3&amp;signature=29398719ea70bc0f477224fdb27bf6b7&amp;tk=7571587458748974088" TargetMode="External"/><Relationship Id="rId1529" Type="http://schemas.openxmlformats.org/officeDocument/2006/relationships/hyperlink" Target="https://p77-sign-va.tiktokcdn.com/tos-maliva-avt-0068/0880d115a44d0757ef47ec29dfba07b6~tplv-tiktokx-cropcenter:1080:1080.jpeg?dr=14579&amp;refresh_token=ac4f9b3a&amp;x-expires=1763172000&amp;x-signature=Y%2FiXEqvTxR8sujb0PCEkva3O3lU%3D&amp;t=4d5b0474&amp;ps=13740610&amp;shp=a5d48078&amp;shcp=81f88b70&amp;idc=my" TargetMode="External"/><Relationship Id="rId939" Type="http://schemas.openxmlformats.org/officeDocument/2006/relationships/hyperlink" Target="https://p16-sign-va.tiktokcdn.com/tos-maliva-avt-0068/2e8d5e10cae0d02e2bdbb7855e8a62ae~tplv-tiktokx-cropcenter:100:100.jpeg?dr=14579&amp;refresh_token=513bf895&amp;x-expires=1763172000&amp;x-signature=nXoIsLaaE1zipDmOEiypdTYiS%2FQ%3D&amp;t=4d5b0474&amp;ps=13740610&amp;shp=a5d48078&amp;shcp=81f88b70&amp;idc=my" TargetMode="External"/><Relationship Id="rId938" Type="http://schemas.openxmlformats.org/officeDocument/2006/relationships/hyperlink" Target="https://www.tiktok.com/@liberdade.mentall/video/7537471214659439928" TargetMode="External"/><Relationship Id="rId937" Type="http://schemas.openxmlformats.org/officeDocument/2006/relationships/hyperlink" Target="https://v16-webapp-prime.tiktok.com/video/tos/useast2a/tos-useast2a-ve-0068c003/oEfE0vSABgBEwhQxqGDZJoIjmQInzeVonFgC89/?a=1988&amp;bti=ODszNWYuMDE6&amp;ch=0&amp;cr=3&amp;dr=0&amp;lr=all&amp;cd=0%7C0%7C0%7C&amp;cv=1&amp;br=836&amp;bt=418&amp;cs=0&amp;ds=3&amp;ft=-Csk_mrMPD12Nx_opd-Ux7o2aY6e3wv25zcAp&amp;mime_type=video_mp4&amp;qs=0&amp;rc=ZDU3NTs8ZWRkZWRmNzc3ZUBpM2Y8aW85cm46NTMzNzgzM0A1NmBhNi4yXjMxYS5fYS9fYSNsLmhgMmRrZ2FhLS1kLzZzcw%3D%3D&amp;btag=e00090000&amp;expire=1763173653&amp;l=20251113102607CD4452BD4E07158E0822&amp;ply_type=2&amp;policy=2&amp;signature=80ff926eb064dc4ce0b3abe8abf78194&amp;tk=tt_chain_token" TargetMode="External"/><Relationship Id="rId932" Type="http://schemas.openxmlformats.org/officeDocument/2006/relationships/hyperlink" Target="https://v16-webapp-prime.tiktok.com/video/tos/useast2a/tos-useast2a-ve-0068c002/oETbheLjGCgQLWIIj9ILSYQsPCSInk8gfSjfPA/?a=1988&amp;bti=ODszNWYuMDE6&amp;ch=0&amp;cr=3&amp;dr=0&amp;lr=all&amp;cd=0%7C0%7C0%7C&amp;cv=1&amp;br=1282&amp;bt=641&amp;cs=0&amp;ds=3&amp;ft=-Csk_mrMPD12NH_opd-UxDTFGY6e3wv25ocAp&amp;mime_type=video_mp4&amp;qs=0&amp;rc=ZTs7OjxkO2hoNmZnNDgzO0BpMzhrdnk5cnY8MzMzNzczM0AyMzVfNWNfXmMxYTYwMTViYSNtcGBtMmRjMGNhLS1kMTZzcw%3D%3D&amp;btag=e000a0000&amp;expire=1763174112&amp;l=202511131026218DEF8CE7185C8F9E5844&amp;ply_type=2&amp;policy=2&amp;signature=e8e7819089f3efa0b76db1d20bf2d8f9&amp;tk=tt_chain_token" TargetMode="External"/><Relationship Id="rId931" Type="http://schemas.openxmlformats.org/officeDocument/2006/relationships/hyperlink" Target="https://p77-sign-va.tiktokcdn.com/tos-maliva-avt-0068/8ea8087edb8a916268bd5c36a3bc49d1~tplv-tiktokx-cropcenter:1080:1080.jpeg?dr=14579&amp;refresh_token=762c4b98&amp;x-expires=1763172000&amp;x-signature=QnNJrO6QNm0yPidDK2fBdLPf2Uc%3D&amp;t=4d5b0474&amp;ps=13740610&amp;shp=a5d48078&amp;shcp=81f88b70&amp;idc=my" TargetMode="External"/><Relationship Id="rId930" Type="http://schemas.openxmlformats.org/officeDocument/2006/relationships/hyperlink" Target="https://v16-webapp-prime.tiktok.com/video/tos/useast2a/tos-useast2a-v-27dcd7/okfnf5GvILSeIOJe0AIIAJhAKikteN39AK6AAK/?a=1988&amp;bti=ODszNWYuMDE6&amp;ch=0&amp;cr=0&amp;dr=0&amp;er=0&amp;lr=default&amp;cd=0%7C0%7C0%7C0&amp;br=250&amp;bt=125&amp;ds=5&amp;ft=GNDpcInz7ThEY-UPXq8Zmo&amp;mime_type=audio_mpeg&amp;qs=13&amp;rc=Mzhpc3I5cm88MzMzNzU8M0BpMzhpc3I5cm88MzMzNzU8M0BhNF9rMmRzNGNhLS1kMTZzYSNhNF9rMmRzNGNhLS1kMTZzcw%3D%3D&amp;btag=e00060000&amp;expire=1763004912&amp;l=202511131026218DEF8CE7185C8F9E5844&amp;ply_type=3&amp;policy=3&amp;signature=c32416510431f5252e3cbef2350b7023&amp;tk=7571587458748974088" TargetMode="External"/><Relationship Id="rId936" Type="http://schemas.openxmlformats.org/officeDocument/2006/relationships/hyperlink" Target="https://p77-sign-va.tiktokcdn.com/tos-maliva-avt-0068/4949bb024f91e1b4bc8f1b459a9fc215~tplv-tiktokx-cropcenter:1080:1080.jpeg?dr=14579&amp;refresh_token=62e7cd27&amp;x-expires=1763172000&amp;x-signature=wulijpfzsi9v0AaPlpI3xwkZneM%3D&amp;t=4d5b0474&amp;ps=13740610&amp;shp=a5d48078&amp;shcp=81f88b70&amp;idc=my" TargetMode="External"/><Relationship Id="rId935" Type="http://schemas.openxmlformats.org/officeDocument/2006/relationships/hyperlink" Target="https://v16-webapp-prime.tiktok.com/video/tos/useast2a/tos-useast2a-v-27dcd7/oEn0Jn2voQJCUnBq9BmFe0oEYKDgckCltQf5GC/?a=1988&amp;bti=ODszNWYuMDE6&amp;ch=0&amp;cr=0&amp;dr=0&amp;er=0&amp;lr=default&amp;cd=0%7C0%7C0%7C0&amp;br=250&amp;bt=125&amp;ft=GNDpcInz7Th8Y-UPXq8Zmo&amp;mime_type=audio_mpeg&amp;qs=6&amp;rc=ZmY0OWg6NztoODY1ZjlpOkBpam1vM285cmU6NTMzNzU8M0A1XjJfMS01Nl4xMF9fNV8vYSNxMjU0MmRjaGFhLS1kMTZzcw%3D%3D&amp;btag=e00090000&amp;expire=1763004453&amp;l=20251113102607CD4452BD4E07158E0822&amp;ply_type=3&amp;policy=3&amp;signature=268b9fff8b277903874fa7e3b153fcda&amp;tk=7571587458748974088" TargetMode="External"/><Relationship Id="rId934"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933" Type="http://schemas.openxmlformats.org/officeDocument/2006/relationships/hyperlink" Target="https://www.tiktok.com/@seuneyzinho/video/7502596247262399799" TargetMode="External"/><Relationship Id="rId1520" Type="http://schemas.openxmlformats.org/officeDocument/2006/relationships/hyperlink" Target="https://v16-webapp-prime.tiktok.com/video/tos/useast2a/tos-useast2a-v-27dcd7/oYDAISIGAeeCVdcAEKBMonKIDALoNTEzF3CBeg/?a=1988&amp;bti=ODszNWYuMDE6&amp;ch=0&amp;cr=0&amp;dr=0&amp;er=0&amp;lr=default&amp;cd=0%7C0%7C0%7C0&amp;br=250&amp;bt=125&amp;ds=5&amp;ft=GNDpcInz7Th29-UPXq8Zmo&amp;mime_type=audio_mpeg&amp;qs=13&amp;rc=am1ka3E5cjkzbzMzNzU8M0Bpam1ka3E5cjkzbzMzNzU8M0BmaWhjMmRzZGdgLS1kMTZzYSNmaWhjMmRzZGdgLS1kMTZzcw%3D%3D&amp;btag=e00050000&amp;expire=1763004359&amp;l=20251113102443BFAC5C39F8934C8F8E6A&amp;ply_type=3&amp;policy=3&amp;signature=495cba8c7f1985d6cad44e06aab24d7b&amp;tk=7571587458748974088" TargetMode="External"/><Relationship Id="rId1554" Type="http://schemas.openxmlformats.org/officeDocument/2006/relationships/hyperlink" Target="https://p16-sign-va.tiktokcdn.com/tos-maliva-avt-0068/dfb17618f7733cea51340f9a9b37285c~tplv-tiktokx-cropcenter:1080:1080.jpeg?dr=14579&amp;refresh_token=cdbb0bdb&amp;x-expires=1763172000&amp;x-signature=Vfco6burSaU4rEN3auCT9rS5upI%3D&amp;t=4d5b0474&amp;ps=13740610&amp;shp=a5d48078&amp;shcp=81f88b70&amp;idc=my" TargetMode="External"/><Relationship Id="rId1555" Type="http://schemas.openxmlformats.org/officeDocument/2006/relationships/hyperlink" Target="https://v16-webapp-prime.tiktok.com/video/tos/alisg/tos-alisg-ve-37c813-sg/oEBrARd2tFfUIEEaQoEDo8fEIBV9QdWzBJY3oR/?a=1988&amp;bti=ODszNWYuMDE6&amp;ch=0&amp;cr=3&amp;dr=0&amp;lr=all&amp;cd=0%7C0%7C0%7C&amp;cv=1&amp;br=226&amp;bt=113&amp;cs=0&amp;ds=3&amp;ft=-Csk_mrMPD12N8hopd-Ux~v2bY6e3wv251cAp&amp;mime_type=video_mp4&amp;qs=0&amp;rc=M2c1ZzNnOzNmODVnNDQ5aEBpM2hnOW45cnc3NjMzNzczM0A1MjYvYGM2XmAxMV4uNDNfYSNlNWEvMmRzYmBhLS1kMTZzcw%3D%3D&amp;btag=e00090000&amp;expire=1763173419&amp;l=202511131022406C90E0DA9AAAC98C2302&amp;ply_type=2&amp;policy=2&amp;signature=33bde6d730abbe8be0eb8db9803b9213&amp;tk=tt_chain_token" TargetMode="External"/><Relationship Id="rId1556" Type="http://schemas.openxmlformats.org/officeDocument/2006/relationships/hyperlink" Target="https://www.tiktok.com/@natan.ferreira.de/video/7554867213556043064" TargetMode="External"/><Relationship Id="rId1557" Type="http://schemas.openxmlformats.org/officeDocument/2006/relationships/hyperlink" Target="https://p16-sign-va.tiktokcdn.com/tos-maliva-avt-0068/351617397cb25a2a8754aa256e7690b2~tplv-tiktokx-cropcenter:100:100.jpeg?dr=14579&amp;refresh_token=46752314&amp;x-expires=1763172000&amp;x-signature=zI6u4kiUANV9QvrSgzdnyfTWrdw%3D&amp;t=4d5b0474&amp;ps=13740610&amp;shp=a5d48078&amp;shcp=81f88b70&amp;idc=my" TargetMode="External"/><Relationship Id="rId1558" Type="http://schemas.openxmlformats.org/officeDocument/2006/relationships/hyperlink" Target="https://v16-webapp-prime.tiktok.com/video/tos/useast2a/tos-useast2a-v-27dcd7/oEDEzyvEE7eUJV2BEZ0DfB2JhNCFAAcQAMomEL/?a=1988&amp;bti=ODszNWYuMDE6&amp;ch=0&amp;cr=0&amp;dr=0&amp;er=0&amp;lr=default&amp;cd=0%7C0%7C0%7C0&amp;br=250&amp;bt=125&amp;ds=5&amp;ft=GNDpcInz7Th8Y-UPXq8Zmo&amp;mime_type=audio_mpeg&amp;qs=13&amp;rc=MzdobHg5cm12dTMzNzU8M0BpMzdobHg5cm12dTMzNzU8M0BvcnJxMmRjZGBgLS1kMTZzYSNvcnJxMmRjZGBgLS1kMTZzcw%3D%3D&amp;btag=e00048000&amp;expire=1763004400&amp;l=20251113102607CD4452BD4E07158E0822&amp;ply_type=3&amp;policy=3&amp;signature=3b8dcae5630534ed7e7c9b1bca404989&amp;tk=7571587458748974088" TargetMode="External"/><Relationship Id="rId1559" Type="http://schemas.openxmlformats.org/officeDocument/2006/relationships/hyperlink" Target="https://p77-sign-va.tiktokcdn.com/tos-maliva-avt-0068/351617397cb25a2a8754aa256e7690b2~tplv-tiktokx-cropcenter:1080:1080.jpeg?dr=14579&amp;refresh_token=1c9c403c&amp;x-expires=1763172000&amp;x-signature=0h84Xn9ITo5flwUYWHNmWuhgFNc%3D&amp;t=4d5b0474&amp;ps=13740610&amp;shp=a5d48078&amp;shcp=81f88b70&amp;idc=my" TargetMode="External"/><Relationship Id="rId965" Type="http://schemas.openxmlformats.org/officeDocument/2006/relationships/hyperlink" Target="https://v16-webapp-prime.tiktok.com/video/tos/alisg/tos-alisg-v-27dcd7/ogE4PPCBA9kDsl7YaatE1cAtxvATAWKiA4ViU/?a=1988&amp;bti=ODszNWYuMDE6&amp;ch=0&amp;cr=0&amp;dr=0&amp;er=0&amp;lr=default&amp;cd=0%7C0%7C0%7C0&amp;br=250&amp;bt=125&amp;ds=5&amp;ft=GNDpcInz7ThN9-UPXq8Zmo&amp;mime_type=audio_mpeg&amp;qs=13&amp;rc=M2Z5OnU5cm1vNjMzODU8NEBpM2Z5OnU5cm1vNjMzODU8NEBwZTIyMmQ0YHJhLS1kMS1zYSNwZTIyMmQ0YHJhLS1kMS1zcw%3D%3D&amp;btag=e00050000&amp;expire=1763004337&amp;l=20251113102410CE8B814C77F7637842AC&amp;ply_type=3&amp;policy=3&amp;signature=07c4bfe89b6e30670e8dab564c1dfece&amp;tk=7571587458748974088" TargetMode="External"/><Relationship Id="rId964" Type="http://schemas.openxmlformats.org/officeDocument/2006/relationships/hyperlink" Target="https://p77-sign-va.tiktokcdn.com/tos-maliva-avt-0068/b65580219dd212688aa9c5305651ee47~tplv-tiktokx-cropcenter:100:100.jpeg?dr=14579&amp;refresh_token=45e413c6&amp;x-expires=1763172000&amp;x-signature=KCpt%2BDj%2Bfn31W8EH9IjcPLbgtjc%3D&amp;t=4d5b0474&amp;ps=13740610&amp;shp=a5d48078&amp;shcp=81f88b70&amp;idc=my" TargetMode="External"/><Relationship Id="rId963" Type="http://schemas.openxmlformats.org/officeDocument/2006/relationships/hyperlink" Target="https://www.tiktok.com/@tdahempalavra/video/7437280880579661112" TargetMode="External"/><Relationship Id="rId962" Type="http://schemas.openxmlformats.org/officeDocument/2006/relationships/hyperlink" Target="https://v16-webapp-prime.tiktok.com/video/tos/maliva/tos-maliva-ve-68c800-us/o8gBzBAQkpiDuEyzE8Q6RsYsZ2IPEUH6ahiSE/?a=1988&amp;bti=ODszNWYuMDE6&amp;ch=0&amp;cr=3&amp;dr=0&amp;lr=all&amp;cd=0%7C0%7C0%7C&amp;cv=1&amp;br=868&amp;bt=434&amp;cs=0&amp;ds=3&amp;ft=-Csk_mrMPD12NXhopd-UxB6vSY6e3wv25rcAp&amp;mime_type=video_mp4&amp;qs=0&amp;rc=PGRlOWY5Zjk6NzhlPGc6NEBpM2Y3Zmw5cms7djMzNzczM0BeYjReY2JjXy4xYV5hMV9gYSNmNnEvMmQ0Ym9gLS1kMTZzcw%3D%3D&amp;btag=e00090000&amp;expire=1763173413&amp;l=202511131022245A53A91EDE77CC8B0DB4&amp;ply_type=2&amp;policy=2&amp;signature=0f1a0fc7b1a091c3bb76e32029d0384c&amp;tk=tt_chain_token" TargetMode="External"/><Relationship Id="rId969" Type="http://schemas.openxmlformats.org/officeDocument/2006/relationships/hyperlink" Target="https://p16-sign-va.tiktokcdn.com/tos-maliva-avt-0068/ca391b0efaba2677f1bf5fc8b151dfa6~tplv-tiktokx-cropcenter:100:100.jpeg?dr=14579&amp;refresh_token=c57812a5&amp;x-expires=1763172000&amp;x-signature=HAsWbG1YTg07EFICM1LwVK6aDL0%3D&amp;t=4d5b0474&amp;ps=13740610&amp;shp=a5d48078&amp;shcp=81f88b70&amp;idc=my" TargetMode="External"/><Relationship Id="rId968" Type="http://schemas.openxmlformats.org/officeDocument/2006/relationships/hyperlink" Target="https://www.tiktok.com/@dulcivaldejesussantos/video/7565297789245099284" TargetMode="External"/><Relationship Id="rId967" Type="http://schemas.openxmlformats.org/officeDocument/2006/relationships/hyperlink" Target="https://v16-webapp-prime.tiktok.com/video/tos/alisg/tos-alisg-pve-0037c001/o4lLxEPinWBFICzXAaQ9AZqvVlA9iEV1IQYvB/?a=1988&amp;bti=ODszNWYuMDE6&amp;ch=0&amp;cr=3&amp;dr=0&amp;lr=all&amp;cd=0%7C0%7C0%7C&amp;cv=1&amp;br=2242&amp;bt=1121&amp;cs=0&amp;ds=3&amp;ft=I~da4oKyD12Nv5A0i.IxRIk_glBF-UjNSbopiX&amp;mime_type=video_mp4&amp;qs=0&amp;rc=PGhoN2ZnaTRmO2dkOmQ5aEBpM2t4M205cjhvNjMzODczNEAuYi0tY2JfXl4xMmNeMTQvYSM1aWktMmRrYHJhLS1kMTFzcw%3D%3D&amp;btag=e00090000&amp;expire=1763173537&amp;l=20251113102410CE8B814C77F7637842AC&amp;ply_type=2&amp;policy=2&amp;signature=5754c7017e147a7d99483fde2ce9caf8&amp;tk=tt_chain_token" TargetMode="External"/><Relationship Id="rId966" Type="http://schemas.openxmlformats.org/officeDocument/2006/relationships/hyperlink" Target="https://p77-sign-va.tiktokcdn.com/tos-maliva-avt-0068/b65580219dd212688aa9c5305651ee47~tplv-tiktokx-cropcenter:1080:1080.jpeg?dr=14579&amp;refresh_token=9bbb6515&amp;x-expires=1763172000&amp;x-signature=2qI%2Fzfdzeuu4ERcvrj042dDT4uU%3D&amp;t=4d5b0474&amp;ps=13740610&amp;shp=a5d48078&amp;shcp=81f88b70&amp;idc=my" TargetMode="External"/><Relationship Id="rId961" Type="http://schemas.openxmlformats.org/officeDocument/2006/relationships/hyperlink" Target="https://p16-sign-va.tiktokcdn.com/tos-maliva-avt-0068/5276198b93082394c0b92347278b7f75~tplv-tiktokx-cropcenter:1080:1080.jpeg?dr=14579&amp;refresh_token=294ff918&amp;x-expires=1763172000&amp;x-signature=zv3kgr92KZ3iyt2t6xMvPsoy39s%3D&amp;t=4d5b0474&amp;ps=13740610&amp;shp=a5d48078&amp;shcp=81f88b70&amp;idc=my" TargetMode="External"/><Relationship Id="rId1550" Type="http://schemas.openxmlformats.org/officeDocument/2006/relationships/hyperlink" Target="https://www.tiktok.com/@daianesilva8200/video/7288372944240200966" TargetMode="External"/><Relationship Id="rId960" Type="http://schemas.openxmlformats.org/officeDocument/2006/relationships/hyperlink" Target="https://v16-webapp-prime.tiktok.com/video/tos/useast2a/tos-useast2a-v-27dcd7/oMEhe7ASEEVGE4ACQhOo2D6CbEFeSrAfgEBFAT/?a=1988&amp;bti=ODszNWYuMDE6&amp;ch=0&amp;cr=0&amp;dr=0&amp;er=0&amp;lr=default&amp;cd=0%7C0%7C0%7C0&amp;br=250&amp;bt=125&amp;ds=5&amp;ft=GNDpcInz7ThRK-UPXq8Zmo&amp;mime_type=audio_mpeg&amp;qs=13&amp;rc=M290aXc5cjs7djMzNzU8M0BpM290aXc5cjs7djMzNzU8M0A2amRkMmRjY29gLS1kMTZzYSM2amRkMmRjY29gLS1kMTZzcw%3D%3D&amp;btag=e00050000&amp;expire=1763004213&amp;l=202511131022245A53A91EDE77CC8B0DB4&amp;ply_type=3&amp;policy=3&amp;signature=6f27b56953e08af419b07caad240131f&amp;tk=7571587458748974088" TargetMode="External"/><Relationship Id="rId1551" Type="http://schemas.openxmlformats.org/officeDocument/2006/relationships/hyperlink" Target="http://natan.ferreira.de" TargetMode="External"/><Relationship Id="rId1552" Type="http://schemas.openxmlformats.org/officeDocument/2006/relationships/hyperlink" Target="https://p77-sign-va.tiktokcdn.com/tos-maliva-avt-0068/dfb17618f7733cea51340f9a9b37285c~tplv-tiktokx-cropcenter:100:100.jpeg?dr=14579&amp;refresh_token=3ebf4b34&amp;x-expires=1763172000&amp;x-signature=Tpl46Cjzfn35m0lC4bYpjTlbxLM%3D&amp;t=4d5b0474&amp;ps=13740610&amp;shp=a5d48078&amp;shcp=81f88b70&amp;idc=my" TargetMode="External"/><Relationship Id="rId1553" Type="http://schemas.openxmlformats.org/officeDocument/2006/relationships/hyperlink" Target="https://v16-webapp-prime.tiktok.com/video/tos/useast2a/tos-useast2a-v-27dcd7/oARsGRbjIAIuCI1oI9AweCEaATL33SeeJgkG9I/?a=1988&amp;bti=ODszNWYuMDE6&amp;ch=0&amp;cr=0&amp;dr=0&amp;er=0&amp;lr=default&amp;cd=0%7C0%7C0%7C0&amp;br=250&amp;bt=125&amp;ds=5&amp;ft=GNDpcInz7ThaK-UPXq8Zmo&amp;mime_type=audio_mpeg&amp;qs=13&amp;rc=amc7cW45cmk3NjMzNzU8M0Bpamc7cW45cmk3NjMzNzU8M0BvNW5iMmRrY2BhLS1kMTZzYSNvNW5iMmRrY2BhLS1kMTZzcw%3D%3D&amp;btag=e00050000&amp;expire=1763004219&amp;l=202511131022406C90E0DA9AAAC98C2302&amp;ply_type=3&amp;policy=3&amp;signature=e62a583df71b0f62836a23c9ac218598&amp;tk=7571587458748974088" TargetMode="External"/><Relationship Id="rId1543"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544" Type="http://schemas.openxmlformats.org/officeDocument/2006/relationships/hyperlink" Target="https://v16-webapp-prime.tiktok.com/video/tos/useast2a/tos-useast2a-ve-0068c003/ooocCUinEQ3g28BAiS7GsPamhApQ5EdPzIl4v/?a=1988&amp;bti=ODszNWYuMDE6&amp;ch=0&amp;cr=3&amp;dr=0&amp;lr=all&amp;cd=0%7C0%7C0%7C&amp;cv=1&amp;br=782&amp;bt=391&amp;cs=0&amp;ds=3&amp;ft=-Csk_mrMPD12Nn.opd-UxJTFGY6e3wv25bcAp&amp;mime_type=video_mp4&amp;qs=0&amp;rc=OzczODQ3Z2c8ODVkODpmNkBpM3NxcnA5cjk2NDMzNzgzM0AwYjQwMS5gNTExXzItLy41YSNiZV9rMmQ0bWhhLS1kLzZzcw%3D%3D&amp;btag=e00090000&amp;expire=1763173605&amp;l=2025111310254344385823DD6566920070&amp;ply_type=2&amp;policy=2&amp;signature=cec5a6d142aec87531768c2dee4fa387&amp;tk=tt_chain_token" TargetMode="External"/><Relationship Id="rId1545" Type="http://schemas.openxmlformats.org/officeDocument/2006/relationships/hyperlink" Target="https://www.tiktok.com/@lorenatdahta/video/7523331671614131512" TargetMode="External"/><Relationship Id="rId1546" Type="http://schemas.openxmlformats.org/officeDocument/2006/relationships/hyperlink" Target="https://p16-sign-va.tiktokcdn.com/tos-maliva-avt-0068/433505c341713a94d8cfecbc28e821d5~tplv-tiktokx-cropcenter:100:100.jpeg?dr=14579&amp;refresh_token=87d10ddb&amp;x-expires=1763172000&amp;x-signature=OHgjk4lS0YEZbApFxMpohOow4YQ%3D&amp;t=4d5b0474&amp;ps=13740610&amp;shp=a5d48078&amp;shcp=81f88b70&amp;idc=my" TargetMode="External"/><Relationship Id="rId1547" Type="http://schemas.openxmlformats.org/officeDocument/2006/relationships/hyperlink" Target="https://sf16-ies-music-sg.tiktokcdn.com/obj/tos-alisg-ve-2774/o4U21zgOfCQJ7hZedDZmTPBG8EBQFtHxb3qYR4" TargetMode="External"/><Relationship Id="rId1548" Type="http://schemas.openxmlformats.org/officeDocument/2006/relationships/hyperlink" Target="https://p77-sg.tiktokcdn.com/aweme/720x720/tos-alisg-v-2774/443e43fd468f4d7a93eaf00493c1dcef.jpeg" TargetMode="External"/><Relationship Id="rId1549" Type="http://schemas.openxmlformats.org/officeDocument/2006/relationships/hyperlink" Target="https://v16-webapp-prime.tiktok.com/video/tos/alisg/tos-alisg-ve-37c813-sg/o0AA8QkzyAgBL3zfhFPsNAI2Cg8lNktooIEKc8/?a=1988&amp;bti=ODszNWYuMDE6&amp;ch=0&amp;cr=3&amp;dr=0&amp;lr=all&amp;cd=0%7C0%7C0%7C&amp;cv=1&amp;br=1734&amp;bt=867&amp;cs=0&amp;ds=3&amp;ft=-Csk_mrMPD12NdYopd-UxMTFGY6e3wv25LcAp&amp;mime_type=video_mp4&amp;qs=0&amp;rc=OWg8aTxoOzw3MzY7ZDVkOkBpM2VtZDQ6ZnhybjMzNzczM0BhYF5hYTMuNS4xYmEwYzReYSMtMzRvcjQwLWZgLS1kMTZzcw%3D%3D&amp;btag=e00088000&amp;expire=1763173431&amp;l=202511131023026989DBCE704A6574DC2E&amp;ply_type=2&amp;policy=2&amp;signature=b10577201214ea097a3e604974e3e7b5&amp;tk=tt_chain_token" TargetMode="External"/><Relationship Id="rId959" Type="http://schemas.openxmlformats.org/officeDocument/2006/relationships/hyperlink" Target="https://p77-sign-va.tiktokcdn.com/tos-maliva-avt-0068/5276198b93082394c0b92347278b7f75~tplv-tiktokx-cropcenter:100:100.jpeg?dr=14579&amp;refresh_token=46bf5705&amp;x-expires=1763172000&amp;x-signature=7484GDeVpZ%2BdyRE8iPsgTRw2%2FDE%3D&amp;t=4d5b0474&amp;ps=13740610&amp;shp=a5d48078&amp;shcp=81f88b70&amp;idc=my" TargetMode="External"/><Relationship Id="rId954"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953" Type="http://schemas.openxmlformats.org/officeDocument/2006/relationships/hyperlink" Target="https://www.tiktok.com/@lorenatdahta/video/7221912457990671621" TargetMode="External"/><Relationship Id="rId952" Type="http://schemas.openxmlformats.org/officeDocument/2006/relationships/hyperlink" Target="https://v16-webapp-prime.tiktok.com/video/tos/alisg/tos-alisg-pve-0037c001/ocX0U0DRgBQk4hObie8JDf7vE8LKzEAZnBWRA1/?a=1988&amp;bti=ODszNWYuMDE6&amp;ch=0&amp;cr=3&amp;dr=0&amp;lr=all&amp;cd=0%7C0%7C0%7C&amp;cv=1&amp;br=1458&amp;bt=729&amp;cs=0&amp;ds=3&amp;ft=-Csk_mrMPD12NH_opd-UxDTFGY6e3wv25ocAp&amp;mime_type=video_mp4&amp;qs=0&amp;rc=ODc3N2U8NzY8Ojc5PDlpM0Bpam9kOWc6ZnhwajMzNzczM0A1YTBjMDUwNmIxYmMuXmE0YSMtazFfcjQwMnBgLS1kMTZzcw%3D%3D&amp;btag=e00090000&amp;expire=1763173643&amp;l=202511131026218DEF8CE7185C8F9E5844&amp;ply_type=2&amp;policy=2&amp;signature=43f2890b55d686ecd535a44efe4ec7d3&amp;tk=tt_chain_token" TargetMode="External"/><Relationship Id="rId951"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958" Type="http://schemas.openxmlformats.org/officeDocument/2006/relationships/hyperlink" Target="https://www.tiktok.com/@liberdade.mentall/video/7569401587852905736" TargetMode="External"/><Relationship Id="rId957" Type="http://schemas.openxmlformats.org/officeDocument/2006/relationships/hyperlink" Target="https://v16-webapp-prime.tiktok.com/video/tos/alisg/tos-alisg-pve-0037/oMIrooSAeewSs7WXDDQiYFFQTNgCsAfhE1E88X/?a=1988&amp;bti=ODszNWYuMDE6&amp;ch=0&amp;cr=3&amp;dr=0&amp;lr=all&amp;cd=0%7C0%7C0%7C&amp;cv=1&amp;br=1198&amp;bt=599&amp;cs=0&amp;ds=3&amp;ft=-Csk_mrMPD12NE.opd-UxG4vXY6e3wv25McAp&amp;mime_type=video_mp4&amp;qs=0&amp;rc=OGg8NDtlNDo7OzdnZGk6ZUBpamZzcWo5cmh4NzMzODgzNEA2MmIwNjUwNTExLzBjNDUzYSMyL2ZoMmRzaDJhLS1kLzFzcw%3D%3D&amp;btag=e00090000&amp;expire=1763173632&amp;l=20251113102536F89EBD83B531C49CD72A&amp;ply_type=2&amp;policy=2&amp;signature=8648f15e0d704a1ffacaf10695c0f6a5&amp;tk=tt_chain_token" TargetMode="External"/><Relationship Id="rId956"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955" Type="http://schemas.openxmlformats.org/officeDocument/2006/relationships/hyperlink" Target="https://v16-webapp-prime.tiktok.com/video/tos/alisg/tos-alisg-v-27dcd7/okIEB6krIerogYFCDLbDfD0TqvEFQdeAB4QSMS/?a=1988&amp;bti=ODszNWYuMDE6&amp;ch=0&amp;cr=0&amp;dr=0&amp;er=0&amp;lr=default&amp;cd=0%7C0%7C0%7C0&amp;br=250&amp;bt=125&amp;ft=GNDpcInz7ThOD-UPXq8Zmo&amp;mime_type=audio_mpeg&amp;qs=6&amp;rc=NzwzOjs7OTxpPDNkOTczaEBpMzY5N285cmV4NzMzODU8NEBjXjAxLWIzNjIxYy5eNGMyYSNuNWRzMmRzaTJhLS1kMS1zcw%3D%3D&amp;btag=e00090000&amp;expire=1763004432&amp;l=20251113102536F89EBD83B531C49CD72A&amp;ply_type=3&amp;policy=3&amp;signature=d0660294a751a1a5495363e6e34effcd&amp;tk=7571587458748974088" TargetMode="External"/><Relationship Id="rId950" Type="http://schemas.openxmlformats.org/officeDocument/2006/relationships/hyperlink" Target="https://v16-webapp-prime.tiktok.com/video/tos/useast2a/tos-useast2a-v-27dcd7/a3f8acf9599a425293ebf4c845dbb91b/?a=1988&amp;bti=ODszNWYuMDE6&amp;ch=0&amp;cr=0&amp;dr=0&amp;er=0&amp;lr=default&amp;cd=0%7C0%7C0%7C0&amp;br=250&amp;bt=125&amp;ds=5&amp;ft=GNDpcInz7ThEY-UPXq8Zmo&amp;mime_type=audio_mpeg&amp;qs=13&amp;rc=ajp2eTk6ZjxwajMzNzU8M0Bpajp2eTk6ZjxwajMzNzU8M0BgLW9tcjQwM3BgLS1kMTZzYSNgLW9tcjQwM3BgLS1kMTZzcw%3D%3D&amp;btag=e00050000&amp;expire=1763004443&amp;l=202511131026218DEF8CE7185C8F9E5844&amp;ply_type=3&amp;policy=3&amp;signature=bb8fb63764cae0749e34ecb369122312&amp;tk=7571587458748974088" TargetMode="External"/><Relationship Id="rId1540" Type="http://schemas.openxmlformats.org/officeDocument/2006/relationships/hyperlink" Target="https://www.tiktok.com/@thaisgarciaterapeuta/video/7501728670701063430" TargetMode="External"/><Relationship Id="rId1541"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542" Type="http://schemas.openxmlformats.org/officeDocument/2006/relationships/hyperlink" Target="https://v16-webapp-prime.tiktok.com/video/tos/useast2a/tos-useast2a-v-27dcd7/o4CAeQHCR4yQokWTfsh38EESUfg85pTgi20BLM/?a=1988&amp;bti=ODszNWYuMDE6&amp;ch=0&amp;cr=0&amp;dr=0&amp;er=0&amp;lr=default&amp;cd=0%7C0%7C0%7C0&amp;br=250&amp;bt=125&amp;ft=GNDpcInz7ThGD-UPXq8Zmo&amp;mime_type=audio_mpeg&amp;qs=6&amp;rc=OjQ8PDU3ZmU2ZjU7ZTlkZUBpajhkNWw5cm82NDMzNzU8M0BiLmM0Nl8vNmExLzFiMTUwYSNnYi1hMmQ0cGhhLS1kMTZzcw%3D%3D&amp;btag=e00090000&amp;expire=1763004405&amp;l=2025111310254344385823DD6566920070&amp;ply_type=3&amp;policy=3&amp;signature=f04f768f24a9c4f9466890b8186ad427&amp;tk=7571587458748974088" TargetMode="External"/><Relationship Id="rId590" Type="http://schemas.openxmlformats.org/officeDocument/2006/relationships/hyperlink" Target="https://v16-webapp-prime.tiktok.com/video/tos/useast2a/tos-useast2a-ve-0068c002/o0bcM8fLEQgSIxcflVMgXCIfQ8rnAhLUpCptVo/?a=1988&amp;bti=ODszNWYuMDE6&amp;ch=0&amp;cr=3&amp;dr=0&amp;lr=all&amp;cd=0%7C0%7C0%7C&amp;cv=1&amp;br=1012&amp;bt=506&amp;cs=0&amp;ds=3&amp;ft=-Csk_mrMPD12N3Yopd-Ux24FaY6e3wv25WcAp&amp;mime_type=video_mp4&amp;qs=0&amp;rc=cnF8b2hsc2d3SkBwaHIxaDFybndmNjlkZzU6OjQ4OzRpOWk1Z0BpM3lvbnk5cnNtcjMzNzgzM0BjRl5Nc3FePmJKYSNvYF90aHFmOiMxLy4vNmIuXjYxMzQvNC8vYSNpMmRwMmRjanBgLS1kLzZzcw%3D%3D&amp;btag=e000b0000&amp;expire=1763173446&amp;l=2025111310235634FE9FF2AA2A079ADB1D&amp;ply_type=2&amp;policy=2&amp;signature=796a10c564e2f4fea4af2ef52a5387f9&amp;tk=tt_chain_token" TargetMode="External"/><Relationship Id="rId107" Type="http://schemas.openxmlformats.org/officeDocument/2006/relationships/hyperlink" Target="https://www.tiktok.com/@chloemariedub/video/6995313827717991686" TargetMode="External"/><Relationship Id="rId106" Type="http://schemas.openxmlformats.org/officeDocument/2006/relationships/hyperlink" Target="https://v16-webapp-prime.tiktok.com/video/tos/alisg/tos-alisg-pve-0037c001/oIICrfwViAN8gOzQEtijDkQohGRcXiPUrOwAIK/?a=1988&amp;bti=ODszNWYuMDE6&amp;ch=0&amp;cr=3&amp;dr=0&amp;lr=all&amp;cd=0%7C0%7C0%7C&amp;cv=1&amp;br=2132&amp;bt=1066&amp;cs=0&amp;ds=3&amp;ft=-Csk_mrMPD12NH_opd-UxDTFGY6e3wv25ocAp&amp;mime_type=video_mp4&amp;qs=0&amp;rc=Ojs2N2U5N2Y2PDc0ZDtoNUBpanZ0cWk6ZmQ4NzMzNzczM0A2XmIzMTMvNWMxXy40YTExYSNfay5ecjRfZF5gLS1kMTZzcw%3D%3D&amp;btag=e00090000&amp;expire=1763173677&amp;l=202511131026218DEF8CE7185C8F9E5844&amp;ply_type=2&amp;policy=2&amp;signature=d07326497982cefae98da0d2ced673d4&amp;tk=tt_chain_token" TargetMode="External"/><Relationship Id="rId105" Type="http://schemas.openxmlformats.org/officeDocument/2006/relationships/hyperlink" Target="https://p16-sign-va.tiktokcdn.com/tos-maliva-avt-0068/3b2037a41ca3ac175d2aa905cd61cf2b~tplv-tiktokx-cropcenter:1080:1080.jpeg?dr=14579&amp;refresh_token=7e0ca9e7&amp;x-expires=1763172000&amp;x-signature=BQMfLU8Zk314DpJ0vZGkSCSV2Zc%3D&amp;t=4d5b0474&amp;ps=13740610&amp;shp=a5d48078&amp;shcp=81f88b70&amp;idc=my" TargetMode="External"/><Relationship Id="rId589" Type="http://schemas.openxmlformats.org/officeDocument/2006/relationships/hyperlink" Target="https://p77-sign-va.tiktokcdn.com/tos-maliva-avt-0068/e58116bbf4ad2696c33e7ca59d05752f~tplv-tiktokx-cropcenter:1080:1080.jpeg?dr=14579&amp;refresh_token=5869a420&amp;x-expires=1763172000&amp;x-signature=9tfNfTuhL1NM0Gb9GoEcx0AuFbI%3D&amp;t=4d5b0474&amp;ps=13740610&amp;shp=a5d48078&amp;shcp=81f88b70&amp;idc=my" TargetMode="External"/><Relationship Id="rId104" Type="http://schemas.openxmlformats.org/officeDocument/2006/relationships/hyperlink" Target="https://v16-webapp-prime.tiktok.com/video/tos/useast2a/tos-useast2a-v-27dcd7/3748cb0b6f084e3e9400f5e33c99d3b8/?a=1988&amp;bti=ODszNWYuMDE6&amp;ch=0&amp;cr=0&amp;dr=0&amp;er=0&amp;lr=default&amp;cd=0%7C0%7C0%7C0&amp;br=226&amp;bt=113&amp;ds=5&amp;ft=GNDpcInz7ThEY-UPXq8Zmo&amp;mime_type=video_mp4&amp;qs=13&amp;rc=amhobmk6ZnI4NzMzNzU8M0Bpamhobmk6ZnI4NzMzNzU8M0A2czJjcjRnZV5gLS1kMTZzYSM2czJjcjRnZV5gLS1kMTZzcw%3D%3D&amp;btag=e00050000&amp;expire=1763004477&amp;l=202511131026218DEF8CE7185C8F9E5844&amp;ply_type=3&amp;policy=3&amp;signature=712be247feef24a41011361fb1480d51&amp;tk=7571587458748974088" TargetMode="External"/><Relationship Id="rId588" Type="http://schemas.openxmlformats.org/officeDocument/2006/relationships/hyperlink" Target="https://v16-webapp-prime.tiktok.com/video/tos/useast2a/tos-useast2a-v-27dcd7/og6cIS0f5GE5O0s2snLkCTMCkofg1CucMNel5I/?a=1988&amp;bti=ODszNWYuMDE6&amp;ch=0&amp;cr=0&amp;dr=0&amp;er=0&amp;lr=default&amp;cd=0%7C0%7C0%7C0&amp;br=250&amp;bt=125&amp;ft=GNDpcInz7ThiV-UPXq8Zmo&amp;mime_type=audio_mpeg&amp;qs=6&amp;rc=Zzc0aDhoaTQ4Zjk4NWQ6aEBpM291eHM5cjptcjMzNzU8M0A1XmBfXmEuNTAxMDE0Mi40YSNuc2Q0MmQ0a3BgLS1kMTZzcw%3D%3D&amp;btag=e000b0000&amp;expire=1763004247&amp;l=2025111310235634FE9FF2AA2A079ADB1D&amp;ply_type=3&amp;policy=3&amp;signature=e20ca0979927f983a584d58164ac58f3&amp;tk=7571587458748974088" TargetMode="External"/><Relationship Id="rId109" Type="http://schemas.openxmlformats.org/officeDocument/2006/relationships/hyperlink" Target="https://v16-webapp-prime.tiktok.com/video/tos/useast2a/tos-useast2a-v-27dcd7/oAoQwzIgSqELOIMyDkTgkweQAvGrCCAIfAfQNA/?a=1988&amp;bti=ODszNWYuMDE6&amp;ch=0&amp;cr=0&amp;dr=0&amp;er=0&amp;lr=default&amp;cd=0%7C0%7C0%7C0&amp;br=250&amp;bt=125&amp;ds=5&amp;ft=GNDpcInz7ThX9-UPXq8Zmo&amp;mime_type=audio_mpeg&amp;qs=13&amp;rc=ampqb3M5cng5NDMzNzU8M0Bpampqb3M5cng5NDMzNzU8M0Awcy0uMmRjX2RhLS1kMTZzYSMwcy0uMmRjX2RhLS1kMTZzcw%3D%3D&amp;btag=e00048000&amp;expire=1763004318&amp;l=20251113102424EE0F9FCD2CC2B68BE0E2&amp;ply_type=3&amp;policy=3&amp;signature=93f2cc95948bd23dfd9d99c9ae18a074&amp;tk=7571587458748974088" TargetMode="External"/><Relationship Id="rId1170" Type="http://schemas.openxmlformats.org/officeDocument/2006/relationships/hyperlink" Target="https://p77-sign-va.tiktokcdn.com/tos-maliva-avt-0068/52b60386baa9e096d0cc31a6704de5c5~tplv-tiktokx-cropcenter:1080:1080.jpeg?dr=14579&amp;refresh_token=927aab3d&amp;x-expires=1763172000&amp;x-signature=Kp9PIN0N8YWXh%2FjF%2B5FwRizaZC8%3D&amp;t=4d5b0474&amp;ps=13740610&amp;shp=a5d48078&amp;shcp=81f88b70&amp;idc=my" TargetMode="External"/><Relationship Id="rId108" Type="http://schemas.openxmlformats.org/officeDocument/2006/relationships/hyperlink" Target="https://p16-sign-va.tiktokcdn.com/tos-maliva-avt-0068/4842f829bdaf28a70fa2e96759a81700~tplv-tiktokx-cropcenter:100:100.jpeg?dr=14579&amp;refresh_token=6aa4aa8b&amp;x-expires=1763172000&amp;x-signature=axfGm%2BFSc7Up%2FHQ7gB%2FpHRxl4LU%3D&amp;t=4d5b0474&amp;ps=13740610&amp;shp=a5d48078&amp;shcp=81f88b70&amp;idc=my" TargetMode="External"/><Relationship Id="rId1171" Type="http://schemas.openxmlformats.org/officeDocument/2006/relationships/hyperlink" Target="https://webapp-va.tiktok.com/3d7eb01e4a20b4018bc1a02de3657a4b/6917e46e/kmoat/mps/logo/v2/r/p/v09044g40000cgj0dd3c77ubu2h2b8b0/c1ece009e699409e97a0b2f46efd6a16/6b2849da2bcdab16530b1820d739a308/mp4/main.mp4?a=1988&amp;bti=ODszNWYuMDE6&amp;ch=0&amp;cr=3&amp;dr=0&amp;lr=all&amp;cd=0%7C0%7C0%7C&amp;cv=1&amp;br=0&amp;bt=0&amp;cs=0&amp;ds=3&amp;eid=1286&amp;ft=LrmaEoKyD12Nv5A0i.IxRIk_glBF-UjNSbopiX&amp;mime_type=video_mp4&amp;qs=0&amp;rc=cnF8b2hsc2d3SkBwaHIxaDFybndmOWRnaDc1MzpoMzw5PDNmNEBpMzs1NWU6ZmczajMzNzczM0BjRl5Nc3FePmJKYSNvYF90aHFmOiMuM2MzY19eNjYxNmItYmJgYSNfX2VycjQwYWdgLS1kMTZzcw%3D%3D&amp;btag=e00088000&amp;definition=720p&amp;du=37&amp;item_id=7216462841036016902&amp;l=20251113102410CE8B814C77F7637842AC&amp;logo_type=tiktok_m&amp;ply_type=2&amp;policy=eyJ2bSI6MiwiY2siOiJ0dF9jaGFpbl90b2tlbiJ9&amp;user_text=atdah" TargetMode="External"/><Relationship Id="rId583" Type="http://schemas.openxmlformats.org/officeDocument/2006/relationships/hyperlink" Target="https://v16-webapp-prime.tiktok.com/video/tos/useast2a/tos-useast2a-v-27dcd7/osktvb8EBI3zKEPgizAoXnBziUfOBA6vxM74TH/?a=1988&amp;bti=ODszNWYuMDE6&amp;ch=0&amp;cr=0&amp;dr=0&amp;er=0&amp;lr=default&amp;cd=0%7C0%7C0%7C0&amp;br=250&amp;bt=125&amp;ft=GNDpcInz7ThUK-UPXq8Zmo&amp;mime_type=audio_mpeg&amp;qs=6&amp;rc=NjQ1ZDM4ZWk5OjQ0aTNkaEBpajRobW05cmQ0dzMzNzU8M0AuNTQtNTVgXjAxMTYtXl80YSNhbnJvMmRjNHBgLS1kMTZzcw%3D%3D&amp;btag=e00090000&amp;expire=1763004208&amp;l=202511131022270BBA173F4561DD71A814&amp;ply_type=3&amp;policy=3&amp;signature=1649db60b42677cf2cf45aab4f598a92&amp;tk=7571587458748974088" TargetMode="External"/><Relationship Id="rId1172" Type="http://schemas.openxmlformats.org/officeDocument/2006/relationships/hyperlink" Target="https://www.tiktok.com/@atdah/video/7216462841036016902" TargetMode="External"/><Relationship Id="rId582" Type="http://schemas.openxmlformats.org/officeDocument/2006/relationships/hyperlink" Target="https://p77-sign-va.tiktokcdn.com/tos-maliva-avt-0068/634e3ccf21671e098e69ebd35bf5db45~tplv-tiktokx-cropcenter:100:100.jpeg?dr=14579&amp;refresh_token=29fdd4ae&amp;x-expires=1763172000&amp;x-signature=%2BQG6rD%2Bvn%2BKjxZntqmdIqAOxOKM%3D&amp;t=4d5b0474&amp;ps=13740610&amp;shp=a5d48078&amp;shcp=81f88b70&amp;idc=my" TargetMode="External"/><Relationship Id="rId1173" Type="http://schemas.openxmlformats.org/officeDocument/2006/relationships/hyperlink" Target="https://p77-sign-va.tiktokcdn.com/tos-maliva-avt-0068/4842f829bdaf28a70fa2e96759a81700~tplv-tiktokx-cropcenter:100:100.jpeg?dr=14579&amp;refresh_token=992af602&amp;x-expires=1763172000&amp;x-signature=JGblNlIlLYOiRnYYXckwOonB7EQ%3D&amp;t=4d5b0474&amp;ps=13740610&amp;shp=a5d48078&amp;shcp=81f88b70&amp;idc=my" TargetMode="External"/><Relationship Id="rId581" Type="http://schemas.openxmlformats.org/officeDocument/2006/relationships/hyperlink" Target="https://www.tiktok.com/@igorpsicologo/video/7516337237416545541" TargetMode="External"/><Relationship Id="rId1174" Type="http://schemas.openxmlformats.org/officeDocument/2006/relationships/hyperlink" Target="https://v16-webapp-prime.tiktok.com/video/tos/useast2a/tos-useast2a-v-27dcd7/727fecb6e5634484afc7d5298bff60f1/?a=1988&amp;bti=ODszNWYuMDE6&amp;ch=0&amp;cr=0&amp;dr=0&amp;er=0&amp;lr=default&amp;cd=0%7C0%7C0%7C0&amp;br=252&amp;bt=126&amp;ds=5&amp;ft=GNDpcInz7Th29-UPXq8Zmo&amp;mime_type=video_mp4&amp;qs=13&amp;rc=M3k5bTs6ZmlkZDMzNzU8M0BpM3k5bTs6ZmlkZDMzNzU8M0BqNi5ocjRfZV9gLS1kMTZzYSNqNi5ocjRfZV9gLS1kMTZzcw%3D%3D&amp;btag=e00050000&amp;expire=1763004374&amp;l=20251113102443BFAC5C39F8934C8F8E6A&amp;ply_type=3&amp;policy=3&amp;signature=795d9b77955e8558536d306505837c8a&amp;tk=7571587458748974088" TargetMode="External"/><Relationship Id="rId580" Type="http://schemas.openxmlformats.org/officeDocument/2006/relationships/hyperlink" Target="https://v16-webapp-prime.tiktok.com/video/tos/useast2a/tos-useast2a-pve-0068/oYGVQfkeDB9oFg4EpPEZ2HIPTBJEYDuQstRYPA/?a=1988&amp;bti=ODszNWYuMDE6&amp;ch=0&amp;cr=3&amp;dr=0&amp;lr=all&amp;cd=0%7C0%7C0%7C&amp;cv=1&amp;br=1754&amp;bt=877&amp;cs=0&amp;ds=3&amp;ft=-Csk_mrMPD12NH_opd-UxDTFGY6e3wv25ocAp&amp;mime_type=video_mp4&amp;qs=0&amp;rc=O2U1ODU1ZmVnNTM7OTg0OEBpajc1OnA5cnRwNDMzNzczM0AtLl5iLV42XmMxYV5hYjMuYSMucWszMmRjNDRhLS1kMTZzcw%3D%3D&amp;btag=e00090000&amp;expire=1763173641&amp;l=202511131026218DEF8CE7185C8F9E5844&amp;ply_type=2&amp;policy=2&amp;signature=019df596c59652752179e9ed9e59ece3&amp;tk=tt_chain_token" TargetMode="External"/><Relationship Id="rId1175" Type="http://schemas.openxmlformats.org/officeDocument/2006/relationships/hyperlink" Target="https://p77-sign-va.tiktokcdn.com/tos-maliva-avt-0068/4842f829bdaf28a70fa2e96759a81700~tplv-tiktokx-cropcenter:1080:1080.jpeg?dr=14579&amp;refresh_token=2364b330&amp;x-expires=1763172000&amp;x-signature=YlrhiUb%2BmIFzg%2F03XBPPWs2P0%2BI%3D&amp;t=4d5b0474&amp;ps=13740610&amp;shp=a5d48078&amp;shcp=81f88b70&amp;idc=my" TargetMode="External"/><Relationship Id="rId103" Type="http://schemas.openxmlformats.org/officeDocument/2006/relationships/hyperlink" Target="https://p16-sign-va.tiktokcdn.com/tos-maliva-avt-0068/3b2037a41ca3ac175d2aa905cd61cf2b~tplv-tiktokx-cropcenter:100:100.jpeg?dr=14579&amp;refresh_token=7c04022f&amp;x-expires=1763172000&amp;x-signature=Epj5%2B1N%2FJ0z8PpneYCGEG%2F5WKi8%3D&amp;t=4d5b0474&amp;ps=13740610&amp;shp=a5d48078&amp;shcp=81f88b70&amp;idc=my" TargetMode="External"/><Relationship Id="rId587" Type="http://schemas.openxmlformats.org/officeDocument/2006/relationships/hyperlink" Target="https://p77-sign-va.tiktokcdn.com/tos-maliva-avt-0068/e58116bbf4ad2696c33e7ca59d05752f~tplv-tiktokx-cropcenter:100:100.jpeg?dr=14579&amp;refresh_token=b852af7e&amp;x-expires=1763172000&amp;x-signature=hTTUMHfTz%2FBdo%2FLgo%2B8qslqO4xw%3D&amp;t=4d5b0474&amp;ps=13740610&amp;shp=a5d48078&amp;shcp=81f88b70&amp;idc=my" TargetMode="External"/><Relationship Id="rId1176" Type="http://schemas.openxmlformats.org/officeDocument/2006/relationships/hyperlink" Target="https://v16-webapp-prime.tiktok.com/video/tos/maliva/tos-maliva-ve-0068c801-us/dcae0944e8444cc4bd3aeaca8442bafb/?a=1988&amp;bti=ODszNWYuMDE6&amp;ch=0&amp;cr=3&amp;dr=0&amp;lr=all&amp;cd=0%7C0%7C0%7C&amp;cv=1&amp;br=1234&amp;bt=617&amp;cs=0&amp;ds=2&amp;ft=I~da4oKyD12NvOA0i.IxRehNblBF-UjNSMopiX&amp;mime_type=video_mp4&amp;qs=0&amp;rc=M2Q8NGllNjw1PGY3MzRpPEBpM3U2Ozc6ZjhkZDMzNzczM0AwYTQwMGI1Xi0xNS9jLjQuYSNkby0ucjRvZV9gLS1kMTZzcw%3D%3D&amp;btag=e00090000&amp;expire=1763173574&amp;l=20251113102443BFAC5C39F8934C8F8E6A&amp;ply_type=2&amp;policy=2&amp;signature=2b1d855b864842e470caa35476f6282b&amp;tk=tt_chain_token" TargetMode="External"/><Relationship Id="rId102" Type="http://schemas.openxmlformats.org/officeDocument/2006/relationships/hyperlink" Target="https://www.tiktok.com/@neurodivergenciaeopapo/video/7518757198554598661" TargetMode="External"/><Relationship Id="rId586" Type="http://schemas.openxmlformats.org/officeDocument/2006/relationships/hyperlink" Target="https://www.tiktok.com/@thiagocoutogt/video/7470930995986828599" TargetMode="External"/><Relationship Id="rId1177" Type="http://schemas.openxmlformats.org/officeDocument/2006/relationships/hyperlink" Target="https://www.tiktok.com/@draanabeatriz11/video/7104050935223028998" TargetMode="External"/><Relationship Id="rId101" Type="http://schemas.openxmlformats.org/officeDocument/2006/relationships/hyperlink" Target="https://v16-webapp-prime.tiktok.com/video/tos/useast2a/tos-useast2a-ve-0068c001/okZsIGDbQFAxIlCr2gESeAIgCqfhfjqYQBwFgg/?a=1988&amp;bti=ODszNWYuMDE6&amp;ch=0&amp;cr=3&amp;dr=0&amp;lr=all&amp;cd=0%7C0%7C0%7C&amp;cv=1&amp;br=1198&amp;bt=599&amp;cs=0&amp;ds=3&amp;ft=-Csk_mrMPD12N9Yopd-Ux315hY6e3wv25dcAp&amp;mime_type=video_mp4&amp;qs=0&amp;rc=ODpkNGloOjppNzM1ODhnZ0BpampvO285cnB5NDMzNzczM0BgNmA2NGIyXjMxX15hNF5eYSNhYDMzMmRzbF9hLS1kMTZzcw%3D%3D&amp;btag=e00098000&amp;expire=1763173625&amp;l=2025111310232002E5437D242CEA8409F2&amp;ply_type=2&amp;policy=2&amp;signature=c29df8065e4cd04c60bb58ad2900f57e&amp;tk=tt_chain_token" TargetMode="External"/><Relationship Id="rId585" Type="http://schemas.openxmlformats.org/officeDocument/2006/relationships/hyperlink" Target="https://v16-webapp-prime.tiktok.com/video/tos/useast2a/tos-useast2a-pve-0068/oQpeQICbVDA4IBYDefF1KMegWiZAzJYtIkfFuE/?a=1988&amp;bti=ODszNWYuMDE6&amp;ch=0&amp;cr=3&amp;dr=0&amp;lr=all&amp;cd=0%7C0%7C0%7C&amp;cv=1&amp;br=8066&amp;bt=4033&amp;cs=0&amp;ds=3&amp;ft=I~da4oKyD12NviW0i.IxRHqNglBF-UjNSqopiX&amp;mime_type=video_mp4&amp;qs=0&amp;rc=NWZpZGQ1PDpmOjdpN2Y0NUBpanM7cnQ5cjh5eDMzNzczM0A1YzMuMWIvNmIxNi1iYWA2YSNkbTNqMmRjc2pgLS1kMTZzcw%3D%3D&amp;btag=e000b8000&amp;expire=1763173373&amp;l=202511131022270BBA173F4561DD71A814&amp;ply_type=2&amp;policy=2&amp;signature=07b89b7123ae188b00b663a52d51a810&amp;tk=tt_chain_token" TargetMode="External"/><Relationship Id="rId1178" Type="http://schemas.openxmlformats.org/officeDocument/2006/relationships/hyperlink" Target="https://p77-sign-va.tiktokcdn.com/tos-maliva-avt-0068/c49a54b11dcccde0dd668ae269ebe723~tplv-tiktokx-cropcenter:100:100.jpeg?dr=14579&amp;refresh_token=3add1154&amp;x-expires=1763172000&amp;x-signature=3RHcCVShQlWTV2R%2FVh1wTsSOMiI%3D&amp;t=4d5b0474&amp;ps=13740610&amp;shp=a5d48078&amp;shcp=81f88b70&amp;idc=my" TargetMode="External"/><Relationship Id="rId100" Type="http://schemas.openxmlformats.org/officeDocument/2006/relationships/hyperlink" Target="https://p16-sign-va.tiktokcdn.com/tos-maliva-avt-0068/fc1698d10dca32b79684fcca308c78cc~tplv-tiktokx-cropcenter:1080:1080.jpeg?dr=14579&amp;refresh_token=7e197f98&amp;x-expires=1763172000&amp;x-signature=Ar1E%2BtXAdX7b7JlZ%2BVQgvVp1yPM%3D&amp;t=4d5b0474&amp;ps=13740610&amp;shp=a5d48078&amp;shcp=81f88b70&amp;idc=my" TargetMode="External"/><Relationship Id="rId584" Type="http://schemas.openxmlformats.org/officeDocument/2006/relationships/hyperlink" Target="https://p16-sign-va.tiktokcdn.com/tos-maliva-avt-0068/8186585c64ea09dc5e3d06509e2f379e~tplv-tiktokx-cropcenter:1080:1080.jpeg?dr=14579&amp;refresh_token=27216167&amp;x-expires=1763172000&amp;x-signature=YYKkWTm7hGhM2G2Dwh%2Fx2abEgjQ%3D&amp;t=4d5b0474&amp;ps=13740610&amp;shp=a5d48078&amp;shcp=81f88b70&amp;idc=my" TargetMode="External"/><Relationship Id="rId1179" Type="http://schemas.openxmlformats.org/officeDocument/2006/relationships/hyperlink" Target="https://sf16-music-sign.tiktokcdn.com/obj/tos-alisg-ve-2774/o8bAF4vIOlgIe8fVKdfwm6iLoej56X1AGGMFAB?lk3s=08d74b56&amp;x-expires=1763022170&amp;x-signature=CMIjoA67YCDDv7jvpM5yzauWC08%3D" TargetMode="External"/><Relationship Id="rId1169" Type="http://schemas.openxmlformats.org/officeDocument/2006/relationships/hyperlink" Target="https://v16-webapp-prime.tiktok.com/video/tos/useast2a/tos-useast2a-v-27dcd7/ff14e2d130d0415f96067c691f89535c/?a=1988&amp;bti=ODszNWYuMDE6&amp;ch=0&amp;cr=0&amp;dr=0&amp;er=0&amp;lr=default&amp;cd=0%7C0%7C0%7C0&amp;br=250&amp;bt=125&amp;ds=5&amp;ft=GNDpcInz7ThN9-UPXq8Zmo&amp;mime_type=audio_mpeg&amp;qs=13&amp;rc=MzxxeTM6ZmkzajMzNzU8M0BpMzxxeTM6ZmkzajMzNzU8M0BgLS1hcjRvYWdgLS1kMTZzYSNgLS1hcjRvYWdgLS1kMTZzcw%3D%3D&amp;btag=e00048000&amp;expire=1763004286&amp;l=20251113102410CE8B814C77F7637842AC&amp;ply_type=3&amp;policy=3&amp;signature=7e2e6f7cc48ae4146f0472716a3bba99&amp;tk=7571587458748974088" TargetMode="External"/><Relationship Id="rId579"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578" Type="http://schemas.openxmlformats.org/officeDocument/2006/relationships/hyperlink" Target="https://v16-webapp-prime.tiktok.com/video/tos/useast2a/tos-useast2a-v-27dcd7/owjE5zUACia3BHi4k0lMAEO9ZQ7ASqvtBAPZE/?a=1988&amp;bti=ODszNWYuMDE6&amp;ch=0&amp;cr=0&amp;dr=0&amp;er=0&amp;lr=default&amp;cd=0%7C0%7C0%7C0&amp;br=250&amp;bt=125&amp;ds=5&amp;ft=GNDpcInz7ThEY-UPXq8Zmo&amp;mime_type=audio_mpeg&amp;qs=13&amp;rc=MzppNnE5cnVwNDMzNzU8M0BpMzppNnE5cnVwNDMzNzU8M0BuZDNpMmRrNjRhLS1kMTZzYSNuZDNpMmRrNjRhLS1kMTZzcw%3D%3D&amp;btag=e00050000&amp;expire=1763004441&amp;l=202511131026218DEF8CE7185C8F9E5844&amp;ply_type=3&amp;policy=3&amp;signature=ef5e4dd13a43b11bf87cbd8e0a0006f1&amp;tk=7571587458748974088" TargetMode="External"/><Relationship Id="rId577"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1160" Type="http://schemas.openxmlformats.org/officeDocument/2006/relationships/hyperlink" Target="https://p77-sign-va.tiktokcdn.com/tos-maliva-avt-0068/bfb0ff9401f7301dddea9def63350d72~tplv-tiktokx-cropcenter:1080:1080.jpeg?dr=14579&amp;refresh_token=20aae998&amp;x-expires=1763172000&amp;x-signature=U%2FM6%2BZ8Wd1%2BPzwl7%2Fh0mDGAm4Tc%3D&amp;t=4d5b0474&amp;ps=13740610&amp;shp=a5d48078&amp;shcp=81f88b70&amp;idc=my" TargetMode="External"/><Relationship Id="rId572"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1161" Type="http://schemas.openxmlformats.org/officeDocument/2006/relationships/hyperlink" Target="https://webapp-va.tiktok.com/64b7f882032e4d6282dbd91ee0175e45/6917e490/kmoat/mps/logo/v2/r/p/v09044g40000ckqpomvog65uks2fsb70/b262d8c1b2cc461db32918e94c39349e/50b829387a8f4def8041a6146baf1516/mp4/main.mp4?a=1988&amp;bti=ODszNWYuMDE6&amp;ch=0&amp;cr=3&amp;dr=0&amp;lr=all&amp;cd=0%7C0%7C0%7C&amp;cv=1&amp;br=0&amp;bt=0&amp;cs=0&amp;ds=3&amp;eid=1286&amp;ft=LrmaEoKyD12NvgA0i.IxRMb_glBF-UjNSaopiX&amp;mime_type=video_mp4&amp;qs=0&amp;rc=cnF8b2hsc2d3SkBwaHIxaDFybndmaDc8Zjw7PDZnOWY1NDs1NUBpM2Vpdng5cnBzbjMzNzczM0BjRl5Nc3FePmJKYSNvYF90aHFmOiM2MDAxYi4vXy4xYF9gYTNfYSM0cC9oMmRzbG5gLS1kMTZzcw%3D%3D&amp;btag=e00088000&amp;definition=720p&amp;du=30&amp;item_id=7292907251944213765&amp;l=20251113102449DDADD1FB7AF14A841409&amp;logo_type=tiktok_m&amp;ply_type=2&amp;policy=eyJ2bSI6MiwiY2siOiJ0dF9jaGFpbl90b2tlbiJ9&amp;user_text=memes_24hrs2" TargetMode="External"/><Relationship Id="rId571" Type="http://schemas.openxmlformats.org/officeDocument/2006/relationships/hyperlink" Target="https://www.tiktok.com/@igorpsicologo/video/7475150776483024134" TargetMode="External"/><Relationship Id="rId1162" Type="http://schemas.openxmlformats.org/officeDocument/2006/relationships/hyperlink" Target="https://www.tiktok.com/@memes_24hrs2/video/7292907251944213765" TargetMode="External"/><Relationship Id="rId570" Type="http://schemas.openxmlformats.org/officeDocument/2006/relationships/hyperlink" Target="https://v16-webapp-prime.tiktok.com/video/tos/useast2a/tos-useast2a-pve-0068/owtMGIABgXeA1aiGRJ6ecILwXesfJKeibFAkLx/?a=1988&amp;bti=ODszNWYuMDE6&amp;ch=0&amp;cr=3&amp;dr=0&amp;lr=all&amp;cd=0%7C0%7C0%7C&amp;cv=1&amp;br=2888&amp;bt=1444&amp;cs=0&amp;ds=3&amp;ft=-Csk_mrMPD12Nw_opd-UxfeFaY6e3wv25HcAp&amp;mime_type=video_mp4&amp;qs=0&amp;rc=MzQzODw7OTRnODQ6aDVpPEBpanE0d3A5cnhreDMzNzczM0AyM14tYTBfXzIxMGFgLl8zYSMybmJuMmQ0L3JgLS1kMTZzcw%3D%3D&amp;btag=e00090000&amp;expire=1763173674&amp;l=2025111310264583C2663DA446357263D7&amp;ply_type=2&amp;policy=2&amp;signature=a335371692c9f5483d52c8b3a5a689e8&amp;tk=tt_chain_token" TargetMode="External"/><Relationship Id="rId1163" Type="http://schemas.openxmlformats.org/officeDocument/2006/relationships/hyperlink" Target="https://p77-sign-va.tiktokcdn.com/tos-maliva-avt-0068/b65580219dd212688aa9c5305651ee47~tplv-tiktokx-cropcenter:100:100.jpeg?dr=14579&amp;refresh_token=45e413c6&amp;x-expires=1763172000&amp;x-signature=KCpt%2BDj%2Bfn31W8EH9IjcPLbgtjc%3D&amp;t=4d5b0474&amp;ps=13740610&amp;shp=a5d48078&amp;shcp=81f88b70&amp;idc=my" TargetMode="External"/><Relationship Id="rId1164" Type="http://schemas.openxmlformats.org/officeDocument/2006/relationships/hyperlink" Target="https://v16-webapp-prime.tiktok.com/video/tos/alisg/tos-alisg-v-27dcd7/oQD5TYrnREgAoADeiCeFODqEENDA1UEElAfbqx/?a=1988&amp;bti=ODszNWYuMDE6&amp;ch=0&amp;cr=0&amp;dr=0&amp;er=0&amp;lr=default&amp;cd=0%7C0%7C0%7C0&amp;br=250&amp;bt=125&amp;ds=5&amp;ft=GNDpcInz7ThN9-UPXq8Zmo&amp;mime_type=audio_mpeg&amp;qs=13&amp;rc=ajZudng5cjxyNjMzODU8NEBpajZudng5cjxyNjMzODU8NEBpNTZuMmRjaXBhLS1kMS1zYSNpNTZuMmRjaXBhLS1kMS1zcw%3D%3D&amp;btag=e00050000&amp;expire=1763004328&amp;l=20251113102410CE8B814C77F7637842AC&amp;ply_type=3&amp;policy=3&amp;signature=34b21739362fed85d38d2f2e991780f7&amp;tk=7571587458748974088" TargetMode="External"/><Relationship Id="rId576" Type="http://schemas.openxmlformats.org/officeDocument/2006/relationships/hyperlink" Target="https://www.tiktok.com/@igorpsicologo/video/7520418190598409478" TargetMode="External"/><Relationship Id="rId1165" Type="http://schemas.openxmlformats.org/officeDocument/2006/relationships/hyperlink" Target="https://p77-sign-va.tiktokcdn.com/tos-maliva-avt-0068/b65580219dd212688aa9c5305651ee47~tplv-tiktokx-cropcenter:1080:1080.jpeg?dr=14579&amp;refresh_token=9bbb6515&amp;x-expires=1763172000&amp;x-signature=2qI%2Fzfdzeuu4ERcvrj042dDT4uU%3D&amp;t=4d5b0474&amp;ps=13740610&amp;shp=a5d48078&amp;shcp=81f88b70&amp;idc=my" TargetMode="External"/><Relationship Id="rId575" Type="http://schemas.openxmlformats.org/officeDocument/2006/relationships/hyperlink" Target="https://v16-webapp-prime.tiktok.com/video/tos/useast2a/tos-useast2a-pve-0068/ocRSIFQBQU0IdAPiG9PaiRFECjqJUmo35BE3S/?a=1988&amp;bti=ODszNWYuMDE6&amp;ch=0&amp;cr=3&amp;dr=0&amp;lr=all&amp;cd=0%7C0%7C0%7C&amp;cv=1&amp;br=2048&amp;bt=1024&amp;cs=0&amp;ds=3&amp;ft=I~da4oKyD12NvuA0i.IxREJNglBF-UjNSmopiX&amp;mime_type=video_mp4&amp;qs=0&amp;rc=M2llNjg1aDdpOjg1aTNnM0Bpajt0d245cjV4NDMzNzczM0BfMjJeYmE2Ni4xLzI1Ml9fYSM1aWwvMmQ0M2JhLS1kMTZzcw%3D%3D&amp;btag=e00090000&amp;expire=1763173539&amp;l=202511131024337F554789EF0D09A1F8EB&amp;ply_type=2&amp;policy=2&amp;signature=2852c9a0c806ca7d7d21be3512bac5e0&amp;tk=tt_chain_token" TargetMode="External"/><Relationship Id="rId1166" Type="http://schemas.openxmlformats.org/officeDocument/2006/relationships/hyperlink" Target="https://v16-webapp-prime.tiktok.com/video/tos/alisg/tos-alisg-pve-0037c001/oQzFxhHIjI0AVofeNvQg1TGR2ceLIDLxCA1TF8/?a=1988&amp;bti=ODszNWYuMDE6&amp;ch=0&amp;cr=3&amp;dr=0&amp;lr=all&amp;cd=0%7C0%7C0%7C&amp;cv=1&amp;br=3520&amp;bt=1760&amp;cs=0&amp;ds=3&amp;ft=I~da4oKyD12Nv5A0i.IxRIk_glBF-UjNSbopiX&amp;mime_type=video_mp4&amp;qs=0&amp;rc=OzhpOTQ3OTNlaDZpOWY6aEBpanZtbW05cnNyNjMzODczNEA0YF4uMDM1XjQxNGM2MS8yYSNjL15iMmRjaHBhLS1kMTFzcw%3D%3D&amp;btag=e00090000&amp;expire=1763173529&amp;l=20251113102410CE8B814C77F7637842AC&amp;ply_type=2&amp;policy=2&amp;signature=8ee06fb2a06f416b0bf6a4331b25abdc&amp;tk=tt_chain_token" TargetMode="External"/><Relationship Id="rId574"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1167" Type="http://schemas.openxmlformats.org/officeDocument/2006/relationships/hyperlink" Target="https://www.tiktok.com/@dulcivaldejesussantos/video/7564229439370939669" TargetMode="External"/><Relationship Id="rId573" Type="http://schemas.openxmlformats.org/officeDocument/2006/relationships/hyperlink" Target="https://v16-webapp-prime.tiktok.com/video/tos/useast2a/tos-useast2a-v-27dcd7/okaAlrFB3uBPiIpEAkd8RQ1ICp5EAviUWSqiA/?a=1988&amp;bti=ODszNWYuMDE6&amp;ch=0&amp;cr=0&amp;dr=0&amp;er=0&amp;lr=default&amp;cd=0%7C0%7C0%7C0&amp;br=250&amp;bt=125&amp;ds=5&amp;ft=GNDpcInz7Thm9-UPXq8Zmo&amp;mime_type=audio_mpeg&amp;qs=13&amp;rc=M2Q5ZW85cjV4NDMzNzU8M0BpM2Q5ZW85cjV4NDMzNzU8M0AxZ2ZyMmRrNmJhLS1kMTZzYSMxZ2ZyMmRrNmJhLS1kMTZzcw%3D%3D&amp;btag=e00050000&amp;expire=1763004339&amp;l=202511131024337F554789EF0D09A1F8EB&amp;ply_type=3&amp;policy=3&amp;signature=ce9325685ab98e697c3a69c6e30aa8ac&amp;tk=7571587458748974088" TargetMode="External"/><Relationship Id="rId1168" Type="http://schemas.openxmlformats.org/officeDocument/2006/relationships/hyperlink" Target="https://p16-sign-va.tiktokcdn.com/tos-maliva-avt-0068/52b60386baa9e096d0cc31a6704de5c5~tplv-tiktokx-cropcenter:100:100.jpeg?dr=14579&amp;refresh_token=3538c68b&amp;x-expires=1763172000&amp;x-signature=QLlrqy1BD1XD7PDDI57ypSaqogU%3D&amp;t=4d5b0474&amp;ps=13740610&amp;shp=a5d48078&amp;shcp=81f88b70&amp;idc=my" TargetMode="External"/><Relationship Id="rId129" Type="http://schemas.openxmlformats.org/officeDocument/2006/relationships/hyperlink" Target="https://v16-webapp-prime.tiktok.com/video/tos/useast2a/tos-useast2a-v-27dcd7/4fb18f6ddca44b33b365c1a851456c14/?a=1988&amp;bti=ODszNWYuMDE6&amp;ch=0&amp;cr=0&amp;dr=0&amp;er=0&amp;lr=default&amp;cd=0%7C0%7C0%7C0&amp;br=252&amp;bt=126&amp;ds=5&amp;ft=GNDpcInz7ThEY-UPXq8Zmo&amp;mime_type=video_mp4&amp;qs=13&amp;rc=ajNkc2Y6ZnJlPDMzNzU8M0BpajNkc2Y6ZnJlPDMzNzU8M0BvMDZkcjQwYWdgLS1kMTZzYSNvMDZkcjQwYWdgLS1kMTZzcw%3D%3D&amp;btag=e00048000&amp;expire=1763004439&amp;l=202511131026218DEF8CE7185C8F9E5844&amp;ply_type=3&amp;policy=3&amp;signature=caafc35578a15a1fa7662fa701016f36&amp;tk=7571587458748974088" TargetMode="External"/><Relationship Id="rId128" Type="http://schemas.openxmlformats.org/officeDocument/2006/relationships/hyperlink" Target="https://p16-sign-va.tiktokcdn.com/tos-maliva-avt-0068/41d2e0effe06cb8a5f52e9f24371109a~tplv-tiktokx-cropcenter:100:100.jpeg?dr=14579&amp;refresh_token=344a1b24&amp;x-expires=1763172000&amp;x-signature=wTP8wPgC3bnnTkg0r4wuNVpnl5o%3D&amp;t=4d5b0474&amp;ps=13740610&amp;shp=a5d48078&amp;shcp=81f88b70&amp;idc=my" TargetMode="External"/><Relationship Id="rId127" Type="http://schemas.openxmlformats.org/officeDocument/2006/relationships/hyperlink" Target="https://www.tiktok.com/@karen_abreuu/video/7428337289136229637" TargetMode="External"/><Relationship Id="rId126" Type="http://schemas.openxmlformats.org/officeDocument/2006/relationships/hyperlink" Target="https://v16-webapp-prime.tiktok.com/video/tos/useast2a/tos-useast2a-pve-0068/oQFlAexiGCxOLnVIRbIFYeg6LCSRdgWgoTjeJA/?a=1988&amp;bti=ODszNWYuMDE6&amp;ch=0&amp;cr=3&amp;dr=0&amp;lr=all&amp;cd=0%7C0%7C0%7C&amp;cv=1&amp;br=906&amp;bt=453&amp;cs=0&amp;ds=3&amp;ft=-Csk_mrMPD12N8hopd-Ux~v2bY6e3wv251cAp&amp;mime_type=video_mp4&amp;qs=0&amp;rc=Z2hoZTg3NWQ0NWlnaTg0NEBpM2ZvcHQ5cmRmdjMzNzczM0A0XzY2YF9eNWMxMDMtYDIuYSNgXzEwMmQ0L19gLS1kMTZzcw%3D%3D&amp;btag=e000b8000&amp;expire=1763173385&amp;l=202511131022406C90E0DA9AAAC98C2302&amp;ply_type=2&amp;policy=2&amp;signature=9e7240e06ef32345821e88c18cdac982&amp;tk=tt_chain_token" TargetMode="External"/><Relationship Id="rId1190" Type="http://schemas.openxmlformats.org/officeDocument/2006/relationships/hyperlink" Target="https://p16-sign-va.tiktokcdn.com/tos-maliva-avt-0068/63f6fa7e4cb74129badf2a29bc39db27~tplv-tiktokx-cropcenter:1080:1080.jpeg?dr=14579&amp;refresh_token=9781f0db&amp;x-expires=1763172000&amp;x-signature=CE5RiJKbxgTIeS2usQkDXsApsN4%3D&amp;t=4d5b0474&amp;ps=13740610&amp;shp=a5d48078&amp;shcp=81f88b70&amp;idc=my" TargetMode="External"/><Relationship Id="rId1191" Type="http://schemas.openxmlformats.org/officeDocument/2006/relationships/hyperlink" Target="https://v16-webapp-prime.tiktok.com/video/tos/maliva/tos-maliva-ve-0068c801-us/oAWpHfAIkzx5qwCptoGmAFP1ItndlQgho7UB1Q/?a=1988&amp;bti=ODszNWYuMDE6&amp;ch=0&amp;cr=3&amp;dr=0&amp;lr=all&amp;cd=0%7C0%7C0%7C&amp;cv=1&amp;br=1760&amp;bt=880&amp;cs=0&amp;ds=3&amp;ft=I~da4oKyD12Nv5A0i.IxRIk_glBF-UjNSbopiX&amp;mime_type=video_mp4&amp;qs=0&amp;rc=Njc7aTU4OWllM2dlaWk2M0Bpajo2czo6ZmhlZzMzNzczM0BhYzI0YV41NTYxNGBgYjBhYSNoX2pmcjRvNl9gLS1kMTZzcw%3D%3D&amp;btag=e00088000&amp;expire=1763173506&amp;l=20251113102410CE8B814C77F7637842AC&amp;ply_type=2&amp;policy=2&amp;signature=b27ae1904f756418ae6c907683b15c7e&amp;tk=tt_chain_token" TargetMode="External"/><Relationship Id="rId1192" Type="http://schemas.openxmlformats.org/officeDocument/2006/relationships/hyperlink" Target="https://www.tiktok.com/@lutzpodcastdesativado/video/7158107445657668870" TargetMode="External"/><Relationship Id="rId1193" Type="http://schemas.openxmlformats.org/officeDocument/2006/relationships/hyperlink" Target="https://p16-sign-va.tiktokcdn.com/tos-maliva-avt-0068/1c71a0228c5bad5aadc1820539c510e2~tplv-tiktokx-cropcenter:100:100.jpeg?dr=14579&amp;refresh_token=a7d3e309&amp;x-expires=1763172000&amp;x-signature=0dCgZfsTo1JDiynzLEEbApEgTwk%3D&amp;t=4d5b0474&amp;ps=13740610&amp;shp=a5d48078&amp;shcp=81f88b70&amp;idc=my" TargetMode="External"/><Relationship Id="rId121" Type="http://schemas.openxmlformats.org/officeDocument/2006/relationships/hyperlink" Target="https://v16-webapp-prime.tiktok.com/video/tos/alisg/tos-alisg-pve-0037c001/oU7QtT63EIEgPPt60UZiBgBST6idQFVo6i6Aj/?a=1988&amp;bti=ODszNWYuMDE6&amp;ch=0&amp;cr=3&amp;dr=0&amp;lr=all&amp;cd=0%7C0%7C0%7C&amp;cv=1&amp;br=1394&amp;bt=697&amp;cs=0&amp;ds=3&amp;ft=-Csk_mrMPD12NE.opd-UxG4vXY6e3wv25McAp&amp;mime_type=video_mp4&amp;qs=0&amp;rc=ODZkPDloODpmNzdmaGZlOUBpM2lwOnE5cnRobzMzNzczM0BgXjMvNDAuNS0xX141M2NjYSNxbmFuMmQ0NF5gLS1kMTZzcw%3D%3D&amp;btag=e00090000&amp;expire=1763173598&amp;l=20251113102536F89EBD83B531C49CD72A&amp;ply_type=2&amp;policy=2&amp;signature=d02ba98621dd9e9d9129e8769f5a39c1&amp;tk=tt_chain_token" TargetMode="External"/><Relationship Id="rId1194" Type="http://schemas.openxmlformats.org/officeDocument/2006/relationships/hyperlink" Target="https://v16-webapp-prime.tiktok.com/video/tos/useast2a/tos-useast2a-v-27dcd7/oIoeuUBfESJJAGA5KbcwLE3plbAcHnlqCADQCB/?a=1988&amp;bti=ODszNWYuMDE6&amp;ch=0&amp;cr=0&amp;dr=0&amp;er=0&amp;lr=default&amp;cd=0%7C0%7C0%7C0&amp;br=250&amp;bt=125&amp;ds=5&amp;ft=GNDpcInz7ThiV-UPXq8Zmo&amp;mime_type=audio_mpeg&amp;qs=13&amp;rc=MzttM2g6ZmhxbjMzNzU8M0BpMzttM2g6ZmhxbjMzNzU8M0Brc3JgcjRfMDJgLS1kMTZzYSNrc3JgcjRfMDJgLS1kMTZzcw%3D%3D&amp;btag=e00048000&amp;expire=1763004273&amp;l=2025111310235634FE9FF2AA2A079ADB1D&amp;ply_type=3&amp;policy=3&amp;signature=864ecb5143e7f2db8d437210f1cec192&amp;tk=7571587458748974088" TargetMode="External"/><Relationship Id="rId120" Type="http://schemas.openxmlformats.org/officeDocument/2006/relationships/hyperlink" Target="https://p77-sg.tiktokcdn.com/aweme/720x720/tos-alisg-v-2774/edbd178cb6ba48de855388c2538a9bda.jpeg" TargetMode="External"/><Relationship Id="rId1195" Type="http://schemas.openxmlformats.org/officeDocument/2006/relationships/hyperlink" Target="https://p77-sign-va.tiktokcdn.com/tos-maliva-avt-0068/1c71a0228c5bad5aadc1820539c510e2~tplv-tiktokx-cropcenter:1080:1080.jpeg?dr=14579&amp;refresh_token=96d1f16f&amp;x-expires=1763172000&amp;x-signature=uyq1wmI0BZHRL5THz3NlDkM8%2FGk%3D&amp;t=4d5b0474&amp;ps=13740610&amp;shp=a5d48078&amp;shcp=81f88b70&amp;idc=my" TargetMode="External"/><Relationship Id="rId1196" Type="http://schemas.openxmlformats.org/officeDocument/2006/relationships/hyperlink" Target="https://webapp-va.tiktok.com/7129ed9d46c20a08d9fa31db6f59f2b9/6917e461/kmoat/mps/logo/v2/r/p/v09044g40000ck5n23jc77u28lj2vc50/ec1c5002857d4f33aa1101f07b548272/9b64769a7bf6bf1162013774c6fa0561/mp4/main.mp4?a=1988&amp;bti=ODszNWYuMDE6&amp;ch=0&amp;cr=3&amp;dr=0&amp;lr=all&amp;cd=0%7C0%7C0%7C&amp;cv=1&amp;br=0&amp;bt=0&amp;cs=0&amp;ds=3&amp;eid=1286&amp;ft=bLZkJmrMPD12N3Yopd-Ux24FaY6e3wv25WcAp&amp;mime_type=video_mp4&amp;qs=0&amp;rc=cnF8b2hsc2d3SkBwaHIxaDFybndmNTU3ZTM0NGQ2aWc4NTNmZkBpM2Y1bzU6ZjZxbjMzNzczM0BjRl5Nc3FePmJKYSNvYF90aHFmOiM0NTI0Yy0uXjAxNDUtMi5iYSMyc2c1cjRnLzJgLS1kMTZzcw%3D%3D&amp;btag=e00088000&amp;definition=720p&amp;du=38&amp;item_id=7281038234040192262&amp;l=2025111310235634FE9FF2AA2A079ADB1D&amp;logo_type=tiktok_m&amp;ply_type=2&amp;policy=eyJ2bSI6MiwiY2siOiJ0dF9jaGFpbl90b2tlbiJ9&amp;user_text=tdahabitos" TargetMode="External"/><Relationship Id="rId1197" Type="http://schemas.openxmlformats.org/officeDocument/2006/relationships/hyperlink" Target="https://www.tiktok.com/@tdahabitos/video/7281038234040192262" TargetMode="External"/><Relationship Id="rId125" Type="http://schemas.openxmlformats.org/officeDocument/2006/relationships/hyperlink" Target="https://p77-sign-va.tiktokcdn.com/tos-maliva-avt-0068/7326699641977634821~tplv-tiktokx-cropcenter:1080:1080.jpeg?dr=14579&amp;refresh_token=26b797d8&amp;x-expires=1763172000&amp;x-signature=u%2BfrypIxucBbf7g5agsBgrDIrJY%3D&amp;t=4d5b0474&amp;ps=13740610&amp;shp=a5d48078&amp;shcp=81f88b70&amp;idc=my" TargetMode="External"/><Relationship Id="rId1198" Type="http://schemas.openxmlformats.org/officeDocument/2006/relationships/hyperlink" Target="https://p77-sign-va.tiktokcdn.com/tos-maliva-avt-0068/4949bb024f91e1b4bc8f1b459a9fc215~tplv-tiktokx-cropcenter:100:100.jpeg?dr=14579&amp;refresh_token=15498380&amp;x-expires=1763172000&amp;x-signature=WJSwMjt%2B9R1nuT2bhLsz2xZQs1g%3D&amp;t=4d5b0474&amp;ps=13740610&amp;shp=a5d48078&amp;shcp=81f88b70&amp;idc=my" TargetMode="External"/><Relationship Id="rId124" Type="http://schemas.openxmlformats.org/officeDocument/2006/relationships/hyperlink" Target="https://v16-webapp-prime.tiktok.com/video/tos/useast2a/tos-useast2a-v-27dcd7/oEPXWCTcsJAYeEEnAFFfBBQG6wmAFiExJAD6U2/?a=1988&amp;bti=ODszNWYuMDE6&amp;ch=0&amp;cr=0&amp;dr=0&amp;er=0&amp;lr=default&amp;cd=0%7C0%7C0%7C0&amp;br=250&amp;bt=125&amp;ds=5&amp;ft=GNDpcInz7ThaK-UPXq8Zmo&amp;mime_type=audio_mpeg&amp;qs=13&amp;rc=M3RzPHc5cndmdjMzNzU8M0BpM3RzPHc5cndmdjMzNzU8M0BlNHNgMmRrL19gLS1kMTZzYSNlNHNgMmRrL19gLS1kMTZzcw%3D%3D&amp;btag=e00078000&amp;expire=1763004185&amp;l=202511131022406C90E0DA9AAAC98C2302&amp;ply_type=3&amp;policy=3&amp;signature=88c8e91a37392abbdb84eb56fab5eecf&amp;tk=7571587458748974088" TargetMode="External"/><Relationship Id="rId1199" Type="http://schemas.openxmlformats.org/officeDocument/2006/relationships/hyperlink" Target="https://v16-webapp-prime.tiktok.com/video/tos/useast2a/tos-useast2a-v-27dcd7/o8fQ48vKiAKmMJAQAVcQJlEkfFyWQG6fWIfZAL/?a=1988&amp;bti=ODszNWYuMDE6&amp;ch=0&amp;cr=0&amp;dr=0&amp;er=0&amp;lr=default&amp;cd=0%7C0%7C0%7C0&amp;br=250&amp;bt=125&amp;ds=5&amp;ft=GNDpcInz7Th4K-UPXq8Zmo&amp;mime_type=audio_mpeg&amp;qs=13&amp;rc=MzVvbW05cnZlcDMzNzU8M0BpMzVvbW05cnZlcDMzNzU8M0A0ZXJlMmRrc21gLS1kMTZzYSM0ZXJlMmRrc21gLS1kMTZzcw%3D%3D&amp;btag=e00050000&amp;expire=1763004230&amp;l=2025111310220790E74D25ACF9796D8D06&amp;ply_type=3&amp;policy=3&amp;signature=8d1eab4f2b2abe2268bbde6ddc4bcf68&amp;tk=7571587458748974088" TargetMode="External"/><Relationship Id="rId123" Type="http://schemas.openxmlformats.org/officeDocument/2006/relationships/hyperlink" Target="https://p16-sign-va.tiktokcdn.com/tos-maliva-avt-0068/7326699641977634821~tplv-tiktokx-cropcenter:100:100.jpeg?dr=14579&amp;refresh_token=e5674d72&amp;x-expires=1763172000&amp;x-signature=iqxvKHUZr51LNXmkpKZO4b2%2FT3o%3D&amp;t=4d5b0474&amp;ps=13740610&amp;shp=a5d48078&amp;shcp=81f88b70&amp;idc=my" TargetMode="External"/><Relationship Id="rId122" Type="http://schemas.openxmlformats.org/officeDocument/2006/relationships/hyperlink" Target="https://www.tiktok.com/@visaopsicologia/video/7301711830014102790" TargetMode="External"/><Relationship Id="rId118" Type="http://schemas.openxmlformats.org/officeDocument/2006/relationships/hyperlink" Target="https://p77-sign-va.tiktokcdn.com/tos-maliva-avt-0068/a6997ba41f00721a265948498ce03461~tplv-tiktokx-cropcenter:100:100.jpeg?dr=14579&amp;refresh_token=ee5ec38f&amp;x-expires=1763172000&amp;x-signature=iFtx6jhhjUSvkTYX2Nm8FDfgLc8%3D&amp;t=4d5b0474&amp;ps=13740610&amp;shp=a5d48078&amp;shcp=81f88b70&amp;idc=my" TargetMode="External"/><Relationship Id="rId117" Type="http://schemas.openxmlformats.org/officeDocument/2006/relationships/hyperlink" Target="https://www.tiktok.com/@vibes.brasil1/video/7508413469335588152" TargetMode="External"/><Relationship Id="rId116" Type="http://schemas.openxmlformats.org/officeDocument/2006/relationships/hyperlink" Target="https://v16-webapp-prime.tiktok.com/video/tos/useast2a/tos-useast2a-pve-0068/ocfZzbqABQBEhDQcv2DwJoEmMIH2MPR4zFfEAd/?a=1988&amp;bti=ODszNWYuMDE6&amp;ch=0&amp;cr=3&amp;dr=0&amp;lr=all&amp;cd=0%7C0%7C0%7C&amp;cv=1&amp;br=1726&amp;bt=863&amp;cs=0&amp;ds=3&amp;ft=-Csk_mrMPD12Nn.opd-UxJTFGY6e3wv25bcAp&amp;mime_type=video_mp4&amp;qs=0&amp;rc=aDhnZmRnZztkN2loOjZlZUBpanJsNnE5cmRtMzMzNzczM0AwNTFgMmBeXjYxNjJfNi9jYSNjMGlrMmRrb21hLS1kMTZzcw%3D%3D&amp;btag=e00090000&amp;expire=1763173615&amp;l=2025111310254344385823DD6566920070&amp;ply_type=2&amp;policy=2&amp;signature=4a5a7eec3e0ea8f66b79956751464892&amp;tk=tt_chain_token" TargetMode="External"/><Relationship Id="rId115" Type="http://schemas.openxmlformats.org/officeDocument/2006/relationships/hyperlink" Target="https://p77-sign-va.tiktokcdn.com/tos-maliva-avt-0068/fb5d8971b8ddf2b63242e238ef781ec7~tplv-tiktokx-cropcenter:1080:1080.jpeg?dr=14579&amp;refresh_token=56763b80&amp;x-expires=1763172000&amp;x-signature=OOpAYO47pj5LLtea%2B5KKEyOh3wU%3D&amp;t=4d5b0474&amp;ps=13740610&amp;shp=a5d48078&amp;shcp=81f88b70&amp;idc=my" TargetMode="External"/><Relationship Id="rId599" Type="http://schemas.openxmlformats.org/officeDocument/2006/relationships/hyperlink" Target="https://p3-sg.tiktokcdn.com/aweme/720x720/tiktok-obj/7384014270524803857.jpeg" TargetMode="External"/><Relationship Id="rId1180" Type="http://schemas.openxmlformats.org/officeDocument/2006/relationships/hyperlink" Target="https://p16-sign-sg.tiktokcdn.com/tos-alisg-v-2774/ooWABEYzLKBiMAkUKAAzrEZZIMj4VAciiYimP~720x720.jpeg?lk3s=08d74b56&amp;x-expires=1763022170&amp;x-signature=fjHlUWJlDzsauwxBSBnozoVtp1c%3D" TargetMode="External"/><Relationship Id="rId1181" Type="http://schemas.openxmlformats.org/officeDocument/2006/relationships/hyperlink" Target="https://v16-webapp-prime.tiktok.com/video/tos/useast2a/tos-useast2a-pve-0068/ok5AZfQ5fAIWBsTyQDRlr9BWzEBJFERAdJCEiz/?a=1988&amp;bti=ODszNWYuMDE6&amp;ch=0&amp;cr=3&amp;dr=0&amp;lr=all&amp;cd=0%7C0%7C0%7C&amp;cv=1&amp;br=1560&amp;bt=780&amp;cs=0&amp;ds=3&amp;ft=-Csk_mrMPD12N_hopd-Ux315hY6e3wv25dcAp&amp;mime_type=video_mp4&amp;qs=0&amp;rc=ZGg3ZWk5NzlpNjhnNDczaEBpM3lsZ3M5cjk8cTMzNzczM0AyNGM2LjMyNS8xYjExM19iYSNfLWNrMmRjamZgLS1kMTZzcw%3D%3D&amp;btag=e000b8000&amp;expire=1763173389&amp;l=20251113102250DC012CE1E68AEAAA2B86&amp;ply_type=2&amp;policy=2&amp;signature=39a28807e356f60f57cdbeb6ea6942cc&amp;tk=tt_chain_token" TargetMode="External"/><Relationship Id="rId119" Type="http://schemas.openxmlformats.org/officeDocument/2006/relationships/hyperlink" Target="https://sf16-ies-music-sg.tiktokcdn.com/obj/tos-alisg-ve-2774/fa032b0f59bd43bd9845381982779e60" TargetMode="External"/><Relationship Id="rId1182" Type="http://schemas.openxmlformats.org/officeDocument/2006/relationships/hyperlink" Target="https://www.tiktok.com/@gabijesus274/video/7342164411433487622" TargetMode="External"/><Relationship Id="rId110" Type="http://schemas.openxmlformats.org/officeDocument/2006/relationships/hyperlink" Target="https://p16-sign-va.tiktokcdn.com/tos-maliva-avt-0068/4842f829bdaf28a70fa2e96759a81700~tplv-tiktokx-cropcenter:1080:1080.jpeg?dr=14579&amp;refresh_token=2319a2ca&amp;x-expires=1763172000&amp;x-signature=7j%2BTbAwNNdJCYwwynFiAXSJIb1s%3D&amp;t=4d5b0474&amp;ps=13740610&amp;shp=a5d48078&amp;shcp=81f88b70&amp;idc=my" TargetMode="External"/><Relationship Id="rId594" Type="http://schemas.openxmlformats.org/officeDocument/2006/relationships/hyperlink" Target="https://p16-sign-va.tiktokcdn.com/tos-maliva-avt-0068/ebc42eb348fcf29a09bcbf1c40faef80~tplv-tiktokx-cropcenter:1080:1080.jpeg?dr=14579&amp;refresh_token=c851a96f&amp;x-expires=1763172000&amp;x-signature=xRYUydVyQywq7mRIU3wM5mAZkfw%3D&amp;t=4d5b0474&amp;ps=13740610&amp;shp=a5d48078&amp;shcp=81f88b70&amp;idc=my" TargetMode="External"/><Relationship Id="rId1183" Type="http://schemas.openxmlformats.org/officeDocument/2006/relationships/hyperlink" Target="https://p77-sign-va.tiktokcdn.com/tos-maliva-avt-0068/cc4c7490dee638829f007d6b41ea9da8~tplv-tiktokx-cropcenter:100:100.jpeg?dr=14579&amp;refresh_token=dd567fca&amp;x-expires=1763172000&amp;x-signature=mW2d5cmnES7ij%2BZ%2BBegOCnZ8pAU%3D&amp;t=4d5b0474&amp;ps=13740610&amp;shp=a5d48078&amp;shcp=81f88b70&amp;idc=my" TargetMode="External"/><Relationship Id="rId593" Type="http://schemas.openxmlformats.org/officeDocument/2006/relationships/hyperlink" Target="https://v16-webapp-prime.tiktok.com/video/tos/useast2a/tos-useast2a-v-27dcd7/ooQAQSy8Xi0QQ9oTveuKfAWokATMgFgCEZ9eyC/?a=1988&amp;bti=ODszNWYuMDE6&amp;ch=0&amp;cr=0&amp;dr=0&amp;er=0&amp;lr=default&amp;cd=0%7C0%7C0%7C0&amp;br=250&amp;bt=125&amp;ds=5&amp;ft=GNDpcInz7ThNV-UPXq8Zmo&amp;mime_type=audio_mpeg&amp;qs=13&amp;rc=andqeHE5cjhlbzMzNzU8M0BpandqeHE5cjhlbzMzNzU8M0AxYC1rMmRzbmJgLS1kMTZzYSMxYC1rMmRzbmJgLS1kMTZzcw%3D%3D&amp;btag=e00078000&amp;expire=1763004211&amp;l=20251113102306B19E1F5BC676BF8CC05E&amp;ply_type=3&amp;policy=3&amp;signature=5ca7a363d2fc42a01154480310bad9a8&amp;tk=7571587458748974088" TargetMode="External"/><Relationship Id="rId1184" Type="http://schemas.openxmlformats.org/officeDocument/2006/relationships/hyperlink" Target="https://v16-webapp-prime.tiktok.com/video/tos/useast2a/tos-useast2a-v-27dcd7/oUwXoAAT0Cglz5QXA9iio9BAKSBEtFAEEkftk6/?a=1988&amp;bti=ODszNWYuMDE6&amp;ch=0&amp;cr=0&amp;dr=0&amp;er=0&amp;lr=default&amp;cd=0%7C0%7C0%7C0&amp;br=250&amp;bt=125&amp;ds=5&amp;ft=GNDpcInz7ThMV-UPXq8Zmo&amp;mime_type=audio_mpeg&amp;qs=13&amp;rc=anM1Znc5cjNvNTMzNzU8M0BpanM1Znc5cjNvNTMzNzU8M0A2by9mMmRjcV9hLS1kMTZzYSM2by9mMmRjcV9hLS1kMTZzcw%3D%3D&amp;btag=e00048000&amp;expire=1763004259&amp;l=2025111310232002E5437D242CEA8409F2&amp;ply_type=3&amp;policy=3&amp;signature=e6535cbe79593bf5c583db6505c7d566&amp;tk=7571587458748974088" TargetMode="External"/><Relationship Id="rId592" Type="http://schemas.openxmlformats.org/officeDocument/2006/relationships/hyperlink" Target="https://p16-sign-va.tiktokcdn.com/tos-maliva-avt-0068/ebc42eb348fcf29a09bcbf1c40faef80~tplv-tiktokx-cropcenter:100:100.jpeg?dr=14579&amp;refresh_token=2bdf1117&amp;x-expires=1763172000&amp;x-signature=qWkWO%2FiOPhNCyjf1oP1wgqJ%2BWqE%3D&amp;t=4d5b0474&amp;ps=13740610&amp;shp=a5d48078&amp;shcp=81f88b70&amp;idc=my" TargetMode="External"/><Relationship Id="rId1185" Type="http://schemas.openxmlformats.org/officeDocument/2006/relationships/hyperlink" Target="https://p77-sign-va.tiktokcdn.com/tos-maliva-avt-0068/cc4c7490dee638829f007d6b41ea9da8~tplv-tiktokx-cropcenter:1080:1080.jpeg?dr=14579&amp;refresh_token=db10d475&amp;x-expires=1763172000&amp;x-signature=3BsWYoBJar78U4h0SDBt6bMuEkc%3D&amp;t=4d5b0474&amp;ps=13740610&amp;shp=a5d48078&amp;shcp=81f88b70&amp;idc=my" TargetMode="External"/><Relationship Id="rId591" Type="http://schemas.openxmlformats.org/officeDocument/2006/relationships/hyperlink" Target="https://www.tiktok.com/@doutordiamba/video/7365983740050361605" TargetMode="External"/><Relationship Id="rId1186" Type="http://schemas.openxmlformats.org/officeDocument/2006/relationships/hyperlink" Target="https://v16-webapp-prime.tiktok.com/video/tos/alisg/tos-alisg-ve-37c813-sg/oIIrwSRAr1fz85svGCQcNLLkwMgCfgeTIDEgg7/?a=1988&amp;bti=ODszNWYuMDE6&amp;ch=0&amp;cr=3&amp;dr=0&amp;lr=all&amp;cd=0%7C0%7C0%7C&amp;cv=1&amp;br=1726&amp;bt=863&amp;cs=0&amp;ds=3&amp;ft=-Csk_mrMPD12N9Yopd-Ux315hY6e3wv25dcAp&amp;mime_type=video_mp4&amp;qs=0&amp;rc=NmhoPGhoOzRkZGQ1NmdlPEBpMzl4aG45cjpvNTMzNzgzM0AxLTIyYTVjNS4xNS00M14tYSNvcC5yMmQ0cF9hLS1kLzZzcw%3D%3D&amp;btag=e00088000&amp;expire=1763173459&amp;l=2025111310232002E5437D242CEA8409F2&amp;ply_type=2&amp;policy=2&amp;signature=c6e8419e486a5c4bd22f0105b9a9c670&amp;tk=tt_chain_token" TargetMode="External"/><Relationship Id="rId114" Type="http://schemas.openxmlformats.org/officeDocument/2006/relationships/hyperlink" Target="https://v16-webapp-prime.tiktok.com/video/tos/useast2a/tos-useast2a-v-27dcd7/oYZ8Ik1KoBBlPqBcFZixgE0QoK1ooAGGMrfFzi/?a=1988&amp;bti=ODszNWYuMDE6&amp;ch=0&amp;cr=0&amp;dr=0&amp;er=0&amp;lr=default&amp;cd=0%7C0%7C0%7C0&amp;br=250&amp;bt=125&amp;ft=GNDpcInz7ThGD-UPXq8Zmo&amp;mime_type=audio_mpeg&amp;qs=6&amp;rc=Mzo2aGdmNmc2NDNpNTg6aUBpajtpZGs5cm5tMzMzNzU8M0A0YDEzMi0yXjYxNC8zYF8wYSNuX2kyMmRjcG1hLS1kMTZzcw%3D%3D&amp;btag=e00090000&amp;expire=1763004415&amp;l=2025111310254344385823DD6566920070&amp;ply_type=3&amp;policy=3&amp;signature=77e9938f64f3f1b03e5210d3b02cbc82&amp;tk=7571587458748974088" TargetMode="External"/><Relationship Id="rId598" Type="http://schemas.openxmlformats.org/officeDocument/2006/relationships/hyperlink" Target="https://v16-webapp-prime.tiktok.com/video/tos/useast2a/tos-useast2a-v-27dcd7/oMmCEikUCDEceQAAZ6ABfF9xvBJDXExGJuo8sA/?a=1988&amp;bti=ODszNWYuMDE6&amp;ch=0&amp;cr=0&amp;dr=0&amp;er=0&amp;lr=default&amp;cd=0%7C0%7C0%7C0&amp;br=250&amp;bt=125&amp;ds=5&amp;ft=GNDpcInz7Th8Y-UPXq8Zmo&amp;mime_type=audio_mpeg&amp;qs=13&amp;rc=ajdzcHI5cm9odDMzNzU8M0BpajdzcHI5cm9odDMzNzU8M0BgcTRlMmRza2VgLS1kMTZzYSNgcTRlMmRza2VgLS1kMTZzcw%3D%3D&amp;btag=e00050000&amp;expire=1763004443&amp;l=20251113102607CD4452BD4E07158E0822&amp;ply_type=3&amp;policy=3&amp;signature=80b394aeb77cf19dca86bc448b756d98&amp;tk=7571587458748974088" TargetMode="External"/><Relationship Id="rId1187" Type="http://schemas.openxmlformats.org/officeDocument/2006/relationships/hyperlink" Target="https://www.tiktok.com/@patriciacandidopsi/video/7536596381553659192" TargetMode="External"/><Relationship Id="rId113" Type="http://schemas.openxmlformats.org/officeDocument/2006/relationships/hyperlink" Target="https://p16-sign-va.tiktokcdn.com/tos-maliva-avt-0068/fb5d8971b8ddf2b63242e238ef781ec7~tplv-tiktokx-cropcenter:100:100.jpeg?dr=14579&amp;refresh_token=1031174e&amp;x-expires=1763172000&amp;x-signature=VwITcIqm9MDKaETCXd2rW%2BRpUEQ%3D&amp;t=4d5b0474&amp;ps=13740610&amp;shp=a5d48078&amp;shcp=81f88b70&amp;idc=my" TargetMode="External"/><Relationship Id="rId597"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188" Type="http://schemas.openxmlformats.org/officeDocument/2006/relationships/hyperlink" Target="https://p16-sign-va.tiktokcdn.com/tos-maliva-avt-0068/63f6fa7e4cb74129badf2a29bc39db27~tplv-tiktokx-cropcenter:100:100.jpeg?dr=14579&amp;refresh_token=898bb217&amp;x-expires=1763172000&amp;x-signature=FBWaM3B0Beq4Bj81%2BDb2%2BQOPYoU%3D&amp;t=4d5b0474&amp;ps=13740610&amp;shp=a5d48078&amp;shcp=81f88b70&amp;idc=my" TargetMode="External"/><Relationship Id="rId112" Type="http://schemas.openxmlformats.org/officeDocument/2006/relationships/hyperlink" Target="https://www.tiktok.com/@draanabeatriz11/video/7521123458407795974" TargetMode="External"/><Relationship Id="rId596" Type="http://schemas.openxmlformats.org/officeDocument/2006/relationships/hyperlink" Target="https://www.tiktok.com/@psicologo.mateus/video/7303920572528987397" TargetMode="External"/><Relationship Id="rId1189" Type="http://schemas.openxmlformats.org/officeDocument/2006/relationships/hyperlink" Target="https://v16-webapp-prime.tiktok.com/video/tos/useast2a/tos-useast2a-v-27dcd7/ogqbroUZtdjCeVxas6DeB8VUJBbn4QTJaQbKEw/?a=1988&amp;bti=ODszNWYuMDE6&amp;ch=0&amp;cr=0&amp;dr=0&amp;er=0&amp;lr=default&amp;cd=0%7C0%7C0%7C0&amp;br=250&amp;bt=125&amp;ft=GNDpcInz7ThN9-UPXq8Zmo&amp;mime_type=audio_mpeg&amp;qs=6&amp;rc=ZGRlNjQ0ODY0Zzs8ZTQ2NEBpamZ0NTo6ZnBlZzMzNzU8M0BgNTJeY15hNl4xMzZgMGEwYSM0L2xjcjRfNl9gLS1kMTZzcw%3D%3D&amp;btag=e00088000&amp;expire=1763004305&amp;l=20251113102410CE8B814C77F7637842AC&amp;ply_type=3&amp;policy=3&amp;signature=52192ab515ee5e8f28fe3e6b0263f5fe&amp;tk=7571587458748974088" TargetMode="External"/><Relationship Id="rId111" Type="http://schemas.openxmlformats.org/officeDocument/2006/relationships/hyperlink" Target="https://v16-webapp-prime.tiktok.com/video/tos/useast2a/tos-useast2a-ve-0068c003/oAdC8piMlIBo1zQALL3of6iX0gEyI9wgkFgDZA/?a=1988&amp;bti=ODszNWYuMDE6&amp;ch=0&amp;cr=3&amp;dr=0&amp;lr=all&amp;cd=0%7C0%7C0%7C&amp;cv=1&amp;br=1810&amp;bt=905&amp;cs=0&amp;ds=3&amp;ft=-Csk_mrMPD12N-copd-Ux7~2bY6e3wv25bcAp&amp;mime_type=video_mp4&amp;qs=0&amp;rc=NGU1OmVmO2lpOGZlaTs2M0Bpajg2eG05cnQ5NDMzNzczM0BeXy8vNjIuNWIxLjYyYGM0YSMybWpfMmRzX2RhLS1kMTZzcw%3D%3D&amp;btag=e00088000&amp;expire=1763173518&amp;l=20251113102424EE0F9FCD2CC2B68BE0E2&amp;ply_type=2&amp;policy=2&amp;signature=846d5bd7af671ab69cb43563ab47a1fd&amp;tk=tt_chain_token" TargetMode="External"/><Relationship Id="rId595" Type="http://schemas.openxmlformats.org/officeDocument/2006/relationships/hyperlink" Target="https://v16-webapp-prime.tiktok.com/video/tos/maliva/tos-maliva-ve-0068c801-us/oIIcEQgkIv7rAtBybiB6vmc4557CfiBokJlRA7/?a=1988&amp;bti=ODszNWYuMDE6&amp;ch=0&amp;cr=3&amp;dr=0&amp;lr=all&amp;cd=0%7C0%7C0%7C&amp;cv=1&amp;br=1012&amp;bt=506&amp;cs=0&amp;ds=3&amp;ft=-Csk_mrMPD12NOYopd-Uxtv5GY6e3wv252cAp&amp;mime_type=video_mp4&amp;qs=0&amp;rc=Zzg6MztlaDZnaTQzaTw4NUBpajlmeHU5cnllbzMzNzczM0BeYy9fMGIxXzUxMi8yY2FeYSNwZzRhMmRrbWJgLS1kMTZzcw%3D%3D&amp;btag=e000b8000&amp;expire=1763173411&amp;l=20251113102306B19E1F5BC676BF8CC05E&amp;ply_type=2&amp;policy=2&amp;signature=787199027eb46c9651ad6313e5b65265&amp;tk=tt_chain_token" TargetMode="External"/><Relationship Id="rId1136" Type="http://schemas.openxmlformats.org/officeDocument/2006/relationships/hyperlink" Target="https://v16-webapp-prime.tiktok.com/video/tos/useast2a/tos-useast2a-ve-0068c002/o8VrcQJDlBOkyJzFEHjzbAINEBfbfW6QJREuFU/?a=1988&amp;bti=ODszNWYuMDE6&amp;ch=0&amp;cr=3&amp;dr=0&amp;lr=all&amp;cd=0%7C0%7C0%7C&amp;cv=1&amp;br=1754&amp;bt=877&amp;cs=0&amp;ds=3&amp;ft=I~da4oKyD12NvOA0i.IxRehNblBF-UjNSMopiX&amp;mime_type=video_mp4&amp;qs=0&amp;rc=Nzs3aDU6NWZkaDVpZjlnaUBpamx5PGw5cm9tbzMzNzczM0AxL18uNGE1NmExLjAxNDJiYSNeNDQwMmQ0aWFgLS1kMTZzcw%3D%3D&amp;btag=e00090000&amp;expire=1763173553&amp;l=20251113102443BFAC5C39F8934C8F8E6A&amp;ply_type=2&amp;policy=2&amp;signature=f12dee3f06387824a71edb01cb53b961&amp;tk=tt_chain_token" TargetMode="External"/><Relationship Id="rId1137" Type="http://schemas.openxmlformats.org/officeDocument/2006/relationships/hyperlink" Target="https://www.tiktok.com/@tdahvibe/video/7303495934254648581" TargetMode="External"/><Relationship Id="rId1138" Type="http://schemas.openxmlformats.org/officeDocument/2006/relationships/hyperlink" Target="https://p16-sign-va.tiktokcdn.com/tos-maliva-avt-0068/377405ce9a41275b9b6f008b78c94af6~tplv-tiktokx-cropcenter:100:100.jpeg?dr=14579&amp;refresh_token=50829d2c&amp;x-expires=1763172000&amp;x-signature=ydWQYLT4x%2BYCFKdIimBTTRzwZxs%3D&amp;t=4d5b0474&amp;ps=13740610&amp;shp=a5d48078&amp;shcp=81f88b70&amp;idc=my" TargetMode="External"/><Relationship Id="rId1139" Type="http://schemas.openxmlformats.org/officeDocument/2006/relationships/hyperlink" Target="https://v16-webapp-prime.tiktok.com/video/tos/alisg/tos-alisg-v-27dcd7/oonAB9fBQEyjJOpU868yACjfLBECNiQAiAAkEg/?a=1988&amp;bti=ODszNWYuMDE6&amp;ch=0&amp;cr=0&amp;dr=0&amp;er=0&amp;lr=default&amp;cd=0%7C0%7C0%7C0&amp;br=250&amp;bt=125&amp;ds=5&amp;ft=GNDpcInz7Th49-UPXq8Zmo&amp;mime_type=audio_mpeg&amp;qs=13&amp;rc=MzZuM2w5cmx4NzMzODU8NEBpMzZuM2w5cmx4NzMzODU8NEBtcTRyMmRjZDJhLS1kMS1zYSNtcTRyMmRjZDJhLS1kMS1zcw%3D%3D&amp;btag=e00050000&amp;expire=1763004360&amp;l=20251113102415EC11E565E652E77F00C9&amp;ply_type=3&amp;policy=3&amp;signature=2d7cbc80b95fc3a41ad7483dbd00446f&amp;tk=7571587458748974088" TargetMode="External"/><Relationship Id="rId547" Type="http://schemas.openxmlformats.org/officeDocument/2006/relationships/hyperlink" Target="https://p16-sign-va.tiktokcdn.com/tos-maliva-avt-0068/53f49a16dabfc9146c2c96cf228775a7~tplv-tiktokx-cropcenter:100:100.jpeg?dr=14579&amp;refresh_token=39f10f75&amp;x-expires=1763172000&amp;x-signature=iIstdHx1fA5Iw6Wpz950dtwbJqU%3D&amp;t=4d5b0474&amp;ps=13740610&amp;shp=a5d48078&amp;shcp=81f88b70&amp;idc=my" TargetMode="External"/><Relationship Id="rId546" Type="http://schemas.openxmlformats.org/officeDocument/2006/relationships/hyperlink" Target="https://www.tiktok.com/@taharibnn/video/7280211496968146181" TargetMode="External"/><Relationship Id="rId545" Type="http://schemas.openxmlformats.org/officeDocument/2006/relationships/hyperlink" Target="https://v16-webapp-prime.tiktok.com/video/tos/maliva/tos-maliva-ve-0068c801-us/oURrVVUzmQJKChBgEBNFe5REIKDgabAi1Qf78Q/?a=1988&amp;bti=ODszNWYuMDE6&amp;ch=0&amp;cr=3&amp;dr=0&amp;lr=all&amp;cd=0%7C0%7C0%7C&amp;br=2542&amp;bt=1271&amp;cs=0&amp;ds=3&amp;ft=I~da4oKyD12NviW0i.IxRHqNglBF-UjNSqopiX&amp;mime_type=video_mp4&amp;qs=0&amp;rc=aWYzZWk5Ozs5NDM6OzozPEBpMztvbGo5cndvcjMzNzgzM0AyMS5iM2IwNWExL14zX2EuYSNpLy0zMmRjNW5gLS1kLzZzcw%3D%3D&amp;btag=e00088000&amp;expire=1763173381&amp;l=202511131022270BBA173F4561DD71A814&amp;ply_type=2&amp;policy=2&amp;signature=87b66cea4f3008537d0bf4f06e4c56a0&amp;tk=tt_chain_token" TargetMode="External"/><Relationship Id="rId544" Type="http://schemas.openxmlformats.org/officeDocument/2006/relationships/hyperlink" Target="https://p16-sg.tiktokcdn.com/aweme/720x720/tos-alisg-v-2774/o0EsdoyBQY2jF4MCzAEdggfA1AAASwtChDWAXv.jpeg" TargetMode="External"/><Relationship Id="rId549" Type="http://schemas.openxmlformats.org/officeDocument/2006/relationships/hyperlink" Target="https://p77-sign-va.tiktokcdn.com/tos-maliva-avt-0068/53f49a16dabfc9146c2c96cf228775a7~tplv-tiktokx-cropcenter:1080:1080.jpeg?dr=14579&amp;refresh_token=c387f4a8&amp;x-expires=1763172000&amp;x-signature=ej7J1g8IwJ6Y2ADbDKVjfORTA7g%3D&amp;t=4d5b0474&amp;ps=13740610&amp;shp=a5d48078&amp;shcp=81f88b70&amp;idc=my" TargetMode="External"/><Relationship Id="rId548" Type="http://schemas.openxmlformats.org/officeDocument/2006/relationships/hyperlink" Target="https://v16-webapp-prime.tiktok.com/video/tos/useast2a/tos-useast2a-v-27dcd7/oUrSlLMk7izQAPU3Buug3uB8I3ilncVkFZAvC/?a=1988&amp;bti=ODszNWYuMDE6&amp;ch=0&amp;cr=0&amp;dr=0&amp;er=0&amp;lr=default&amp;cd=0%7C0%7C0%7C0&amp;br=250&amp;bt=125&amp;ft=GNDpcInz7ThYK-UPXq8Zmo&amp;mime_type=audio_mpeg&amp;qs=6&amp;rc=OWllOzU1ZzYzNzNoMzw4NkBpajdzb3E5cnVyeTMzNzU8M0BhX2MwM2AtX18xNDE1NmFjYSNvbWFpMmRrLjJgLS1kMTZzcw%3D%3D&amp;btag=e000b8000&amp;expire=1763004193&amp;l=20251113102250DC012CE1E68AEAAA2B86&amp;ply_type=3&amp;policy=3&amp;signature=f52bc7ffc061b0d2cac55422cf4688b4&amp;tk=7571587458748974088" TargetMode="External"/><Relationship Id="rId1130" Type="http://schemas.openxmlformats.org/officeDocument/2006/relationships/hyperlink" Target="https://sf16-ies-music-sg.tiktokcdn.com/obj/tos-alisg-ve-2774/5cd3b219beed473dbeff43b537e0bc4d" TargetMode="External"/><Relationship Id="rId1131" Type="http://schemas.openxmlformats.org/officeDocument/2006/relationships/hyperlink" Target="https://p77-sg.tiktokcdn.com/aweme/720x720/tos-alisg-v-2774/66a26eccfd91446180f958f436900c7f.jpeg" TargetMode="External"/><Relationship Id="rId543" Type="http://schemas.openxmlformats.org/officeDocument/2006/relationships/hyperlink" Target="https://sf16-ies-music-sg.tiktokcdn.com/obj/tos-alisg-ve-2774/oMtGUks2DEO0C84dZdQQ8gBifaqoBenktokbZ6" TargetMode="External"/><Relationship Id="rId1132" Type="http://schemas.openxmlformats.org/officeDocument/2006/relationships/hyperlink" Target="https://www.tiktok.com/@altashabilidades.sd/video/7540685593357946168" TargetMode="External"/><Relationship Id="rId542" Type="http://schemas.openxmlformats.org/officeDocument/2006/relationships/hyperlink" Target="https://p77-sign-va.tiktokcdn.com/tos-maliva-avt-0068/f6c9ce0e62719a5be566968f7c4b37c5~tplv-tiktokx-cropcenter:100:100.jpeg?dr=14579&amp;refresh_token=48b36c7a&amp;x-expires=1763172000&amp;x-signature=hmDgxOXW1qEb1KI5lhx%2FXS%2FcUw0%3D&amp;t=4d5b0474&amp;ps=13740610&amp;shp=a5d48078&amp;shcp=81f88b70&amp;idc=my" TargetMode="External"/><Relationship Id="rId1133" Type="http://schemas.openxmlformats.org/officeDocument/2006/relationships/hyperlink" Target="https://p77-sign-va.tiktokcdn.com/tos-maliva-avt-0068/e59283bc7cddea9e513758e2827eb4b6~tplv-tiktokx-cropcenter:100:100.jpeg?dr=14579&amp;refresh_token=28e748c6&amp;x-expires=1763172000&amp;x-signature=1J4XkU%2F3nPQlHc4evU3lMevU8EI%3D&amp;t=4d5b0474&amp;ps=13740610&amp;shp=a5d48078&amp;shcp=81f88b70&amp;idc=my" TargetMode="External"/><Relationship Id="rId541" Type="http://schemas.openxmlformats.org/officeDocument/2006/relationships/hyperlink" Target="https://www.tiktok.com/@tdah.na.real/video/7527809174118386949" TargetMode="External"/><Relationship Id="rId1134" Type="http://schemas.openxmlformats.org/officeDocument/2006/relationships/hyperlink" Target="https://v16-webapp-prime.tiktok.com/video/tos/useast2a/tos-useast2a-v-27dcd7/oYffbOjCBABEA2QXmTDrJlEuWEAr6OJIzFDUB6/?a=1988&amp;bti=ODszNWYuMDE6&amp;ch=0&amp;cr=0&amp;dr=0&amp;er=0&amp;lr=default&amp;cd=0%7C0%7C0%7C0&amp;br=250&amp;bt=125&amp;ds=5&amp;ft=GNDpcInz7Th29-UPXq8Zmo&amp;mime_type=audio_mpeg&amp;qs=13&amp;rc=amV5eW05cnJtbzMzNzU8M0BpamV5eW05cnJtbzMzNzU8M0AuYV8yMmRzaWFgLS1kMTZzYSMuYV8yMmRzaWFgLS1kMTZzcw%3D%3D&amp;btag=e00050000&amp;expire=1763004353&amp;l=20251113102443BFAC5C39F8934C8F8E6A&amp;ply_type=3&amp;policy=3&amp;signature=621365a6ff796344cb3f9406392a2259&amp;tk=7571587458748974088" TargetMode="External"/><Relationship Id="rId540" Type="http://schemas.openxmlformats.org/officeDocument/2006/relationships/hyperlink" Target="https://v16-webapp-prime.tiktok.com/video/tos/useast2a/tos-useast2a-pve-0068/oA9g2QQfAlrEEmSQrXbCCfQadEEGIQF41dB8fD/?a=1988&amp;bti=ODszNWYuMDE6&amp;ch=0&amp;cr=3&amp;dr=0&amp;lr=all&amp;cd=0%7C0%7C0%7C&amp;cv=1&amp;br=1218&amp;bt=609&amp;cs=0&amp;ds=3&amp;ft=I~da4oKyD12NviW0i.IxRHqNglBF-UjNSqopiX&amp;mime_type=video_mp4&amp;qs=0&amp;rc=Zmk0M2k7aDllNTRmNDVkNEBpamo0aG05cnk1NDMzNzgzM0AuNF4vXzI0NTUxYl9iNC4zYSNhcm02MmRzXnBhLS1kLzZzcw%3D%3D&amp;btag=e000b8000&amp;expire=1763173372&amp;l=202511131022270BBA173F4561DD71A814&amp;ply_type=2&amp;policy=2&amp;signature=58a0d1561ffb83510cccf64b364ae309&amp;tk=tt_chain_token" TargetMode="External"/><Relationship Id="rId1135" Type="http://schemas.openxmlformats.org/officeDocument/2006/relationships/hyperlink" Target="https://p77-sign-va.tiktokcdn.com/tos-maliva-avt-0068/e59283bc7cddea9e513758e2827eb4b6~tplv-tiktokx-cropcenter:1080:1080.jpeg?dr=14579&amp;refresh_token=35a8e7b6&amp;x-expires=1763172000&amp;x-signature=XCDRc5y4lEx%2BCP61QjyqGysIOrQ%3D&amp;t=4d5b0474&amp;ps=13740610&amp;shp=a5d48078&amp;shcp=81f88b70&amp;idc=my" TargetMode="External"/><Relationship Id="rId1125" Type="http://schemas.openxmlformats.org/officeDocument/2006/relationships/hyperlink" Target="https://p16-sign-va.tiktokcdn.com/tos-maliva-avt-0068/b65580219dd212688aa9c5305651ee47~tplv-tiktokx-cropcenter:1080:1080.jpeg?dr=14579&amp;refresh_token=025361fd&amp;x-expires=1763172000&amp;x-signature=8AqsZ4oIvJ0vuASfc%2FfKVn89STg%3D&amp;t=4d5b0474&amp;ps=13740610&amp;shp=a5d48078&amp;shcp=81f88b70&amp;idc=my" TargetMode="External"/><Relationship Id="rId1126" Type="http://schemas.openxmlformats.org/officeDocument/2006/relationships/hyperlink" Target="https://v16-webapp-prime.tiktok.com/video/tos/alisg/tos-alisg-pve-0037c001/okr7GeDpIIroR0WBCARALCItgWjVAOmUfDftSQ/?a=1988&amp;bti=ODszNWYuMDE6&amp;ch=0&amp;cr=3&amp;dr=0&amp;lr=all&amp;cd=0%7C0%7C0%7C&amp;cv=1&amp;br=2724&amp;bt=1362&amp;cs=0&amp;ds=3&amp;ft=-Csk_mrMPD12N8Yopd-UxfeFaY6e3wv25HcAp&amp;mime_type=video_mp4&amp;qs=0&amp;rc=MzRkPDw0Z2llNDlmOjRoOUBpajNsO2o5cndkNjMzODczNEAxNmNjMzFhNjAxYi5iYmBjYSNeZ2RsMmQ0bm9hLS1kMTFzcw%3D%3D&amp;btag=e00090000&amp;expire=1763173492&amp;l=20251113102343D1A0044B947998B9C2A2&amp;ply_type=2&amp;policy=2&amp;signature=7d2c225b276bdf2417d5dd0c85c66aed&amp;tk=tt_chain_token" TargetMode="External"/><Relationship Id="rId1127" Type="http://schemas.openxmlformats.org/officeDocument/2006/relationships/hyperlink" Target="https://www.tiktok.com/@dulcivaldejesussantos/video/7563423456189025557" TargetMode="External"/><Relationship Id="rId1128" Type="http://schemas.openxmlformats.org/officeDocument/2006/relationships/hyperlink" Target="http://altashabilidades.sd" TargetMode="External"/><Relationship Id="rId1129" Type="http://schemas.openxmlformats.org/officeDocument/2006/relationships/hyperlink" Target="https://p77-sign-va.tiktokcdn.com/tos-maliva-avt-0068/816fdb182b2b11ef50c6b62b3bd8796e~tplv-tiktokx-cropcenter:100:100.jpeg?dr=14579&amp;refresh_token=15a06b7d&amp;x-expires=1763172000&amp;x-signature=npGNKyiqnlrQRfbk0NQjAT5hC34%3D&amp;t=4d5b0474&amp;ps=13740610&amp;shp=a5d48078&amp;shcp=81f88b70&amp;idc=my" TargetMode="External"/><Relationship Id="rId536" Type="http://schemas.openxmlformats.org/officeDocument/2006/relationships/hyperlink" Target="https://www.tiktok.com/@mr.tdahzinho/video/7514716968394493190" TargetMode="External"/><Relationship Id="rId535" Type="http://schemas.openxmlformats.org/officeDocument/2006/relationships/hyperlink" Target="https://v16-webapp-prime.tiktok.com/video/tos/useast2a/tos-useast2a-ve-0068c003/oYIihUExEijtQnSFAuQmwUXJxrBDXIHaJEBPJ/?a=1988&amp;bti=ODszNWYuMDE6&amp;ch=0&amp;cr=3&amp;dr=0&amp;lr=all&amp;cd=0%7C0%7C0%7C&amp;cv=1&amp;br=2002&amp;bt=1001&amp;cs=0&amp;ds=3&amp;ft=I~da4oKyD12NvgA0i.IxRMb_glBF-UjNSaopiX&amp;mime_type=video_mp4&amp;qs=0&amp;rc=ZmY0NGVnZjxlOWVlNGg0O0BpajszOGs5cmd0NDMzNzczM0AtMDZgMTA1NjUxNjA2LWNfYSNnZnJeMmQ0MDFhLS1kMTZzcw%3D%3D&amp;btag=e00090000&amp;expire=1763173564&amp;l=20251113102449DDADD1FB7AF14A841409&amp;ply_type=2&amp;policy=2&amp;signature=e2f5aa0b1fbfb099162659402528a9d9&amp;tk=tt_chain_token" TargetMode="External"/><Relationship Id="rId534" Type="http://schemas.openxmlformats.org/officeDocument/2006/relationships/hyperlink" Target="https://p16-sign-va.tiktokcdn.com/tos-maliva-avt-0068/431bee7578e519987635a70e5b8f7fb3~tplv-tiktokx-cropcenter:1080:1080.jpeg?dr=14579&amp;refresh_token=ac4d06e8&amp;x-expires=1763172000&amp;x-signature=aP9%2BeRL%2FhEk8DJIKtOd%2BOqyM4R4%3D&amp;t=4d5b0474&amp;ps=13740610&amp;shp=a5d48078&amp;shcp=81f88b70&amp;idc=my" TargetMode="External"/><Relationship Id="rId533" Type="http://schemas.openxmlformats.org/officeDocument/2006/relationships/hyperlink" Target="https://v16-webapp-prime.tiktok.com/video/tos/useast2a/tos-useast2a-v-27dcd7/owTQQSDAAIoAFCCNmJfBJWPjpzveRaUWCEBOKI/?a=1988&amp;bti=ODszNWYuMDE6&amp;ch=0&amp;cr=0&amp;dr=0&amp;er=0&amp;lr=default&amp;cd=0%7C0%7C0%7C0&amp;br=250&amp;bt=125&amp;ds=5&amp;ft=GNDpcInz7ThA9-UPXq8Zmo&amp;mime_type=audio_mpeg&amp;qs=13&amp;rc=anFmbHM5cm10NDMzNzU8M0BpanFmbHM5cm10NDMzNzU8M0BnLy5pMmRzMzFhLS1kMTZzYSNnLy5pMmRzMzFhLS1kMTZzcw%3D%3D&amp;btag=e00050000&amp;expire=1763004364&amp;l=20251113102449DDADD1FB7AF14A841409&amp;ply_type=3&amp;policy=3&amp;signature=d60b64c63e567ca0bbfa7ae49010985d&amp;tk=7571587458748974088" TargetMode="External"/><Relationship Id="rId539" Type="http://schemas.openxmlformats.org/officeDocument/2006/relationships/hyperlink" Target="https://p77-sign-va.tiktokcdn.com/tos-maliva-avt-0068/9b6af4958a7cc6ac09fb0db99868e9da~tplv-tiktokx-cropcenter:1080:1080.jpeg?dr=14579&amp;refresh_token=b01ffcf5&amp;x-expires=1763172000&amp;x-signature=CE4J5Jm2mbufnzaJUmGP3Tvk280%3D&amp;t=4d5b0474&amp;ps=13740610&amp;shp=a5d48078&amp;shcp=81f88b70&amp;idc=my" TargetMode="External"/><Relationship Id="rId538" Type="http://schemas.openxmlformats.org/officeDocument/2006/relationships/hyperlink" Target="https://v16-webapp-prime.tiktok.com/video/tos/useast2a/tos-useast2a-v-27dcd7/oIQiSpPmkulIHBwOiGJK4a4sxmMUGpCPCAgPK/?a=1988&amp;bti=ODszNWYuMDE6&amp;ch=0&amp;cr=0&amp;dr=0&amp;er=0&amp;lr=default&amp;cd=0%7C0%7C0%7C0&amp;br=250&amp;bt=125&amp;ft=GNDpcInz7ThUK-UPXq8Zmo&amp;mime_type=audio_mpeg&amp;qs=6&amp;rc=Mzw2Z2Q6M2RmM2c2NDs5OEBpanJyZWo5cjk1NDMzNzU8M0AxMC9jLjZjNi8xYF4uNDVfYSM0aWQ0MmQ0YXBhLS1kMTZzcw%3D%3D&amp;btag=e000b8000&amp;expire=1763004172&amp;l=202511131022270BBA173F4561DD71A814&amp;ply_type=3&amp;policy=3&amp;signature=7a083adff3dd1ca11c29de8b7cd42e0c&amp;tk=7571587458748974088" TargetMode="External"/><Relationship Id="rId537" Type="http://schemas.openxmlformats.org/officeDocument/2006/relationships/hyperlink" Target="https://p16-sign-va.tiktokcdn.com/tos-maliva-avt-0068/9b6af4958a7cc6ac09fb0db99868e9da~tplv-tiktokx-cropcenter:100:100.jpeg?dr=14579&amp;refresh_token=5ca73a83&amp;x-expires=1763172000&amp;x-signature=4pXxGMvdkMGiIltuvFjX%2BNYceqQ%3D&amp;t=4d5b0474&amp;ps=13740610&amp;shp=a5d48078&amp;shcp=81f88b70&amp;idc=my" TargetMode="External"/><Relationship Id="rId1120" Type="http://schemas.openxmlformats.org/officeDocument/2006/relationships/hyperlink" Target="https://p16-sign-va.tiktokcdn.com/tos-maliva-avt-0068/1f7f69a35f80647531597a72a07df16c~tplv-tiktokx-cropcenter:1080:1080.jpeg?dr=14579&amp;refresh_token=eb05a2e5&amp;x-expires=1763172000&amp;x-signature=gyF9qQ2x0%2BTdgfbXFbu4WgPy9SE%3D&amp;t=4d5b0474&amp;ps=13740610&amp;shp=a5d48078&amp;shcp=81f88b70&amp;idc=my" TargetMode="External"/><Relationship Id="rId532" Type="http://schemas.openxmlformats.org/officeDocument/2006/relationships/hyperlink" Target="https://p77-sign-va.tiktokcdn.com/tos-maliva-avt-0068/431bee7578e519987635a70e5b8f7fb3~tplv-tiktokx-cropcenter:100:100.jpeg?dr=14579&amp;refresh_token=e3f271e8&amp;x-expires=1763172000&amp;x-signature=w7vjthC%2FHV5BMUgxQR1CdU54vQE%3D&amp;t=4d5b0474&amp;ps=13740610&amp;shp=a5d48078&amp;shcp=81f88b70&amp;idc=my" TargetMode="External"/><Relationship Id="rId1121" Type="http://schemas.openxmlformats.org/officeDocument/2006/relationships/hyperlink" Target="https://v16-webapp-prime.tiktok.com/video/tos/alisg/tos-alisg-ve-37c813-sg/oshEBt8JDIAS3TzoQeQBqfg6EQEt8BDFnQJRoF/?a=1988&amp;bti=ODszNWYuMDE6&amp;ch=0&amp;cr=3&amp;dr=0&amp;lr=all&amp;cd=0%7C0%7C0%7C&amp;cv=1&amp;br=1960&amp;bt=980&amp;cs=0&amp;ds=3&amp;ft=-Csk_mrMPD12N-copd-Ux7~2bY6e3wv25bcAp&amp;mime_type=video_mp4&amp;qs=0&amp;rc=PDY3ZDo6PGdnaDM3OTM7OEBpM3VsOHA5cnlseDMzNzczM0A1NjU0NS80XmIxXzNiMDUvYSNlZC1zMmQ0LW5gLS1kMTZzcw%3D%3D&amp;btag=e00090000&amp;expire=1763173547&amp;l=20251113102424EE0F9FCD2CC2B68BE0E2&amp;ply_type=2&amp;policy=2&amp;signature=d766e81c9b27568626e45c618278b2c0&amp;tk=tt_chain_token" TargetMode="External"/><Relationship Id="rId531" Type="http://schemas.openxmlformats.org/officeDocument/2006/relationships/hyperlink" Target="https://www.tiktok.com/@psi.jonathanorlandi/video/7496516856061185286" TargetMode="External"/><Relationship Id="rId1122" Type="http://schemas.openxmlformats.org/officeDocument/2006/relationships/hyperlink" Target="https://www.tiktok.com/@laradalmeidapsicologa/video/7472915330604600631" TargetMode="External"/><Relationship Id="rId530" Type="http://schemas.openxmlformats.org/officeDocument/2006/relationships/hyperlink" Target="https://v16-webapp-prime.tiktok.com/video/tos/useast2a/tos-useast2a-pve-0068/okfoDTRIETDC3RjEwfFovQTlBcQhIQBvPKgJ0A/?a=1988&amp;bti=ODszNWYuMDE6&amp;ch=0&amp;cr=3&amp;dr=0&amp;lr=all&amp;cd=0%7C0%7C0%7C&amp;cv=1&amp;br=5976&amp;bt=2988&amp;cs=0&amp;ds=3&amp;ft=-Csk_mrMPD12NOYopd-Uxtv5GY6e3wv252cAp&amp;mime_type=video_mp4&amp;qs=0&amp;rc=NDtkNDpkO2hlNjNmaDY7O0BpMzhoN3E5cmVpMzMzNzczM0AyXl9jMDItNmAxLV5gLV4zYSM0ZzRxMmRzaDFhLS1kMTZzcw%3D%3D&amp;btag=e000b8000&amp;expire=1763173408&amp;l=20251113102306B19E1F5BC676BF8CC05E&amp;ply_type=2&amp;policy=2&amp;signature=6252005174d870bd26e9cfd449974fbd&amp;tk=tt_chain_token" TargetMode="External"/><Relationship Id="rId1123" Type="http://schemas.openxmlformats.org/officeDocument/2006/relationships/hyperlink" Target="https://p16-sign-va.tiktokcdn.com/tos-maliva-avt-0068/b65580219dd212688aa9c5305651ee47~tplv-tiktokx-cropcenter:100:100.jpeg?dr=14579&amp;refresh_token=e9ce48ec&amp;x-expires=1763172000&amp;x-signature=81zBjkEKwGxjAMZ9HD4oBz%2FZx%2Fs%3D&amp;t=4d5b0474&amp;ps=13740610&amp;shp=a5d48078&amp;shcp=81f88b70&amp;idc=my" TargetMode="External"/><Relationship Id="rId1124" Type="http://schemas.openxmlformats.org/officeDocument/2006/relationships/hyperlink" Target="https://v16-webapp-prime.tiktok.com/video/tos/alisg/tos-alisg-v-27dcd7/o8AYDTAKugP1rEaDltECa2iABaAHXlaUioPA1/?a=1988&amp;bti=ODszNWYuMDE6&amp;ch=0&amp;cr=0&amp;dr=0&amp;er=0&amp;lr=default&amp;cd=0%7C0%7C0%7C0&amp;br=250&amp;bt=125&amp;ds=5&amp;ft=GNDpcInz7ThaV-UPXq8Zmo&amp;mime_type=audio_mpeg&amp;qs=13&amp;rc=anQ1b285cjtkNjMzODU8NEBpanQ1b285cjtkNjMzODU8NEBmcHBuMmQ0b29hLS1kMS1zYSNmcHBuMmQ0b29hLS1kMS1zcw%3D%3D&amp;btag=e00050000&amp;expire=1763004291&amp;l=20251113102343D1A0044B947998B9C2A2&amp;ply_type=3&amp;policy=3&amp;signature=22031e2acb0b82f73b14a36f6d4ddb00&amp;tk=7571587458748974088" TargetMode="External"/><Relationship Id="rId1158" Type="http://schemas.openxmlformats.org/officeDocument/2006/relationships/hyperlink" Target="https://p77-sign-va.tiktokcdn.com/tos-maliva-avt-0068/bfb0ff9401f7301dddea9def63350d72~tplv-tiktokx-cropcenter:100:100.jpeg?dr=14579&amp;refresh_token=491e936e&amp;x-expires=1763172000&amp;x-signature=Jt5L1p3nTKdXQIdA%2Belz%2FrcqYb0%3D&amp;t=4d5b0474&amp;ps=13740610&amp;shp=a5d48078&amp;shcp=81f88b70&amp;idc=my" TargetMode="External"/><Relationship Id="rId1159" Type="http://schemas.openxmlformats.org/officeDocument/2006/relationships/hyperlink" Target="https://v16-webapp-prime.tiktok.com/video/tos/useast2a/tos-useast2a-v-27dcd7/owKASfrSTCaIzELTrC1IeRNAAao7gBeBvkOGIY/?a=1988&amp;bti=ODszNWYuMDE6&amp;ch=0&amp;cr=0&amp;dr=0&amp;er=0&amp;lr=default&amp;cd=0%7C0%7C0%7C0&amp;br=250&amp;bt=125&amp;ds=5&amp;ft=GNDpcInz7ThA9-UPXq8Zmo&amp;mime_type=audio_mpeg&amp;qs=13&amp;rc=M2dxZXQ5cjVzbjMzNzU8M0BpM2dxZXQ5cjVzbjMzNzU8M0AzaW9uMmRjbW5gLS1kMTZzYSMzaW9uMmRjbW5gLS1kMTZzcw%3D%3D&amp;btag=e00048000&amp;expire=1763004319&amp;l=20251113102449DDADD1FB7AF14A841409&amp;ply_type=3&amp;policy=3&amp;signature=8061be4c88424042fb4f4ee5277690ab&amp;tk=7571587458748974088" TargetMode="External"/><Relationship Id="rId569"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568" Type="http://schemas.openxmlformats.org/officeDocument/2006/relationships/hyperlink" Target="https://v16-webapp-prime.tiktok.com/video/tos/useast2a/tos-useast2a-v-27dcd7/ocW2YADeeSxfKRJAQ26iFMLJIm68IfUAhekAIM/?a=1988&amp;bti=ODszNWYuMDE6&amp;ch=0&amp;cr=0&amp;dr=0&amp;er=0&amp;lr=default&amp;cd=0%7C0%7C0%7C0&amp;br=250&amp;bt=125&amp;ds=5&amp;ft=GNDpcInz7ThyY-UPXq8Zmo&amp;mime_type=audio_mpeg&amp;qs=13&amp;rc=MztudXA5cmtreDMzNzU8M0BpMztudXA5cmtreDMzNzU8M0Btc2hvMmQ0YXJgLS1kMTZzYSNtc2hvMmQ0YXJgLS1kMTZzcw%3D%3D&amp;btag=e00050000&amp;expire=1763004474&amp;l=2025111310264583C2663DA446357263D7&amp;ply_type=3&amp;policy=3&amp;signature=aa826158edea96ba3cb0aa47d6d5efb3&amp;tk=7571587458748974088" TargetMode="External"/><Relationship Id="rId567"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566" Type="http://schemas.openxmlformats.org/officeDocument/2006/relationships/hyperlink" Target="https://www.tiktok.com/@psicologo.mateus/video/7254292365467323653" TargetMode="External"/><Relationship Id="rId561" Type="http://schemas.openxmlformats.org/officeDocument/2006/relationships/hyperlink" Target="https://www.tiktok.com/@igorpsicologo/video/7511523125704658181" TargetMode="External"/><Relationship Id="rId1150" Type="http://schemas.openxmlformats.org/officeDocument/2006/relationships/hyperlink" Target="https://p16-sign-va.tiktokcdn.com/tos-maliva-avt-0068/b7841460d9b1783162ae78e8d2cf3a44~tplv-tiktokx-cropcenter:1080:1080.jpeg?dr=14579&amp;refresh_token=cbf95f63&amp;x-expires=1763172000&amp;x-signature=0uX0HE10h%2FTiaWxoEOPChRe801c%3D&amp;t=4d5b0474&amp;ps=13740610&amp;shp=a5d48078&amp;shcp=81f88b70&amp;idc=my" TargetMode="External"/><Relationship Id="rId560" Type="http://schemas.openxmlformats.org/officeDocument/2006/relationships/hyperlink" Target="https://v16-webapp-prime.tiktok.com/video/tos/useast2a/tos-useast2a-ve-0068c004/oI4gJIRHeJgAwU1SviIaELfRGFtG1AKklQeBae/?a=1988&amp;bti=ODszNWYuMDE6&amp;ch=0&amp;cr=3&amp;dr=0&amp;lr=all&amp;cd=0%7C0%7C0%7C&amp;cv=1&amp;br=2122&amp;bt=1061&amp;cs=0&amp;ds=3&amp;ft=-Csk_mrMPD12Nw_opd-UxfeFaY6e3wv25HcAp&amp;mime_type=video_mp4&amp;qs=0&amp;rc=aWk0ZWQ0NDk8Mzg3NDU7O0BpM2k4cGw5cmo3MzMzNzczM0A0YTJfMGMxXjAxNWIyYDIuYSNgYXNiMmRzZnNhLS1kMTZzcw%3D%3D&amp;btag=e00090000&amp;expire=1763173673&amp;l=2025111310264583C2663DA446357263D7&amp;ply_type=2&amp;policy=2&amp;signature=99588ee662e210bd0364ac8aec89b9d6&amp;tk=tt_chain_token" TargetMode="External"/><Relationship Id="rId1151" Type="http://schemas.openxmlformats.org/officeDocument/2006/relationships/hyperlink" Target="https://v16-webapp-prime.tiktok.com/video/tos/alisg/tos-alisg-pve-0037/o0b5LjdJ8BBeNimQhIAhbYAf3FOQ5kISnCV6D1/?a=1988&amp;bti=ODszNWYuMDE6&amp;ch=0&amp;cr=3&amp;dr=0&amp;lr=all&amp;cd=0%7C0%7C0%7C&amp;cv=1&amp;br=1856&amp;bt=928&amp;cs=0&amp;ds=3&amp;ft=-Csk_mrMPD12NF_opd-UxbX5bY6e3wv25zcAp&amp;mime_type=video_mp4&amp;qs=0&amp;rc=OWU1ZTM2NGY5Omk7aDZnaEBpanV0ZGc6Zjo2bTMzNzgzM0BfXzEvX2NgX18xXzRgM2FgYSNtLTVlcjRfNG1gLS1kLzZzcw%3D%3D&amp;btag=e000a0000&amp;expire=1763173961&amp;l=20251113102614E0AE0D1C94494C7B69A1&amp;ply_type=2&amp;policy=2&amp;signature=b451d37037b89190e9ff06bf4bd4bf25&amp;tk=tt_chain_token" TargetMode="External"/><Relationship Id="rId1152" Type="http://schemas.openxmlformats.org/officeDocument/2006/relationships/hyperlink" Target="https://www.tiktok.com/@girodaengrenagem/video/7273934247239404806" TargetMode="External"/><Relationship Id="rId1153"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565" Type="http://schemas.openxmlformats.org/officeDocument/2006/relationships/hyperlink" Target="https://v16-webapp-prime.tiktok.com/video/tos/maliva/tos-maliva-ve-0068c801-us/ooFrJQRonqBxGB2QQDbQAfgiBerXEkBEORsRtY/?a=1988&amp;bti=ODszNWYuMDE6&amp;ch=0&amp;cr=3&amp;dr=0&amp;lr=all&amp;cd=0%7C0%7C0%7C&amp;cv=1&amp;br=2444&amp;bt=1222&amp;cs=0&amp;ds=3&amp;ft=-Csk_mrMPD12NDhopd-Ux2.2GY6e3wv25rcAp&amp;mime_type=video_mp4&amp;qs=0&amp;rc=cnF8b2hsc2d3SkBwaHIxaDFybndmNzg2NTw1Njs0aGg6NDNlM0BpMztudDs6Zm45bDMzNzczM0BjRl5Nc3FePmJKYSNvYF90aHFmOiNgMl8zYGJfXmIxYzYtY19iYSNfLnJucjRfbGpgLS1kMTZzcw%3D%3D&amp;btag=e000b8000&amp;expire=1763173371&amp;l=20251113102236D675DBC36011DA84E058&amp;ply_type=2&amp;policy=2&amp;signature=18afd907753fa093c0f4833a9467eb6e&amp;tk=tt_chain_token" TargetMode="External"/><Relationship Id="rId1154" Type="http://schemas.openxmlformats.org/officeDocument/2006/relationships/hyperlink" Target="https://sf16-ies-music-sg.tiktokcdn.com/obj/tos-alisg-ve-2774/oIUE0Q88IekagoACzBEDfDozdfFFOgoA1J8SMT" TargetMode="External"/><Relationship Id="rId564" Type="http://schemas.openxmlformats.org/officeDocument/2006/relationships/hyperlink" Target="https://p77-sign-va.tiktokcdn.com/tos-maliva-avt-0068/ebc42eb348fcf29a09bcbf1c40faef80~tplv-tiktokx-cropcenter:1080:1080.jpeg?dr=14579&amp;refresh_token=df5311da&amp;x-expires=1763172000&amp;x-signature=%2B%2BNXAf50ujdFa9RF4gitz71stlU%3D&amp;t=4d5b0474&amp;ps=13740610&amp;shp=a5d48078&amp;shcp=81f88b70&amp;idc=my" TargetMode="External"/><Relationship Id="rId1155" Type="http://schemas.openxmlformats.org/officeDocument/2006/relationships/hyperlink" Target="https://p77-sg.tiktokcdn.com/aweme/720x720/tos-alisg-v-2774/osBAEAU7AzBzqAAFGrvQiAAUiiaPFuY9DiQEW.jpeg" TargetMode="External"/><Relationship Id="rId563" Type="http://schemas.openxmlformats.org/officeDocument/2006/relationships/hyperlink" Target="https://v16-webapp-prime.tiktok.com/video/tos/useast2a/tos-useast2a-v-27dcd7/oYBgAIOsKnyENAYADCzj2EBEkVbEhZfoAtGKsu/?a=1988&amp;bti=ODszNWYuMDE6&amp;ch=0&amp;cr=0&amp;dr=0&amp;er=0&amp;lr=default&amp;cd=0%7C0%7C0%7C0&amp;br=250&amp;bt=125&amp;ds=5&amp;ft=GNDpcInz7ThzK-UPXq8Zmo&amp;mime_type=audio_mpeg&amp;qs=13&amp;rc=M2h1dTY6ZjM5bDMzNzU8M0BpM2h1dTY6ZjM5bDMzNzU8M0BqYGRncjRnbWpgLS1kMTZzYSNqYGRncjRnbWpgLS1kMTZzcw%3D%3D&amp;btag=e00078000&amp;expire=1763004171&amp;l=20251113102236D675DBC36011DA84E058&amp;ply_type=3&amp;policy=3&amp;signature=4a6f9234665748344279d37e06b194de&amp;tk=7571587458748974088" TargetMode="External"/><Relationship Id="rId1156" Type="http://schemas.openxmlformats.org/officeDocument/2006/relationships/hyperlink" Target="https://v16-webapp-prime.tiktok.com/video/tos/alisg/tos-alisg-pve-0037c001/ocAgQmoWTSyENAQGMPzHXIuikgkIhOfoF9gCRw/?a=1988&amp;bti=ODszNWYuMDE6&amp;ch=0&amp;cr=3&amp;dr=0&amp;lr=all&amp;cd=0%7C0%7C0%7C&amp;cv=1&amp;br=1436&amp;bt=718&amp;cs=0&amp;ds=3&amp;ft=-Csk_mrMPD12Nlcopd-UxB6vSY6e3wv25rcAp&amp;mime_type=video_mp4&amp;qs=0&amp;rc=NjdoaDY2OTlnaDU0NGQ0aEBpajs0ZmY6ZnFobjMzNzczM0AyYl9gYDYxXy8xYzMxLS4tYSM1YzE2cjQwYi1gLS1kMTZzcw%3D%3D&amp;btag=e00090000&amp;expire=1763173510&amp;l=202511131024053FAEE14371AE44A729CC&amp;ply_type=2&amp;policy=2&amp;signature=4bf60159edcab7d16d784e7cee587323&amp;tk=tt_chain_token" TargetMode="External"/><Relationship Id="rId562" Type="http://schemas.openxmlformats.org/officeDocument/2006/relationships/hyperlink" Target="https://p16-sign-va.tiktokcdn.com/tos-maliva-avt-0068/ebc42eb348fcf29a09bcbf1c40faef80~tplv-tiktokx-cropcenter:100:100.jpeg?dr=14579&amp;refresh_token=2bdf1117&amp;x-expires=1763172000&amp;x-signature=qWkWO%2FiOPhNCyjf1oP1wgqJ%2BWqE%3D&amp;t=4d5b0474&amp;ps=13740610&amp;shp=a5d48078&amp;shcp=81f88b70&amp;idc=my" TargetMode="External"/><Relationship Id="rId1157" Type="http://schemas.openxmlformats.org/officeDocument/2006/relationships/hyperlink" Target="https://www.tiktok.com/@lorenatdahta/video/7278072370152115461" TargetMode="External"/><Relationship Id="rId1147" Type="http://schemas.openxmlformats.org/officeDocument/2006/relationships/hyperlink" Target="https://www.tiktok.com/@psi.jonathanorlandi/video/7525803816566918406" TargetMode="External"/><Relationship Id="rId1148" Type="http://schemas.openxmlformats.org/officeDocument/2006/relationships/hyperlink" Target="https://p77-sign-va.tiktokcdn.com/tos-maliva-avt-0068/b7841460d9b1783162ae78e8d2cf3a44~tplv-tiktokx-cropcenter:100:100.jpeg?dr=14579&amp;refresh_token=ac62f93d&amp;x-expires=1763172000&amp;x-signature=9E%2FVTB9GyWs5reFt5kfBnax4r2A%3D&amp;t=4d5b0474&amp;ps=13740610&amp;shp=a5d48078&amp;shcp=81f88b70&amp;idc=my" TargetMode="External"/><Relationship Id="rId1149" Type="http://schemas.openxmlformats.org/officeDocument/2006/relationships/hyperlink" Target="https://v16-webapp-prime.tiktok.com/video/tos/useast2a/tos-useast2a-v-27dcd7/oUBbFkRBhTphUVfJL0MQDTCJuNQNRvLy5jeIQz/?a=1988&amp;bti=ODszNWYuMDE6&amp;ch=0&amp;cr=0&amp;dr=0&amp;er=0&amp;lr=default&amp;cd=0%7C0%7C0%7C0&amp;br=250&amp;bt=125&amp;ft=GNDpcInz7ThSY-UPXq8Zmo&amp;mime_type=audio_mpeg&amp;qs=6&amp;rc=OzRoaWk3NzNmZTNpNzc6ZkBpam5zcGU6ZnE2bTMzNzU8M0BiNGM2XzYuNi0xMmIyX2FhYSM1NHFkcjRnNm1gLS1kMTZzcw%3D%3D&amp;btag=e000a0000&amp;expire=1763004761&amp;l=20251113102614E0AE0D1C94494C7B69A1&amp;ply_type=3&amp;policy=3&amp;signature=7754f4a92a35bd662f7e947aa34cbbc5&amp;tk=7571587458748974088" TargetMode="External"/><Relationship Id="rId558" Type="http://schemas.openxmlformats.org/officeDocument/2006/relationships/hyperlink" Target="https://v16-webapp-prime.tiktok.com/video/tos/useast2a/tos-useast2a-v-27dcd7/ocqPDfvKUETJIoS3FAoQFBteItJkCAj4BBpARc/?a=1988&amp;bti=ODszNWYuMDE6&amp;ch=0&amp;cr=0&amp;dr=0&amp;er=0&amp;lr=default&amp;cd=0%7C0%7C0%7C0&amp;br=250&amp;bt=125&amp;ds=5&amp;ft=GNDpcInz7ThyY-UPXq8Zmo&amp;mime_type=audio_mpeg&amp;qs=13&amp;rc=M3U2Z3E5cjU3MzMzNzU8M0BpM3U2Z3E5cjU3MzMzNzU8M0ByMGllMmRraXNhLS1kMTZzYSNyMGllMmRraXNhLS1kMTZzcw%3D%3D&amp;btag=e00050000&amp;expire=1763004473&amp;l=2025111310264583C2663DA446357263D7&amp;ply_type=3&amp;policy=3&amp;signature=d5711cb30c704b9f989943e42ec3845e&amp;tk=7571587458748974088" TargetMode="External"/><Relationship Id="rId557"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556" Type="http://schemas.openxmlformats.org/officeDocument/2006/relationships/hyperlink" Target="https://www.tiktok.com/@liberdade.mentall/video/7475125515779575046" TargetMode="External"/><Relationship Id="rId555" Type="http://schemas.openxmlformats.org/officeDocument/2006/relationships/hyperlink" Target="https://v16-webapp-prime.tiktok.com/video/tos/useast2a/tos-useast2a-pve-0068/oEin24GNQLAPISJ8egIITeiLKpfEeM05epzVAQ/?a=1988&amp;bti=ODszNWYuMDE6&amp;ch=0&amp;cr=3&amp;dr=0&amp;lr=all&amp;cd=0%7C0%7C0%7C&amp;cv=1&amp;br=884&amp;bt=442&amp;cs=0&amp;ds=3&amp;ft=-Csk_mrMPD12NP_opd-Ux9T2bY6e3wv25IcAp&amp;mime_type=video_mp4&amp;qs=0&amp;rc=OzQ6aTc3OjwzNTU8OGU0aUBpam5uZHQ5cnNpeDMzNzczM0AuNWAvMl4zNWIxNC4vLl42YSM0Z2dgMmRrZ3JgLS1kMTZzcw%3D%3D&amp;btag=e00090000&amp;expire=1763173718&amp;l=20251113102653A1DB3C7B0C5E8C8BA025&amp;ply_type=2&amp;policy=2&amp;signature=d4956a4361d3b0e93c316a3d3bd63d4b&amp;tk=tt_chain_token" TargetMode="External"/><Relationship Id="rId559"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550" Type="http://schemas.openxmlformats.org/officeDocument/2006/relationships/hyperlink" Target="https://v16-webapp-prime.tiktok.com/video/tos/useast2a/tos-useast2a-pve-0068/oQBHTi5QBEo5GiOBykAfPvOvglBUAKoDLzIcAg/?a=1988&amp;bti=ODszNWYuMDE6&amp;ch=0&amp;cr=3&amp;dr=0&amp;lr=all&amp;cd=0%7C0%7C0%7C&amp;cv=1&amp;br=908&amp;bt=454&amp;cs=0&amp;ds=3&amp;ft=-Csk_mrMPD12N_hopd-Ux315hY6e3wv25dcAp&amp;mime_type=video_mp4&amp;qs=0&amp;rc=aWQ1NmdlNjRoZjo7ZjxlZkBpM2x4a3M5cjZyeTMzNzgzM0BiMTEuXzY2X2ExMC0wMi0tYSNeX3EuMmRjLjJgLS1kLzZzcw%3D%3D&amp;btag=e000b8000&amp;expire=1763173393&amp;l=20251113102250DC012CE1E68AEAAA2B86&amp;ply_type=2&amp;policy=2&amp;signature=929e3bce7a4d0b64587d4def841d934b&amp;tk=tt_chain_token" TargetMode="External"/><Relationship Id="rId1140" Type="http://schemas.openxmlformats.org/officeDocument/2006/relationships/hyperlink" Target="https://p16-sign-va.tiktokcdn.com/tos-maliva-avt-0068/377405ce9a41275b9b6f008b78c94af6~tplv-tiktokx-cropcenter:1080:1080.jpeg?dr=14579&amp;refresh_token=47a1c46c&amp;x-expires=1763172000&amp;x-signature=y4BFpGqdpekK6k8NRec5wUnVIOY%3D&amp;t=4d5b0474&amp;ps=13740610&amp;shp=a5d48078&amp;shcp=81f88b70&amp;idc=my" TargetMode="External"/><Relationship Id="rId1141" Type="http://schemas.openxmlformats.org/officeDocument/2006/relationships/hyperlink" Target="https://v16-webapp-prime.tiktok.com/video/tos/alisg/tos-alisg-pve-0037c001/oEICLSaIMD8PPAjeqiEAEFEDe6DqMFQlGfIXFS/?a=1988&amp;bti=ODszNWYuMDE6&amp;ch=0&amp;cr=3&amp;dr=0&amp;lr=all&amp;cd=0%7C0%7C0%7C&amp;cv=1&amp;br=2350&amp;bt=1175&amp;cs=0&amp;ds=3&amp;ft=-Csk_mrMPD12Nycopd-UxG4vXY6e3wv25McAp&amp;mime_type=video_mp4&amp;qs=0&amp;rc=NTNmZjU4OTVkOmU6ZjtkaEBpM2Y8cW85cjh4NzMzODczNUAtNTFfMTU2NS8xNWA1Y19gYSMxaGguMmRzYzJhLS1kMTZzcw%3D%3D&amp;btag=e00090000&amp;expire=1763173560&amp;l=20251113102415EC11E565E652E77F00C9&amp;ply_type=2&amp;policy=2&amp;signature=a28cdb861bfc6b149e9ec726491b9d9b&amp;tk=tt_chain_token" TargetMode="External"/><Relationship Id="rId1142" Type="http://schemas.openxmlformats.org/officeDocument/2006/relationships/hyperlink" Target="https://www.tiktok.com/@terapiadafe/video/7569398945332464916" TargetMode="External"/><Relationship Id="rId554" Type="http://schemas.openxmlformats.org/officeDocument/2006/relationships/hyperlink" Target="https://p77-sign-va.tiktokcdn.com/tos-maliva-avt-0068/4949bb024f91e1b4bc8f1b459a9fc215~tplv-tiktokx-cropcenter:1080:1080.jpeg?dr=14579&amp;refresh_token=62e7cd27&amp;x-expires=1763172000&amp;x-signature=wulijpfzsi9v0AaPlpI3xwkZneM%3D&amp;t=4d5b0474&amp;ps=13740610&amp;shp=a5d48078&amp;shcp=81f88b70&amp;idc=my" TargetMode="External"/><Relationship Id="rId1143"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553" Type="http://schemas.openxmlformats.org/officeDocument/2006/relationships/hyperlink" Target="https://v16-webapp-prime.tiktok.com/video/tos/useast2a/tos-useast2a-v-27dcd7/o8lKYyGOLDR18e5JMMoeSJzhG0ZQYIgeAefroI/?a=1988&amp;bti=ODszNWYuMDE6&amp;ch=0&amp;cr=0&amp;dr=0&amp;er=0&amp;lr=default&amp;cd=0%7C0%7C0%7C0&amp;br=250&amp;bt=125&amp;ft=GNDpcInz7ThnY-UPXq8Zmo&amp;mime_type=audio_mpeg&amp;qs=6&amp;rc=PGZmaTtkN2RlZDRpOzY5OUBpam5zdHc5cjlpeDMzNzU8M0BjMGNfXmA0NV8xMWNeYGNfYSNjbWotMmRranJgLS1kMTZzcw%3D%3D&amp;btag=e00090000&amp;expire=1763004518&amp;l=20251113102653A1DB3C7B0C5E8C8BA025&amp;ply_type=3&amp;policy=3&amp;signature=98c0281fd05d8920de17d467d2de0f97&amp;tk=7571587458748974088" TargetMode="External"/><Relationship Id="rId1144" Type="http://schemas.openxmlformats.org/officeDocument/2006/relationships/hyperlink" Target="https://v16-webapp-prime.tiktok.com/video/tos/useast2a/tos-useast2a-v-27dcd7/o4UocgDEQBBECjsxfUCQYAuF0Qi6CsuaYeyJJD/?a=1988&amp;bti=ODszNWYuMDE6&amp;ch=0&amp;cr=0&amp;dr=0&amp;er=0&amp;lr=default&amp;cd=0%7C0%7C0%7C0&amp;br=250&amp;bt=125&amp;ft=GNDpcInz7Th8Y-UPXq8Zmo&amp;mime_type=audio_mpeg&amp;qs=6&amp;rc=OTpmaDxlOmVkNzo2NWU3N0BpM3E7bHA5cmhqNDMzNzU8M0BfMi1iYjYuXzYxMC0uMi4xYSNfMWdgMmRrYWxhLS1kMTZzcw%3D%3D&amp;btag=e00090000&amp;expire=1763004457&amp;l=20251113102607CD4452BD4E07158E0822&amp;ply_type=3&amp;policy=3&amp;signature=a59c648f8303a20e3e963c396893f13e&amp;tk=7571587458748974088" TargetMode="External"/><Relationship Id="rId552"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1145"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551" Type="http://schemas.openxmlformats.org/officeDocument/2006/relationships/hyperlink" Target="https://www.tiktok.com/@autistaanonimo30/video/7479213316397731127" TargetMode="External"/><Relationship Id="rId1146" Type="http://schemas.openxmlformats.org/officeDocument/2006/relationships/hyperlink" Target="https://v16-webapp-prime.tiktok.com/video/tos/useast2a/tos-useast2a-pve-0068/osii0QefQZygAWAT8gSQrgCDflS4CqMcIIg8jW/?a=1988&amp;bti=ODszNWYuMDE6&amp;ch=0&amp;cr=3&amp;dr=0&amp;lr=all&amp;cd=0%7C0%7C0%7C&amp;cv=1&amp;br=1712&amp;bt=856&amp;cs=0&amp;ds=3&amp;ft=-Csk_mrMPD12Nx_opd-Ux7o2aY6e3wv25zcAp&amp;mime_type=video_mp4&amp;qs=0&amp;rc=ZWk3NzY3ODs8Nzc3NGY2aEBpamU4eW05cjdqNDMzNzczM0BeLjYvMDE0NTIxNjQxMTRhYSNecG5nMmRrYWxhLS1kMTZzcw%3D%3D&amp;btag=e00090000&amp;expire=1763173657&amp;l=20251113102607CD4452BD4E07158E0822&amp;ply_type=2&amp;policy=2&amp;signature=dd1016a50ebd83febcccaa2a5ce1d098&amp;tk=tt_chain_token" TargetMode="External"/><Relationship Id="rId495" Type="http://schemas.openxmlformats.org/officeDocument/2006/relationships/hyperlink" Target="https://v16-webapp-prime.tiktok.com/video/tos/useast2a/tos-useast2a-pve-0068/ooFYI0JRXE81JiDlBSQFRXaLQfV6nyEBFgVtfA/?a=1988&amp;bti=ODszNWYuMDE6&amp;ch=0&amp;cr=3&amp;dr=0&amp;lr=all&amp;cd=0%7C0%7C0%7C&amp;cv=1&amp;br=1956&amp;bt=978&amp;cs=0&amp;ds=3&amp;ft=-Csk_mrMPD12Nlcopd-UxB6vSY6e3wv25rcAp&amp;mime_type=video_mp4&amp;qs=0&amp;rc=ZjlkZzc3ODxkaTk4OjhlN0BpMztvO3A5cnZvdzMzNzczM0BiLTBiMzQwNjYxNF4zLzIvYSNxMmtmMmRrXmNgLS1kMTZzcw%3D%3D&amp;btag=e00090000&amp;expire=1763173521&amp;l=202511131024053FAEE14371AE44A729CC&amp;ply_type=2&amp;policy=2&amp;signature=7df0682e1718063b7022eb946014a6f9&amp;tk=tt_chain_token" TargetMode="External"/><Relationship Id="rId494" Type="http://schemas.openxmlformats.org/officeDocument/2006/relationships/hyperlink" Target="https://p77-sign-va.tiktokcdn.com/tos-maliva-avt-0068/4842f829bdaf28a70fa2e96759a81700~tplv-tiktokx-cropcenter:1080:1080.jpeg?dr=14579&amp;refresh_token=2364b330&amp;x-expires=1763172000&amp;x-signature=YlrhiUb%2BmIFzg%2F03XBPPWs2P0%2BI%3D&amp;t=4d5b0474&amp;ps=13740610&amp;shp=a5d48078&amp;shcp=81f88b70&amp;idc=my" TargetMode="External"/><Relationship Id="rId493" Type="http://schemas.openxmlformats.org/officeDocument/2006/relationships/hyperlink" Target="https://v16-webapp-prime.tiktok.com/video/tos/useast2a/tos-useast2a-v-27dcd7/o8qISLGKToCSXIAJYfII7sCEVAdgYqAUvOeeEC/?a=1988&amp;bti=ODszNWYuMDE6&amp;ch=0&amp;cr=0&amp;dr=0&amp;er=0&amp;lr=default&amp;cd=0%7C0%7C0%7C0&amp;br=250&amp;bt=125&amp;ds=5&amp;ft=GNDpcInz7ThQ9-UPXq8Zmo&amp;mime_type=audio_mpeg&amp;qs=13&amp;rc=amtuNnQ5cjRvdzMzNzU8M0BpamtuNnQ5cjRvdzMzNzU8M0A0YmplMmQ0X2NgLS1kMTZzYSM0YmplMmQ0X2NgLS1kMTZzcw%3D%3D&amp;btag=e00050000&amp;expire=1763004321&amp;l=202511131024053FAEE14371AE44A729CC&amp;ply_type=3&amp;policy=3&amp;signature=db8f0bc65a44c723fa83ae53d203686a&amp;tk=7571587458748974088" TargetMode="External"/><Relationship Id="rId492" Type="http://schemas.openxmlformats.org/officeDocument/2006/relationships/hyperlink" Target="https://p77-sign-va.tiktokcdn.com/tos-maliva-avt-0068/4842f829bdaf28a70fa2e96759a81700~tplv-tiktokx-cropcenter:100:100.jpeg?dr=14579&amp;refresh_token=992af602&amp;x-expires=1763172000&amp;x-signature=JGblNlIlLYOiRnYYXckwOonB7EQ%3D&amp;t=4d5b0474&amp;ps=13740610&amp;shp=a5d48078&amp;shcp=81f88b70&amp;idc=my" TargetMode="External"/><Relationship Id="rId499"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498" Type="http://schemas.openxmlformats.org/officeDocument/2006/relationships/hyperlink" Target="https://v16-webapp-prime.tiktok.com/video/tos/alisg/tos-alisg-v-27dcd7/oADQaALEmIGS1dAJfWAAeMIekJIqmniGAAfpTF/?a=1988&amp;bti=ODszNWYuMDE6&amp;ch=0&amp;cr=0&amp;dr=0&amp;er=0&amp;lr=default&amp;cd=0%7C0%7C0%7C0&amp;br=250&amp;bt=125&amp;ds=5&amp;ft=GNDpcInz7Th_9-UPXq8Zmo&amp;mime_type=audio_mpeg&amp;qs=13&amp;rc=am03a3E5cnhkNzMzODU8NEBpam03a3E5cnhkNzMzODU8NEAybmZjMmRrYy9hLS1kMS1zYSMybmZjMmRrYy9hLS1kMS1zcw%3D%3D&amp;btag=e00050000&amp;expire=1763004346&amp;l=202511131024200DA040BB1F5C349EC2B1&amp;ply_type=3&amp;policy=3&amp;signature=f6393573d1b3e6e8f182a7bd8281a486&amp;tk=7571587458748974088" TargetMode="External"/><Relationship Id="rId497" Type="http://schemas.openxmlformats.org/officeDocument/2006/relationships/hyperlink" Target="https://p77-sign-sg.tiktokcdn.com/tos-alisg-avt-0068/a922d44f129753f3f4657ae1aab09386~tplv-tiktokx-cropcenter:100:100.jpeg?dr=14579&amp;refresh_token=fdf273b4&amp;x-expires=1763172000&amp;x-signature=k9kZXtI6haYmCf6CcaKoXuObTsE%3D&amp;t=4d5b0474&amp;ps=13740610&amp;shp=a5d48078&amp;shcp=81f88b70&amp;idc=my" TargetMode="External"/><Relationship Id="rId496" Type="http://schemas.openxmlformats.org/officeDocument/2006/relationships/hyperlink" Target="https://www.tiktok.com/@draanabeatriz11/video/7448766255613431045" TargetMode="External"/><Relationship Id="rId1610" Type="http://schemas.openxmlformats.org/officeDocument/2006/relationships/hyperlink" Target="https://v16-webapp-prime.tiktok.com/video/tos/alisg/tos-alisg-ve-37c813-sg/oEJVAf5uwv7PVifAgFgYQw4cRxeSAif2KIdreN/?a=1988&amp;bti=ODszNWYuMDE6&amp;ch=0&amp;cr=3&amp;dr=0&amp;lr=all&amp;cd=0%7C0%7C0%7C&amp;cv=1&amp;br=1010&amp;bt=505&amp;cs=0&amp;ds=3&amp;ft=-Csk_mrMPD12Nzhopd-UxfeFaY6e3wv25HcAp&amp;mime_type=video_mp4&amp;qs=0&amp;rc=NTk7OjszNjk2ZjozODQ0OEBpamhpb3c5cmRxNTMzNzczM0AxNjFhYDE2Xi4xYzMvLjAxYSNfc28tMmRrcG9hLS1kMTZzcw%3D%3D&amp;btag=e00090000&amp;expire=1763173427&amp;l=202511131022442EE54DE47B86CCA867A8&amp;ply_type=2&amp;policy=2&amp;signature=0e33e777666609774b52abe0a5b20db7&amp;tk=tt_chain_token" TargetMode="External"/><Relationship Id="rId1611" Type="http://schemas.openxmlformats.org/officeDocument/2006/relationships/hyperlink" Target="https://www.tiktok.com/@tdahcommaisperformance/video/7545639784086113542" TargetMode="External"/><Relationship Id="rId1612" Type="http://schemas.openxmlformats.org/officeDocument/2006/relationships/hyperlink" Target="https://p77-sign-va.tiktokcdn.com/tos-maliva-avt-0068/fa233712dfcf05abd3a56a8d8aa1b5c6~tplv-tiktokx-cropcenter:100:100.jpeg?dr=14579&amp;refresh_token=60c48fcf&amp;x-expires=1763172000&amp;x-signature=s74cMnVCzmPUsWg%2F4r8JhaMlBxA%3D&amp;t=4d5b0474&amp;ps=13740610&amp;shp=a5d48078&amp;shcp=81f88b70&amp;idc=my" TargetMode="External"/><Relationship Id="rId1613" Type="http://schemas.openxmlformats.org/officeDocument/2006/relationships/hyperlink" Target="https://sf16-ies-music-sg.tiktokcdn.com/obj/tos-alisg-ve-2774/oAFyDaNPgQl6jzfwhY28CXc2uMfY0zgAfRLGiA" TargetMode="External"/><Relationship Id="rId1614" Type="http://schemas.openxmlformats.org/officeDocument/2006/relationships/hyperlink" Target="https://p16-sg.tiktokcdn.com/aweme/720x720/tos-alisg-v-2774/o869ooAAfCBrAJDntEhHAHIgVFZe9A8AbQEIBQ.jpeg" TargetMode="External"/><Relationship Id="rId1615" Type="http://schemas.openxmlformats.org/officeDocument/2006/relationships/hyperlink" Target="https://v16-webapp-prime.tiktok.com/video/tos/useast2a/tos-useast2a-ve-0068c002/oQQzLNicILTeCBOIQJFNnCAegjLh7Se6RgjG6I/?a=1988&amp;bti=ODszNWYuMDE6&amp;ch=0&amp;cr=3&amp;dr=0&amp;lr=all&amp;cd=0%7C0%7C0%7C&amp;cv=1&amp;br=678&amp;bt=339&amp;cs=0&amp;ds=3&amp;ft=-Csk_mrMPD12Nzhopd-UxfeFaY6e3wv25HcAp&amp;mime_type=video_mp4&amp;qs=0&amp;rc=OzY0NTZnPDRnNDo8Njo6NkBpanI2dW05cms8NDMzNzczM0A1LS1fYS01X18xYDNjMS5eYSNrLWk2MmQ0cmdhLS1kMTZzcw%3D%3D&amp;btag=e00090000&amp;expire=1763173426&amp;l=202511131022442EE54DE47B86CCA867A8&amp;ply_type=2&amp;policy=2&amp;signature=1c64483a3a03945fbe5ed73f942c1908&amp;tk=tt_chain_token" TargetMode="External"/><Relationship Id="rId1616" Type="http://schemas.openxmlformats.org/officeDocument/2006/relationships/hyperlink" Target="https://www.tiktok.com/@tdahcommaisperformance/video/7522876051920325944" TargetMode="External"/><Relationship Id="rId907" Type="http://schemas.openxmlformats.org/officeDocument/2006/relationships/hyperlink" Target="https://v16-webapp-prime.tiktok.com/video/tos/useast2a/tos-useast2a-ve-0068c003/oIfzA3oEiFTiI04AVoHImqmDIhsaBgQxCP5Eok/?a=1988&amp;bti=ODszNWYuMDE6&amp;ch=0&amp;cr=3&amp;dr=0&amp;lr=all&amp;cd=0%7C0%7C0%7C&amp;cv=1&amp;br=1106&amp;bt=553&amp;cs=0&amp;ds=3&amp;ft=-Csk_mrMPD12NdYopd-UxMTFGY6e3wv25LcAp&amp;mime_type=video_mp4&amp;qs=0&amp;rc=ZGczNjs7ZjU8aGg3ZDo6ZkBpMzs7ZWs5cjh4djMzNzczM0BjXmEvM2NgXmExYjFhMS9jYSNpZTBnMmQ0L29gLS1kMTZzcw%3D%3D&amp;btag=e00090000&amp;expire=1763173442&amp;l=202511131023026989DBCE704A6574DC2E&amp;ply_type=2&amp;policy=2&amp;signature=38ca10460f651d6bfb4d0fb157670ea8&amp;tk=tt_chain_token" TargetMode="External"/><Relationship Id="rId1617" Type="http://schemas.openxmlformats.org/officeDocument/2006/relationships/hyperlink" Target="https://p77-sign-va.tiktokcdn.com/tos-maliva-avt-0068/fa233712dfcf05abd3a56a8d8aa1b5c6~tplv-tiktokx-cropcenter:100:100.jpeg?dr=14579&amp;refresh_token=60c48fcf&amp;x-expires=1763172000&amp;x-signature=s74cMnVCzmPUsWg%2F4r8JhaMlBxA%3D&amp;t=4d5b0474&amp;ps=13740610&amp;shp=a5d48078&amp;shcp=81f88b70&amp;idc=my" TargetMode="External"/><Relationship Id="rId906"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618" Type="http://schemas.openxmlformats.org/officeDocument/2006/relationships/hyperlink" Target="https://sf16-ies-music-sg.tiktokcdn.com/obj/tos-alisg-ve-2774/okW1KyACiAlba86NBYtOa6piIOFrc8KgPUMgW" TargetMode="External"/><Relationship Id="rId905" Type="http://schemas.openxmlformats.org/officeDocument/2006/relationships/hyperlink" Target="https://v16-webapp-prime.tiktok.com/video/tos/useast2a/tos-useast2a-v-27dcd7/och3VgQNfCEtjCAAABJnZSBd4iBJiUA35fAE99/?a=1988&amp;bti=ODszNWYuMDE6&amp;ch=0&amp;cr=0&amp;dr=0&amp;er=0&amp;lr=default&amp;cd=0%7C0%7C0%7C0&amp;br=250&amp;bt=125&amp;ds=5&amp;ft=GNDpcInz7ThPV-UPXq8Zmo&amp;mime_type=audio_mpeg&amp;qs=13&amp;rc=ajM6cHc5cmR4djMzNzU8M0BpajM6cHc5cmR4djMzNzU8M0BiY2BwMmRzL29gLS1kMTZzYSNiY2BwMmRzL29gLS1kMTZzcw%3D%3D&amp;btag=e00050000&amp;expire=1763004242&amp;l=202511131023026989DBCE704A6574DC2E&amp;ply_type=3&amp;policy=3&amp;signature=900d34f9565558879c45641f2126672b&amp;tk=7571587458748974088" TargetMode="External"/><Relationship Id="rId1619" Type="http://schemas.openxmlformats.org/officeDocument/2006/relationships/hyperlink" Target="https://p77-sg.tiktokcdn.com/aweme/720x720/tos-alisg-v-2774/okEArPBPlAAi6gAWawaINBKWpUiECcAY3Dg8J.jpeg" TargetMode="External"/><Relationship Id="rId904"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909"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908" Type="http://schemas.openxmlformats.org/officeDocument/2006/relationships/hyperlink" Target="https://www.tiktok.com/@lorenatdahta/video/7437660820085034295" TargetMode="External"/><Relationship Id="rId903" Type="http://schemas.openxmlformats.org/officeDocument/2006/relationships/hyperlink" Target="https://www.tiktok.com/@saude_e_bemestar__/video/7345987860761201926" TargetMode="External"/><Relationship Id="rId902" Type="http://schemas.openxmlformats.org/officeDocument/2006/relationships/hyperlink" Target="https://v16-webapp-prime.tiktok.com/video/tos/alisg/tos-alisg-pve-0037c001/oEdMeIQ8vAIwcfQ9QBRloGBJYiBJiErkwiFEEz/?a=1988&amp;bti=ODszNWYuMDE6&amp;ch=0&amp;cr=3&amp;dr=0&amp;lr=all&amp;cd=0%7C0%7C0%7C&amp;cv=1&amp;br=1354&amp;bt=677&amp;cs=0&amp;ds=3&amp;ft=-Csk_mrMPD12Nyhopd-UxFN2aY6e3wv25ycAp&amp;mime_type=video_mp4&amp;qs=0&amp;rc=ZTQ8Zzk7ZDQzZ2Q4PDY8OEBpajtwZG05cng1cTMzNzczM0AwMjFiXmMyXjYxLmIyNjIxYSMxNTBsMmRrc21gLS1kMTZzcw%3D%3D&amp;btag=e00090000&amp;expire=1763173392&amp;l=2025111310220790E74D25ACF9796D8D06&amp;ply_type=2&amp;policy=2&amp;signature=7fbe96581453f39b706f5997d921be09&amp;tk=tt_chain_token" TargetMode="External"/><Relationship Id="rId901" Type="http://schemas.openxmlformats.org/officeDocument/2006/relationships/hyperlink" Target="https://p77-sg.tiktokcdn.com/aweme/720x720/tos-alisg-v-2774/43faa110cb7545508bcb8448e005da2d.jpeg" TargetMode="External"/><Relationship Id="rId900" Type="http://schemas.openxmlformats.org/officeDocument/2006/relationships/hyperlink" Target="https://sf16-ies-music-sg.tiktokcdn.com/obj/tos-alisg-ve-2774/o8FjDcNeA7EzFQBsGKorZ4e0agDwgHbfClgin7" TargetMode="External"/><Relationship Id="rId1600" Type="http://schemas.openxmlformats.org/officeDocument/2006/relationships/hyperlink" Target="https://v16-webapp-prime.tiktok.com/video/tos/alisg/tos-alisg-ve-37c813-sg/ogr0TAzrwJQalEEoj0FfBBQBvJvVnPIfRGDuEK/?a=1988&amp;bti=ODszNWYuMDE6&amp;ch=0&amp;cr=3&amp;dr=0&amp;lr=all&amp;cd=0%7C0%7C0%7C&amp;cv=1&amp;br=972&amp;bt=486&amp;cs=0&amp;ds=3&amp;ft=-Csk_mrMPD12Nn.opd-UxJTFGY6e3wv25bcAp&amp;mime_type=video_mp4&amp;qs=0&amp;rc=PGhpZjg1NThkNzloZTNoZkBpamlxdHE5cmxqNjMzNzczM0AyMzZgMGNeX18xNjFgNmNgYSM0NHBjMmRrZzZhLS1kMTZzcw%3D%3D&amp;btag=e00090000&amp;expire=1763173650&amp;l=2025111310254344385823DD6566920070&amp;ply_type=2&amp;policy=2&amp;signature=ba612c85a82b68a75f1bc2151241d7c1&amp;tk=tt_chain_token" TargetMode="External"/><Relationship Id="rId1601" Type="http://schemas.openxmlformats.org/officeDocument/2006/relationships/hyperlink" Target="https://www.tiktok.com/@cerebroturbo__/video/7553391761620520248" TargetMode="External"/><Relationship Id="rId1602" Type="http://schemas.openxmlformats.org/officeDocument/2006/relationships/hyperlink" Target="https://p77-sign-va.tiktokcdn.com/tos-maliva-avt-0068/f20e42c97e5018a93045c780ae6d0b58~tplv-tiktokx-cropcenter:100:100.jpeg?dr=14579&amp;refresh_token=cff10dc9&amp;x-expires=1763172000&amp;x-signature=ABNQYDagmtSi0iVkKKaCpfPhth0%3D&amp;t=4d5b0474&amp;ps=13740610&amp;shp=a5d48078&amp;shcp=81f88b70&amp;idc=my" TargetMode="External"/><Relationship Id="rId1603" Type="http://schemas.openxmlformats.org/officeDocument/2006/relationships/hyperlink" Target="https://v16-webapp-prime.tiktok.com/video/tos/useast2a/tos-useast2a-v-27dcd7/oUX8hlzXogMEBENCyAECL4fTKIg6kXN8AMA6zA/?a=1988&amp;bti=ODszNWYuMDE6&amp;ch=0&amp;cr=0&amp;dr=0&amp;er=0&amp;lr=default&amp;cd=0%7C0%7C0%7C0&amp;br=250&amp;bt=125&amp;ds=5&amp;ft=GNDpcInz7ThlV-UPXq8Zmo&amp;mime_type=audio_mpeg&amp;qs=13&amp;rc=M2ZubGY6ZmVpbDMzNzU8M0BpM2ZubGY6ZmVpbDMzNzU8M0BxZG1mcjRnLXFgLS1kMTZzYSNxZG1mcjRnLXFgLS1kMTZzcw%3D%3D&amp;btag=e00078000&amp;expire=1763004204&amp;l=20251113102257F8D01E3BFCE9B2911856&amp;ply_type=3&amp;policy=3&amp;signature=d87b578f87f742c0b4520247da0a4249&amp;tk=7571587458748974088" TargetMode="External"/><Relationship Id="rId1604" Type="http://schemas.openxmlformats.org/officeDocument/2006/relationships/hyperlink" Target="https://p16-sign-va.tiktokcdn.com/tos-maliva-avt-0068/f20e42c97e5018a93045c780ae6d0b58~tplv-tiktokx-cropcenter:1080:1080.jpeg?dr=14579&amp;refresh_token=2633645c&amp;x-expires=1763172000&amp;x-signature=ymlBkNH738Etmj%2Bf8E2nWhzZYl0%3D&amp;t=4d5b0474&amp;ps=13740610&amp;shp=a5d48078&amp;shcp=81f88b70&amp;idc=my" TargetMode="External"/><Relationship Id="rId1605" Type="http://schemas.openxmlformats.org/officeDocument/2006/relationships/hyperlink" Target="https://webapp-va.tiktok.com/749bf3e1d3b5b3baa47f51d03036da94/6917e41d/kmoat/mps/logo/v2/r/p/v09044g40000citf0a3c77u78rbrpds0/b9f677b07d514e0e948f6edc12cf0a90/a84459af17d5e3b8d9887a67b9ed09c3/mp4/main.mp4?a=1988&amp;bti=ODszNWYuMDE6&amp;ch=0&amp;cr=3&amp;dr=0&amp;lr=all&amp;cd=0%7C0%7C0%7C&amp;cv=1&amp;br=0&amp;bt=0&amp;cs=0&amp;ds=3&amp;eid=1286&amp;ft=bLZkJmrMPD12N4Yopd-Ux9T2bY6e3wv25IcAp&amp;mime_type=video_mp4&amp;qs=0&amp;rc=cnF8b2hsc2d3SkBwaHIxaDFybndmM2RpNWZoaTdoaDRnMzo5PEBpM2d1dTo6ZmRpbDMzNzczM0BjRl5Nc3FePmJKYSNvYF90aHFmOiM2LWAuYTM1Ni0xMjRfNGNfYSNwbV81cjQwLXFgLS1kMTZzcw%3D%3D&amp;btag=e000b8000&amp;definition=720p&amp;du=28&amp;item_id=7258377801055653125&amp;l=20251113102257F8D01E3BFCE9B2911856&amp;logo_type=tiktok_m&amp;ply_type=2&amp;policy=eyJ2bSI6MiwiY2siOiJ0dF9jaGFpbl90b2tlbiJ9&amp;user_text=gabrielafelizardopsi" TargetMode="External"/><Relationship Id="rId1606" Type="http://schemas.openxmlformats.org/officeDocument/2006/relationships/hyperlink" Target="https://www.tiktok.com/@gabrielafelizardopsi/video/7258377801055653125" TargetMode="External"/><Relationship Id="rId1607" Type="http://schemas.openxmlformats.org/officeDocument/2006/relationships/hyperlink" Target="https://p77-sign-va.tiktokcdn.com/tos-maliva-avt-0068/fa233712dfcf05abd3a56a8d8aa1b5c6~tplv-tiktokx-cropcenter:100:100.jpeg?dr=14579&amp;refresh_token=60c48fcf&amp;x-expires=1763172000&amp;x-signature=s74cMnVCzmPUsWg%2F4r8JhaMlBxA%3D&amp;t=4d5b0474&amp;ps=13740610&amp;shp=a5d48078&amp;shcp=81f88b70&amp;idc=my" TargetMode="External"/><Relationship Id="rId1608" Type="http://schemas.openxmlformats.org/officeDocument/2006/relationships/hyperlink" Target="https://sf16-ies-music-sg.tiktokcdn.com/obj/tos-alisg-ve-2774/o8GqEgu0g9vZCQ10nrYf6hFatzBRQdf3BadQDE" TargetMode="External"/><Relationship Id="rId1609" Type="http://schemas.openxmlformats.org/officeDocument/2006/relationships/hyperlink" Target="https://p16-sg.tiktokcdn.com/aweme/720x720/tos-alisg-v-2774/oYQjJ1AofFIJfOGZADzPpxCM5EDgFaAr9fAIcq.jpeg" TargetMode="External"/><Relationship Id="rId1631" Type="http://schemas.openxmlformats.org/officeDocument/2006/relationships/hyperlink" Target="https://www.tiktok.com/@diagnosticotdah/video/7572002848922160391" TargetMode="External"/><Relationship Id="rId1632" Type="http://schemas.openxmlformats.org/officeDocument/2006/relationships/drawing" Target="../drawings/drawing1.xml"/><Relationship Id="rId929" Type="http://schemas.openxmlformats.org/officeDocument/2006/relationships/hyperlink" Target="https://p77-sign-va.tiktokcdn.com/tos-maliva-avt-0068/8ea8087edb8a916268bd5c36a3bc49d1~tplv-tiktokx-cropcenter:100:100.jpeg?dr=14579&amp;refresh_token=69a132c6&amp;x-expires=1763172000&amp;x-signature=rZtGIHU4W9t3NYs6ywNkFpFZU0w%3D&amp;t=4d5b0474&amp;ps=13740610&amp;shp=a5d48078&amp;shcp=81f88b70&amp;idc=my" TargetMode="External"/><Relationship Id="rId928" Type="http://schemas.openxmlformats.org/officeDocument/2006/relationships/hyperlink" Target="https://www.tiktok.com/@igorpsicologo/video/7371972956039187717" TargetMode="External"/><Relationship Id="rId927" Type="http://schemas.openxmlformats.org/officeDocument/2006/relationships/hyperlink" Target="https://v16-webapp-prime.tiktok.com/video/tos/useast2a/tos-useast2a-pve-0068/oUAgdLmlPn9YGB0OjekCQfICgSITCijIeMvNQK/?a=1988&amp;bti=ODszNWYuMDE6&amp;ch=0&amp;cr=3&amp;dr=0&amp;lr=all&amp;cd=0%7C0%7C0%7C&amp;cv=1&amp;br=1890&amp;bt=945&amp;cs=0&amp;ds=3&amp;ft=I~da4oKyD12NvyA0i.IxRhq_glBF-UjNSmopiX&amp;mime_type=video_mp4&amp;qs=0&amp;rc=OWRoNWhmOzQzaDppaWU6OUBpamlncGo5cnY7czMzNzczM0AuYzJfYTNjX2IxMmNhLS4uYSMvZzVrMmRrMDRgLS1kMTZzcw%3D%3D&amp;btag=e00090000&amp;expire=1763173524&amp;l=202511131024200DA040BB1F5C349EC2B1&amp;ply_type=2&amp;policy=2&amp;signature=035fe4242940142a6f4650a394ab19f7&amp;tk=tt_chain_token" TargetMode="External"/><Relationship Id="rId926" Type="http://schemas.openxmlformats.org/officeDocument/2006/relationships/hyperlink" Target="https://p16-sign-va.tiktokcdn.com/tos-maliva-avt-0068/13a628e0ffd8c13e59721b894863e44e~tplv-tiktokx-cropcenter:1080:1080.jpeg?dr=14579&amp;refresh_token=eae8606b&amp;x-expires=1763172000&amp;x-signature=c5EEMKopNsmSJLQjs5NpeoYKOks%3D&amp;t=4d5b0474&amp;ps=13740610&amp;shp=a5d48078&amp;shcp=81f88b70&amp;idc=my" TargetMode="External"/><Relationship Id="rId921" Type="http://schemas.openxmlformats.org/officeDocument/2006/relationships/hyperlink" Target="https://p77-sg.tiktokcdn.com/aweme/720x720/tos-alisg-v-2774/o8CZDEgpEsoAeWtxEBnAtQFAgpHQVBf148CJcS.jpeg" TargetMode="External"/><Relationship Id="rId920" Type="http://schemas.openxmlformats.org/officeDocument/2006/relationships/hyperlink" Target="https://sf16-ies-music-sg.tiktokcdn.com/obj/tos-alisg-ve-2774/oMyOHOoBzAh6qWbii1nknBIZWAFsflLwCsMz8X" TargetMode="External"/><Relationship Id="rId925" Type="http://schemas.openxmlformats.org/officeDocument/2006/relationships/hyperlink" Target="https://v16-webapp-prime.tiktok.com/video/tos/useast2a/tos-useast2a-v-27dcd7/ogg0zgE4EABCoMBxEOBKAnuOVkimEJOiKAAwfA/?a=1988&amp;bti=ODszNWYuMDE6&amp;ch=0&amp;cr=0&amp;dr=0&amp;er=0&amp;lr=default&amp;cd=0%7C0%7C0%7C0&amp;br=250&amp;bt=125&amp;ds=5&amp;ft=GNDpcInz7Th_9-UPXq8Zmo&amp;mime_type=audio_mpeg&amp;qs=13&amp;rc=amhqZXI5cnI7czMzNzU8M0BpamhqZXI5cnI7czMzNzU8M0BeMWVsMmRzMTRgLS1kMTZzYSNeMWVsMmRzMTRgLS1kMTZzcw%3D%3D&amp;btag=e00050000&amp;expire=1763004324&amp;l=202511131024200DA040BB1F5C349EC2B1&amp;ply_type=3&amp;policy=3&amp;signature=06efe9308795e03958ed85bd843b9550&amp;tk=7571587458748974088" TargetMode="External"/><Relationship Id="rId924" Type="http://schemas.openxmlformats.org/officeDocument/2006/relationships/hyperlink" Target="https://p16-sign-va.tiktokcdn.com/tos-maliva-avt-0068/13a628e0ffd8c13e59721b894863e44e~tplv-tiktokx-cropcenter:100:100.jpeg?dr=14579&amp;refresh_token=8a646f5b&amp;x-expires=1763172000&amp;x-signature=wEMDy6bzR%2F81%2B%2BXiO4MKqevzG6s%3D&amp;t=4d5b0474&amp;ps=13740610&amp;shp=a5d48078&amp;shcp=81f88b70&amp;idc=my" TargetMode="External"/><Relationship Id="rId923" Type="http://schemas.openxmlformats.org/officeDocument/2006/relationships/hyperlink" Target="https://www.tiktok.com/@psi.walace/video/7522608262601067781" TargetMode="External"/><Relationship Id="rId922" Type="http://schemas.openxmlformats.org/officeDocument/2006/relationships/hyperlink" Target="https://v16-webapp-prime.tiktok.com/video/tos/useast2a/tos-useast2a-ve-0068c003/okaBQ8dfllOoFBAsIpItRrEDQEAEJqQfHqZ1Ey/?a=1988&amp;bti=ODszNWYuMDE6&amp;ch=0&amp;cr=3&amp;dr=0&amp;lr=all&amp;cd=0%7C0%7C0%7C&amp;cv=1&amp;br=3176&amp;bt=1588&amp;cs=0&amp;ds=3&amp;ft=-Csk_mrMPD12Nn.opd-UxJTFGY6e3wv25bcAp&amp;mime_type=video_mp4&amp;qs=0&amp;rc=Zmk6aTdkZDRlZGQ7Ojg8Z0BpajdleXA5cnF0NDMzNzczM0AyXjQzLjBfNWIxMjRgXmAxYSNqbHEuMmRjaGZhLS1kMTZzcw%3D%3D&amp;btag=e00090000&amp;expire=1763173630&amp;l=2025111310254344385823DD6566920070&amp;ply_type=2&amp;policy=2&amp;signature=a9beda0b2453cbefaf0699cc1c35d75c&amp;tk=tt_chain_token" TargetMode="External"/><Relationship Id="rId1630" Type="http://schemas.openxmlformats.org/officeDocument/2006/relationships/hyperlink" Target="https://webapp-sg.tiktok.com/44f320ae91bc20971958828a3eb19f2e/6917e40a/kmoat/mps/logo/v2/r/p/v14044g50000d4aig3fog65gvhurv9kg/c9341be0d5ef49d7a4135853c6f06089/e61154967b0a755c4341bf379b299eb5/mp4/main.mp4?a=1988&amp;bti=ODszNWYuMDE6&amp;ch=0&amp;cr=3&amp;dr=0&amp;lr=all&amp;cd=0%7C0%7C0%7C&amp;br=0&amp;bt=0&amp;cs=0&amp;ds=3&amp;ft=bLZkAmrMPD12N4Yopd-Ux9T2bY6e3wv25IcAp&amp;mime_type=video_mp4&amp;qs=0&amp;rc=cnF8b2hsc2d3SkBwaHIxaDFybndmPDMzOTY7Njc6PGk4M2U3PEBpajx1a2o5cjZsNzMzODczNEBjRl5Nc3FePmJKYSNvYF90aHFmOiM1M2NgMjIuXmExYmFiLjBgYSNoc3JzMmRjZF5hLS1kMTFzcw%3D%3D&amp;btag=e000b0000&amp;definition=720p&amp;du=9&amp;item_id=7572002848922160391&amp;l=20251113102257F8D01E3BFCE9B2911856&amp;logo_type=tiktok&amp;ply_type=2&amp;policy=eyJ2bSI6MiwiY2siOiJ0dF9jaGFpbl90b2tlbiJ9&amp;user_text=diagnosticotdah" TargetMode="External"/><Relationship Id="rId1620" Type="http://schemas.openxmlformats.org/officeDocument/2006/relationships/hyperlink" Target="https://v16-webapp-prime.tiktok.com/video/tos/alisg/tos-alisg-ve-37c813-sg/oQJzgeNJGCURLCqIBKISh7QHCCSIfg8ggHje3A/?a=1988&amp;bti=ODszNWYuMDE6&amp;ch=0&amp;cr=3&amp;dr=0&amp;lr=all&amp;cd=0%7C0%7C0%7C&amp;cv=1&amp;br=1160&amp;bt=580&amp;cs=0&amp;ds=3&amp;ft=-Csk_mrMPD12Nzhopd-UxfeFaY6e3wv25HcAp&amp;mime_type=video_mp4&amp;qs=0&amp;rc=Z2U3ZWc2Nzs7ZTRkMzplPEBpMzlvc3I5cnJqNTMzNzczM0AvYjEvNS5iNmMxY14tYC1gYSNscDM0MmQ0cS9hLS1kMTZzcw%3D%3D&amp;btag=e00090000&amp;expire=1763173427&amp;l=202511131022442EE54DE47B86CCA867A8&amp;ply_type=2&amp;policy=2&amp;signature=772402aa4caaf078993542a839fb015d&amp;tk=tt_chain_token" TargetMode="External"/><Relationship Id="rId1621" Type="http://schemas.openxmlformats.org/officeDocument/2006/relationships/hyperlink" Target="https://www.tiktok.com/@tdahcommaisperformance/video/7531442613426081030" TargetMode="External"/><Relationship Id="rId1622" Type="http://schemas.openxmlformats.org/officeDocument/2006/relationships/hyperlink" Target="https://p16-sign-va.tiktokcdn.com/tos-maliva-avt-0068/1d02d4b8d1eb753399e75ad329376f22~tplv-tiktokx-cropcenter:100:100.jpeg?dr=14579&amp;refresh_token=1b342f59&amp;x-expires=1763172000&amp;x-signature=XLMINQQwSr5JZKEeyoxV%2FymXoqE%3D&amp;t=4d5b0474&amp;ps=13740610&amp;shp=a5d48078&amp;shcp=81f88b70&amp;idc=my" TargetMode="External"/><Relationship Id="rId1623" Type="http://schemas.openxmlformats.org/officeDocument/2006/relationships/hyperlink" Target="https://v16-webapp-prime.tiktok.com/video/tos/useast2a/tos-useast2a-v-27dcd7/o4CuEkKsazBzlcAQAMfFgEyADKboKA7aETNSRh/?a=1988&amp;bti=ODszNWYuMDE6&amp;ch=0&amp;cr=0&amp;dr=0&amp;er=0&amp;lr=default&amp;cd=0%7C0%7C0%7C0&amp;br=250&amp;bt=125&amp;ds=5&amp;ft=GNDpcInz7ThVY-UPXq8Zmo&amp;mime_type=audio_mpeg&amp;qs=13&amp;rc=M2RnOjg6ZmdzbTMzNzU8M0BpM2RnOjg6ZmdzbTMzNzU8M0Ayai9qcjQwYjVgLS1kMTZzYSMyai9qcjQwYjVgLS1kMTZzcw%3D%3D&amp;btag=e00048000&amp;expire=1763004452&amp;l=202511131026378F10DAFBB0AF239B249B&amp;ply_type=3&amp;policy=3&amp;signature=7c6b96187908c3e9a9d4a63e90c6fc6f&amp;tk=7571587458748974088" TargetMode="External"/><Relationship Id="rId1624" Type="http://schemas.openxmlformats.org/officeDocument/2006/relationships/hyperlink" Target="https://p16-sign-va.tiktokcdn.com/tos-maliva-avt-0068/eb1b80d0619d293dac344b247b343d49~tplv-tiktokx-cropcenter:1080:1080.jpeg?dr=14579&amp;refresh_token=bfa82826&amp;x-expires=1763172000&amp;x-signature=XHma%2BVW%2F%2FKxG7NmLmYjnvh0qnCY%3D&amp;t=4d5b0474&amp;ps=13740610&amp;shp=a5d48078&amp;shcp=81f88b70&amp;idc=my" TargetMode="External"/><Relationship Id="rId1625" Type="http://schemas.openxmlformats.org/officeDocument/2006/relationships/hyperlink" Target="https://v16-webapp-prime.tiktok.com/video/tos/no1a/tos-no1a-ve-0068-no/okzgE4Ij1IBn34GfLBALBFZuIePsSxIDSQrfLA/?a=1988&amp;bti=ODszNWYuMDE6&amp;ch=0&amp;cr=3&amp;dr=0&amp;lr=all&amp;cd=0%7C0%7C0%7C&amp;cv=1&amp;br=2438&amp;bt=1219&amp;cs=0&amp;ds=3&amp;ft=-Csk_mrMPD12NY_opd-Uxz42hY6e3wv25ycAp&amp;mime_type=video_mp4&amp;qs=0&amp;rc=ZjZnMzw5M2ZkZzlnZzM8aUBpMzRzdHk5cnhtNzMzbzczNUA0YmNiNi1iXy0xYl9iY2NiYSNwcl5xMmQ0bjJhLS1kMTFzcw%3D%3D&amp;btag=e000b0000&amp;expire=1763173610&amp;l=202511131026378F10DAFBB0AF239B249B&amp;ply_type=2&amp;policy=2&amp;signature=eb04d117bd5744836de4d0eae69d9ca7&amp;tk=tt_chain_token" TargetMode="External"/><Relationship Id="rId1626" Type="http://schemas.openxmlformats.org/officeDocument/2006/relationships/hyperlink" Target="https://www.tiktok.com/@tdah_adultos/video/7569211232180260118" TargetMode="External"/><Relationship Id="rId1627" Type="http://schemas.openxmlformats.org/officeDocument/2006/relationships/hyperlink" Target="https://p16-sign-sg.tiktokcdn.com/tos-alisg-avt-0068/ec79388a1781d72af549fa1e9628e4db~tplv-tiktokx-cropcenter:100:100.jpeg?dr=14579&amp;refresh_token=4364bd8a&amp;x-expires=1763172000&amp;x-signature=1yR5bqZw2vSJ3RzrfNnjJDUxIL0%3D&amp;t=4d5b0474&amp;ps=13740610&amp;shp=a5d48078&amp;shcp=81f88b70&amp;idc=my" TargetMode="External"/><Relationship Id="rId918" Type="http://schemas.openxmlformats.org/officeDocument/2006/relationships/hyperlink" Target="https://www.tiktok.com/@psicologiaemcortes/video/7278465152897322246" TargetMode="External"/><Relationship Id="rId1628" Type="http://schemas.openxmlformats.org/officeDocument/2006/relationships/hyperlink" Target="https://sf16-ies-music-sg.tiktokcdn.com/obj/tos-alisg-ve-2774/oUYj0AM7GOBjwwBBIbXWAgGkzoiwsckiC12gfg" TargetMode="External"/><Relationship Id="rId917" Type="http://schemas.openxmlformats.org/officeDocument/2006/relationships/hyperlink" Target="https://v16-webapp-prime.tiktok.com/video/tos/alisg/tos-alisg-pve-0037c001/oYJBA8cAOkVnVuEZQIYRU0byEXBe8lDlQIREfH/?a=1988&amp;bti=ODszNWYuMDE6&amp;ch=0&amp;cr=3&amp;dr=0&amp;lr=all&amp;cd=0%7C0%7C0%7C&amp;cv=1&amp;br=2038&amp;bt=1019&amp;cs=0&amp;ds=3&amp;ft=-Csk_mrMPD12NY_opd-Uxz42hY6e3wv25ycAp&amp;mime_type=video_mp4&amp;qs=0&amp;rc=OTM6ODs4ZjM7OzY0OGRkNkBpanFlbTU6Zmc3bjMzNzczM0A0My1hLWIxNi0xNmEzLmNgYSM1cmVfcjQwbS5gLS1kMTZzcw%3D%3D&amp;btag=e00090000&amp;expire=1763173661&amp;l=202511131026378F10DAFBB0AF239B249B&amp;ply_type=2&amp;policy=2&amp;signature=2d2fd0df9e572556494eb99cecd40774&amp;tk=tt_chain_token" TargetMode="External"/><Relationship Id="rId1629" Type="http://schemas.openxmlformats.org/officeDocument/2006/relationships/hyperlink" Target="https://p16-sg.tiktokcdn.com/aweme/720x720/tos-alisg-v-2774/o0qAQDFW7QAoOzAAfgaysXQMrgi5M8pCgffRxR.jpeg" TargetMode="External"/><Relationship Id="rId916" Type="http://schemas.openxmlformats.org/officeDocument/2006/relationships/hyperlink" Target="https://p77-sign-va.tiktokcdn.com/tos-maliva-avt-0068/653ecd097a40a9bcfe371c2a0424bd79~tplv-tiktokx-cropcenter:1080:1080.jpeg?dr=14579&amp;refresh_token=98a46e7b&amp;x-expires=1763172000&amp;x-signature=o4nVKagKL2C2lLVoPrHobsBxhRU%3D&amp;t=4d5b0474&amp;ps=13740610&amp;shp=a5d48078&amp;shcp=81f88b70&amp;idc=my" TargetMode="External"/><Relationship Id="rId915" Type="http://schemas.openxmlformats.org/officeDocument/2006/relationships/hyperlink" Target="https://v16-webapp-prime.tiktok.com/video/tos/useast2a/tos-useast2a-v-27dcd7/oQA7TSv2zEAYBCBbBmfAkLEFwAtCyAgEhMo9Kg/?a=1988&amp;bti=ODszNWYuMDE6&amp;ch=0&amp;cr=0&amp;dr=0&amp;er=0&amp;lr=default&amp;cd=0%7C0%7C0%7C0&amp;br=250&amp;bt=125&amp;ds=5&amp;ft=GNDpcInz7ThVY-UPXq8Zmo&amp;mime_type=audio_mpeg&amp;qs=13&amp;rc=ampoaTQ6ZjU3bjMzNzU8M0BpampoaTQ6ZjU3bjMzNzU8M0AtYWNvcjRvby5gLS1kMTZzYSMtYWNvcjRvby5gLS1kMTZzcw%3D%3D&amp;btag=e00050000&amp;expire=1763004461&amp;l=202511131026378F10DAFBB0AF239B249B&amp;ply_type=3&amp;policy=3&amp;signature=91144d1728f7fb3223ae1460752608b2&amp;tk=7571587458748974088" TargetMode="External"/><Relationship Id="rId919"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910" Type="http://schemas.openxmlformats.org/officeDocument/2006/relationships/hyperlink" Target="https://v16-webapp-prime.tiktok.com/video/tos/useast2a/tos-useast2a-v-2370-euttp/o0VAjGfE2gd2Mj5eZEENTbEoAYEOFcoADeAe47/?a=1988&amp;bti=ODszNWYuMDE6&amp;ch=0&amp;cr=0&amp;dr=0&amp;er=0&amp;lr=default&amp;cd=0%7C0%7C0%7C0&amp;br=250&amp;bt=125&amp;ds=5&amp;ft=GNDpcInz7ThiV-UPXq8Zmo&amp;mime_type=audio_mpeg&amp;qs=13&amp;rc=ajZrcHg5cnJ4cjMzZjU8M0BpajZrcHg5cnJ4cjMzZjU8M0BwazBgMmRzM3FgLS1kMWNzYSNwazBgMmRzM3FgLS1kMWNzcw%3D%3D&amp;btag=e00058000&amp;expire=1763004488&amp;l=2025111310235634FE9FF2AA2A079ADB1D&amp;ply_type=3&amp;policy=3&amp;signature=5a1b25db527e8813b1047639569ca417&amp;tk=7571587458748974088" TargetMode="External"/><Relationship Id="rId914" Type="http://schemas.openxmlformats.org/officeDocument/2006/relationships/hyperlink" Target="https://p16-sign-va.tiktokcdn.com/tos-maliva-avt-0068/653ecd097a40a9bcfe371c2a0424bd79~tplv-tiktokx-cropcenter:100:100.jpeg?dr=14579&amp;refresh_token=110d9eb9&amp;x-expires=1763172000&amp;x-signature=KtNPjl5cFdOOOa4KErphKToGqI8%3D&amp;t=4d5b0474&amp;ps=13740610&amp;shp=a5d48078&amp;shcp=81f88b70&amp;idc=my" TargetMode="External"/><Relationship Id="rId913" Type="http://schemas.openxmlformats.org/officeDocument/2006/relationships/hyperlink" Target="https://www.tiktok.com/@liberdade.mentall/video/7526191272176913669" TargetMode="External"/><Relationship Id="rId912" Type="http://schemas.openxmlformats.org/officeDocument/2006/relationships/hyperlink" Target="https://v16-webapp-prime.tiktok.com/video/tos/useast2a/tos-useast2a-ve-0068c001/o44CgOakZEATOJOjnmjJyfQdHoiz4ABx0INIki/?a=1988&amp;bti=ODszNWYuMDE6&amp;ch=0&amp;cr=3&amp;dr=0&amp;lr=all&amp;cd=0%7C0%7C0%7C&amp;cv=1&amp;br=866&amp;bt=433&amp;cs=0&amp;ds=3&amp;ft=-Csk_mrMPD12N3Yopd-Ux24FaY6e3wv25WcAp&amp;mime_type=video_mp4&amp;qs=0&amp;rc=aTw7ZTNmPDk5aTNmNTxmN0BpamhwO205cmc5NDMzNzczM0BeYDBiLjNhX2MxL15fYy4yYSMwYm1wMmRjNm1hLS1kMTZzcw%3D%3D&amp;btag=e00098000&amp;expire=1763173617&amp;l=2025111310235634FE9FF2AA2A079ADB1D&amp;ply_type=2&amp;policy=2&amp;signature=7dae5d12e58f72150dcd49c08b605d1b&amp;tk=tt_chain_token" TargetMode="External"/><Relationship Id="rId911" Type="http://schemas.openxmlformats.org/officeDocument/2006/relationships/hyperlink" Target="https://p19-common-sign-useastred.tiktokcdn-eu.com/tos-useast2a-avt-0068-euttp/aef08c932f06f3dfcbe7cd92188a70ad~tplv-tiktokx-cropcenter:1080:1080.jpeg?dr=14579&amp;refresh_token=627d8a72&amp;x-expires=1763172000&amp;x-signature=ZQdP%2FP9noPRlAH6cw5YlQJLKyU4%3D&amp;t=4d5b0474&amp;ps=13740610&amp;shp=a5d48078&amp;shcp=81f88b70&amp;idc=my" TargetMode="External"/><Relationship Id="rId1213" Type="http://schemas.openxmlformats.org/officeDocument/2006/relationships/hyperlink" Target="https://p77-sign-va.tiktokcdn.com/tos-maliva-avt-0068/0cd4c9b7007a45e4404298356f4754cc~tplv-tiktokx-cropcenter:100:100.jpeg?dr=14579&amp;refresh_token=52874423&amp;x-expires=1763172000&amp;x-signature=CaTFJaMkD3grhmMVucqsvtfJ2ZM%3D&amp;t=4d5b0474&amp;ps=13740610&amp;shp=a5d48078&amp;shcp=81f88b70&amp;idc=my" TargetMode="External"/><Relationship Id="rId1214" Type="http://schemas.openxmlformats.org/officeDocument/2006/relationships/hyperlink" Target="https://v16-webapp-prime.tiktok.com/video/tos/useast2a/tos-useast2a-v-27dcd7/oEaAlgNDx7BIioREACc2jQ40CqQEAPiURSwiA/?a=1988&amp;bti=ODszNWYuMDE6&amp;ch=0&amp;cr=0&amp;dr=0&amp;er=0&amp;lr=default&amp;cd=0%7C0%7C0%7C0&amp;br=250&amp;bt=125&amp;ds=5&amp;ft=GNDpcInz7ThiV-UPXq8Zmo&amp;mime_type=audio_mpeg&amp;qs=13&amp;rc=M2poaHI5cjU3NjMzNzU8M0BpM2poaHI5cjU3NjMzNzU8M0BuaXBvMmQ0MmJhLS1kMTZzYSNuaXBvMmQ0MmJhLS1kMTZzcw%3D%3D&amp;btag=e00050000&amp;expire=1763004407&amp;l=2025111310235634FE9FF2AA2A079ADB1D&amp;ply_type=3&amp;policy=3&amp;signature=2c4d94eec4814eeb2a0d98e931df9450&amp;tk=7571587458748974088" TargetMode="External"/><Relationship Id="rId1215" Type="http://schemas.openxmlformats.org/officeDocument/2006/relationships/hyperlink" Target="https://p16-sign-va.tiktokcdn.com/tos-maliva-avt-0068/0cd4c9b7007a45e4404298356f4754cc~tplv-tiktokx-cropcenter:1080:1080.jpeg?dr=14579&amp;refresh_token=3cd4b148&amp;x-expires=1763172000&amp;x-signature=Qu5lGrOnHChfEvpq%2BOZMSzEVRuM%3D&amp;t=4d5b0474&amp;ps=13740610&amp;shp=a5d48078&amp;shcp=81f88b70&amp;idc=my" TargetMode="External"/><Relationship Id="rId1216" Type="http://schemas.openxmlformats.org/officeDocument/2006/relationships/hyperlink" Target="https://v16-webapp-prime.tiktok.com/video/tos/alisg/tos-alisg-ve-37c813-sg/o4ouQ4AEADEK1QQoytpBfF48JBJ9aIlCRE3xfg/?a=1988&amp;bti=ODszNWYuMDE6&amp;ch=0&amp;cr=3&amp;dr=0&amp;lr=all&amp;cd=0%7C0%7C0%7C&amp;cv=1&amp;br=1928&amp;bt=964&amp;cs=0&amp;ds=3&amp;ft=-Csk_mrMPD12N3Yopd-Ux24FaY6e3wv25WcAp&amp;mime_type=video_mp4&amp;qs=0&amp;rc=PDhoNWhlaThlOmg7Ojs8NEBpajM2bng5cnA3NjMzNzczM0AtMV4wX2FgNTUxXi0uNDAxYSNgaWstMmRrMWJhLS1kMTZzcw%3D%3D&amp;btag=e00090000&amp;expire=1763173606&amp;l=2025111310235634FE9FF2AA2A079ADB1D&amp;ply_type=2&amp;policy=2&amp;signature=f6c25385efbd67b0e1b3784c2e4114d8&amp;tk=tt_chain_token" TargetMode="External"/><Relationship Id="rId1217" Type="http://schemas.openxmlformats.org/officeDocument/2006/relationships/hyperlink" Target="https://www.tiktok.com/@esquecidepostar/video/7555987366880726328" TargetMode="External"/><Relationship Id="rId1218"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219" Type="http://schemas.openxmlformats.org/officeDocument/2006/relationships/hyperlink" Target="https://v16-webapp-prime.tiktok.com/video/tos/useast2a/tos-useast2a-v-27dcd7/oIbA6CeIEgvdQ5YSZICOTEEzAgIyLeoAGBClKf/?a=1988&amp;bti=ODszNWYuMDE6&amp;ch=0&amp;cr=0&amp;dr=0&amp;er=0&amp;lr=default&amp;cd=0%7C0%7C0%7C0&amp;br=250&amp;bt=125&amp;ds=5&amp;ft=GNDpcInz7ThA9-UPXq8Zmo&amp;mime_type=audio_mpeg&amp;qs=13&amp;rc=M3d2OWo5cnFsNDMzNzU8M0BpM3d2OWo5cnFsNDMzNzU8M0AzMS5fMmQ0Z2NhLS1kMTZzYSMzMS5fMmQ0Z2NhLS1kMTZzcw%3D%3D&amp;btag=e00050000&amp;expire=1763004351&amp;l=20251113102449DDADD1FB7AF14A841409&amp;ply_type=3&amp;policy=3&amp;signature=6462d4bb190d62315db61218c36b2f19&amp;tk=7571587458748974088" TargetMode="External"/><Relationship Id="rId866" Type="http://schemas.openxmlformats.org/officeDocument/2006/relationships/hyperlink" Target="https://p16-sign-va.tiktokcdn.com/tos-maliva-avt-0068/23b777db124c1b95b2dc2d822ec8df52~tplv-tiktokx-cropcenter:1080:1080.jpeg?dr=14579&amp;refresh_token=5896c8d9&amp;x-expires=1763172000&amp;x-signature=mHCRw9D47Suyg0mnLspPds2uS9k%3D&amp;t=4d5b0474&amp;ps=13740610&amp;shp=a5d48078&amp;shcp=81f88b70&amp;idc=my" TargetMode="External"/><Relationship Id="rId865" Type="http://schemas.openxmlformats.org/officeDocument/2006/relationships/hyperlink" Target="https://v16-webapp-prime.tiktok.com/video/tos/useast2a/tos-useast2a-v-27dcd7/oweiAneEOAeXC6gbogSmvSK6vAT1TEX1DEQCAA/?a=1988&amp;bti=ODszNWYuMDE6&amp;ch=0&amp;cr=0&amp;dr=0&amp;er=0&amp;lr=default&amp;cd=0%7C0%7C0%7C0&amp;br=250&amp;bt=125&amp;ds=5&amp;ft=GNDpcInz7ThbK-UPXq8Zmo&amp;mime_type=audio_mpeg&amp;qs=13&amp;rc=M3g0bzw6ZjtlbjMzNzU8M0BpM3g0bzw6ZjtlbjMzNzU8M0A0aXE1cjQwc2dgLS1kMTZzYSM0aXE1cjQwc2dgLS1kMTZzcw%3D%3D&amp;btag=e00050000&amp;expire=1763004224&amp;l=202511131022442EE54DE47B86CCA867A8&amp;ply_type=3&amp;policy=3&amp;signature=1c47f1f2b3d488b21d60574c2c7e755b&amp;tk=7571587458748974088" TargetMode="External"/><Relationship Id="rId864" Type="http://schemas.openxmlformats.org/officeDocument/2006/relationships/hyperlink" Target="https://p77-sign-va.tiktokcdn.com/tos-maliva-avt-0068/23b777db124c1b95b2dc2d822ec8df52~tplv-tiktokx-cropcenter:100:100.jpeg?dr=14579&amp;refresh_token=4983de01&amp;x-expires=1763172000&amp;x-signature=Vgeog0EzgTcK0BAMlQCI3Zj%2B0XQ%3D&amp;t=4d5b0474&amp;ps=13740610&amp;shp=a5d48078&amp;shcp=81f88b70&amp;idc=my" TargetMode="External"/><Relationship Id="rId863" Type="http://schemas.openxmlformats.org/officeDocument/2006/relationships/hyperlink" Target="https://www.tiktok.com/@psi.walace/video/7550439692097916166" TargetMode="External"/><Relationship Id="rId869"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868" Type="http://schemas.openxmlformats.org/officeDocument/2006/relationships/hyperlink" Target="https://www.tiktok.com/@paulokagawa/video/7288723543515335942" TargetMode="External"/><Relationship Id="rId867" Type="http://schemas.openxmlformats.org/officeDocument/2006/relationships/hyperlink" Target="https://v16-webapp-prime.tiktok.com/video/tos/useast2a/tos-useast2a-pve-0068/o4TAgCHXeqPgjagI4XfC4ANC2FSAJKRImagqfz/?a=1988&amp;bti=ODszNWYuMDE6&amp;ch=0&amp;cr=3&amp;dr=0&amp;lr=all&amp;cd=0%7C0%7C0%7C&amp;cv=1&amp;br=2248&amp;bt=1124&amp;cs=0&amp;ds=3&amp;ft=-Csk_mrMPD12Nzhopd-UxfeFaY6e3wv25HcAp&amp;mime_type=video_mp4&amp;qs=0&amp;rc=ZTY6aTY5Z2Y6Mzs6NTs7NkBpMzV0aTM6ZjhlbjMzNzczM0BgYS0vYzAyNWAxMC9jMl4zYSMxLnJpcjRfcmdgLS1kMTZzcw%3D%3D&amp;btag=e00090000&amp;expire=1763173424&amp;l=202511131022442EE54DE47B86CCA867A8&amp;ply_type=2&amp;policy=2&amp;signature=2b4f5785ec369b56c6271495c31266e3&amp;tk=tt_chain_token" TargetMode="External"/><Relationship Id="rId862" Type="http://schemas.openxmlformats.org/officeDocument/2006/relationships/hyperlink" Target="https://v16-webapp-prime.tiktok.com/video/tos/useast2a/tos-useast2a-pve-0068/o0I3IgggA83EoQR0REkiiZVZIAnfzHvItoBjCN/?a=1988&amp;bti=ODszNWYuMDE6&amp;ch=0&amp;cr=3&amp;dr=0&amp;lr=all&amp;cd=0%7C0%7C0%7C&amp;cv=1&amp;br=1710&amp;bt=855&amp;cs=0&amp;ds=3&amp;ft=I~da4oKyD12Nv5A0i.IxRIk_glBF-UjNSbopiX&amp;mime_type=video_mp4&amp;qs=0&amp;rc=ZDw2ZTVkNTg8ZDVpODxlNUBpajs0c3Y5cmo7NjMzNzczM0A1LzMvLS0vXy0xNjExMTYtYSM1X3AzMmRjbTFhLS1kMTZzcw%3D%3D&amp;btag=e00090000&amp;expire=1763173525&amp;l=20251113102410CE8B814C77F7637842AC&amp;ply_type=2&amp;policy=2&amp;signature=7d3ac65a386ffadaed614702608f46c4&amp;tk=tt_chain_token" TargetMode="External"/><Relationship Id="rId861" Type="http://schemas.openxmlformats.org/officeDocument/2006/relationships/hyperlink" Target="https://p77-sign-va.tiktokcdn.com/tos-maliva-avt-0068/1b1ab6d65ae96fbe11db1ee88f115e37~tplv-tiktokx-cropcenter:1080:1080.jpeg?dr=14579&amp;refresh_token=d66e5223&amp;x-expires=1763172000&amp;x-signature=R6kR8LEXgLbL9Kvgxfo27gqUrfM%3D&amp;t=4d5b0474&amp;ps=13740610&amp;shp=a5d48078&amp;shcp=81f88b70&amp;idc=my" TargetMode="External"/><Relationship Id="rId1210" Type="http://schemas.openxmlformats.org/officeDocument/2006/relationships/hyperlink" Target="https://p77-sign-va.tiktokcdn.com/tos-maliva-avt-0068/7322120458198646790~tplv-tiktokx-cropcenter:1080:1080.jpeg?dr=14579&amp;refresh_token=e3900e49&amp;x-expires=1763172000&amp;x-signature=1R%2BcaSikGlCputkzWLqX5T1i2gY%3D&amp;t=4d5b0474&amp;ps=13740610&amp;shp=a5d48078&amp;shcp=81f88b70&amp;idc=my" TargetMode="External"/><Relationship Id="rId860" Type="http://schemas.openxmlformats.org/officeDocument/2006/relationships/hyperlink" Target="https://v16-webapp-prime.tiktok.com/video/tos/useast2a/tos-useast2a-v-27dcd7/ocvImNa6vAQ0CUSA7iDaRRjlLiAAMBQiEEcA6/?a=1988&amp;bti=ODszNWYuMDE6&amp;ch=0&amp;cr=0&amp;dr=0&amp;er=0&amp;lr=default&amp;cd=0%7C0%7C0%7C0&amp;br=250&amp;bt=125&amp;ds=5&amp;ft=GNDpcInz7ThN9-UPXq8Zmo&amp;mime_type=audio_mpeg&amp;qs=13&amp;rc=M3RkN245cjM7NjMzNzU8M0BpM3RkN245cjM7NjMzNzU8M0BiYWNhMmRrbjFhLS1kMTZzYSNiYWNhMmRrbjFhLS1kMTZzcw%3D%3D&amp;btag=e00050000&amp;expire=1763004325&amp;l=20251113102410CE8B814C77F7637842AC&amp;ply_type=3&amp;policy=3&amp;signature=73735c0a0efd372a41364281dbea6afa&amp;tk=7571587458748974088" TargetMode="External"/><Relationship Id="rId1211" Type="http://schemas.openxmlformats.org/officeDocument/2006/relationships/hyperlink" Target="https://v16-webapp-prime.tiktok.com/video/tos/alisg/tos-alisg-pve-0037c001/oMA3ZPuQEivBQU7ivm3yCBcSBQEEdV7Q9wIYi/?a=1988&amp;bti=ODszNWYuMDE6&amp;ch=0&amp;cr=3&amp;dr=0&amp;lr=all&amp;cd=0%7C0%7C0%7C&amp;cv=1&amp;br=1650&amp;bt=825&amp;cs=0&amp;ds=3&amp;ft=-Csk_mrMPD12N_hopd-Ux315hY6e3wv25dcAp&amp;mime_type=video_mp4&amp;qs=0&amp;rc=ZDc0ZztpNTY0ZTw5ZWY6Z0BpM29vaXE5cjd1dTMzNzczM0AuYC1gLWFjNl8xLl4uLmAuYSNrZF9tMmQ0anBgLS1kMTZzcw%3D%3D&amp;btag=e000b8000&amp;expire=1763173388&amp;l=20251113102250DC012CE1E68AEAAA2B86&amp;ply_type=2&amp;policy=2&amp;signature=4cb5c58e4872d86764d88ae4f1d65858&amp;tk=tt_chain_token" TargetMode="External"/><Relationship Id="rId1212" Type="http://schemas.openxmlformats.org/officeDocument/2006/relationships/hyperlink" Target="https://www.tiktok.com/@dotewill/video/7420167502379945221" TargetMode="External"/><Relationship Id="rId1202" Type="http://schemas.openxmlformats.org/officeDocument/2006/relationships/hyperlink" Target="https://www.tiktok.com/@liberdade.mentall/video/7328130556401569029" TargetMode="External"/><Relationship Id="rId1203" Type="http://schemas.openxmlformats.org/officeDocument/2006/relationships/hyperlink" Target="https://p16-sign-va.tiktokcdn.com/tos-maliva-avt-0068/7c37b76173649fc5b2582a6d66b305c7~tplv-tiktokx-cropcenter:100:100.jpeg?dr=14579&amp;refresh_token=96efa47a&amp;x-expires=1763172000&amp;x-signature=aeajtG60UGdflI%2FugnxH9jfjq0o%3D&amp;t=4d5b0474&amp;ps=13740610&amp;shp=a5d48078&amp;shcp=81f88b70&amp;idc=my" TargetMode="External"/><Relationship Id="rId1204" Type="http://schemas.openxmlformats.org/officeDocument/2006/relationships/hyperlink" Target="https://sf16-ies-music-sg.tiktokcdn.com/obj/tos-alisg-ve-2774/ooQ6cZBoa5mlRFzu14fDFggtQ9BfCTygVYDOEp" TargetMode="External"/><Relationship Id="rId1205" Type="http://schemas.openxmlformats.org/officeDocument/2006/relationships/hyperlink" Target="https://p16-sg.tiktokcdn.com/aweme/720x720/tos-alisg-v-2774/oQcWjf9n9w2sBBAEALwiBmAorAciEtvm0FbHAD.jpeg" TargetMode="External"/><Relationship Id="rId1206" Type="http://schemas.openxmlformats.org/officeDocument/2006/relationships/hyperlink" Target="https://v16-webapp-prime.tiktok.com/video/tos/maliva/tos-maliva-ve-0068c801-us/oYR4GUJtfzeQR2GeFARSvIt8dW2AeWgMBikEUG/?a=1988&amp;bti=ODszNWYuMDE6&amp;ch=0&amp;cr=3&amp;dr=0&amp;lr=all&amp;cd=0%7C0%7C0%7C&amp;cv=1&amp;br=1426&amp;bt=713&amp;cs=0&amp;ds=3&amp;ft=-Csk_mrMPD12NOYopd-Uxtv5GY6e3wv252cAp&amp;mime_type=video_mp4&amp;qs=0&amp;rc=ZmZkaDNmNjNnNjc1aTNlaEBpamVwdWs5cmU2bjMzNzczM0A2LjRiM2IxXy8xLzMzYjQtYSNuZXAvMmRrX3NgLS1kMTZzcw%3D%3D&amp;btag=e00098000&amp;expire=1763173596&amp;l=20251113102306B19E1F5BC676BF8CC05E&amp;ply_type=2&amp;policy=2&amp;signature=0accea288dd611d0918fa517339a205c&amp;tk=tt_chain_token" TargetMode="External"/><Relationship Id="rId1207" Type="http://schemas.openxmlformats.org/officeDocument/2006/relationships/hyperlink" Target="https://www.tiktok.com/@comomecurei/video/7295327958296841478" TargetMode="External"/><Relationship Id="rId1208" Type="http://schemas.openxmlformats.org/officeDocument/2006/relationships/hyperlink" Target="https://p77-sign-va.tiktokcdn.com/tos-maliva-avt-0068/7322120458198646790~tplv-tiktokx-cropcenter:100:100.jpeg?dr=14579&amp;refresh_token=58588ec0&amp;x-expires=1763172000&amp;x-signature=HXt4pwtsnO9cT7NV4f1j0y4SKLc%3D&amp;t=4d5b0474&amp;ps=13740610&amp;shp=a5d48078&amp;shcp=81f88b70&amp;idc=my" TargetMode="External"/><Relationship Id="rId1209" Type="http://schemas.openxmlformats.org/officeDocument/2006/relationships/hyperlink" Target="https://v16-webapp-prime.tiktok.com/video/tos/useast2a/tos-useast2a-v-27dcd7/o0CADEU7FkB7mANSnAARlEZhuE5lDQSixlivP/?a=1988&amp;bti=ODszNWYuMDE6&amp;ch=0&amp;cr=0&amp;dr=0&amp;er=0&amp;lr=default&amp;cd=0%7C0%7C0%7C0&amp;br=250&amp;bt=125&amp;ds=5&amp;ft=GNDpcInz7ThYK-UPXq8Zmo&amp;mime_type=audio_mpeg&amp;qs=13&amp;rc=ajhkc3U5cjh1dTMzNzU8M0Bpajhkc3U5cjh1dTMzNzU8M0BkXy8zMmQ0anBgLS1kMTZzYSNkXy8zMmQ0anBgLS1kMTZzcw%3D%3D&amp;btag=e00078000&amp;expire=1763004188&amp;l=20251113102250DC012CE1E68AEAAA2B86&amp;ply_type=3&amp;policy=3&amp;signature=c5ff79d675a315d39ab6798ca5a275c7&amp;tk=7571587458748974088" TargetMode="External"/><Relationship Id="rId855" Type="http://schemas.openxmlformats.org/officeDocument/2006/relationships/hyperlink" Target="https://v16-webapp-prime.tiktok.com/video/tos/useast2a/tos-useast2a-v-27dcd7/oIE6gAJDmBX2ExiFEAACXCI2UBkIfBfQQJIWA3/?a=1988&amp;bti=ODszNWYuMDE6&amp;ch=0&amp;cr=0&amp;dr=0&amp;er=0&amp;lr=default&amp;cd=0%7C0%7C0%7C0&amp;br=250&amp;bt=125&amp;ds=5&amp;ft=GNDpcInz7ThzK-UPXq8Zmo&amp;mime_type=audio_mpeg&amp;qs=13&amp;rc=MzU8bHU5cmc1cjMzNzU8M0BpMzU8bHU5cmc1cjMzNzU8M0AuLy9hMmRzcS9gLS1kMTZzYSMuLy9hMmRzcS9gLS1kMTZzcw%3D%3D&amp;btag=e00050000&amp;expire=1763004224&amp;l=20251113102236D675DBC36011DA84E058&amp;ply_type=3&amp;policy=3&amp;signature=6d1a85060f1636a90fe13095c820ea21&amp;tk=7571587458748974088" TargetMode="External"/><Relationship Id="rId854" Type="http://schemas.openxmlformats.org/officeDocument/2006/relationships/hyperlink" Target="https://p16-sign-va.tiktokcdn.com/tos-maliva-avt-0068/6c8d29584e7f140a58a16665171f685c~tplv-tiktokx-cropcenter:100:100.jpeg?dr=14579&amp;refresh_token=cce88fdd&amp;x-expires=1763172000&amp;x-signature=qLjWJdJ5uSOmpADpkX3W0tMHVww%3D&amp;t=4d5b0474&amp;ps=13740610&amp;shp=a5d48078&amp;shcp=81f88b70&amp;idc=my" TargetMode="External"/><Relationship Id="rId853" Type="http://schemas.openxmlformats.org/officeDocument/2006/relationships/hyperlink" Target="https://www.tiktok.com/@lizafixia/video/7503194684878015750" TargetMode="External"/><Relationship Id="rId852" Type="http://schemas.openxmlformats.org/officeDocument/2006/relationships/hyperlink" Target="https://webapp-va.tiktok.com/5093bcd93dc2f70c01017e141af02f10/6917e421/kmoat/mps/logo/v3/r/p/v09044g40000d0gb7knog65m85ko965g/2e44e14979d645cf8e1e0dd050b56ca9/441db6277b285aefc18ae2fef1b6d5fb/mp4/main.mp4?a=1988&amp;bti=ODszNWYuMDE6&amp;ch=0&amp;cr=3&amp;dr=0&amp;lr=all&amp;cd=0%7C0%7C0%7C&amp;cv=1&amp;br=0&amp;bt=0&amp;cs=0&amp;ds=3&amp;ft=bLZkJmrMPD12N9Yopd-Ux315hY6e3wv25dcAp&amp;mime_type=video_mp4&amp;qs=0&amp;rc=cnF8b2hsc2d3SkBwaHIxaDFybndmPGY4MzNnaGhpODk8PDQ3aEBpajlyOHA5cm5lMzMzNzczM0BjRl5Nc3FePmJKYSNvYF90aHFmOiNeM18yYS0uNWAxYTQxYjEvYSMyNmg1MmRrNGRhLS1kMTZzcw%3D%3D&amp;btag=e000b0000&amp;definition=720p&amp;du=9&amp;item_id=7503194684878015750&amp;l=2025111310232002E5437D242CEA8409F2&amp;logo_type=tiktok_creator&amp;ply_type=2&amp;policy=eyJ2bSI6MiwiY2siOiJ0dF9jaGFpbl90b2tlbiJ9&amp;sign_params=item_id%2Cuser_text&amp;user_text=lizafixia" TargetMode="External"/><Relationship Id="rId859"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858" Type="http://schemas.openxmlformats.org/officeDocument/2006/relationships/hyperlink" Target="https://www.tiktok.com/@userdijliadejaneto/video/7351051822020316421" TargetMode="External"/><Relationship Id="rId857" Type="http://schemas.openxmlformats.org/officeDocument/2006/relationships/hyperlink" Target="https://v16-webapp-prime.tiktok.com/video/tos/maliva/tos-maliva-ve-0068c801-us/okYEQ6FDG1Jaf7JIBgDAI6BvRimQXBwEICESfV/?a=1988&amp;bti=ODszNWYuMDE6&amp;ch=0&amp;cr=3&amp;dr=0&amp;lr=all&amp;cd=0%7C0%7C0%7C&amp;cv=1&amp;br=976&amp;bt=488&amp;cs=0&amp;ds=3&amp;ft=-Csk_mrMPD12NDhopd-Ux2.2GY6e3wv25rcAp&amp;mime_type=video_mp4&amp;qs=0&amp;rc=ZjM2NmQ6ZWU2Ozw6OjRmNEBpanc3cHE5cjk1cjMzNzczM0BjNmBgYC5hXzExXjIvYDIuYSNyMWlsMmRrcS9gLS1kMTZzcw%3D%3D&amp;btag=e00090000&amp;expire=1763173424&amp;l=20251113102236D675DBC36011DA84E058&amp;ply_type=2&amp;policy=2&amp;signature=90b6b694b7b16d7d81cd47fa36fd6696&amp;tk=tt_chain_token" TargetMode="External"/><Relationship Id="rId856" Type="http://schemas.openxmlformats.org/officeDocument/2006/relationships/hyperlink" Target="https://p77-sign-va.tiktokcdn.com/tos-maliva-avt-0068/6c8d29584e7f140a58a16665171f685c~tplv-tiktokx-cropcenter:1080:1080.jpeg?dr=14579&amp;refresh_token=e2461349&amp;x-expires=1763172000&amp;x-signature=j4BBV5McPQMpi3geCuHtgQJ6Sp0%3D&amp;t=4d5b0474&amp;ps=13740610&amp;shp=a5d48078&amp;shcp=81f88b70&amp;idc=my" TargetMode="External"/><Relationship Id="rId851" Type="http://schemas.openxmlformats.org/officeDocument/2006/relationships/hyperlink" Target="https://p77-sign-va.tiktokcdn.com/tos-maliva-avt-0068/8ac245882c4451a34baec8ff13abd309~tplv-tiktokx-cropcenter:1080:1080.jpeg?dr=14579&amp;refresh_token=a66a81c9&amp;x-expires=1763172000&amp;x-signature=NGCrr0RSwN%2F0bM0UuQElC8zdvrc%3D&amp;t=4d5b0474&amp;ps=13740610&amp;shp=a5d48078&amp;shcp=81f88b70&amp;idc=my" TargetMode="External"/><Relationship Id="rId850" Type="http://schemas.openxmlformats.org/officeDocument/2006/relationships/hyperlink" Target="https://v16-webapp-prime.tiktok.com/video/tos/useast2a/tos-useast2a-v-27dcd7/owL9gCS3LJAiLEEoAIFfBBQ2UsLAPJEFJADeUY/?a=1988&amp;bti=ODszNWYuMDE6&amp;ch=0&amp;cr=0&amp;dr=0&amp;er=0&amp;lr=default&amp;cd=0%7C0%7C0%7C0&amp;br=250&amp;bt=125&amp;ds=5&amp;ft=GNDpcInz7ThMV-UPXq8Zmo&amp;mime_type=audio_mpeg&amp;qs=13&amp;rc=am5nbHg5cnBlMzMzNzU8M0Bpam5nbHg5cnBlMzMzNzU8M0AxMW0vMmQ0NGRhLS1kMTZzYSMxMW0vMmQ0NGRhLS1kMTZzcw%3D%3D&amp;btag=e00070000&amp;expire=1763004209&amp;l=2025111310232002E5437D242CEA8409F2&amp;ply_type=3&amp;policy=3&amp;signature=5d7a2dcdb692327c6fd0551bc181e0af&amp;tk=7571587458748974088" TargetMode="External"/><Relationship Id="rId1200" Type="http://schemas.openxmlformats.org/officeDocument/2006/relationships/hyperlink" Target="https://p77-sign-va.tiktokcdn.com/tos-maliva-avt-0068/4949bb024f91e1b4bc8f1b459a9fc215~tplv-tiktokx-cropcenter:1080:1080.jpeg?dr=14579&amp;refresh_token=62e7cd27&amp;x-expires=1763172000&amp;x-signature=wulijpfzsi9v0AaPlpI3xwkZneM%3D&amp;t=4d5b0474&amp;ps=13740610&amp;shp=a5d48078&amp;shcp=81f88b70&amp;idc=my" TargetMode="External"/><Relationship Id="rId1201" Type="http://schemas.openxmlformats.org/officeDocument/2006/relationships/hyperlink" Target="https://v16-webapp-prime.tiktok.com/video/tos/useast2a/tos-useast2a-ve-0068c004/ocusJIFEDeO9rBwSQEfBAUQx1FFnElBEcmpRgy/?a=1988&amp;bti=ODszNWYuMDE6&amp;ch=0&amp;cr=3&amp;dr=0&amp;lr=all&amp;cd=0%7C0%7C0%7C&amp;cv=1&amp;br=762&amp;bt=381&amp;cs=0&amp;ds=3&amp;ft=-Csk_mrMPD12Nyhopd-UxFN2aY6e3wv25ycAp&amp;mime_type=video_mp4&amp;qs=0&amp;rc=NzlpOGRpNmlnNDtoZzRpaUBpamx1Zm05cmtlcDMzNzczM0BjMS8vXzM2X18xNS02NWI2YSNoXnMuMmRjcm1gLS1kMTZzcw%3D%3D&amp;btag=e00090000&amp;expire=1763173430&amp;l=2025111310220790E74D25ACF9796D8D06&amp;ply_type=2&amp;policy=2&amp;signature=fafc248a042a83e0d784ae4799763183&amp;tk=tt_chain_token" TargetMode="External"/><Relationship Id="rId1235" Type="http://schemas.openxmlformats.org/officeDocument/2006/relationships/hyperlink" Target="https://p77-sg.tiktokcdn.com/aweme/720x720/tos-alisg-v-2774/oARoug5lACAgAZ0UgEFQNrQD7fGfvnaEBtBA1E.jpeg" TargetMode="External"/><Relationship Id="rId1236" Type="http://schemas.openxmlformats.org/officeDocument/2006/relationships/hyperlink" Target="https://v16-webapp-prime.tiktok.com/video/tos/maliva/tos-maliva-ve-0068c801-us/oYzIR0VAnIRsOfXXAaegJgRnoBbxkIBQDcQlEP/?a=1988&amp;bti=ODszNWYuMDE6&amp;ch=0&amp;cr=3&amp;dr=0&amp;lr=all&amp;cd=0%7C0%7C0%7C&amp;cv=1&amp;br=2668&amp;bt=1334&amp;cs=0&amp;ds=3&amp;ft=I~da4oKyD12NvnA0i.IxRTF_blBF-UjNSaopiX&amp;mime_type=video_mp4&amp;qs=0&amp;rc=Zzw5MzVoZ2VmZztoNzpkaUBpam5qN2U6ZnNuajMzNzczM0AuLzZfLi9fXzYxNi5hL2EwYSMwbmhkcjRvX3NgLS1kMTZzcw%3D%3D&amp;btag=e000b8000&amp;expire=1763173505&amp;l=20251113102438711CFC3830D7669110B2&amp;ply_type=2&amp;policy=2&amp;signature=c937781563973da6873d691164b4b495&amp;tk=tt_chain_token" TargetMode="External"/><Relationship Id="rId1237" Type="http://schemas.openxmlformats.org/officeDocument/2006/relationships/hyperlink" Target="https://www.tiktok.com/@draanabeatriz11/video/7223570097980329221" TargetMode="External"/><Relationship Id="rId1238" Type="http://schemas.openxmlformats.org/officeDocument/2006/relationships/hyperlink" Target="https://p16-sign-va.tiktokcdn.com/tos-maliva-avt-0068/39284b1e359f5fd8e090162ef3c83664~tplv-tiktokx-cropcenter:100:100.jpeg?dr=14579&amp;refresh_token=74ea65c5&amp;x-expires=1763172000&amp;x-signature=uD3e8x05uu1qETmVoQjQ2V5aisA%3D&amp;t=4d5b0474&amp;ps=13740610&amp;shp=a5d48078&amp;shcp=81f88b70&amp;idc=my" TargetMode="External"/><Relationship Id="rId1239" Type="http://schemas.openxmlformats.org/officeDocument/2006/relationships/hyperlink" Target="https://v16-webapp-prime.tiktok.com/video/tos/useast2a/tos-useast2a-v-27dcd7/oMSfEkBkBQAECCJmADWKbAnCdgCnneGiVJ9W9U/?a=1988&amp;bti=ODszNWYuMDE6&amp;ch=0&amp;cr=0&amp;dr=0&amp;er=0&amp;lr=default&amp;cd=0%7C0%7C0%7C0&amp;br=250&amp;bt=125&amp;ds=5&amp;ft=GNDpcInz7ThGD-UPXq8Zmo&amp;mime_type=audio_mpeg&amp;qs=13&amp;rc=MzpxcTY6ZjtvbDMzNzU8M0BpMzpxcTY6ZjtvbDMzNzU8M0Bnb3MxcjQwZWJgLS1kMTZzYSNnb3MxcjQwZWJgLS1kMTZzcw%3D%3D&amp;btag=e00050000&amp;expire=1763004433&amp;l=2025111310254344385823DD6566920070&amp;ply_type=3&amp;policy=3&amp;signature=28cd82d34b6e2f013b44046cf3e08351&amp;tk=7571587458748974088" TargetMode="External"/><Relationship Id="rId409" Type="http://schemas.openxmlformats.org/officeDocument/2006/relationships/hyperlink" Target="https://www.tiktok.com/@liberdade.mentall/video/7485173096727530758" TargetMode="External"/><Relationship Id="rId404" Type="http://schemas.openxmlformats.org/officeDocument/2006/relationships/hyperlink" Target="https://www.tiktok.com/@psi.walace/video/7524464636557561093" TargetMode="External"/><Relationship Id="rId888" Type="http://schemas.openxmlformats.org/officeDocument/2006/relationships/hyperlink" Target="https://www.tiktok.com/@opsiquiatrasincero/video/7508469883844267295" TargetMode="External"/><Relationship Id="rId403" Type="http://schemas.openxmlformats.org/officeDocument/2006/relationships/hyperlink" Target="https://v16-webapp-prime.tiktok.com/video/tos/useast2a/tos-useast2a-ve-0068c002/ok4e8AM2mybCrXjVQfSDRgSIgQ0YCfxIvLhIQp/?a=1988&amp;bti=ODszNWYuMDE6&amp;ch=0&amp;cr=3&amp;dr=0&amp;lr=all&amp;cd=0%7C0%7C0%7C&amp;cv=1&amp;br=2884&amp;bt=1442&amp;cs=0&amp;ds=3&amp;ft=I~da4oKyD12NvuA0i.IxREJNglBF-UjNSmopiX&amp;mime_type=video_mp4&amp;qs=0&amp;rc=ZDk3NjY5NDw3ZjxkZTdkM0BpajxleXY5cjs3NDMzNzczM0AyNmM1LTJgXl4xLjM2NmMwYSM2NnE0MmRjMWphLS1kMTZzcw%3D%3D&amp;btag=e00090000&amp;expire=1763173608&amp;l=202511131024337F554789EF0D09A1F8EB&amp;ply_type=2&amp;policy=2&amp;signature=ad59ffef6c5cab217b77f82bd670e46f&amp;tk=tt_chain_token" TargetMode="External"/><Relationship Id="rId887" Type="http://schemas.openxmlformats.org/officeDocument/2006/relationships/hyperlink" Target="https://v16-webapp-prime.tiktok.com/video/tos/maliva/tos-maliva-ve-0068c799-us/ocfKoGLQUTLuI2beIAGm7qQe4xjXZAm0IIyCgj/?a=1988&amp;bti=ODszNWYuMDE6&amp;ch=0&amp;cr=3&amp;dr=0&amp;lr=all&amp;cd=0%7C0%7C0%7C&amp;cv=1&amp;br=3234&amp;bt=1617&amp;cs=0&amp;ds=3&amp;ft=-Csk_mrMPD12Nycopd-UxG4vXY6e3wv25McAp&amp;mime_type=video_mp4&amp;qs=0&amp;rc=ZGg5ZmU7Z2Q8aTY7NDZmNEBpM3lsZWs5cnVxMzMzaTczNEBfMDYzYF5jXjExMl5hNjFfYSNpX2tlMmRjL21hLS1kMTJzcw%3D%3D&amp;btag=e00088000&amp;expire=1763173505&amp;l=20251113102415EC11E565E652E77F00C9&amp;ply_type=2&amp;policy=2&amp;signature=3eb14ff78cfdede105f5835700050705&amp;tk=tt_chain_token" TargetMode="External"/><Relationship Id="rId402" Type="http://schemas.openxmlformats.org/officeDocument/2006/relationships/hyperlink" Target="https://p16-sg.tiktokcdn.com/aweme/720x720/tos-alisg-v-2774/o8CZDEgpEsoAeWtxEBnAtQFAgpHQVBf148CJcS.jpeg" TargetMode="External"/><Relationship Id="rId886" Type="http://schemas.openxmlformats.org/officeDocument/2006/relationships/hyperlink" Target="https://p16-sg.tiktokcdn.com/aweme/720x720/tos-alisg-v-2774/owJLxaAF8KFVA7Mf1HhGjwIAeWmeYjSAEAQIGe.jpeg" TargetMode="External"/><Relationship Id="rId401" Type="http://schemas.openxmlformats.org/officeDocument/2006/relationships/hyperlink" Target="https://sf16-ies-music-sg.tiktokcdn.com/obj/tos-alisg-ve-2774/oMyOHOoBzAh6qWbii1nknBIZWAFsflLwCsMz8X" TargetMode="External"/><Relationship Id="rId885" Type="http://schemas.openxmlformats.org/officeDocument/2006/relationships/hyperlink" Target="https://sf16-ies-music-sg.tiktokcdn.com/obj/tos-alisg-ve-2774/d7703cfad6a64a69ac41157e713b4bbf" TargetMode="External"/><Relationship Id="rId408" Type="http://schemas.openxmlformats.org/officeDocument/2006/relationships/hyperlink" Target="https://v16-webapp-prime.tiktok.com/video/tos/useast2a/tos-useast2a-ve-0068c003/ositWGvzeA29gkEQiwFC7IrAkwgvE5iJC5YoIB/?a=1988&amp;bti=ODszNWYuMDE6&amp;ch=0&amp;cr=3&amp;dr=0&amp;lr=all&amp;cd=0%7C0%7C0%7C&amp;cv=1&amp;br=1318&amp;bt=659&amp;cs=0&amp;ds=3&amp;ft=-Csk_mrMPD12NE.opd-UxG4vXY6e3wv25McAp&amp;mime_type=video_mp4&amp;qs=0&amp;rc=Z2U8ZWlkN2U5ZGdoOGdkaEBpMzdla2o5cjdkeTMzNzczM0AxYi4vNTUxNV4xMDI0MC0vYSNgb2BwMmRrbmRgLS1kMTZzcw%3D%3D&amp;btag=e00090000&amp;expire=1763173613&amp;l=20251113102536F89EBD83B531C49CD72A&amp;ply_type=2&amp;policy=2&amp;signature=143414c3a6f4304b5c0e7a40cee671a3&amp;tk=tt_chain_token" TargetMode="External"/><Relationship Id="rId407" Type="http://schemas.openxmlformats.org/officeDocument/2006/relationships/hyperlink" Target="https://p16-sign-va.tiktokcdn.com/tos-maliva-avt-0068/4949bb024f91e1b4bc8f1b459a9fc215~tplv-tiktokx-cropcenter:1080:1080.jpeg?dr=14579&amp;refresh_token=c4a18408&amp;x-expires=1763172000&amp;x-signature=HUgmNZvL77D3iJSQMcy4jqkUaVk%3D&amp;t=4d5b0474&amp;ps=13740610&amp;shp=a5d48078&amp;shcp=81f88b70&amp;idc=my" TargetMode="External"/><Relationship Id="rId406" Type="http://schemas.openxmlformats.org/officeDocument/2006/relationships/hyperlink" Target="https://v16-webapp-prime.tiktok.com/video/tos/useast2a/tos-useast2a-v-27dcd7/oAVUB4WJgECK3AJEeyr1gfAaQQEo1BDDnEzJAF/?a=1988&amp;bti=ODszNWYuMDE6&amp;ch=0&amp;cr=0&amp;dr=0&amp;er=0&amp;lr=default&amp;cd=0%7C0%7C0%7C0&amp;br=250&amp;bt=125&amp;ds=5&amp;ft=GNDpcInz7ThOD-UPXq8Zmo&amp;mime_type=audio_mpeg&amp;qs=13&amp;rc=M3E6O245cm9keTMzNzU8M0BpM3E6O245cm9keTMzNzU8M0A1cWdhMmRrbmRgLS1kMTZzYSM1cWdhMmRrbmRgLS1kMTZzcw%3D%3D&amp;btag=e00050000&amp;expire=1763004413&amp;l=20251113102536F89EBD83B531C49CD72A&amp;ply_type=3&amp;policy=3&amp;signature=cab5c42076f9446e10c7d1aa3f4cc89c&amp;tk=7571587458748974088" TargetMode="External"/><Relationship Id="rId405" Type="http://schemas.openxmlformats.org/officeDocument/2006/relationships/hyperlink" Target="https://p16-sign-va.tiktokcdn.com/tos-maliva-avt-0068/4949bb024f91e1b4bc8f1b459a9fc215~tplv-tiktokx-cropcenter:100:100.jpeg?dr=14579&amp;refresh_token=284b51f7&amp;x-expires=1763172000&amp;x-signature=nsBLE%2BVwlu0QcqCmxxESfrMkiVY%3D&amp;t=4d5b0474&amp;ps=13740610&amp;shp=a5d48078&amp;shcp=81f88b70&amp;idc=my" TargetMode="External"/><Relationship Id="rId889"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880" Type="http://schemas.openxmlformats.org/officeDocument/2006/relationships/hyperlink" Target="https://v16-webapp-prime.tiktok.com/video/tos/useast2a/tos-useast2a-v-27dcd7/o0e30rlQzXgkqEWREVAxTOnXO8ef3GoSCMECgg/?a=1988&amp;bti=ODszNWYuMDE6&amp;ch=0&amp;cr=0&amp;dr=0&amp;er=0&amp;lr=default&amp;cd=0%7C0%7C0%7C0&amp;br=250&amp;bt=125&amp;ft=GNDpcInz7ThyY-UPXq8Zmo&amp;mime_type=audio_mpeg&amp;qs=6&amp;rc=O2U4O2RlOmQ2OzQ8N2k0OUBpajxxcHk5cmRzNjMzNzU8M0A1M18tXjQvXl8xYy8yMS9gYSMtZGNmMmRzbV5hLS1kMTZzcw%3D%3D&amp;btag=e00090000&amp;expire=1763004484&amp;l=2025111310264583C2663DA446357263D7&amp;ply_type=3&amp;policy=3&amp;signature=e6cb517139ff2ebda8f718450133959f&amp;tk=7571587458748974088" TargetMode="External"/><Relationship Id="rId1230" Type="http://schemas.openxmlformats.org/officeDocument/2006/relationships/hyperlink" Target="https://p77-sg.tiktokcdn.com/aweme/720x720/tos-alisg-v-2774/ocAGNfbcAbmtIt51LmKNeQQGaAPAWAUF4ze0e5.jpeg" TargetMode="External"/><Relationship Id="rId400"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884" Type="http://schemas.openxmlformats.org/officeDocument/2006/relationships/hyperlink" Target="https://p16-sign-va.tiktokcdn.com/tos-maliva-avt-0068/da7a6883faf98893a78013cae3307500~tplv-tiktokx-cropcenter:100:100.jpeg?dr=14579&amp;refresh_token=d2290616&amp;x-expires=1763172000&amp;x-signature=OocrvfHSr0UUdKI16QVG4hpAmb4%3D&amp;t=4d5b0474&amp;ps=13740610&amp;shp=a5d48078&amp;shcp=81f88b70&amp;idc=my" TargetMode="External"/><Relationship Id="rId1231" Type="http://schemas.openxmlformats.org/officeDocument/2006/relationships/hyperlink" Target="https://v16-webapp-prime.tiktok.com/video/tos/alisg/tos-alisg-ve-37c813-sg/oUolJy66EBjItAFR8BYEUagQEuEvQSfivU1DEf/?a=1988&amp;bti=ODszNWYuMDE6&amp;ch=0&amp;cr=3&amp;dr=0&amp;lr=all&amp;cd=0%7C0%7C0%7C&amp;cv=1&amp;br=1070&amp;bt=535&amp;cs=0&amp;ds=3&amp;ft=I~da4oKyD12NvuA0i.IxREJNglBF-UjNSmopiX&amp;mime_type=video_mp4&amp;qs=0&amp;rc=aDo6Zjw5aTQ2OTw2ZzpkNkBpamt4bHg5cjRnNTMzNzczM0AvMTMyNl8xNS0xL2JgNF5hYSNzbGZiMmQ0XnFhLS1kMTZzcw%3D%3D&amp;btag=e00090000&amp;expire=1763173544&amp;l=202511131024337F554789EF0D09A1F8EB&amp;ply_type=2&amp;policy=2&amp;signature=9541232275696f0f51a0178acea8ec55&amp;tk=tt_chain_token" TargetMode="External"/><Relationship Id="rId883" Type="http://schemas.openxmlformats.org/officeDocument/2006/relationships/hyperlink" Target="https://www.tiktok.com/@ehojeopodcast/video/7554116158828367116" TargetMode="External"/><Relationship Id="rId1232" Type="http://schemas.openxmlformats.org/officeDocument/2006/relationships/hyperlink" Target="https://www.tiktok.com/@desejos.sabios/video/7546578895546404101" TargetMode="External"/><Relationship Id="rId882" Type="http://schemas.openxmlformats.org/officeDocument/2006/relationships/hyperlink" Target="https://v16-webapp-prime.tiktok.com/video/tos/useast2a/tos-useast2a-pve-0068/okhqGePlIIeSReCRFARgLCpXgujzAI2QdCDnks/?a=1988&amp;bti=ODszNWYuMDE6&amp;ch=0&amp;cr=3&amp;dr=0&amp;lr=all&amp;cd=0%7C0%7C0%7C&amp;cv=1&amp;br=2026&amp;bt=1013&amp;cs=0&amp;ds=3&amp;ft=-Csk_mrMPD12Nw_opd-UxfeFaY6e3wv25HcAp&amp;mime_type=video_mp4&amp;qs=0&amp;rc=aGU0ZzdkaTNlOzxnOjxkOUBpMzc3cG05cmZzNjMzNzczM0A0XmJiNjItNTExMDI1YTYyYSNeb2dsMmRrbF5hLS1kMTZzcw%3D%3D&amp;btag=e00090000&amp;expire=1763173684&amp;l=2025111310264583C2663DA446357263D7&amp;ply_type=2&amp;policy=2&amp;signature=0410d86984a73026914a87905490ac82&amp;tk=tt_chain_token" TargetMode="External"/><Relationship Id="rId1233" Type="http://schemas.openxmlformats.org/officeDocument/2006/relationships/hyperlink" Target="https://p77-sign-va.tiktokcdn.com/tos-maliva-avt-0068/4842f829bdaf28a70fa2e96759a81700~tplv-tiktokx-cropcenter:100:100.jpeg?dr=14579&amp;refresh_token=992af602&amp;x-expires=1763172000&amp;x-signature=JGblNlIlLYOiRnYYXckwOonB7EQ%3D&amp;t=4d5b0474&amp;ps=13740610&amp;shp=a5d48078&amp;shcp=81f88b70&amp;idc=my" TargetMode="External"/><Relationship Id="rId881" Type="http://schemas.openxmlformats.org/officeDocument/2006/relationships/hyperlink" Target="https://p16-sign-va.tiktokcdn.com/tos-maliva-avt-0068/fc822da0031351a616d344731ca8fb72~tplv-tiktokx-cropcenter:1080:1080.jpeg?dr=14579&amp;refresh_token=1ec6b640&amp;x-expires=1763172000&amp;x-signature=Ul5vMmvNxARbjjD3BmH8p2KxLNY%3D&amp;t=4d5b0474&amp;ps=13740610&amp;shp=a5d48078&amp;shcp=81f88b70&amp;idc=my" TargetMode="External"/><Relationship Id="rId1234" Type="http://schemas.openxmlformats.org/officeDocument/2006/relationships/hyperlink" Target="https://sf16-ies-music-sg.tiktokcdn.com/obj/tos-alisg-ve-2774/oUNeBfzfaiygM4IrCOMAiC17IRzyFjNa9DI1Fs" TargetMode="External"/><Relationship Id="rId1224" Type="http://schemas.openxmlformats.org/officeDocument/2006/relationships/hyperlink" Target="https://v16-webapp-prime.tiktok.com/video/tos/useast2a/tos-useast2a-v-27dcd7/o482YAAksChgBDAADf6qCJrBJCybE0vAUfvQEn/?a=1988&amp;bti=ODszNWYuMDE6&amp;ch=0&amp;cr=0&amp;dr=0&amp;er=0&amp;lr=default&amp;cd=0%7C0%7C0%7C0&amp;br=250&amp;bt=125&amp;ds=5&amp;ft=GNDpcInz7Thm9-UPXq8Zmo&amp;mime_type=audio_mpeg&amp;qs=13&amp;rc=ajZ4eGk6ZjNkbDMzNzU8M0BpajZ4eGk6ZjNkbDMzNzU8M0BrLWlzcjQwb21gLS1kMTZzYSNrLWlzcjQwb21gLS1kMTZzcw%3D%3D&amp;btag=e00050000&amp;expire=1763004442&amp;l=202511131024337F554789EF0D09A1F8EB&amp;ply_type=3&amp;policy=3&amp;signature=66b7810e8664c379f482f73921dd5ed8&amp;tk=7571587458748974088" TargetMode="External"/><Relationship Id="rId1225"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226" Type="http://schemas.openxmlformats.org/officeDocument/2006/relationships/hyperlink" Target="https://v16-webapp-prime.tiktok.com/video/tos/maliva/tos-maliva-ve-0068c801-us/oonCGDKQpErszePEHJ2bWHualeR4BRQjykIqAB/?a=1988&amp;bti=ODszNWYuMDE6&amp;ch=0&amp;cr=3&amp;dr=0&amp;lr=all&amp;cd=0%7C0%7C0%7C&amp;cv=1&amp;br=1664&amp;bt=832&amp;cs=0&amp;ds=3&amp;ft=I~da4oKyD12NvuA0i.IxREJNglBF-UjNSmopiX&amp;mime_type=video_mp4&amp;qs=0&amp;rc=NTxlNDU4Z2kzMztpZzwzZkBpMzppcjg6ZnZkbDMzNzczM0BgLjZeNC0vNi4xNGIvLjAvYSNwcDU1cjRvaG1gLS1kMTZzcw%3D%3D&amp;btag=e00090000&amp;expire=1763173642&amp;l=202511131024337F554789EF0D09A1F8EB&amp;ply_type=2&amp;policy=2&amp;signature=b7e960da151373a7f0d018ff37e1b657&amp;tk=tt_chain_token" TargetMode="External"/><Relationship Id="rId1227" Type="http://schemas.openxmlformats.org/officeDocument/2006/relationships/hyperlink" Target="https://www.tiktok.com/@lorenatdahta/video/7256052626221960454" TargetMode="External"/><Relationship Id="rId1228" Type="http://schemas.openxmlformats.org/officeDocument/2006/relationships/hyperlink" Target="https://p16-sign-va.tiktokcdn.com/tos-maliva-avt-0068/549101d95ad159a019e42ecc970db1ce~tplv-tiktokx-cropcenter:100:100.jpeg?dr=14579&amp;refresh_token=40c38422&amp;x-expires=1763172000&amp;x-signature=AgG6ziNjYOv8RDrciieZCE1gt%2F8%3D&amp;t=4d5b0474&amp;ps=13740610&amp;shp=a5d48078&amp;shcp=81f88b70&amp;idc=my" TargetMode="External"/><Relationship Id="rId1229" Type="http://schemas.openxmlformats.org/officeDocument/2006/relationships/hyperlink" Target="https://sf16-ies-music-sg.tiktokcdn.com/obj/tos-alisg-ve-2774/ocf1I8madAemM8NxAJeQKvFAbGWXg2WtbMfwYt" TargetMode="External"/><Relationship Id="rId877" Type="http://schemas.openxmlformats.org/officeDocument/2006/relationships/hyperlink" Target="https://v16-webapp-prime.tiktok.com/video/tos/maliva/tos-maliva-ve-0068c801-us/osbPZUITZIHESsihMQEikVEFRzEQHA5mBBU7F/?a=1988&amp;bti=ODszNWYuMDE6&amp;ch=0&amp;cr=3&amp;dr=0&amp;lr=all&amp;cd=0%7C0%7C0%7C&amp;cv=1&amp;br=1698&amp;bt=849&amp;cs=0&amp;ds=3&amp;ft=I~da4oKyD12NvyA0i.IxRhq_glBF-UjNSmopiX&amp;mime_type=video_mp4&amp;qs=0&amp;rc=Zzs7ZTNmNGc8ODMzO2Y6O0BpM29qPHM5cjp4cjMzNzczM0AtYC0wNWAuNTMxMi81LWFfYSNnXi5eMmQ0bDVgLS1kMTZzcw%3D%3D&amp;btag=e00088000&amp;expire=1763173503&amp;l=202511131024200DA040BB1F5C349EC2B1&amp;ply_type=2&amp;policy=2&amp;signature=d667832045cc6673c47a88e166deda81&amp;tk=tt_chain_token" TargetMode="External"/><Relationship Id="rId876" Type="http://schemas.openxmlformats.org/officeDocument/2006/relationships/hyperlink" Target="https://p77-sg.tiktokcdn.com/aweme/720x720/tos-alisg-v-2774/oQT5CBt4oWEAsqsCWOwTEVfhY1A6AyxZzCANA6.jpeg" TargetMode="External"/><Relationship Id="rId875" Type="http://schemas.openxmlformats.org/officeDocument/2006/relationships/hyperlink" Target="https://sf16-ies-music-sg.tiktokcdn.com/obj/tos-alisg-ve-2774/ogQTodBEZGnaCxnjueDfbZhAszGtiDrgQyYcBU" TargetMode="External"/><Relationship Id="rId874"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879" Type="http://schemas.openxmlformats.org/officeDocument/2006/relationships/hyperlink" Target="https://p16-sign-va.tiktokcdn.com/tos-maliva-avt-0068/fc822da0031351a616d344731ca8fb72~tplv-tiktokx-cropcenter:100:100.jpeg?dr=14579&amp;refresh_token=531696fa&amp;x-expires=1763172000&amp;x-signature=TtpOK14XGbW3KfNn%2BWGmJMYv2Cs%3D&amp;t=4d5b0474&amp;ps=13740610&amp;shp=a5d48078&amp;shcp=81f88b70&amp;idc=my" TargetMode="External"/><Relationship Id="rId878" Type="http://schemas.openxmlformats.org/officeDocument/2006/relationships/hyperlink" Target="https://www.tiktok.com/@lorenatdahta/video/7354920364830543110" TargetMode="External"/><Relationship Id="rId873" Type="http://schemas.openxmlformats.org/officeDocument/2006/relationships/hyperlink" Target="https://www.tiktok.com/@lorenatdahta/video/7353806763524738309" TargetMode="External"/><Relationship Id="rId1220"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872" Type="http://schemas.openxmlformats.org/officeDocument/2006/relationships/hyperlink" Target="https://v16-webapp-prime.tiktok.com/video/tos/maliva/tos-maliva-ve-0068c801-us/owHUQKFBjaSWtbqbCgDAIgGlj3MgeCAIUfETfR/?a=1988&amp;bti=ODszNWYuMDE6&amp;ch=0&amp;cr=3&amp;dr=0&amp;lr=all&amp;cd=0%7C0%7C0%7C&amp;cv=1&amp;br=2558&amp;bt=1279&amp;cs=0&amp;ds=3&amp;ft=I~da4oKyD12NvnA0i.IxRTF_blBF-UjNSaopiX&amp;mime_type=video_mp4&amp;qs=0&amp;rc=NTVnaTs5aTs0OmllaWRmOkBpamc5dWw5cjh5cjMzNzczM0BeLmJjLWFjXzAxYDM1X2AvYSNmaDZxMmRrZDNgLS1kMTZzcw%3D%3D&amp;btag=e00090000&amp;expire=1763173543&amp;l=20251113102438711CFC3830D7669110B2&amp;ply_type=2&amp;policy=2&amp;signature=8256cb305593aaede55a9f7f92cb9bde&amp;tk=tt_chain_token" TargetMode="External"/><Relationship Id="rId1221" Type="http://schemas.openxmlformats.org/officeDocument/2006/relationships/hyperlink" Target="https://v16-webapp-prime.tiktok.com/video/tos/useast2a/tos-useast2a-pve-0068/oAOIqVLvLgG03SAAMY2geBIBQeRMjcGCStflUC/?a=1988&amp;bti=ODszNWYuMDE6&amp;ch=0&amp;cr=3&amp;dr=0&amp;lr=all&amp;cd=0%7C0%7C0%7C&amp;cv=1&amp;br=3032&amp;bt=1516&amp;cs=0&amp;ds=3&amp;ft=I~da4oKyD12NvgA0i.IxRMb_glBF-UjNSaopiX&amp;mime_type=video_mp4&amp;qs=0&amp;rc=Mzw2ZGZnNzc7M2Q0NGk0OkBpMzU5N245cjlsNDMzNzczM0AwMzQuMTZiXmAxYWBeLy8uYSNvaS9kMmRzZ2NhLS1kMTZzcw%3D%3D&amp;btag=e00090000&amp;expire=1763173551&amp;l=20251113102449DDADD1FB7AF14A841409&amp;ply_type=2&amp;policy=2&amp;signature=f9e02d64885d872cafd1bd9db09c26ac&amp;tk=tt_chain_token" TargetMode="External"/><Relationship Id="rId871"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1222" Type="http://schemas.openxmlformats.org/officeDocument/2006/relationships/hyperlink" Target="https://www.tiktok.com/@lorenatdahta/video/7520775859066637624" TargetMode="External"/><Relationship Id="rId870" Type="http://schemas.openxmlformats.org/officeDocument/2006/relationships/hyperlink" Target="https://v16-webapp-prime.tiktok.com/video/tos/useast2a/tos-useast2a-v-27dcd7/osAVefNAGIAF6bdCJeLAkimnaEecYAFIIoAvQN/?a=1988&amp;bti=ODszNWYuMDE6&amp;ch=0&amp;cr=0&amp;dr=0&amp;er=0&amp;lr=default&amp;cd=0%7C0%7C0%7C0&amp;br=250&amp;bt=125&amp;ds=5&amp;ft=GNDpcInz7Tht9-UPXq8Zmo&amp;mime_type=audio_mpeg&amp;qs=13&amp;rc=amdvNXE5cm55cjMzNzU8M0BpamdvNXE5cm55cjMzNzU8M0BicnI1MmRzZDNgLS1kMTZzYSNicnI1MmRzZDNgLS1kMTZzcw%3D%3D&amp;btag=e00050000&amp;expire=1763004343&amp;l=20251113102438711CFC3830D7669110B2&amp;ply_type=3&amp;policy=3&amp;signature=9693398b9b5ab98f3b0ce914720095b0&amp;tk=7571587458748974088" TargetMode="External"/><Relationship Id="rId1223"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829" Type="http://schemas.openxmlformats.org/officeDocument/2006/relationships/hyperlink" Target="https://p16-sign-va.tiktokcdn.com/tos-maliva-avt-0068/351617397cb25a2a8754aa256e7690b2~tplv-tiktokx-cropcenter:100:100.jpeg?dr=14579&amp;refresh_token=46752314&amp;x-expires=1763172000&amp;x-signature=zI6u4kiUANV9QvrSgzdnyfTWrdw%3D&amp;t=4d5b0474&amp;ps=13740610&amp;shp=a5d48078&amp;shcp=81f88b70&amp;idc=my" TargetMode="External"/><Relationship Id="rId828" Type="http://schemas.openxmlformats.org/officeDocument/2006/relationships/hyperlink" Target="https://www.tiktok.com/@psi.walace/video/7555635308767792440" TargetMode="External"/><Relationship Id="rId827" Type="http://schemas.openxmlformats.org/officeDocument/2006/relationships/hyperlink" Target="https://v16-webapp-prime.tiktok.com/video/tos/useast2a/tos-useast2a-ve-0068c001/osRXGByOAe7E3QooWwJFEHX2IBWf7N7bsQDAEo/?a=1988&amp;bti=ODszNWYuMDE6&amp;ch=0&amp;cr=3&amp;dr=0&amp;lr=all&amp;cd=0%7C0%7C0%7C&amp;cv=1&amp;br=1564&amp;bt=782&amp;cs=0&amp;ds=3&amp;ft=I~da4oKyD12NvyA0i.IxRhq_glBF-UjNSmopiX&amp;mime_type=video_mp4&amp;qs=0&amp;rc=Zjw8NTtlNGVkZWY3ODo5OEBpM3FzOHg5cnZqNjMzNzczM0AxY2ExMjBfXjQxNjE1Xy42YSNfY2VoMmRrMGFhLS1kMTZzcw%3D%3D&amp;btag=e00090000&amp;expire=1763173606&amp;l=202511131024200DA040BB1F5C349EC2B1&amp;ply_type=2&amp;policy=2&amp;signature=a259d9a30f2b54c5bc0cd4aa07dc915e&amp;tk=tt_chain_token" TargetMode="External"/><Relationship Id="rId822" Type="http://schemas.openxmlformats.org/officeDocument/2006/relationships/hyperlink" Target="https://v16-webapp-prime.tiktok.com/video/tos/useast2a/tos-useast2a-ve-0068c003/o4Q33GEi1ffUVWvGKSlMsAgRkFF8AJeIOIcfQq/?a=1988&amp;bti=ODszNWYuMDE6&amp;ch=0&amp;cr=3&amp;dr=0&amp;lr=all&amp;cd=0%7C0%7C0%7C&amp;cv=1&amp;br=2008&amp;bt=1004&amp;cs=0&amp;ds=3&amp;ft=-Csk_mrMPD12Nlcopd-UxB6vSY6e3wv25rcAp&amp;mime_type=video_mp4&amp;qs=0&amp;rc=OjxoOjpkNzZnZmk0MzQ7ZkBpajV3dWs5cjxvNTMzNzczM0BeLzUuYTY0X2MxLTQyMGAzYSNoY3BfMmQ0MnNhLS1kMTZzcw%3D%3D&amp;btag=e00090000&amp;expire=1763173559&amp;l=202511131024053FAEE14371AE44A729CC&amp;ply_type=2&amp;policy=2&amp;signature=321d9976ca3e27c405357d158f6119fb&amp;tk=tt_chain_token" TargetMode="External"/><Relationship Id="rId821" Type="http://schemas.openxmlformats.org/officeDocument/2006/relationships/hyperlink" Target="https://p16-sign-va.tiktokcdn.com/tos-maliva-avt-0068/1b1ab6d65ae96fbe11db1ee88f115e37~tplv-tiktokx-cropcenter:1080:1080.jpeg?dr=14579&amp;refresh_token=4bd4e7cb&amp;x-expires=1763172000&amp;x-signature=GOXzrBOsGfzf0%2BGlVVrfFo1%2FkpE%3D&amp;t=4d5b0474&amp;ps=13740610&amp;shp=a5d48078&amp;shcp=81f88b70&amp;idc=my" TargetMode="External"/><Relationship Id="rId820" Type="http://schemas.openxmlformats.org/officeDocument/2006/relationships/hyperlink" Target="https://v16-webapp-prime.tiktok.com/video/tos/useast2a/tos-useast2a-v-27dcd7/oYAgdxQemiIpFkFXEeGfvVLqArVfAJMImhUAIQ/?a=1988&amp;bti=ODszNWYuMDE6&amp;ch=0&amp;cr=0&amp;dr=0&amp;er=0&amp;lr=default&amp;cd=0%7C0%7C0%7C0&amp;br=250&amp;bt=125&amp;ds=5&amp;ft=GNDpcInz7ThQ9-UPXq8Zmo&amp;mime_type=audio_mpeg&amp;qs=13&amp;rc=M2p3c205cmhvNTMzNzU8M0BpM2p3c205cmhvNTMzNzU8M0AxY28xMmQ0MnNhLS1kMTZzYSMxY28xMmQ0MnNhLS1kMTZzcw%3D%3D&amp;btag=e00050000&amp;expire=1763004359&amp;l=202511131024053FAEE14371AE44A729CC&amp;ply_type=3&amp;policy=3&amp;signature=6e20907d8ddcd022a847800bd8658d97&amp;tk=7571587458748974088" TargetMode="External"/><Relationship Id="rId826" Type="http://schemas.openxmlformats.org/officeDocument/2006/relationships/hyperlink" Target="https://p77-sign-va.tiktokcdn.com/tos-maliva-avt-0068/1b1ab6d65ae96fbe11db1ee88f115e37~tplv-tiktokx-cropcenter:1080:1080.jpeg?dr=14579&amp;refresh_token=d66e5223&amp;x-expires=1763172000&amp;x-signature=R6kR8LEXgLbL9Kvgxfo27gqUrfM%3D&amp;t=4d5b0474&amp;ps=13740610&amp;shp=a5d48078&amp;shcp=81f88b70&amp;idc=my" TargetMode="External"/><Relationship Id="rId825" Type="http://schemas.openxmlformats.org/officeDocument/2006/relationships/hyperlink" Target="https://v16-webapp-prime.tiktok.com/video/tos/useast2a/tos-useast2a-v-27dcd7/ogcbTgTRRESAoAC7ACtFMDSEEBDAe5E8egfRlY/?a=1988&amp;bti=ODszNWYuMDE6&amp;ch=0&amp;cr=0&amp;dr=0&amp;er=0&amp;lr=default&amp;cd=0%7C0%7C0%7C0&amp;br=250&amp;bt=125&amp;ds=5&amp;ft=GNDpcInz7Th_9-UPXq8Zmo&amp;mime_type=audio_mpeg&amp;qs=13&amp;rc=anY6OXc5cnFqNjMzNzU8M0BpanY6OXc5cnFqNjMzNzU8M0A2bC1zMmRrMWFhLS1kMTZzYSM2bC1zMmRrMWFhLS1kMTZzcw%3D%3D&amp;btag=e00050000&amp;expire=1763004406&amp;l=202511131024200DA040BB1F5C349EC2B1&amp;ply_type=3&amp;policy=3&amp;signature=8b4dfeb062f4ed1a5b7dd12f3b717ffd&amp;tk=7571587458748974088" TargetMode="External"/><Relationship Id="rId824"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823" Type="http://schemas.openxmlformats.org/officeDocument/2006/relationships/hyperlink" Target="https://www.tiktok.com/@psi.walace/video/7547842404511026438" TargetMode="External"/><Relationship Id="rId819" Type="http://schemas.openxmlformats.org/officeDocument/2006/relationships/hyperlink" Target="https://p77-sign-va.tiktokcdn.com/tos-maliva-avt-0068/1b1ab6d65ae96fbe11db1ee88f115e37~tplv-tiktokx-cropcenter:100:100.jpeg?dr=14579&amp;refresh_token=7ef194bd&amp;x-expires=1763172000&amp;x-signature=cY5me%2BOPAuXYbxp%2F5kkYlJrvfvg%3D&amp;t=4d5b0474&amp;ps=13740610&amp;shp=a5d48078&amp;shcp=81f88b70&amp;idc=my" TargetMode="External"/><Relationship Id="rId818" Type="http://schemas.openxmlformats.org/officeDocument/2006/relationships/hyperlink" Target="https://www.tiktok.com/@psi.walace/video/7542304558312164613" TargetMode="External"/><Relationship Id="rId817" Type="http://schemas.openxmlformats.org/officeDocument/2006/relationships/hyperlink" Target="https://v16-webapp-prime.tiktok.com/video/tos/useast2a/tos-useast2a-ve-0068c003/o4p7dZEWiUOKBzd8v8qmiQuLSrkuAECIQaBT3/?a=1988&amp;bti=ODszNWYuMDE6&amp;ch=0&amp;cr=3&amp;dr=0&amp;lr=all&amp;cd=0%7C0%7C0%7C&amp;cv=1&amp;br=2308&amp;bt=1154&amp;cs=0&amp;ds=3&amp;ft=-Csk_mrMPD12Nn.opd-UxJTFGY6e3wv25bcAp&amp;mime_type=video_mp4&amp;qs=0&amp;rc=aDllO2ZkMzs2ZGk3ZGVmZ0BpandpOXE5cjV0NTMzNzczM0BhX2FgYDBgNmAxMC1iMF8zYSNtbGNrMmRrYGlhLS1kMTZzcw%3D%3D&amp;btag=e00090000&amp;expire=1763173685&amp;l=2025111310254344385823DD6566920070&amp;ply_type=2&amp;policy=2&amp;signature=28a8a961eaf33e3cffd920ee107786c8&amp;tk=tt_chain_token" TargetMode="External"/><Relationship Id="rId816" Type="http://schemas.openxmlformats.org/officeDocument/2006/relationships/hyperlink" Target="https://p16-sign-va.tiktokcdn.com/tos-maliva-avt-0068/1b1ab6d65ae96fbe11db1ee88f115e37~tplv-tiktokx-cropcenter:1080:1080.jpeg?dr=14579&amp;refresh_token=4bd4e7cb&amp;x-expires=1763172000&amp;x-signature=GOXzrBOsGfzf0%2BGlVVrfFo1%2FkpE%3D&amp;t=4d5b0474&amp;ps=13740610&amp;shp=a5d48078&amp;shcp=81f88b70&amp;idc=my" TargetMode="External"/><Relationship Id="rId811" Type="http://schemas.openxmlformats.org/officeDocument/2006/relationships/hyperlink" Target="https://v16-webapp-prime.tiktok.com/video/tos/useast2a/tos-useast2a-v-27dcd7/ogWNziAEkBzlKwKFQo49BuslIfZk37giEqMsyO/?a=1988&amp;bti=ODszNWYuMDE6&amp;ch=0&amp;cr=0&amp;dr=0&amp;er=0&amp;lr=default&amp;cd=0%7C0%7C0%7C0&amp;br=250&amp;bt=125&amp;ft=GNDpcInz7ThGD-UPXq8Zmo&amp;mime_type=audio_mpeg&amp;qs=6&amp;rc=OjU7PDk4aTZpOGY1OTtlOUBpanM1eW05cmw3czMzNzU8M0A1LTA2LWBiXmAxNi1iLTFgYSMzXmJvMmRjMl9gLS1kMTZzcw%3D%3D&amp;btag=e00090000&amp;expire=1763004404&amp;l=2025111310254344385823DD6566920070&amp;ply_type=3&amp;policy=3&amp;signature=7104752e8c9c9f4355fd071333a387c1&amp;tk=7571587458748974088" TargetMode="External"/><Relationship Id="rId810" Type="http://schemas.openxmlformats.org/officeDocument/2006/relationships/hyperlink" Target="https://p77-sign-va.tiktokcdn.com/tos-maliva-avt-0068/0c857903b1d71ebd63a58d7ad9b30044~tplv-tiktokx-cropcenter:100:100.jpeg?dr=14579&amp;refresh_token=bd7ccf7b&amp;x-expires=1763172000&amp;x-signature=qnFlEFg%2F126y2FC73ux9%2Bx6bk0k%3D&amp;t=4d5b0474&amp;ps=13740610&amp;shp=a5d48078&amp;shcp=81f88b70&amp;idc=my" TargetMode="External"/><Relationship Id="rId815" Type="http://schemas.openxmlformats.org/officeDocument/2006/relationships/hyperlink" Target="https://v16-webapp-prime.tiktok.com/video/tos/useast2a/tos-useast2a-v-27dcd7/ocAIQE9AJYVIoCTfXAuqF6C0gppDUBFXJoeB6J/?a=1988&amp;bti=ODszNWYuMDE6&amp;ch=0&amp;cr=0&amp;dr=0&amp;er=0&amp;lr=default&amp;cd=0%7C0%7C0%7C0&amp;br=250&amp;bt=125&amp;ds=5&amp;ft=GNDpcInz7ThGD-UPXq8Zmo&amp;mime_type=audio_mpeg&amp;qs=13&amp;rc=am5kN3g5cjh0NTMzNzU8M0Bpam5kN3g5cjh0NTMzNzU8M0BvNi5uMmRzYGlhLS1kMTZzYSNvNi5uMmRzYGlhLS1kMTZzcw%3D%3D&amp;btag=e00050000&amp;expire=1763004485&amp;l=2025111310254344385823DD6566920070&amp;ply_type=3&amp;policy=3&amp;signature=2d3410b02f00d9050ff57c758e8141d8&amp;tk=7571587458748974088" TargetMode="External"/><Relationship Id="rId814" Type="http://schemas.openxmlformats.org/officeDocument/2006/relationships/hyperlink" Target="https://p16-sign-va.tiktokcdn.com/tos-maliva-avt-0068/1b1ab6d65ae96fbe11db1ee88f115e37~tplv-tiktokx-cropcenter:100:100.jpeg?dr=14579&amp;refresh_token=91dd3316&amp;x-expires=1763172000&amp;x-signature=NvnThC%2FG%2F%2BMG80CoieY3uGK0Q%2Bo%3D&amp;t=4d5b0474&amp;ps=13740610&amp;shp=a5d48078&amp;shcp=81f88b70&amp;idc=my" TargetMode="External"/><Relationship Id="rId813" Type="http://schemas.openxmlformats.org/officeDocument/2006/relationships/hyperlink" Target="https://www.tiktok.com/@pisicopop/video/7374154836012485893" TargetMode="External"/><Relationship Id="rId812" Type="http://schemas.openxmlformats.org/officeDocument/2006/relationships/hyperlink" Target="https://p77-sign-va.tiktokcdn.com/tos-maliva-avt-0068/0c857903b1d71ebd63a58d7ad9b30044~tplv-tiktokx-cropcenter:1080:1080.jpeg?dr=14579&amp;refresh_token=2bffa430&amp;x-expires=1763172000&amp;x-signature=wEF%2Fz6Itzq6Pe1hgxJyHAYeXRzc%3D&amp;t=4d5b0474&amp;ps=13740610&amp;shp=a5d48078&amp;shcp=81f88b70&amp;idc=my" TargetMode="External"/><Relationship Id="rId849" Type="http://schemas.openxmlformats.org/officeDocument/2006/relationships/hyperlink" Target="https://p16-sign-va.tiktokcdn.com/tos-maliva-avt-0068/8ac245882c4451a34baec8ff13abd309~tplv-tiktokx-cropcenter:100:100.jpeg?dr=14579&amp;refresh_token=e69cb1c6&amp;x-expires=1763172000&amp;x-signature=0fTsfZh9q9OmQpR89kbCFbZa9k0%3D&amp;t=4d5b0474&amp;ps=13740610&amp;shp=a5d48078&amp;shcp=81f88b70&amp;idc=my" TargetMode="External"/><Relationship Id="rId844" Type="http://schemas.openxmlformats.org/officeDocument/2006/relationships/hyperlink" Target="https://p77-sign-va.tiktokcdn.com/tos-maliva-avt-0068/22f979861088a66f6a45140e21c5acd7~tplv-tiktokx-cropcenter:100:100.jpeg?dr=14579&amp;refresh_token=7a7a2a78&amp;x-expires=1763172000&amp;x-signature=LPcER5vxywhw%2Bj81KBhhz2y14uY%3D&amp;t=4d5b0474&amp;ps=13740610&amp;shp=a5d48078&amp;shcp=81f88b70&amp;idc=my" TargetMode="External"/><Relationship Id="rId843" Type="http://schemas.openxmlformats.org/officeDocument/2006/relationships/hyperlink" Target="https://www.tiktok.com/@tdahdislexx/video/7214166098164354309" TargetMode="External"/><Relationship Id="rId842" Type="http://schemas.openxmlformats.org/officeDocument/2006/relationships/hyperlink" Target="https://v16-webapp-prime.tiktok.com/video/tos/maliva/tos-maliva-ve-0068c801-us/ooaCRcfDnIzQsLQArgaoNEhCydU3IWqgkJiu3A/?a=1988&amp;bti=ODszNWYuMDE6&amp;ch=0&amp;cr=3&amp;dr=0&amp;lr=all&amp;cd=0%7C0%7C0%7C&amp;cv=1&amp;br=610&amp;bt=305&amp;cs=0&amp;ds=3&amp;ft=-Csk_mrMPD12NE.opd-UxG4vXY6e3wv25McAp&amp;mime_type=video_mp4&amp;qs=0&amp;rc=Njg6ZDNpM2g1ZjM5aThmOkBpMzo8NGU6ZnB3ajMzNzczM0AyYy5iYDUtNWExYzYtYTVjYSNkMDIucjQwX2JgLS1kMTZzcw%3D%3D&amp;btag=e00098000&amp;expire=1763173789&amp;l=20251113102536F89EBD83B531C49CD72A&amp;ply_type=2&amp;policy=2&amp;signature=a94a83894cf8089ad32646c69be77385&amp;tk=tt_chain_token" TargetMode="External"/><Relationship Id="rId841" Type="http://schemas.openxmlformats.org/officeDocument/2006/relationships/hyperlink" Target="https://p16-sign-va.tiktokcdn.com/tos-maliva-avt-0068/6ef89dc319c140d2bc116f197a38b91b~tplv-tiktokx-cropcenter:1080:1080.jpeg?dr=14579&amp;refresh_token=9ad518cb&amp;x-expires=1763172000&amp;x-signature=Q1hjr7falEflZg%2FjDLHlCwuJJF4%3D&amp;t=4d5b0474&amp;ps=13740610&amp;shp=a5d48078&amp;shcp=81f88b70&amp;idc=my" TargetMode="External"/><Relationship Id="rId848" Type="http://schemas.openxmlformats.org/officeDocument/2006/relationships/hyperlink" Target="https://www.tiktok.com/@crescimento.prospero/video/7267552989060107522" TargetMode="External"/><Relationship Id="rId847" Type="http://schemas.openxmlformats.org/officeDocument/2006/relationships/hyperlink" Target="https://v16-webapp-prime.tiktok.com/video/tos/alisg/tos-alisg-pve-0037c001/o4BjAiq2j8ePuE4AgkDnRfb0RbsGgiqPBQ31pR/?a=1988&amp;bti=ODszNWYuMDE6&amp;ch=0&amp;cr=3&amp;dr=0&amp;lr=all&amp;cd=0%7C0%7C0%7C&amp;cv=1&amp;br=1556&amp;bt=778&amp;cs=0&amp;ds=3&amp;ft=-Csk_mrMPD12NXhopd-UxB6vSY6e3wv25rcAp&amp;mime_type=video_mp4&amp;qs=0&amp;rc=ZGRnZmU4OzpmaWllOzdnZEBpanRkcjc6ZmdybTMzODczNEAuMmEzYWI2NjIxNS8vMjJiYSNqaHNhcjRfZWFgLS1kMS1zcw%3D%3D&amp;btag=e00088000&amp;expire=1763173384&amp;l=202511131022245A53A91EDE77CC8B0DB4&amp;ply_type=2&amp;policy=2&amp;signature=ffd02f355df7e3bcf6b4fb8838334f80&amp;tk=tt_chain_token" TargetMode="External"/><Relationship Id="rId846" Type="http://schemas.openxmlformats.org/officeDocument/2006/relationships/hyperlink" Target="https://p16-sg.tiktokcdn.com/aweme/720x720/tos-alisg-v-2774/ec1ace0f38ff40c2a188bf7ddc33226c.jpeg" TargetMode="External"/><Relationship Id="rId845" Type="http://schemas.openxmlformats.org/officeDocument/2006/relationships/hyperlink" Target="https://sf16-ies-music-sg.tiktokcdn.com/obj/tos-alisg-ve-2774/o831hBCf4IuJrZOgSQtw2eUNvp3YzNOBQzkkBA" TargetMode="External"/><Relationship Id="rId840" Type="http://schemas.openxmlformats.org/officeDocument/2006/relationships/hyperlink" Target="https://v16-webapp-prime.tiktok.com/video/tos/useast2a/tos-useast2a-v-27dcd7/7e863f4605b0414da58ed677c6e25ec8/?a=1988&amp;bti=ODszNWYuMDE6&amp;ch=0&amp;cr=0&amp;dr=0&amp;er=0&amp;lr=default&amp;cd=0%7C0%7C0%7C0&amp;br=250&amp;bt=125&amp;ds=5&amp;ft=GNDpcInz7ThOD-UPXq8Zmo&amp;mime_type=audio_mpeg&amp;qs=13&amp;rc=anhrNzs6ZnN3ajMzNzU8M0BpanhrNzs6ZnN3ajMzNzU8M0BgNWhxcjQwb2JgLS1kMTZzYSNgNWhxcjQwb2JgLS1kMTZzcw%3D%3D&amp;btag=e00058000&amp;expire=1763004589&amp;l=20251113102536F89EBD83B531C49CD72A&amp;ply_type=3&amp;policy=3&amp;signature=1895541722c0e9328fde999ed0e4b1b7&amp;tk=7571587458748974088" TargetMode="External"/><Relationship Id="rId839" Type="http://schemas.openxmlformats.org/officeDocument/2006/relationships/hyperlink" Target="https://p77-sign-va.tiktokcdn.com/tos-maliva-avt-0068/6ef89dc319c140d2bc116f197a38b91b~tplv-tiktokx-cropcenter:100:100.jpeg?dr=14579&amp;refresh_token=55f9fda2&amp;x-expires=1763172000&amp;x-signature=VERnhHsgGeYJJiNAiadbipXNcrE%3D&amp;t=4d5b0474&amp;ps=13740610&amp;shp=a5d48078&amp;shcp=81f88b70&amp;idc=my" TargetMode="External"/><Relationship Id="rId838" Type="http://schemas.openxmlformats.org/officeDocument/2006/relationships/hyperlink" Target="https://www.tiktok.com/@neurodivergenciaeopapo/video/7543388280205626680" TargetMode="External"/><Relationship Id="rId833" Type="http://schemas.openxmlformats.org/officeDocument/2006/relationships/hyperlink" Target="https://www.tiktok.com/@drdanieltales/video/7395685186454686981" TargetMode="External"/><Relationship Id="rId832" Type="http://schemas.openxmlformats.org/officeDocument/2006/relationships/hyperlink" Target="https://v16-webapp-prime.tiktok.com/video/tos/maliva/tos-maliva-ve-0068c801-us/ocweIS55mDAKwAIDSXFvCjNQ6IegiCUREpfCiE/?a=1988&amp;bti=ODszNWYuMDE6&amp;ch=0&amp;cr=3&amp;dr=0&amp;lr=all&amp;cd=0%7C0%7C0%7C&amp;cv=1&amp;br=1918&amp;bt=959&amp;cs=0&amp;ds=3&amp;ft=-Csk_mrMPD12N4Yopd-Ux9T2bY6e3wv25IcAp&amp;mime_type=video_mp4&amp;qs=0&amp;rc=NmdmMzM8NDk2NGk8ZTY7N0BpajVtO3E5cjxldDMzNzczM0A2NV4tMTNiXzUxMC4yNTM0YSNwcS9yMmRrc2VgLS1kMTZzcw%3D%3D&amp;btag=e00090000&amp;expire=1763173447&amp;l=20251113102257F8D01E3BFCE9B2911856&amp;ply_type=2&amp;policy=2&amp;signature=afa2c5ec3bf23a2712b63d525369505a&amp;tk=tt_chain_token" TargetMode="External"/><Relationship Id="rId831" Type="http://schemas.openxmlformats.org/officeDocument/2006/relationships/hyperlink" Target="https://p16-sign-va.tiktokcdn.com/tos-maliva-avt-0068/351617397cb25a2a8754aa256e7690b2~tplv-tiktokx-cropcenter:1080:1080.jpeg?dr=14579&amp;refresh_token=cc618679&amp;x-expires=1763172000&amp;x-signature=n%2FxOVVh6J7YPGUTrAV%2FqCg3ErhA%3D&amp;t=4d5b0474&amp;ps=13740610&amp;shp=a5d48078&amp;shcp=81f88b70&amp;idc=my" TargetMode="External"/><Relationship Id="rId830" Type="http://schemas.openxmlformats.org/officeDocument/2006/relationships/hyperlink" Target="https://v16-webapp-prime.tiktok.com/video/tos/useast2a/tos-useast2a-v-27dcd7/osJBCFBeA7PfF4oGRmH7CIJFXAIUIA6vDsg8EQ/?a=1988&amp;bti=ODszNWYuMDE6&amp;ch=0&amp;cr=0&amp;dr=0&amp;er=0&amp;lr=default&amp;cd=0%7C0%7C0%7C0&amp;br=250&amp;bt=125&amp;ds=5&amp;ft=GNDpcInz7ThlV-UPXq8Zmo&amp;mime_type=audio_mpeg&amp;qs=13&amp;rc=M3h5cXY5cjZmdDMzNzU8M0BpM3h5cXY5cjZmdDMzNzU8M0AvbmIuMmRzLmVgLS1kMTZzYSMvbmIuMmRzLmVgLS1kMTZzcw%3D%3D&amp;btag=e00050000&amp;expire=1763004247&amp;l=20251113102257F8D01E3BFCE9B2911856&amp;ply_type=3&amp;policy=3&amp;signature=a8ff1f10e0b30eb0424a968baae59f14&amp;tk=7571587458748974088" TargetMode="External"/><Relationship Id="rId837" Type="http://schemas.openxmlformats.org/officeDocument/2006/relationships/hyperlink" Target="https://v16-webapp-prime.tiktok.com/video/tos/useast2a/tos-useast2a-ve-0068c003/oMKvgSQMI48C2leBfRv9IyER9gW0fjAX5NCiLg/?a=1988&amp;bti=ODszNWYuMDE6&amp;ch=0&amp;cr=3&amp;dr=0&amp;lr=all&amp;cd=0%7C0%7C0%7C&amp;cv=1&amp;br=1634&amp;bt=817&amp;cs=0&amp;ds=3&amp;ft=-Csk_mrMPD12NH_opd-UxDTFGY6e3wv25ocAp&amp;mime_type=video_mp4&amp;qs=0&amp;rc=aDg7NTs1MzQ4ODY6ZDVpM0BpamZza245cnNxNTMzNzczM0BjY2MwLS0zXl4xYTRfMjJeYSNkb3NrMmRrb2thLS1kMTZzcw%3D%3D&amp;btag=e00098000&amp;expire=1763173821&amp;l=202511131026218DEF8CE7185C8F9E5844&amp;ply_type=2&amp;policy=2&amp;signature=daff81d983cf50839f6d091e35b5ee85&amp;tk=tt_chain_token" TargetMode="External"/><Relationship Id="rId836" Type="http://schemas.openxmlformats.org/officeDocument/2006/relationships/hyperlink" Target="https://p77-sg.tiktokcdn.com/aweme/720x720/tos-alisg-v-2774/24bc933fdd7042319cfd053044351f53.jpeg" TargetMode="External"/><Relationship Id="rId835" Type="http://schemas.openxmlformats.org/officeDocument/2006/relationships/hyperlink" Target="https://sf16-ies-music-sg.tiktokcdn.com/obj/tos-alisg-ve-2774/oYQWrdRZLIrLtaeBEm2gcvDxFCfOCB81GMhvhu" TargetMode="External"/><Relationship Id="rId834" Type="http://schemas.openxmlformats.org/officeDocument/2006/relationships/hyperlink" Target="https://p16-sign-va.tiktokcdn.com/tos-maliva-avt-0068/fc1698d10dca32b79684fcca308c78cc~tplv-tiktokx-cropcenter:100:100.jpeg?dr=14579&amp;refresh_token=430ac0a3&amp;x-expires=1763172000&amp;x-signature=JzZgoivC8GVRy2ecdpdDiLoynRk%3D&amp;t=4d5b0474&amp;ps=13740610&amp;shp=a5d48078&amp;shcp=81f88b70&amp;idc=my" TargetMode="External"/><Relationship Id="rId469"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468" Type="http://schemas.openxmlformats.org/officeDocument/2006/relationships/hyperlink" Target="https://v16-webapp-prime.tiktok.com/video/tos/useast2a/tos-useast2a-v-27dcd7/512c49cba05d4899871edfe391c80383/?a=1988&amp;bti=ODszNWYuMDE6&amp;ch=0&amp;cr=0&amp;dr=0&amp;er=0&amp;lr=default&amp;cd=0%7C0%7C0%7C0&amp;br=250&amp;bt=125&amp;ds=5&amp;ft=GNDpcInz7ThbK-UPXq8Zmo&amp;mime_type=audio_mpeg&amp;qs=13&amp;rc=amxsNWc6ZjN2azMzNzU8M0BpamxsNWc6ZjN2azMzNzU8M0BzZWxpcjQwYF9gLS1kMTZzYSNzZWxpcjQwYF9gLS1kMTZzcw%3D%3D&amp;btag=e00050000&amp;expire=1763004279&amp;l=202511131022442EE54DE47B86CCA867A8&amp;ply_type=3&amp;policy=3&amp;signature=fa0e832c9d7de4a96b8c43e223d288e3&amp;tk=7571587458748974088" TargetMode="External"/><Relationship Id="rId467"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1290" Type="http://schemas.openxmlformats.org/officeDocument/2006/relationships/hyperlink" Target="https://v16-webapp-prime.tiktok.com/video/tos/maliva/tos-maliva-ve-0068c801-us/oIDFgBPheIKI4MfnlS2CjbYnWgDoBgIeAHCuZQ/?a=1988&amp;bti=ODszNWYuMDE6&amp;ch=0&amp;cr=3&amp;dr=0&amp;lr=all&amp;cd=0%7C0%7C0%7C&amp;cv=1&amp;br=1174&amp;bt=587&amp;cs=0&amp;ds=3&amp;ft=I~da4oKyD12NvgA0i.IxRMb_glBF-UjNSaopiX&amp;mime_type=video_mp4&amp;qs=0&amp;rc=NTNmZWQ2ZTs7ZzVnaDc4O0BpajR4cDc6ZnVqbjMzNzczM0AyYjI0L2AxXmExYDFgM2A1YSNvczIucjQwNi5gLS1kMTZzcw%3D%3D&amp;btag=e000a0000&amp;expire=1763173998&amp;l=20251113102449DDADD1FB7AF14A841409&amp;ply_type=2&amp;policy=2&amp;signature=25a7c6b689386315582bfafb5712f485&amp;tk=tt_chain_token" TargetMode="External"/><Relationship Id="rId1291" Type="http://schemas.openxmlformats.org/officeDocument/2006/relationships/hyperlink" Target="https://www.tiktok.com/@marilialanoa/video/7278667146916302086" TargetMode="External"/><Relationship Id="rId1292" Type="http://schemas.openxmlformats.org/officeDocument/2006/relationships/hyperlink" Target="https://p77-sign-va.tiktokcdn.com/tos-maliva-avt-0068/bdb332817432108f784f2f9bb4a10a60~tplv-tiktokx-cropcenter:100:100.jpeg?dr=14579&amp;refresh_token=e2245412&amp;x-expires=1763172000&amp;x-signature=e0BEfPaDd2Y%2F8Jo3lJGmIjk%2FvA8%3D&amp;t=4d5b0474&amp;ps=13740610&amp;shp=a5d48078&amp;shcp=81f88b70&amp;idc=my" TargetMode="External"/><Relationship Id="rId462" Type="http://schemas.openxmlformats.org/officeDocument/2006/relationships/hyperlink" Target="https://p77-sign-va.tiktokcdn.com/tos-maliva-avt-0068/5276198b93082394c0b92347278b7f75~tplv-tiktokx-cropcenter:100:100.jpeg?dr=14579&amp;refresh_token=46bf5705&amp;x-expires=1763172000&amp;x-signature=7484GDeVpZ%2BdyRE8iPsgTRw2%2FDE%3D&amp;t=4d5b0474&amp;ps=13740610&amp;shp=a5d48078&amp;shcp=81f88b70&amp;idc=my" TargetMode="External"/><Relationship Id="rId1293" Type="http://schemas.openxmlformats.org/officeDocument/2006/relationships/hyperlink" Target="https://v16-webapp-prime.tiktok.com/video/tos/useast2a/tos-useast2a-v-27dcd7/oQ97rwAhASJ8AEYExBfkCYDzQZJIABpFNbfUbK/?a=1988&amp;bti=ODszNWYuMDE6&amp;ch=0&amp;cr=0&amp;dr=0&amp;er=0&amp;lr=default&amp;cd=0%7C0%7C0%7C0&amp;br=250&amp;bt=125&amp;ds=5&amp;ft=GNDpcInz7Tht9-UPXq8Zmo&amp;mime_type=audio_mpeg&amp;qs=13&amp;rc=andrN2Q6Zm9wbTMzNzU8M0BpandrN2Q6Zm9wbTMzNzU8M0Bga2tscjRnLXFgLS1kMTZzYSNga2tscjRnLXFgLS1kMTZzcw%3D%3D&amp;btag=e00050000&amp;expire=1763004338&amp;l=20251113102438711CFC3830D7669110B2&amp;ply_type=3&amp;policy=3&amp;signature=db4c4b692d30201e33814881522d07c3&amp;tk=7571587458748974088" TargetMode="External"/><Relationship Id="rId461" Type="http://schemas.openxmlformats.org/officeDocument/2006/relationships/hyperlink" Target="https://www.tiktok.com/@meu.mundotdah/video/7443539900613283127" TargetMode="External"/><Relationship Id="rId1294" Type="http://schemas.openxmlformats.org/officeDocument/2006/relationships/hyperlink" Target="https://p77-sign-va.tiktokcdn.com/tos-maliva-avt-0068/bdb332817432108f784f2f9bb4a10a60~tplv-tiktokx-cropcenter:1080:1080.jpeg?dr=14579&amp;refresh_token=a7ea048c&amp;x-expires=1763172000&amp;x-signature=LYBb6Kmj3y1HANcb5%2F1gRabpJmo%3D&amp;t=4d5b0474&amp;ps=13740610&amp;shp=a5d48078&amp;shcp=81f88b70&amp;idc=my" TargetMode="External"/><Relationship Id="rId460" Type="http://schemas.openxmlformats.org/officeDocument/2006/relationships/hyperlink" Target="https://webapp-va.tiktok.com/78f8bb62b5c7d77c010b8b0e21fac8a7/6917e3fa/kmoat/mps/logo/v3/r/p/v09300g40001ct6c87vog65gn4fajakg/b4025da6c8b64069839608dee0395fb6/8529ff5ef48c019bdd5f0312d0f41e3f/mp4/main.mp4?a=1988&amp;bti=ODszNWYuMDE6&amp;ch=0&amp;cr=3&amp;dr=0&amp;lr=all&amp;cd=0%7C0%7C0%7C&amp;cv=1&amp;br=0&amp;bt=0&amp;cs=0&amp;ds=3&amp;ft=bLZkJmrMPD12NDhopd-Ux2.2GY6e3wv25rcAp&amp;mime_type=video_mp4&amp;qs=0&amp;rc=cnF8b2hsc2d3SkBwaHIxaDFybndmOWk8M2g7OTY8Mzk7OWc1N0BpamRkN2o5cjpmdzQzNzM2M0BjRl5Nc3FePmJKYSNvYF90aHFmOiNfMjBiYS02NTMxX2BeMi1fYSNoZ2NrMmRzNTNgLS1kLTZzcw%3D%3D&amp;btag=e000b8000&amp;definition=720p&amp;du=15&amp;item_id=7443539900613283127&amp;l=20251113102236D675DBC36011DA84E058&amp;logo_type=tiktok_creator&amp;ply_type=2&amp;policy=eyJ2bSI6MiwiY2siOiJ0dF9jaGFpbl90b2tlbiJ9&amp;sign_params=item_id%2Cuser_text&amp;user_text=meu.mundotdah" TargetMode="External"/><Relationship Id="rId1295" Type="http://schemas.openxmlformats.org/officeDocument/2006/relationships/hyperlink" Target="https://v16-webapp-prime.tiktok.com/video/tos/maliva/tos-maliva-ve-68c800-us/oQfezNKYIhwSEGY02QJgfC87IPj1AJIQPCSGMp/?a=1988&amp;bti=ODszNWYuMDE6&amp;ch=0&amp;cr=3&amp;dr=0&amp;lr=all&amp;cd=0%7C0%7C0%7C&amp;cv=1&amp;br=1654&amp;bt=827&amp;cs=0&amp;ds=3&amp;ft=I~da4oKyD12NvnA0i.IxRTF_blBF-UjNSaopiX&amp;mime_type=video_mp4&amp;qs=0&amp;rc=Z2VnOTY7ZjRnZDM3ZGlnZkBpM25qaWQ6ZmZvbTMzNzczM0AxYjReNDFfNmMxMzRhYS0wYSM1ZS5vcjQwc3FgLS1kMTZzcw%3D%3D&amp;btag=e00090000&amp;expire=1763173538&amp;l=20251113102438711CFC3830D7669110B2&amp;ply_type=2&amp;policy=2&amp;signature=f611833973b9a69c54d58931300942d0&amp;tk=tt_chain_token" TargetMode="External"/><Relationship Id="rId1296" Type="http://schemas.openxmlformats.org/officeDocument/2006/relationships/hyperlink" Target="https://www.tiktok.com/@falodeautismo/video/7276515501562514693" TargetMode="External"/><Relationship Id="rId466" Type="http://schemas.openxmlformats.org/officeDocument/2006/relationships/hyperlink" Target="https://www.tiktok.com/@tdahempalavra/video/7442348243129830711" TargetMode="External"/><Relationship Id="rId1297" Type="http://schemas.openxmlformats.org/officeDocument/2006/relationships/hyperlink" Target="https://p16-sign-va.tiktokcdn.com/tos-maliva-avt-0068/431bee7578e519987635a70e5b8f7fb3~tplv-tiktokx-cropcenter:100:100.jpeg?dr=14579&amp;refresh_token=44fd81bd&amp;x-expires=1763172000&amp;x-signature=5qONbfsCauye%2F1LhYL2k7p4zjgc%3D&amp;t=4d5b0474&amp;ps=13740610&amp;shp=a5d48078&amp;shcp=81f88b70&amp;idc=my" TargetMode="External"/><Relationship Id="rId465" Type="http://schemas.openxmlformats.org/officeDocument/2006/relationships/hyperlink" Target="https://v16-webapp-prime.tiktok.com/video/tos/useast2a/tos-useast2a-pve-0068/oYPgekqSA1fIQgSOjDLCCVasNEEPIQFIuFCkfD/?a=1988&amp;bti=ODszNWYuMDE6&amp;ch=0&amp;cr=3&amp;dr=0&amp;lr=all&amp;cd=0%7C0%7C0%7C&amp;cv=1&amp;br=2032&amp;bt=1016&amp;cs=0&amp;ds=3&amp;ft=I~da4oKyD12NviW0i.IxRHqNglBF-UjNSqopiX&amp;mime_type=video_mp4&amp;qs=0&amp;rc=NmdmaWYzOjU6Ojs6PGVmZUBpajc8aWo5cm47dzMzNzczM0AtY140MDAvNmMxXjMxX2MzYSMyX2dhMmRrYzFgLS1kMTZzcw%3D%3D&amp;btag=e000b8000&amp;expire=1763173369&amp;l=202511131022270BBA173F4561DD71A814&amp;ply_type=2&amp;policy=2&amp;signature=733d495f410332b98eda6384fa444aa1&amp;tk=tt_chain_token" TargetMode="External"/><Relationship Id="rId1298" Type="http://schemas.openxmlformats.org/officeDocument/2006/relationships/hyperlink" Target="https://v16-webapp-prime.tiktok.com/video/tos/useast2a/tos-useast2a-v-27dcd7/oEDcDfAEkzyDY5KqloAjBrUEEt4kbkghCoEAcA/?a=1988&amp;bti=ODszNWYuMDE6&amp;ch=0&amp;cr=0&amp;dr=0&amp;er=0&amp;lr=default&amp;cd=0%7C0%7C0%7C0&amp;br=250&amp;bt=125&amp;ds=5&amp;ft=GNDpcInz7Tht9-UPXq8Zmo&amp;mime_type=audio_mpeg&amp;qs=13&amp;rc=M3I3cjY6ZmxzbTMzNzU8M0BpM3I3cjY6ZmxzbTMzNzU8M0BiNnNhcjRfXi5gLS1kMTZzYSNiNnNhcjRfXi5gLS1kMTZzcw%3D%3D&amp;btag=e00078000&amp;expire=1763004296&amp;l=20251113102438711CFC3830D7669110B2&amp;ply_type=3&amp;policy=3&amp;signature=5c9040ea3a688962061af8cd2ce04253&amp;tk=7571587458748974088" TargetMode="External"/><Relationship Id="rId464" Type="http://schemas.openxmlformats.org/officeDocument/2006/relationships/hyperlink" Target="https://p16-sign-va.tiktokcdn.com/tos-maliva-avt-0068/5276198b93082394c0b92347278b7f75~tplv-tiktokx-cropcenter:1080:1080.jpeg?dr=14579&amp;refresh_token=294ff918&amp;x-expires=1763172000&amp;x-signature=zv3kgr92KZ3iyt2t6xMvPsoy39s%3D&amp;t=4d5b0474&amp;ps=13740610&amp;shp=a5d48078&amp;shcp=81f88b70&amp;idc=my" TargetMode="External"/><Relationship Id="rId1299" Type="http://schemas.openxmlformats.org/officeDocument/2006/relationships/hyperlink" Target="https://p77-sign-va.tiktokcdn.com/tos-maliva-avt-0068/1ad02d8df2bf4ff18d4dfe822676a678~tplv-tiktokx-cropcenter:1080:1080.jpeg?dr=14579&amp;refresh_token=bd231a8f&amp;x-expires=1763172000&amp;x-signature=OZCJBY6sy5J01zqWhoNYvPaciGw%3D&amp;t=4d5b0474&amp;ps=13740610&amp;shp=a5d48078&amp;shcp=81f88b70&amp;idc=my" TargetMode="External"/><Relationship Id="rId463" Type="http://schemas.openxmlformats.org/officeDocument/2006/relationships/hyperlink" Target="https://v16-webapp-prime.tiktok.com/video/tos/useast2a/tos-useast2a-v-27dcd7/ookBiAAAiBEAEFioznlBpiEfHQ3EAsKpIEg69v/?a=1988&amp;bti=ODszNWYuMDE6&amp;ch=0&amp;cr=0&amp;dr=0&amp;er=0&amp;lr=default&amp;cd=0%7C0%7C0%7C0&amp;br=250&amp;bt=125&amp;ds=5&amp;ft=GNDpcInz7ThUK-UPXq8Zmo&amp;mime_type=audio_mpeg&amp;qs=13&amp;rc=Mzg5eXE5cnA7dzMzNzU8M0BpMzg5eXE5cnA7dzMzNzU8M0Blc2EwMmRjZDFgLS1kMTZzYSNlc2EwMmRjZDFgLS1kMTZzcw%3D%3D&amp;btag=e00078000&amp;expire=1763004169&amp;l=202511131022270BBA173F4561DD71A814&amp;ply_type=3&amp;policy=3&amp;signature=111d30ef5559c380c40a2af5254e9d03&amp;tk=7571587458748974088" TargetMode="External"/><Relationship Id="rId459" Type="http://schemas.openxmlformats.org/officeDocument/2006/relationships/hyperlink" Target="https://p77-sign-va.tiktokcdn.com/tos-maliva-avt-0068/38f87d0ccea25144d85cc3d0f2f08234~tplv-tiktokx-cropcenter:1080:1080.jpeg?dr=14579&amp;refresh_token=61d156bc&amp;x-expires=1763172000&amp;x-signature=30JjcydO8e3E3RUuJXZ8hpmuJq0%3D&amp;t=4d5b0474&amp;ps=13740610&amp;shp=a5d48078&amp;shcp=81f88b70&amp;idc=my" TargetMode="External"/><Relationship Id="rId458" Type="http://schemas.openxmlformats.org/officeDocument/2006/relationships/hyperlink" Target="https://v16-webapp-prime.tiktok.com/video/tos/useast2a/tos-useast2a-v-27dcd7/oseJA9ECYO6BIgIniBGL2ofGCYAemITZhGSEAC/?a=1988&amp;bti=ODszNWYuMDE6&amp;ch=0&amp;cr=0&amp;dr=0&amp;er=0&amp;lr=default&amp;cd=0%7C0%7C0%7C0&amp;br=250&amp;bt=125&amp;ds=5&amp;ft=GNDpcInz7ThzK-UPXq8Zmo&amp;mime_type=audio_mpeg&amp;qs=13&amp;rc=amk0dWs5cjxmdzMzNzU8M0Bpamk0dWs5cjxmdzMzNzU8M0BjMGhqMmQ0NTNgLS1kMTZzYSNjMGhqMmQ0NTNgLS1kMTZzcw%3D%3D&amp;btag=e00078000&amp;expire=1763004170&amp;l=20251113102236D675DBC36011DA84E058&amp;ply_type=3&amp;policy=3&amp;signature=5f682d4fa600765d8967956579296f75&amp;tk=7571587458748974088" TargetMode="External"/><Relationship Id="rId457" Type="http://schemas.openxmlformats.org/officeDocument/2006/relationships/hyperlink" Target="https://p77-sign-va.tiktokcdn.com/tos-maliva-avt-0068/38f87d0ccea25144d85cc3d0f2f08234~tplv-tiktokx-cropcenter:100:100.jpeg?dr=14579&amp;refresh_token=58a1885b&amp;x-expires=1763172000&amp;x-signature=tYlqf4RgD2XZY%2Bcsl%2BpyaEEWTzQ%3D&amp;t=4d5b0474&amp;ps=13740610&amp;shp=a5d48078&amp;shcp=81f88b70&amp;idc=my" TargetMode="External"/><Relationship Id="rId456" Type="http://schemas.openxmlformats.org/officeDocument/2006/relationships/hyperlink" Target="https://www.tiktok.com/@neurodivergenciaeopapo/video/7501116259862334775" TargetMode="External"/><Relationship Id="rId1280" Type="http://schemas.openxmlformats.org/officeDocument/2006/relationships/hyperlink" Target="https://v16-webapp-prime.tiktok.com/video/tos/alisg/tos-alisg-pve-0037/oEA0A6uVDfLBHBrQIyhzD6N4EUYBoHCNgknEsK/?a=1988&amp;bti=ODszNWYuMDE6&amp;ch=0&amp;cr=3&amp;dr=0&amp;lr=all&amp;cd=0%7C0%7C0%7C&amp;cv=1&amp;br=1106&amp;bt=553&amp;cs=0&amp;ds=3&amp;ft=-Csk_mrMPD12Nzhopd-UxfeFaY6e3wv25HcAp&amp;mime_type=video_mp4&amp;qs=0&amp;rc=O2hpaTo7NDMzM2c6ODwzNUBpM2hkbTY6ZjVwbDMzNzgzM0AuMl80NDZeXzUxXmJhYi9fYSNwbTUwcjQwNGpgLS1kLzZzcw%3D%3D&amp;btag=e000b8000&amp;expire=1763173383&amp;l=202511131022442EE54DE47B86CCA867A8&amp;ply_type=2&amp;policy=2&amp;signature=8dec3122f1f0918f4a62deb68da8a8b1&amp;tk=tt_chain_token" TargetMode="External"/><Relationship Id="rId1281" Type="http://schemas.openxmlformats.org/officeDocument/2006/relationships/hyperlink" Target="https://www.tiktok.com/@tdahabitos/video/7254563923872009477" TargetMode="External"/><Relationship Id="rId451" Type="http://schemas.openxmlformats.org/officeDocument/2006/relationships/hyperlink" Target="https://www.tiktok.com/@menteintrigada.o/video/7449878362803162373" TargetMode="External"/><Relationship Id="rId1282" Type="http://schemas.openxmlformats.org/officeDocument/2006/relationships/hyperlink" Target="https://p16-sign-va.tiktokcdn.com/tos-maliva-avt-0068/987a16edb27b7a366cb5166e4d199e31~tplv-tiktokx-cropcenter:100:100.jpeg?dr=14579&amp;refresh_token=eebc30fb&amp;x-expires=1763172000&amp;x-signature=C49QolN58Y6%2FU5FZOclxCAO6Lsk%3D&amp;t=4d5b0474&amp;ps=13740610&amp;shp=a5d48078&amp;shcp=81f88b70&amp;idc=my" TargetMode="External"/><Relationship Id="rId450" Type="http://schemas.openxmlformats.org/officeDocument/2006/relationships/hyperlink" Target="https://v16-webapp-prime.tiktok.com/video/tos/useast2a/tos-useast2a-pve-0068/oIjQJIBmQAh5BytdRFfz0nDBoJYfOEEPPZ4cgI/?a=1988&amp;bti=ODszNWYuMDE6&amp;ch=0&amp;cr=3&amp;dr=0&amp;lr=all&amp;cd=0%7C0%7C0%7C&amp;cv=1&amp;br=1188&amp;bt=594&amp;cs=0&amp;ds=3&amp;ft=-Csk_mrMPD12N8hopd-Ux~v2bY6e3wv251cAp&amp;mime_type=video_mp4&amp;qs=0&amp;rc=Z2Y5O2Q1OTZkZDY2NDVnZ0BpamhqcHA5cnFudzMzNzczM0BfNjUvYzYtXmExXi9hMmAzYSNnY2NwMmQ0ZGVgLS1kMTZzcw%3D%3D&amp;btag=e00090000&amp;expire=1763173420&amp;l=202511131022406C90E0DA9AAAC98C2302&amp;ply_type=2&amp;policy=2&amp;signature=ae976081e5bb0d1d4722dff15dce0151&amp;tk=tt_chain_token" TargetMode="External"/><Relationship Id="rId1283" Type="http://schemas.openxmlformats.org/officeDocument/2006/relationships/hyperlink" Target="https://v16-webapp-prime.tiktok.com/video/tos/useast2a/tos-useast2a-v-27dcd7/ooEDobA1O2bCUBeAytuBy4ACEBJ5sLAEqQfFJK/?a=1988&amp;bti=ODszNWYuMDE6&amp;ch=0&amp;cr=0&amp;dr=0&amp;er=0&amp;lr=default&amp;cd=0%7C0%7C0%7C0&amp;br=250&amp;bt=125&amp;ds=5&amp;ft=GNDpcInz7Tht9-UPXq8Zmo&amp;mime_type=audio_mpeg&amp;qs=13&amp;rc=MzhnOHQ5cjk1NDMzNzU8M0BpMzhnOHQ5cjk1NDMzNzU8M0BzbF9kMmRza2phLS1kMTZzYSNzbF9kMmRza2phLS1kMTZzcw%3D%3D&amp;btag=e00060000&amp;expire=1763004685&amp;l=20251113102438711CFC3830D7669110B2&amp;ply_type=3&amp;policy=3&amp;signature=3431c92ac317e62c5bfe6b756f579749&amp;tk=7571587458748974088" TargetMode="External"/><Relationship Id="rId1284" Type="http://schemas.openxmlformats.org/officeDocument/2006/relationships/hyperlink" Target="https://p16-sign-va.tiktokcdn.com/tos-maliva-avt-0068/987a16edb27b7a366cb5166e4d199e31~tplv-tiktokx-cropcenter:1080:1080.jpeg?dr=14579&amp;refresh_token=7462f4a3&amp;x-expires=1763172000&amp;x-signature=iiBbGLQxu%2FsXJ0MFVmmAUVJIun4%3D&amp;t=4d5b0474&amp;ps=13740610&amp;shp=a5d48078&amp;shcp=81f88b70&amp;idc=my" TargetMode="External"/><Relationship Id="rId1285" Type="http://schemas.openxmlformats.org/officeDocument/2006/relationships/hyperlink" Target="https://v16-webapp-prime.tiktok.com/video/tos/alisg/tos-alisg-ve-37c813-sg/ooh0Asn5iIbi4FUAho9INL5IIS91BgQ9CfrEzk/?a=1988&amp;bti=ODszNWYuMDE6&amp;ch=0&amp;cr=3&amp;dr=0&amp;lr=all&amp;cd=0%7C0%7C0%7C&amp;cv=1&amp;br=2296&amp;bt=1148&amp;cs=0&amp;ds=3&amp;ft=I~da4oKyD12NvnA0i.IxRTF_blBF-UjNSaopiX&amp;mime_type=video_mp4&amp;qs=0&amp;rc=Z2RlZ2RkOzg5ZWQzZ2hlaEBpam1xeXc5cjc1NDMzNzczM0AuXmAtLl5gNTExMWM0MTZfYSMyZWJwMmRjZmphLS1kMTZzcw%3D%3D&amp;btag=e000a0000&amp;expire=1763173885&amp;l=20251113102438711CFC3830D7669110B2&amp;ply_type=2&amp;policy=2&amp;signature=d959f4db74f01af05437fba40d5a5740&amp;tk=tt_chain_token" TargetMode="External"/><Relationship Id="rId455" Type="http://schemas.openxmlformats.org/officeDocument/2006/relationships/hyperlink" Target="https://v16-webapp-prime.tiktok.com/video/tos/useast2a/tos-useast2a-ve-0068c001/okE2lEbivSQR1ZQMwSQEI7BHBUayUAsWJOiBa/?a=1988&amp;bti=ODszNWYuMDE6&amp;ch=0&amp;cr=3&amp;dr=0&amp;lr=all&amp;cd=0%7C0%7C0%7C&amp;cv=1&amp;br=1548&amp;bt=774&amp;cs=0&amp;ds=3&amp;ft=I~da4oKyD12NvyA0i.IxRhq_glBF-UjNSmopiX&amp;mime_type=video_mp4&amp;qs=0&amp;rc=Ojo6PGQ8ZzdkNjlkNjtlZEBpM3U7ZXA5cnBvMzMzNzczM0AvMjEyLl8uXjYxLjE0YzUwYSMvYy9tMmRrLWBhLS1kMTZzcw%3D%3D&amp;btag=e00090000&amp;expire=1763173613&amp;l=202511131024200DA040BB1F5C349EC2B1&amp;ply_type=2&amp;policy=2&amp;signature=db871acdf61a1c8f713f17fd032b44a8&amp;tk=tt_chain_token" TargetMode="External"/><Relationship Id="rId1286" Type="http://schemas.openxmlformats.org/officeDocument/2006/relationships/hyperlink" Target="https://www.tiktok.com/@gabriela.matsuda/video/7524436956374240518" TargetMode="External"/><Relationship Id="rId454" Type="http://schemas.openxmlformats.org/officeDocument/2006/relationships/hyperlink" Target="https://p16-sign-va.tiktokcdn.com/tos-maliva-avt-0068/fc1698d10dca32b79684fcca308c78cc~tplv-tiktokx-cropcenter:1080:1080.jpeg?dr=14579&amp;refresh_token=7e197f98&amp;x-expires=1763172000&amp;x-signature=Ar1E%2BtXAdX7b7JlZ%2BVQgvVp1yPM%3D&amp;t=4d5b0474&amp;ps=13740610&amp;shp=a5d48078&amp;shcp=81f88b70&amp;idc=my" TargetMode="External"/><Relationship Id="rId1287" Type="http://schemas.openxmlformats.org/officeDocument/2006/relationships/hyperlink" Target="https://p16-sign-va.tiktokcdn.com/tos-maliva-avt-0068/7326721801726689286~tplv-tiktokx-cropcenter:100:100.jpeg?dr=14579&amp;refresh_token=9c144c7d&amp;x-expires=1763172000&amp;x-signature=67oy5EYRb5827l5sGz0s5F0mRuU%3D&amp;t=4d5b0474&amp;ps=13740610&amp;shp=a5d48078&amp;shcp=81f88b70&amp;idc=my" TargetMode="External"/><Relationship Id="rId453" Type="http://schemas.openxmlformats.org/officeDocument/2006/relationships/hyperlink" Target="https://v16-webapp-prime.tiktok.com/video/tos/useast2a/tos-useast2a-v-27dcd7/ocfZpSgMeEERlMArAGTQAZCoUICSLoAK3qAEIf/?a=1988&amp;bti=ODszNWYuMDE6&amp;ch=0&amp;cr=0&amp;dr=0&amp;er=0&amp;lr=default&amp;cd=0%7C0%7C0%7C0&amp;br=250&amp;bt=125&amp;ds=5&amp;ft=GNDpcInz7Th_9-UPXq8Zmo&amp;mime_type=audio_mpeg&amp;qs=13&amp;rc=M2x2cnk5cjhvMzMzNzU8M0BpM2x2cnk5cjhvMzMzNzU8M0BoaDBxMmQ0MGBhLS1kMTZzYSNoaDBxMmQ0MGBhLS1kMTZzcw%3D%3D&amp;btag=e00050000&amp;expire=1763004413&amp;l=202511131024200DA040BB1F5C349EC2B1&amp;ply_type=3&amp;policy=3&amp;signature=8836ef5de95ceab90c619b501ecaa6c6&amp;tk=7571587458748974088" TargetMode="External"/><Relationship Id="rId1288" Type="http://schemas.openxmlformats.org/officeDocument/2006/relationships/hyperlink" Target="https://v16-webapp-prime.tiktok.com/video/tos/useast2a/tos-useast2a-v-27dcd7/oACAG8lOVAfpnCfAJbbBwxUAQJDHBAAI8lidIE/?a=1988&amp;bti=ODszNWYuMDE6&amp;ch=0&amp;cr=0&amp;dr=0&amp;er=0&amp;lr=default&amp;cd=0%7C0%7C0%7C0&amp;br=250&amp;bt=125&amp;ds=5&amp;ft=GNDpcInz7ThA9-UPXq8Zmo&amp;mime_type=audio_mpeg&amp;qs=13&amp;rc=M3h1dTM6Zm1qbjMzNzU8M0BpM3h1dTM6Zm1qbjMzNzU8M0AuMmE0cjRnXi5gLS1kMTZzYSMuMmE0cjRnXi5gLS1kMTZzcw%3D%3D&amp;btag=e00060000&amp;expire=1763004798&amp;l=20251113102449DDADD1FB7AF14A841409&amp;ply_type=3&amp;policy=3&amp;signature=0d27dbabe866f14576a41192d7fcab38&amp;tk=7571587458748974088" TargetMode="External"/><Relationship Id="rId452" Type="http://schemas.openxmlformats.org/officeDocument/2006/relationships/hyperlink" Target="https://p77-sign-va.tiktokcdn.com/tos-maliva-avt-0068/fc1698d10dca32b79684fcca308c78cc~tplv-tiktokx-cropcenter:100:100.jpeg?dr=14579&amp;refresh_token=ce6507a1&amp;x-expires=1763172000&amp;x-signature=Th0dAAjHWibruQ8c2NVpp3gSDiw%3D&amp;t=4d5b0474&amp;ps=13740610&amp;shp=a5d48078&amp;shcp=81f88b70&amp;idc=my" TargetMode="External"/><Relationship Id="rId1289" Type="http://schemas.openxmlformats.org/officeDocument/2006/relationships/hyperlink" Target="https://p77-sign-va.tiktokcdn.com/tos-maliva-avt-0068/7326721801726689286~tplv-tiktokx-cropcenter:1080:1080.jpeg?dr=14579&amp;refresh_token=fb846d46&amp;x-expires=1763172000&amp;x-signature=6SAeG%2B26G1RtmFMgPMvUlZMSL6c%3D&amp;t=4d5b0474&amp;ps=13740610&amp;shp=a5d48078&amp;shcp=81f88b70&amp;idc=my" TargetMode="External"/><Relationship Id="rId491" Type="http://schemas.openxmlformats.org/officeDocument/2006/relationships/hyperlink" Target="https://www.tiktok.com/@marilialanoa/video/7277585063594773766" TargetMode="External"/><Relationship Id="rId490" Type="http://schemas.openxmlformats.org/officeDocument/2006/relationships/hyperlink" Target="https://v16-webapp-prime.tiktok.com/video/tos/useast2a/tos-useast2a-pve-0068/ogPhQbeeDSqgWBzZhUkRfpfBEeEyATYPMWWfcY/?a=1988&amp;bti=ODszNWYuMDE6&amp;ch=0&amp;cr=3&amp;dr=0&amp;lr=all&amp;cd=0%7C0%7C0%7C&amp;cv=1&amp;br=2158&amp;bt=1079&amp;cs=0&amp;ds=3&amp;ft=-Csk_mrMPD12N-copd-Ux7~2bY6e3wv25bcAp&amp;mime_type=video_mp4&amp;qs=0&amp;rc=M2RkNWY3ZDVpZWhlaTs8N0BpM2Rsd2g6ZmZsbTMzNzczM0AzYDE0MDBgNS0xMzMvLS1jYSNnZnMwcjQwbXNgLS1kMTZzcw%3D%3D&amp;btag=e00090000&amp;expire=1763173594&amp;l=20251113102424EE0F9FCD2CC2B68BE0E2&amp;ply_type=2&amp;policy=2&amp;signature=337ef1695818e7df12a69b85235b65eb&amp;tk=tt_chain_token" TargetMode="External"/><Relationship Id="rId489" Type="http://schemas.openxmlformats.org/officeDocument/2006/relationships/hyperlink" Target="https://p77-sign-va.tiktokcdn.com/tos-maliva-avt-0068/7326721801726689286~tplv-tiktokx-cropcenter:1080:1080.jpeg?dr=14579&amp;refresh_token=fb846d46&amp;x-expires=1763172000&amp;x-signature=6SAeG%2B26G1RtmFMgPMvUlZMSL6c%3D&amp;t=4d5b0474&amp;ps=13740610&amp;shp=a5d48078&amp;shcp=81f88b70&amp;idc=my" TargetMode="External"/><Relationship Id="rId484" Type="http://schemas.openxmlformats.org/officeDocument/2006/relationships/hyperlink" Target="https://p16-sign-va.tiktokcdn.com/tos-maliva-avt-0068/5cb18cbd42ec491fa266d34d092284a6~tplv-tiktokx-cropcenter:1080:1080.jpeg?dr=14579&amp;refresh_token=c14fe676&amp;x-expires=1763172000&amp;x-signature=cUcyFiyf9VM1EA4RAORN3d21S2o%3D&amp;t=4d5b0474&amp;ps=13740610&amp;shp=a5d48078&amp;shcp=81f88b70&amp;idc=my" TargetMode="External"/><Relationship Id="rId483" Type="http://schemas.openxmlformats.org/officeDocument/2006/relationships/hyperlink" Target="https://v16-webapp-prime.tiktok.com/video/tos/useast2a/tos-useast2a-v-27dcd7/d4b5a8a75ff646f287ba78300f1f34c9/?a=1988&amp;bti=ODszNWYuMDE6&amp;ch=0&amp;cr=0&amp;dr=0&amp;er=0&amp;lr=default&amp;cd=0%7C0%7C0%7C0&amp;br=250&amp;bt=125&amp;ds=5&amp;ft=GNDpcInz7ThaV-UPXq8Zmo&amp;mime_type=audio_mpeg&amp;qs=13&amp;rc=amttODY6ZnNyaDMzNzU8M0BpamttODY6ZnNyaDMzNzU8M0AxNmczcjRvNF9gLS1kMTZzYSMxNmczcjRvNF9gLS1kMTZzcw%3D%3D&amp;btag=e00048000&amp;expire=1763004265&amp;l=20251113102343D1A0044B947998B9C2A2&amp;ply_type=3&amp;policy=3&amp;signature=4c4a93214e32580898de97272e400876&amp;tk=7571587458748974088" TargetMode="External"/><Relationship Id="rId482" Type="http://schemas.openxmlformats.org/officeDocument/2006/relationships/hyperlink" Target="https://p77-sign-va.tiktokcdn.com/tos-maliva-avt-0068/5cb18cbd42ec491fa266d34d092284a6~tplv-tiktokx-cropcenter:100:100.jpeg?dr=14579&amp;refresh_token=aef33cc9&amp;x-expires=1763172000&amp;x-signature=Ma9OlCg428jT3cbFfoxmGXocnFY%3D&amp;t=4d5b0474&amp;ps=13740610&amp;shp=a5d48078&amp;shcp=81f88b70&amp;idc=my" TargetMode="External"/><Relationship Id="rId481" Type="http://schemas.openxmlformats.org/officeDocument/2006/relationships/hyperlink" Target="https://www.tiktok.com/@igorpsicologo/video/7536699752629488952" TargetMode="External"/><Relationship Id="rId488" Type="http://schemas.openxmlformats.org/officeDocument/2006/relationships/hyperlink" Target="https://v16-webapp-prime.tiktok.com/video/tos/useast2a/tos-useast2a-v-27dcd7/osHD8L1RIrCoSmfCKfcnbCET0XEeAAygAq4JI2/?a=1988&amp;bti=ODszNWYuMDE6&amp;ch=0&amp;cr=0&amp;dr=0&amp;er=0&amp;lr=default&amp;cd=0%7C0%7C0%7C0&amp;br=250&amp;bt=125&amp;ds=5&amp;ft=GNDpcInz7ThX9-UPXq8Zmo&amp;mime_type=audio_mpeg&amp;qs=13&amp;rc=MzhzeDQ6ZjhsbTMzNzU8M0BpMzhzeDQ6ZjhsbTMzNzU8M0AuaW9ecjRvbnNgLS1kMTZzYSMuaW9ecjRvbnNgLS1kMTZzcw%3D%3D&amp;btag=e00050000&amp;expire=1763004395&amp;l=20251113102424EE0F9FCD2CC2B68BE0E2&amp;ply_type=3&amp;policy=3&amp;signature=70f13ef4e2bef7bda32ffc925b731107&amp;tk=7571587458748974088" TargetMode="External"/><Relationship Id="rId487" Type="http://schemas.openxmlformats.org/officeDocument/2006/relationships/hyperlink" Target="https://p77-sign-va.tiktokcdn.com/tos-maliva-avt-0068/7326721801726689286~tplv-tiktokx-cropcenter:100:100.jpeg?dr=14579&amp;refresh_token=9dfacccf&amp;x-expires=1763172000&amp;x-signature=OGhc9xK0WjLf2d0lYo8FInojhOY%3D&amp;t=4d5b0474&amp;ps=13740610&amp;shp=a5d48078&amp;shcp=81f88b70&amp;idc=my" TargetMode="External"/><Relationship Id="rId486" Type="http://schemas.openxmlformats.org/officeDocument/2006/relationships/hyperlink" Target="https://www.tiktok.com/@anchietaadvogados/video/7176349531464797445" TargetMode="External"/><Relationship Id="rId485" Type="http://schemas.openxmlformats.org/officeDocument/2006/relationships/hyperlink" Target="https://v16-webapp-prime.tiktok.com/video/tos/alisg/tos-alisg-pve-0037c001/oIpesnPIEEe4BNAbEQDtGJjTIzRtlA8wDESBQg/?a=1988&amp;bti=ODszNWYuMDE6&amp;ch=0&amp;cr=3&amp;dr=0&amp;lr=all&amp;cd=0%7C0%7C0%7C&amp;cv=1&amp;br=1702&amp;bt=851&amp;cs=0&amp;ds=3&amp;ft=-Csk_mrMPD12N8Yopd-UxfeFaY6e3wv25HcAp&amp;mime_type=video_mp4&amp;qs=0&amp;rc=ZzxnNzxkODQ3OTg6OGczOUBpMzxkNDQ6ZmpyaDMzNzczM0BfYWBgYzNiNWExM2AxMzZjYSMvb2ZzcjQwNF9gLS1kMTZzcw%3D%3D&amp;btag=e00088000&amp;expire=1763173465&amp;l=20251113102343D1A0044B947998B9C2A2&amp;ply_type=2&amp;policy=2&amp;signature=31e33ff9bc97c46163b4217900f1d06f&amp;tk=tt_chain_token" TargetMode="External"/><Relationship Id="rId480" Type="http://schemas.openxmlformats.org/officeDocument/2006/relationships/hyperlink" Target="https://v16-webapp-prime.tiktok.com/video/tos/useast2a/tos-useast2a-pve-0068/owuRNXBy8Xa5AEknninfGjAWwQAe8FiMieemiU/?a=1988&amp;bti=ODszNWYuMDE6&amp;ch=0&amp;cr=3&amp;dr=0&amp;lr=all&amp;cd=0%7C0%7C0%7C&amp;cv=1&amp;br=2686&amp;bt=1343&amp;cs=0&amp;ds=3&amp;ft=I~da4oKyD12NvnA0i.IxRTF_blBF-UjNSaopiX&amp;mime_type=video_mp4&amp;qs=0&amp;rc=OjQ7ZzplZDY7OmY0M2g3NEBpam5tcnY5cjZ1NTMzNzczM0AtMWEwMTEyNWMxNGMxLjUyYSNfamFzMmRzal9hLS1kMTZzcw%3D%3D&amp;btag=e00090000&amp;expire=1763173543&amp;l=20251113102438711CFC3830D7669110B2&amp;ply_type=2&amp;policy=2&amp;signature=0ec3ed9a401c9f453cf5d9e62d677ed2&amp;tk=tt_chain_token" TargetMode="External"/><Relationship Id="rId479" Type="http://schemas.openxmlformats.org/officeDocument/2006/relationships/hyperlink" Target="https://p77-sign-va.tiktokcdn.com/tos-maliva-avt-0068/13a628e0ffd8c13e59721b894863e44e~tplv-tiktokx-cropcenter:1080:1080.jpeg?dr=14579&amp;refresh_token=d1160263&amp;x-expires=1763172000&amp;x-signature=cQoG6Hy7RddlMnXZa7BCWHQVFb8%3D&amp;t=4d5b0474&amp;ps=13740610&amp;shp=a5d48078&amp;shcp=81f88b70&amp;idc=my" TargetMode="External"/><Relationship Id="rId478" Type="http://schemas.openxmlformats.org/officeDocument/2006/relationships/hyperlink" Target="https://v16-webapp-prime.tiktok.com/video/tos/useast2a/tos-useast2a-v-27dcd7/oE4ijKA3EREkC8AkSvyqXEeX0JAvkBLbSAioBg/?a=1988&amp;bti=ODszNWYuMDE6&amp;ch=0&amp;cr=0&amp;dr=0&amp;er=0&amp;lr=default&amp;cd=0%7C0%7C0%7C0&amp;br=250&amp;bt=125&amp;ds=5&amp;ft=GNDpcInz7Tht9-UPXq8Zmo&amp;mime_type=audio_mpeg&amp;qs=13&amp;rc=anJ5PGw5cjd1NTMzNzU8M0BpanJ5PGw5cjd1NTMzNzU8M0BlYy9pMmRrbV9hLS1kMTZzYSNlYy9pMmRrbV9hLS1kMTZzcw%3D%3D&amp;btag=e00050000&amp;expire=1763004343&amp;l=20251113102438711CFC3830D7669110B2&amp;ply_type=3&amp;policy=3&amp;signature=e8a191fb37f3d587d74078c77c833d76&amp;tk=7571587458748974088" TargetMode="External"/><Relationship Id="rId473" Type="http://schemas.openxmlformats.org/officeDocument/2006/relationships/hyperlink" Target="https://v16-webapp-prime.tiktok.com/video/tos/useast2a/tos-useast2a-v-27dcd7/b65f2a07810f494c81443b222e52d52f/?a=1988&amp;bti=ODszNWYuMDE6&amp;ch=0&amp;cr=0&amp;dr=0&amp;er=0&amp;lr=default&amp;cd=0%7C0%7C0%7C0&amp;br=248&amp;bt=124&amp;ds=5&amp;ft=GNDpcInz7ThPV-UPXq8Zmo&amp;mime_type=video_mp4&amp;qs=13&amp;rc=am5qcjY6ZjlxZTMzNzU8M0Bpam5qcjY6ZjlxZTMzNzU8M0BzYDJkcjQwanJgLS1kMTZzYSNzYDJkcjQwanJgLS1kMTZzcw%3D%3D&amp;btag=e00070000&amp;expire=1763004190&amp;l=202511131023026989DBCE704A6574DC2E&amp;ply_type=3&amp;policy=3&amp;signature=d84a6de31ed8a64eeb876330e5ad8209&amp;tk=7571587458748974088" TargetMode="External"/><Relationship Id="rId472" Type="http://schemas.openxmlformats.org/officeDocument/2006/relationships/hyperlink" Target="https://p77-sign-va.tiktokcdn.com/tos-maliva-avt-0068/f6c9ce0e62719a5be566968f7c4b37c5~tplv-tiktokx-cropcenter:100:100.jpeg?dr=14579&amp;refresh_token=48b36c7a&amp;x-expires=1763172000&amp;x-signature=hmDgxOXW1qEb1KI5lhx%2FXS%2FcUw0%3D&amp;t=4d5b0474&amp;ps=13740610&amp;shp=a5d48078&amp;shcp=81f88b70&amp;idc=my" TargetMode="External"/><Relationship Id="rId471" Type="http://schemas.openxmlformats.org/officeDocument/2006/relationships/hyperlink" Target="https://www.tiktok.com/@lorenatdahta/video/7230465344375180549" TargetMode="External"/><Relationship Id="rId470" Type="http://schemas.openxmlformats.org/officeDocument/2006/relationships/hyperlink" Target="https://v16-webapp-prime.tiktok.com/video/tos/useast2a/tos-useast2a-ve-0068c001/ooBKjfXEhU9IQMVBeYNJRG7ARwYnkzJMBQUwB8/?a=1988&amp;bti=ODszNWYuMDE6&amp;ch=0&amp;cr=3&amp;dr=0&amp;lr=all&amp;cd=0%7C0%7C0%7C&amp;cv=1&amp;br=960&amp;bt=480&amp;cs=0&amp;ds=3&amp;ft=-Csk_mrMPD12Nzhopd-UxfeFaY6e3wv25HcAp&amp;mime_type=video_mp4&amp;qs=0&amp;rc=MzQ1aGZnZjlpPDs6OmlnNEBpajZqcGQ6Znd2azMzNzczM0AvLjEtNjViX2ExMmNeLy5hYSM1MC5fcjRnNl9gLS1kMTZzcw%3D%3D&amp;btag=e00090000&amp;expire=1763173479&amp;l=202511131022442EE54DE47B86CCA867A8&amp;ply_type=2&amp;policy=2&amp;signature=f958d6632c3d92fc857e16b86ba1a037&amp;tk=tt_chain_token" TargetMode="External"/><Relationship Id="rId477" Type="http://schemas.openxmlformats.org/officeDocument/2006/relationships/hyperlink" Target="https://p77-sign-va.tiktokcdn.com/tos-maliva-avt-0068/13a628e0ffd8c13e59721b894863e44e~tplv-tiktokx-cropcenter:100:100.jpeg?dr=14579&amp;refresh_token=59861aa0&amp;x-expires=1763172000&amp;x-signature=IlHx%2BjEMDso01n95fxQyI5Claas%3D&amp;t=4d5b0474&amp;ps=13740610&amp;shp=a5d48078&amp;shcp=81f88b70&amp;idc=my" TargetMode="External"/><Relationship Id="rId476" Type="http://schemas.openxmlformats.org/officeDocument/2006/relationships/hyperlink" Target="https://www.tiktok.com/@taharibnn/video/7132992711803636998" TargetMode="External"/><Relationship Id="rId475" Type="http://schemas.openxmlformats.org/officeDocument/2006/relationships/hyperlink" Target="https://v16-webapp-prime.tiktok.com/video/tos/maliva/tos-maliva-ve-0068c801-us/b4cc5f1ea75f47d09db7fc98f8ebe7e9/?a=1988&amp;bti=ODszNWYuMDE6&amp;ch=0&amp;cr=3&amp;dr=0&amp;lr=all&amp;cd=0%7C0%7C0%7C&amp;cv=1&amp;br=2660&amp;bt=1330&amp;cs=0&amp;ds=3&amp;ft=-Csk_mrMPD12NdYopd-UxMTFGY6e3wv25LcAp&amp;mime_type=video_mp4&amp;qs=0&amp;rc=Z2k7NmdmOTM1OjY8aGZlNEBpM21obDk6ZjVxZTMzNzczM0BgYzExYDNgXzIxLy02Y2NiYSNjbC9ocjQwanJgLS1kMTZzcw%3D%3D&amp;btag=e000b0000&amp;expire=1763173390&amp;l=202511131023026989DBCE704A6574DC2E&amp;ply_type=2&amp;policy=2&amp;signature=32e16e3646db41640090c1bf7b4effa4&amp;tk=tt_chain_token" TargetMode="External"/><Relationship Id="rId474" Type="http://schemas.openxmlformats.org/officeDocument/2006/relationships/hyperlink" Target="https://p77-sign-va.tiktokcdn.com/tos-maliva-avt-0068/f6c9ce0e62719a5be566968f7c4b37c5~tplv-tiktokx-cropcenter:1080:1080.jpeg?dr=14579&amp;refresh_token=cbfe2310&amp;x-expires=1763172000&amp;x-signature=LA%2FqpRluxlLST4y%2F2CjEj68IAgk%3D&amp;t=4d5b0474&amp;ps=13740610&amp;shp=a5d48078&amp;shcp=81f88b70&amp;idc=my" TargetMode="External"/><Relationship Id="rId1257" Type="http://schemas.openxmlformats.org/officeDocument/2006/relationships/hyperlink" Target="https://www.tiktok.com/@lorenatdahta/video/7564193336282729735" TargetMode="External"/><Relationship Id="rId1258" Type="http://schemas.openxmlformats.org/officeDocument/2006/relationships/hyperlink" Target="https://p16-sign-va.tiktokcdn.com/tos-maliva-avt-0068/7270835054078853126~tplv-tiktokx-cropcenter:100:100.jpeg?dr=14579&amp;refresh_token=7b66fc13&amp;x-expires=1763172000&amp;x-signature=oaTsIrrzBdiC2ynNvhtAueV5wcY%3D&amp;t=4d5b0474&amp;ps=13740610&amp;shp=a5d48078&amp;shcp=81f88b70&amp;idc=my" TargetMode="External"/><Relationship Id="rId1259" Type="http://schemas.openxmlformats.org/officeDocument/2006/relationships/hyperlink" Target="https://p16-sign-sg.tiktokcdn.com/tos-alisg-v-2774/okfZEtZVCihyCA3OMSBEEyhNgAFmBnCjjfDQAE~720x720.jpeg?lk3s=08d74b56&amp;x-expires=1763022170&amp;x-signature=wH5mpN8XmWZfXOQFMP%2BInlmDHtY%3D" TargetMode="External"/><Relationship Id="rId426" Type="http://schemas.openxmlformats.org/officeDocument/2006/relationships/hyperlink" Target="https://sf16-ies-music-sg.tiktokcdn.com/obj/tos-alisg-ve-2774/o0vPWChcBMiOQY6xBmiOopsyUAfLz1AIidwZWz" TargetMode="External"/><Relationship Id="rId425" Type="http://schemas.openxmlformats.org/officeDocument/2006/relationships/hyperlink" Target="https://p77-sign-va.tiktokcdn.com/tos-maliva-avt-0068/f06271910988e08e32f718e03bfb9f2c~tplv-tiktokx-cropcenter:100:100.jpeg?dr=14579&amp;refresh_token=93e4dbf8&amp;x-expires=1763172000&amp;x-signature=GlyYQJgLjIVSKIHp0iXb7Xu6iCc%3D&amp;t=4d5b0474&amp;ps=13740610&amp;shp=a5d48078&amp;shcp=81f88b70&amp;idc=my" TargetMode="External"/><Relationship Id="rId424" Type="http://schemas.openxmlformats.org/officeDocument/2006/relationships/hyperlink" Target="https://www.tiktok.com/@psi.jonathanorlandi/video/7489441695633820934" TargetMode="External"/><Relationship Id="rId423" Type="http://schemas.openxmlformats.org/officeDocument/2006/relationships/hyperlink" Target="https://v16-webapp-prime.tiktok.com/video/tos/useast2a/tos-useast2a-ve-0068c001/ogACg9bkdEAfQIIrZN2XvvQZVoizPABzzIXIoi/?a=1988&amp;bti=ODszNWYuMDE6&amp;ch=0&amp;cr=3&amp;dr=0&amp;lr=all&amp;cd=0%7C0%7C0%7C&amp;cv=1&amp;br=1712&amp;bt=856&amp;cs=0&amp;ds=3&amp;ft=-Csk_mrMPD12N3Yopd-Ux24FaY6e3wv25WcAp&amp;mime_type=video_mp4&amp;qs=0&amp;rc=ODs5NzdlOjgzNzc2NWk3M0Bpamp3dG05cnV3eTMzNzczM0AzYy8xYC4vXzExLWNgXi00YSNeZm40MmRrYmtgLS1kMTZzcw%3D%3D&amp;btag=e00090000&amp;expire=1763173518&amp;l=2025111310235634FE9FF2AA2A079ADB1D&amp;ply_type=2&amp;policy=2&amp;signature=32df6a0a8404c6675ad117a38179aaa1&amp;tk=tt_chain_token" TargetMode="External"/><Relationship Id="rId429" Type="http://schemas.openxmlformats.org/officeDocument/2006/relationships/hyperlink" Target="https://www.tiktok.com/@mayla.haddad/video/7470540975908064518" TargetMode="External"/><Relationship Id="rId428" Type="http://schemas.openxmlformats.org/officeDocument/2006/relationships/hyperlink" Target="https://v16-webapp-prime.tiktok.com/video/tos/useast2a/tos-useast2a-ve-0068c003/owAaeAGW4eaCSLjJPJdVIASIggfyCqYRw6yWIt/?a=1988&amp;bti=ODszNWYuMDE6&amp;ch=0&amp;cr=3&amp;dr=0&amp;lr=all&amp;cd=0%7C0%7C0%7C&amp;cv=1&amp;br=3060&amp;bt=1530&amp;cs=0&amp;ds=3&amp;ft=-Csk_mrMPD12NY_opd-Uxz42hY6e3wv25ycAp&amp;mime_type=video_mp4&amp;qs=0&amp;rc=ZmU1M2ZoZjc0OWU5NGk3aEBpM3E8OXY5cjVleDMzNzczM0AwMzJiYTFiXi8xNjYxXy5hYSNjamhlMmRrL2pgLS1kMTZzcw%3D%3D&amp;btag=e00090000&amp;expire=1763173659&amp;l=202511131026378F10DAFBB0AF239B249B&amp;ply_type=2&amp;policy=2&amp;signature=2da85845cf090ff789dcf1a939270898&amp;tk=tt_chain_token" TargetMode="External"/><Relationship Id="rId427" Type="http://schemas.openxmlformats.org/officeDocument/2006/relationships/hyperlink" Target="https://p16-sg.tiktokcdn.com/aweme/720x720/tos-alisg-v-2774/oAEAYPXaICLABAzthiEFCLIDGWGnfMAreeN1Ng.jpeg" TargetMode="External"/><Relationship Id="rId1250"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1251" Type="http://schemas.openxmlformats.org/officeDocument/2006/relationships/hyperlink" Target="https://v16-webapp-prime.tiktok.com/video/tos/useast2a/tos-useast2a-ve-0068c003/oIoILzWJQfFISrMCBenGeCUjuPALgKWgnUuQI1/?a=1988&amp;bti=ODszNWYuMDE6&amp;ch=0&amp;cr=3&amp;dr=0&amp;lr=all&amp;cd=0%7C0%7C0%7C&amp;cv=1&amp;br=3312&amp;bt=1656&amp;cs=0&amp;ds=3&amp;ft=-Csk_mrMPD12Nn.opd-UxJTFGY6e3wv25bcAp&amp;mime_type=video_mp4&amp;qs=0&amp;rc=ZTo7OjVoNTM6ZDU3ZTppZkBpMzNweGs5cmtlMzMzNzczM0A1Yy9jNC02X2IxNjIvMi40YSNpamhjMmRzX2BhLS1kMTZzcw%3D%3D&amp;btag=e00090000&amp;expire=1763173636&amp;l=2025111310254344385823DD6566920070&amp;ply_type=2&amp;policy=2&amp;signature=4637c53b94d3455623061a55fa190eff&amp;tk=tt_chain_token" TargetMode="External"/><Relationship Id="rId1252" Type="http://schemas.openxmlformats.org/officeDocument/2006/relationships/hyperlink" Target="https://www.tiktok.com/@psi.jonathanorlandi/video/7500980358754733318" TargetMode="External"/><Relationship Id="rId422"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1253" Type="http://schemas.openxmlformats.org/officeDocument/2006/relationships/hyperlink" Target="https://p77-sign-va.tiktokcdn.com/tos-maliva-avt-0068/924cd2a569ead49e262b2573224c311d~tplv-tiktokx-cropcenter:100:100.jpeg?dr=14579&amp;refresh_token=8ec138bd&amp;x-expires=1763172000&amp;x-signature=igHZ3raDMR2tbvP%2BZSLDa2z0oPY%3D&amp;t=4d5b0474&amp;ps=13740610&amp;shp=a5d48078&amp;shcp=81f88b70&amp;idc=my" TargetMode="External"/><Relationship Id="rId421" Type="http://schemas.openxmlformats.org/officeDocument/2006/relationships/hyperlink" Target="https://v16-webapp-prime.tiktok.com/video/tos/useast2a/tos-useast2a-v-27dcd7/okD3SEpEGb486C19gIe5ERAAOLVfAPCo26fTHv/?a=1988&amp;bti=ODszNWYuMDE6&amp;ch=0&amp;cr=0&amp;dr=0&amp;er=0&amp;lr=default&amp;cd=0%7C0%7C0%7C0&amp;br=250&amp;bt=125&amp;ds=5&amp;ft=GNDpcInz7ThiV-UPXq8Zmo&amp;mime_type=audio_mpeg&amp;qs=13&amp;rc=anhwcXg5cjh3eTMzNzU8M0BpanhwcXg5cjh3eTMzNzU8M0BzYnFmMmQ0Y2tgLS1kMTZzYSNzYnFmMmQ0Y2tgLS1kMTZzcw%3D%3D&amp;btag=e00050000&amp;expire=1763004318&amp;l=2025111310235634FE9FF2AA2A079ADB1D&amp;ply_type=3&amp;policy=3&amp;signature=e1bb832c799610e8b41e1485e130597e&amp;tk=7571587458748974088" TargetMode="External"/><Relationship Id="rId1254" Type="http://schemas.openxmlformats.org/officeDocument/2006/relationships/hyperlink" Target="https://v16-webapp-prime.tiktok.com/video/tos/alisg/tos-alisg-v-27dcd7/okP8M8edoQugwf06OeRAXCVygYTtEVuMXDA048/?a=1988&amp;bti=ODszNWYuMDE6&amp;ch=0&amp;cr=0&amp;dr=0&amp;er=0&amp;lr=default&amp;cd=0%7C0%7C0%7C0&amp;br=250&amp;bt=125&amp;ft=GNDpcInz7ThNV-UPXq8Zmo&amp;mime_type=audio_mpeg&amp;qs=6&amp;rc=ODc1NDVnOThpZ2g8Zmc4PEBpamhyc3k5cnVwNjMzODU8NEBgNV5fMDI1XjAxMDEwLWAvYSNla19lMmRrZ3BhLS1kMS1zcw%3D%3D&amp;btag=e00090000&amp;expire=1763004249&amp;l=20251113102306B19E1F5BC676BF8CC05E&amp;ply_type=3&amp;policy=3&amp;signature=9486cf4b0736c46465af5b8a8ef85db2&amp;tk=7571587458748974088" TargetMode="External"/><Relationship Id="rId420"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1255" Type="http://schemas.openxmlformats.org/officeDocument/2006/relationships/hyperlink" Target="https://p77-sign-va.tiktokcdn.com/tos-maliva-avt-0068/924cd2a569ead49e262b2573224c311d~tplv-tiktokx-cropcenter:1080:1080.jpeg?dr=14579&amp;refresh_token=1b54cdd5&amp;x-expires=1763172000&amp;x-signature=Rj%2BAq%2FfuZzXnlbHFUvOHwXWFhVQ%3D&amp;t=4d5b0474&amp;ps=13740610&amp;shp=a5d48078&amp;shcp=81f88b70&amp;idc=my" TargetMode="External"/><Relationship Id="rId1256" Type="http://schemas.openxmlformats.org/officeDocument/2006/relationships/hyperlink" Target="https://v16-webapp-prime.tiktok.com/video/tos/alisg/tos-alisg-pve-0037c001/owCydWA8eAQYUMPbgGjR0fCw0IDoLI42ftVIz2/?a=1988&amp;bti=ODszNWYuMDE6&amp;ch=0&amp;cr=3&amp;dr=0&amp;lr=all&amp;cd=0%7C0%7C0%7C&amp;cv=1&amp;br=2840&amp;bt=1420&amp;cs=0&amp;ds=3&amp;ft=-Csk_mrMPD12NOYopd-Uxtv5GY6e3wv252cAp&amp;mime_type=video_mp4&amp;qs=0&amp;rc=aDU5OmczOTg3aGU4ZTw8NEBpM2U4eHc5cjZwNjMzODczNEAxLi4yY2NjX14xLmEyNDFgYSNgamRrMmRrZ3BhLS1kMTFzcw%3D%3D&amp;btag=e00090000&amp;expire=1763173449&amp;l=20251113102306B19E1F5BC676BF8CC05E&amp;ply_type=2&amp;policy=2&amp;signature=b12caa81e7de4618e1011e3c32bb0dbb&amp;tk=tt_chain_token" TargetMode="External"/><Relationship Id="rId1246" Type="http://schemas.openxmlformats.org/officeDocument/2006/relationships/hyperlink" Target="https://v16-webapp-prime.tiktok.com/video/tos/maliva/tos-maliva-ve-0068c801-us/oEpfQKnQyUkEe48CvJbBRJ7hOSIBAQEbADB6CI/?a=1988&amp;bti=ODszNWYuMDE6&amp;ch=0&amp;cr=3&amp;dr=0&amp;lr=all&amp;cd=0%7C0%7C0%7C&amp;cv=1&amp;br=834&amp;bt=417&amp;cs=0&amp;ds=3&amp;ft=-Csk_mrMPD12N3Yopd-Ux24FaY6e3wv25WcAp&amp;mime_type=video_mp4&amp;qs=0&amp;rc=Ozc7NzU8OzxlN2g7aDg5OEBpMztpaTw6ZmhqajMzNzczM0BjLl40Xi5fNl4xLzQtM2NhYSNxbG8vcjRvLmhgLS1kMTZzcw%3D%3D&amp;btag=e00090000&amp;expire=1763173530&amp;l=2025111310235634FE9FF2AA2A079ADB1D&amp;ply_type=2&amp;policy=2&amp;signature=af446dd29382e24ecd1aab252612c79c&amp;tk=tt_chain_token" TargetMode="External"/><Relationship Id="rId1247" Type="http://schemas.openxmlformats.org/officeDocument/2006/relationships/hyperlink" Target="https://www.tiktok.com/@sobrevivi2019oficialdid/video/7217300741629824262" TargetMode="External"/><Relationship Id="rId1248" Type="http://schemas.openxmlformats.org/officeDocument/2006/relationships/hyperlink" Target="https://p16-sign-sg.tiktokcdn.com/tos-alisg-avt-0068/a922d44f129753f3f4657ae1aab09386~tplv-tiktokx-cropcenter:100:100.jpeg?dr=14579&amp;refresh_token=fd95d8c1&amp;x-expires=1763172000&amp;x-signature=hXVxNCag6COm11p9ZSdmIkp2rRc%3D&amp;t=4d5b0474&amp;ps=13740610&amp;shp=a5d48078&amp;shcp=81f88b70&amp;idc=my" TargetMode="External"/><Relationship Id="rId1249" Type="http://schemas.openxmlformats.org/officeDocument/2006/relationships/hyperlink" Target="https://v16-webapp-prime.tiktok.com/video/tos/useast2a/tos-useast2a-v-27dcd7/oYjogMGAAQQALBHvYSeCTPjeeqoLVaoNEIC06Q/?a=1988&amp;bti=ODszNWYuMDE6&amp;ch=0&amp;cr=0&amp;dr=0&amp;er=0&amp;lr=default&amp;cd=0%7C0%7C0%7C0&amp;br=250&amp;bt=125&amp;ds=5&amp;ft=GNDpcInz7ThGD-UPXq8Zmo&amp;mime_type=audio_mpeg&amp;qs=13&amp;rc=anRneHQ5cnZnMzMzNzU8M0BpanRneHQ5cnZnMzMzNzU8M0AzMGRlMmRjX2BhLS1kMTZzYSMzMGRlMmRjX2BhLS1kMTZzcw%3D%3D&amp;btag=e00050000&amp;expire=1763004436&amp;l=2025111310254344385823DD6566920070&amp;ply_type=3&amp;policy=3&amp;signature=940b21884b3a92486e48d259cb13556a&amp;tk=7571587458748974088" TargetMode="External"/><Relationship Id="rId415" Type="http://schemas.openxmlformats.org/officeDocument/2006/relationships/hyperlink" Target="https://p16-sign-va.tiktokcdn.com/tos-maliva-avt-0068/6781b5addc6a078b0d737acccf484359~tplv-tiktokx-cropcenter:100:100.jpeg?dr=14579&amp;refresh_token=449808a5&amp;x-expires=1763172000&amp;x-signature=koBdcTw97XJDQCtuc59SxptNXVo%3D&amp;t=4d5b0474&amp;ps=13740610&amp;shp=a5d48078&amp;shcp=81f88b70&amp;idc=my" TargetMode="External"/><Relationship Id="rId899" Type="http://schemas.openxmlformats.org/officeDocument/2006/relationships/hyperlink" Target="https://p16-sign-va.tiktokcdn.com/tos-maliva-avt-0068/f33c918b025334118e01aa37b2cabd9d~tplv-tiktokx-cropcenter:100:100.jpeg?dr=14579&amp;refresh_token=92733ba6&amp;x-expires=1763172000&amp;x-signature=LuD2z2UtUmCCGFp7icHNaS9u%2B%2FY%3D&amp;t=4d5b0474&amp;ps=13740610&amp;shp=a5d48078&amp;shcp=81f88b70&amp;idc=my" TargetMode="External"/><Relationship Id="rId414" Type="http://schemas.openxmlformats.org/officeDocument/2006/relationships/hyperlink" Target="https://www.tiktok.com/@brunolnunes/video/7166636392859159834" TargetMode="External"/><Relationship Id="rId898" Type="http://schemas.openxmlformats.org/officeDocument/2006/relationships/hyperlink" Target="https://www.tiktok.com/@psi.jonathanorlandi/video/7511337228283514118" TargetMode="External"/><Relationship Id="rId413" Type="http://schemas.openxmlformats.org/officeDocument/2006/relationships/hyperlink" Target="https://v16-webapp-prime.tiktok.com/video/tos/useast2a/tos-useast2a-ve-0068c004/o8hFEPFNQnzIwHERe2djxQfFvdGzNWQDALJPKB/?a=1988&amp;bti=ODszNWYuMDE6&amp;ch=0&amp;cr=3&amp;dr=0&amp;lr=all&amp;cd=0%7C0%7C0%7C&amp;cv=1&amp;br=996&amp;bt=498&amp;cs=0&amp;ds=3&amp;ft=-Csk_mrMPD12N9Yopd-Ux315hY6e3wv25dcAp&amp;mime_type=video_mp4&amp;qs=0&amp;rc=NDc5aGZmZGk0ZWdmOGVpNkBpam0zbTw6ZnlqZzMzZjczM0AyMTFiLWE1NS0xYGItMTAwYSNra2JscjQwL25gLS1kMWNzcw%3D%3D&amp;btag=e00090000&amp;expire=1763173485&amp;l=2025111310232002E5437D242CEA8409F2&amp;ply_type=2&amp;policy=2&amp;signature=d95e7a5ff8c5b843b8b691b099ce516d&amp;tk=tt_chain_token" TargetMode="External"/><Relationship Id="rId897" Type="http://schemas.openxmlformats.org/officeDocument/2006/relationships/hyperlink" Target="https://v16-webapp-prime.tiktok.com/video/tos/useast2a/tos-useast2a-pve-0068/okABQZh9jfoEfBPHkQDayIKlJPoRECFQrmQEoM/?a=1988&amp;bti=ODszNWYuMDE6&amp;ch=0&amp;cr=3&amp;dr=0&amp;lr=all&amp;cd=0%7C0%7C0%7C&amp;cv=1&amp;br=1288&amp;bt=644&amp;cs=0&amp;ds=3&amp;ft=I~da4oKyD12NvgA0i.IxRMb_glBF-UjNSaopiX&amp;mime_type=video_mp4&amp;qs=0&amp;rc=MzxpPGhnNTU0PDo2ZTw7ZkBpMzQ2bWw5cjV0MzMzNzczM0A1MDRiNjVjXjQxMy5hL2EtYSNoMi9jMmRrLnJhLS1kMTZzcw%3D%3D&amp;btag=e00090000&amp;expire=1763173587&amp;l=20251113102449DDADD1FB7AF14A841409&amp;ply_type=2&amp;policy=2&amp;signature=600ba5b25ac3d06e6a463b0769a9689d&amp;tk=tt_chain_token" TargetMode="External"/><Relationship Id="rId412" Type="http://schemas.openxmlformats.org/officeDocument/2006/relationships/hyperlink" Target="https://p77-sign-va.tiktokcdn.com/tos-maliva-avt-0068/72466cc9d5b9a27930c91e8fb7677589~tplv-tiktokx-cropcenter:1080:1080.jpeg?dr=14579&amp;refresh_token=9312f40f&amp;x-expires=1763172000&amp;x-signature=AsfPTKCndABnY%2BvhzMdD3ypser0%3D&amp;t=4d5b0474&amp;ps=13740610&amp;shp=a5d48078&amp;shcp=81f88b70&amp;idc=my" TargetMode="External"/><Relationship Id="rId896"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419" Type="http://schemas.openxmlformats.org/officeDocument/2006/relationships/hyperlink" Target="https://www.tiktok.com/@gustavotubarao/video/7538834980567305477" TargetMode="External"/><Relationship Id="rId418" Type="http://schemas.openxmlformats.org/officeDocument/2006/relationships/hyperlink" Target="https://v16-webapp-prime.tiktok.com/video/tos/useast2a/tos-useast2a-pve-0068/oAAwCIXRSIVAGjKRMIeeCLePZGclEqgHO7JXQg/?a=1988&amp;bti=ODszNWYuMDE6&amp;ch=0&amp;cr=3&amp;dr=0&amp;lr=all&amp;cd=0%7C0%7C0%7C&amp;cv=1&amp;br=2268&amp;bt=1134&amp;cs=0&amp;ds=3&amp;ft=-Csk_mrMPD12N4Yopd-Ux9T2bY6e3wv25IcAp&amp;mime_type=video_mp4&amp;qs=0&amp;rc=Z2g0aGZkZjg4aTU1NGRkaUBpM21xa2s5cjVvNTMzNzczM0BeX2I2XzYzNjQxMTVfL14uYSNlMS1sMmRrMGNhLS1kMTZzcw%3D%3D&amp;btag=e000b0000&amp;expire=1763173389&amp;l=20251113102257F8D01E3BFCE9B2911856&amp;ply_type=2&amp;policy=2&amp;signature=29982c455591c95980eb728af7552401&amp;tk=tt_chain_token" TargetMode="External"/><Relationship Id="rId417" Type="http://schemas.openxmlformats.org/officeDocument/2006/relationships/hyperlink" Target="https://p77-sg.tiktokcdn.com/aweme/720x720/tos-alisg-v-2774/o4FO1Aen6CasBksAEgviHZRBQiUfIqMAtqSgID.jpeg" TargetMode="External"/><Relationship Id="rId416" Type="http://schemas.openxmlformats.org/officeDocument/2006/relationships/hyperlink" Target="https://sf16-ies-music-sg.tiktokcdn.com/obj/tos-alisg-ve-2774/okFO7qyn6CJFBZ0dEpUifZIBQhqfYso9tqwgQD" TargetMode="External"/><Relationship Id="rId891" Type="http://schemas.openxmlformats.org/officeDocument/2006/relationships/hyperlink" Target="https://p77-sg.tiktokcdn.com/aweme/720x720/tos-alisg-v-2774/o8CZDEgpEsoAeWtxEBnAtQFAgpHQVBf148CJcS.jpeg" TargetMode="External"/><Relationship Id="rId890" Type="http://schemas.openxmlformats.org/officeDocument/2006/relationships/hyperlink" Target="https://sf16-ies-music-sg.tiktokcdn.com/obj/tos-alisg-ve-2774/oMyOHOoBzAh6qWbii1nknBIZWAFsflLwCsMz8X" TargetMode="External"/><Relationship Id="rId1240" Type="http://schemas.openxmlformats.org/officeDocument/2006/relationships/hyperlink" Target="https://p16-sign-va.tiktokcdn.com/tos-maliva-avt-0068/39284b1e359f5fd8e090162ef3c83664~tplv-tiktokx-cropcenter:1080:1080.jpeg?dr=14579&amp;refresh_token=2ebec3ba&amp;x-expires=1763172000&amp;x-signature=dBANyAz6nciAC4s9KdMt2EAZ9E0%3D&amp;t=4d5b0474&amp;ps=13740610&amp;shp=a5d48078&amp;shcp=81f88b70&amp;idc=my" TargetMode="External"/><Relationship Id="rId1241" Type="http://schemas.openxmlformats.org/officeDocument/2006/relationships/hyperlink" Target="https://v16-webapp-prime.tiktok.com/video/tos/useast2a/tos-useast2a-pve-0068/okgmGhgDp7RzQESIEBekAq3nQfJ6KBgIbVnE9U/?a=1988&amp;bti=ODszNWYuMDE6&amp;ch=0&amp;cr=3&amp;dr=0&amp;lr=all&amp;cd=0%7C0%7C0%7C&amp;cv=1&amp;br=1870&amp;bt=935&amp;cs=0&amp;ds=3&amp;ft=-Csk_mrMPD12Nn.opd-UxJTFGY6e3wv25bcAp&amp;mime_type=video_mp4&amp;qs=0&amp;rc=M2hpZ2lkN2Y6ODo8OzNoaUBpamo6aWQ6ZjRvbDMzNzczM0A2MmNiLi8uNjYxMjYwMmNhYSNjcWM1cjRnZGJgLS1kMTZzcw%3D%3D&amp;btag=e00090000&amp;expire=1763173633&amp;l=2025111310254344385823DD6566920070&amp;ply_type=2&amp;policy=2&amp;signature=0509cd918afc9eab7aceb64087c24d66&amp;tk=tt_chain_token" TargetMode="External"/><Relationship Id="rId411" Type="http://schemas.openxmlformats.org/officeDocument/2006/relationships/hyperlink" Target="https://v16-webapp-prime.tiktok.com/video/tos/useast2a/tos-useast2a-v-27dcd7-aiso/c8799908b3964df4829a60ae1812af2a/?a=1988&amp;bti=ODszNWYuMDE6&amp;ch=0&amp;cr=0&amp;dr=0&amp;er=0&amp;lr=default&amp;cd=0%7C0%7C0%7C0&amp;br=212&amp;bt=106&amp;ds=5&amp;ft=GNDpcInz7ThMV-UPXq8Zmo&amp;mime_type=video_mp4&amp;qs=13&amp;rc=M29yZDc6ZnBqZzMzZjU8M0BpM29yZDc6ZnBqZzMzZjU8M0BrZ2o0cjRfMG5gLS1kMWNzYSNrZ2o0cjRfMG5gLS1kMWNzcw%3D%3D&amp;btag=e00050000&amp;expire=1763004285&amp;l=2025111310232002E5437D242CEA8409F2&amp;ply_type=3&amp;policy=3&amp;signature=6b3dbe7645f9442a141d2ed0ce99b94a&amp;tk=7571587458748974088" TargetMode="External"/><Relationship Id="rId895" Type="http://schemas.openxmlformats.org/officeDocument/2006/relationships/hyperlink" Target="https://v16-webapp-prime.tiktok.com/video/tos/useast2a/tos-useast2a-v-27dcd7/ooT9DDQPfCQnzGYigDJo9YBqoEBJFUfDWaCYvg/?a=1988&amp;bti=ODszNWYuMDE6&amp;ch=0&amp;cr=0&amp;dr=0&amp;er=0&amp;lr=default&amp;cd=0%7C0%7C0%7C0&amp;br=250&amp;bt=125&amp;ft=GNDpcInz7ThA9-UPXq8Zmo&amp;mime_type=audio_mpeg&amp;qs=6&amp;rc=ZzU1M2g2Zjw5aGU3ODppOEBpajQ5cWo5cjN0MzMzNzU8M0AvYDIyYzZhX2MxLWMtX15eYSNuMGkyMmRzMHJhLS1kMTZzcw%3D%3D&amp;btag=e00090000&amp;expire=1763004387&amp;l=20251113102449DDADD1FB7AF14A841409&amp;ply_type=3&amp;policy=3&amp;signature=a64af732e41d1bb2a2ea76859ce03d83&amp;tk=7571587458748974088" TargetMode="External"/><Relationship Id="rId1242" Type="http://schemas.openxmlformats.org/officeDocument/2006/relationships/hyperlink" Target="https://www.tiktok.com/@marizacristhiane/video/7250048266501426438" TargetMode="External"/><Relationship Id="rId410" Type="http://schemas.openxmlformats.org/officeDocument/2006/relationships/hyperlink" Target="https://p16-sign-va.tiktokcdn.com/tos-maliva-avt-0068/72466cc9d5b9a27930c91e8fb7677589~tplv-tiktokx-cropcenter:100:100.jpeg?dr=14579&amp;refresh_token=360b5aa4&amp;x-expires=1763172000&amp;x-signature=p1cIn4dv34Pq8aQhB91qKMjNhdk%3D&amp;t=4d5b0474&amp;ps=13740610&amp;shp=a5d48078&amp;shcp=81f88b70&amp;idc=my" TargetMode="External"/><Relationship Id="rId894" Type="http://schemas.openxmlformats.org/officeDocument/2006/relationships/hyperlink" Target="https://p77-sign-sg.tiktokcdn.com/tos-alisg-avt-0068/a922d44f129753f3f4657ae1aab09386~tplv-tiktokx-cropcenter:100:100.jpeg?dr=14579&amp;refresh_token=fdf273b4&amp;x-expires=1763172000&amp;x-signature=k9kZXtI6haYmCf6CcaKoXuObTsE%3D&amp;t=4d5b0474&amp;ps=13740610&amp;shp=a5d48078&amp;shcp=81f88b70&amp;idc=my" TargetMode="External"/><Relationship Id="rId1243" Type="http://schemas.openxmlformats.org/officeDocument/2006/relationships/hyperlink" Target="https://p16-sign-va.tiktokcdn.com/tos-maliva-avt-0068/7dbc97f66a70a5f185159bb96a8d7982~tplv-tiktokx-cropcenter:100:100.jpeg?dr=14579&amp;refresh_token=ede5002f&amp;x-expires=1763172000&amp;x-signature=z1tfhvwM1elLEtzYo5ALSnLafKw%3D&amp;t=4d5b0474&amp;ps=13740610&amp;shp=a5d48078&amp;shcp=81f88b70&amp;idc=my" TargetMode="External"/><Relationship Id="rId893" Type="http://schemas.openxmlformats.org/officeDocument/2006/relationships/hyperlink" Target="https://www.tiktok.com/@psi.walace/video/7527803158802828600" TargetMode="External"/><Relationship Id="rId1244" Type="http://schemas.openxmlformats.org/officeDocument/2006/relationships/hyperlink" Target="https://v16-webapp-prime.tiktok.com/video/tos/useast2a/tos-useast2a-v-27dcd7/ffa3850039094bb38a0018a8bbac00a0/?a=1988&amp;bti=ODszNWYuMDE6&amp;ch=0&amp;cr=0&amp;dr=0&amp;er=0&amp;lr=default&amp;cd=0%7C0%7C0%7C0&amp;br=250&amp;bt=125&amp;ds=5&amp;ft=GNDpcInz7ThiV-UPXq8Zmo&amp;mime_type=audio_mpeg&amp;qs=13&amp;rc=anFuOzk6Zm9qajMzNzU8M0BpanFuOzk6Zm9qajMzNzU8M0BtbXMycjRnLmhgLS1kMTZzYSNtbXMycjRnLmhgLS1kMTZzcw%3D%3D&amp;btag=e00050000&amp;expire=1763004330&amp;l=2025111310235634FE9FF2AA2A079ADB1D&amp;ply_type=3&amp;policy=3&amp;signature=34758bf5c45c973f602e1982925e43dc&amp;tk=7571587458748974088" TargetMode="External"/><Relationship Id="rId892" Type="http://schemas.openxmlformats.org/officeDocument/2006/relationships/hyperlink" Target="https://v16-webapp-prime.tiktok.com/video/tos/useast2a/tos-useast2a-ve-0068c003/okeBK3tzEQ0fQgISQhfLIIBGCIbk8IjwHiSAgC/?a=1988&amp;bti=ODszNWYuMDE6&amp;ch=0&amp;cr=3&amp;dr=0&amp;lr=all&amp;cd=0%7C0%7C0%7C&amp;cv=1&amp;br=1866&amp;bt=933&amp;cs=0&amp;ds=3&amp;ft=-Csk_mrMPD12NE.opd-UxG4vXY6e3wv25McAp&amp;mime_type=video_mp4&amp;qs=0&amp;rc=ZjY8ODszaWk5ODs8Ozo5OkBpM3U0NnI5cnI1NDMzNzczM0A1YV4yYjVjNjUxYWEvNS4xYSNtczZlMmQ0LnBhLS1kMTZzcw%3D%3D&amp;btag=e00090000&amp;expire=1763173656&amp;l=20251113102536F89EBD83B531C49CD72A&amp;ply_type=2&amp;policy=2&amp;signature=4a1810f1f690ef5632bf17fe7b1b6597&amp;tk=tt_chain_token" TargetMode="External"/><Relationship Id="rId1245" Type="http://schemas.openxmlformats.org/officeDocument/2006/relationships/hyperlink" Target="https://p16-sign-va.tiktokcdn.com/tos-maliva-avt-0068/7dbc97f66a70a5f185159bb96a8d7982~tplv-tiktokx-cropcenter:1080:1080.jpeg?dr=14579&amp;refresh_token=6d0a3a90&amp;x-expires=1763172000&amp;x-signature=YB2A9iYCeE4pr88IxYeru10Qfzs%3D&amp;t=4d5b0474&amp;ps=13740610&amp;shp=a5d48078&amp;shcp=81f88b70&amp;idc=my" TargetMode="External"/><Relationship Id="rId1279" Type="http://schemas.openxmlformats.org/officeDocument/2006/relationships/hyperlink" Target="https://p16-sign-va.tiktokcdn.com/tos-maliva-avt-0068/1c71a0228c5bad5aadc1820539c510e2~tplv-tiktokx-cropcenter:1080:1080.jpeg?dr=14579&amp;refresh_token=0843dda9&amp;x-expires=1763172000&amp;x-signature=OzQLAMQttCR5AqUWComJGMJC6To%3D&amp;t=4d5b0474&amp;ps=13740610&amp;shp=a5d48078&amp;shcp=81f88b70&amp;idc=my" TargetMode="External"/><Relationship Id="rId448" Type="http://schemas.openxmlformats.org/officeDocument/2006/relationships/hyperlink" Target="https://sf16-ies-music-sg.tiktokcdn.com/obj/tos-alisg-ve-2774/o8FjDcNeA7EzFQBsGKorZ4e0agDwgHbfClgin7" TargetMode="External"/><Relationship Id="rId447" Type="http://schemas.openxmlformats.org/officeDocument/2006/relationships/hyperlink" Target="https://p77-sign-va.tiktokcdn.com/tos-maliva-avt-0068/65652208aa86d43bb56c554bee9f3cfb~tplv-tiktokx-cropcenter:100:100.jpeg?dr=14579&amp;refresh_token=5683d556&amp;x-expires=1763172000&amp;x-signature=ya0FiSeVVkPUcdPyGmS2T61fTCY%3D&amp;t=4d5b0474&amp;ps=13740610&amp;shp=a5d48078&amp;shcp=81f88b70&amp;idc=my" TargetMode="External"/><Relationship Id="rId446" Type="http://schemas.openxmlformats.org/officeDocument/2006/relationships/hyperlink" Target="https://www.tiktok.com/@pisicopop/video/7350334687363009797" TargetMode="External"/><Relationship Id="rId445" Type="http://schemas.openxmlformats.org/officeDocument/2006/relationships/hyperlink" Target="https://p77-sg.tiktokcdn.com/aweme/720x720/tos-alisg-v-2774/47ccb712fc744e03b97c5b232ff279cc.jpeg" TargetMode="External"/><Relationship Id="rId449" Type="http://schemas.openxmlformats.org/officeDocument/2006/relationships/hyperlink" Target="https://p16-sg.tiktokcdn.com/aweme/720x720/tos-alisg-v-2774/43faa110cb7545508bcb8448e005da2d.jpeg" TargetMode="External"/><Relationship Id="rId1270" Type="http://schemas.openxmlformats.org/officeDocument/2006/relationships/hyperlink" Target="https://v16-webapp-prime.tiktok.com/video/tos/useast2a/tos-useast2a-ve-0068c002/ocAG5Aez3SQGSEEQccFfCCgbQvUShuIujHDnIf/?a=1988&amp;bti=ODszNWYuMDE6&amp;ch=0&amp;cr=3&amp;dr=0&amp;lr=all&amp;cd=0%7C0%7C0%7C&amp;cv=1&amp;br=1452&amp;bt=726&amp;cs=0&amp;ds=3&amp;ft=-Csk_mrMPD12Nw_opd-UxfeFaY6e3wv25HcAp&amp;mime_type=video_mp4&amp;qs=0&amp;rc=ZmVlOztmaGc0aThoNjM1PEBpM2o4am05cml1MzMzNzczM0AvNS4zXjNjXjQxMS9jMGNjYSNrcC5vMmRzbHBhLS1kMTZzcw%3D%3D&amp;btag=e00090000&amp;expire=1763173687&amp;l=2025111310264583C2663DA446357263D7&amp;ply_type=2&amp;policy=2&amp;signature=aa9fb4888db8d567a7b9bb273817bfff&amp;tk=tt_chain_token" TargetMode="External"/><Relationship Id="rId440" Type="http://schemas.openxmlformats.org/officeDocument/2006/relationships/hyperlink" Target="https://v16-webapp-prime.tiktok.com/video/tos/useast2a/tos-useast2a-v-27dcd7/ogAgRIBHiAAAHS6nAEmxBA1Kn9xEEkAfozSSKi/?a=1988&amp;bti=ODszNWYuMDE6&amp;ch=0&amp;cr=0&amp;dr=0&amp;er=0&amp;lr=default&amp;cd=0%7C0%7C0%7C0&amp;br=250&amp;bt=125&amp;ds=5&amp;ft=GNDpcInz7ThA9-UPXq8Zmo&amp;mime_type=audio_mpeg&amp;qs=13&amp;rc=ajM6bnc5cjM3cjMzNzU8M0BpajM6bnc5cjM3cjMzNzU8M0BsXmpnMmRjZXFgLS1kMTZzYSNsXmpnMmRjZXFgLS1kMTZzcw%3D%3D&amp;btag=e00050000&amp;expire=1763004350&amp;l=20251113102449DDADD1FB7AF14A841409&amp;ply_type=3&amp;policy=3&amp;signature=f6cff31dd0ca528d172b0241934b48ef&amp;tk=7571587458748974088" TargetMode="External"/><Relationship Id="rId1271" Type="http://schemas.openxmlformats.org/officeDocument/2006/relationships/hyperlink" Target="https://www.tiktok.com/@psi.jonathanorlandi/video/7510240853697350917" TargetMode="External"/><Relationship Id="rId1272" Type="http://schemas.openxmlformats.org/officeDocument/2006/relationships/hyperlink" Target="https://p16-sign-va.tiktokcdn.com/tos-maliva-avt-0068/5e4b6fbbbca28a7cdbec97908b69569b~tplv-tiktokx-cropcenter:100:100.jpeg?dr=14579&amp;refresh_token=b3ba9219&amp;x-expires=1763172000&amp;x-signature=ytMYWrmwktbLNSYKav%2Fc1zzXYa8%3D&amp;t=4d5b0474&amp;ps=13740610&amp;shp=a5d48078&amp;shcp=81f88b70&amp;idc=my" TargetMode="External"/><Relationship Id="rId1273" Type="http://schemas.openxmlformats.org/officeDocument/2006/relationships/hyperlink" Target="https://sf16-ies-music-sg.tiktokcdn.com/obj/tos-alisg-ve-2774/e9b69e08e3344dd48eca1929a79145ce" TargetMode="External"/><Relationship Id="rId1274" Type="http://schemas.openxmlformats.org/officeDocument/2006/relationships/hyperlink" Target="https://p77-sg.tiktokcdn.com/aweme/720x720/tos-alisg-v-2774/c6fd1194f5304814b164220c4ddec0d4.jpeg" TargetMode="External"/><Relationship Id="rId444" Type="http://schemas.openxmlformats.org/officeDocument/2006/relationships/hyperlink" Target="https://sf16-ies-music-sg.tiktokcdn.com/obj/tos-alisg-ve-2774/36c45fbf26c943c0ab9627251afd960b" TargetMode="External"/><Relationship Id="rId1275" Type="http://schemas.openxmlformats.org/officeDocument/2006/relationships/hyperlink" Target="https://v16-webapp-prime.tiktok.com/video/tos/alisg/tos-alisg-ve-37c813-sg/oUKFgfB6DBaoFbzEq5EBIfQ0XBJIVQ1QkNRDKA/?a=1988&amp;bti=ODszNWYuMDE6&amp;ch=0&amp;cr=3&amp;dr=0&amp;lr=all&amp;cd=0%7C0%7C0%7C&amp;cv=1&amp;br=1408&amp;bt=704&amp;cs=0&amp;ds=3&amp;ft=-Csk_mrMPD12NDhopd-Ux2.2GY6e3wv25rcAp&amp;mime_type=video_mp4&amp;qs=0&amp;rc=NzpkZDs3Nzs4ZWZlZDppNkBpMzM6aWw5cmQ7NDMzNzczM0AxNmAuMTUvXzYxMC8wYmAyYSNoaV8yMmRrMmJhLS1kMTZzcw%3D%3D&amp;btag=e00090000&amp;expire=1763173416&amp;l=20251113102236D675DBC36011DA84E058&amp;ply_type=2&amp;policy=2&amp;signature=2b62957aec02de13ddbad2dfbaead1ea&amp;tk=tt_chain_token" TargetMode="External"/><Relationship Id="rId443" Type="http://schemas.openxmlformats.org/officeDocument/2006/relationships/hyperlink" Target="https://p77-sign-va.tiktokcdn.com/tos-maliva-avt-0068/0c857903b1d71ebd63a58d7ad9b30044~tplv-tiktokx-cropcenter:100:100.jpeg?dr=14579&amp;refresh_token=bd7ccf7b&amp;x-expires=1763172000&amp;x-signature=qnFlEFg%2F126y2FC73ux9%2Bx6bk0k%3D&amp;t=4d5b0474&amp;ps=13740610&amp;shp=a5d48078&amp;shcp=81f88b70&amp;idc=my" TargetMode="External"/><Relationship Id="rId1276" Type="http://schemas.openxmlformats.org/officeDocument/2006/relationships/hyperlink" Target="https://www.tiktok.com/@ziifrancoterapeuta/video/7520030098746019077" TargetMode="External"/><Relationship Id="rId442" Type="http://schemas.openxmlformats.org/officeDocument/2006/relationships/hyperlink" Target="https://www.tiktok.com/@pisicopop/video/7366274678849096965" TargetMode="External"/><Relationship Id="rId1277" Type="http://schemas.openxmlformats.org/officeDocument/2006/relationships/hyperlink" Target="https://p16-sign-va.tiktokcdn.com/tos-maliva-avt-0068/1c71a0228c5bad5aadc1820539c510e2~tplv-tiktokx-cropcenter:100:100.jpeg?dr=14579&amp;refresh_token=a7d3e309&amp;x-expires=1763172000&amp;x-signature=0dCgZfsTo1JDiynzLEEbApEgTwk%3D&amp;t=4d5b0474&amp;ps=13740610&amp;shp=a5d48078&amp;shcp=81f88b70&amp;idc=my" TargetMode="External"/><Relationship Id="rId441" Type="http://schemas.openxmlformats.org/officeDocument/2006/relationships/hyperlink" Target="https://p77-sign-va.tiktokcdn.com/tos-maliva-avt-0068/0c857903b1d71ebd63a58d7ad9b30044~tplv-tiktokx-cropcenter:1080:1080.jpeg?dr=14579&amp;refresh_token=2bffa430&amp;x-expires=1763172000&amp;x-signature=wEF%2Fz6Itzq6Pe1hgxJyHAYeXRzc%3D&amp;t=4d5b0474&amp;ps=13740610&amp;shp=a5d48078&amp;shcp=81f88b70&amp;idc=my" TargetMode="External"/><Relationship Id="rId1278" Type="http://schemas.openxmlformats.org/officeDocument/2006/relationships/hyperlink" Target="https://v16-webapp-prime.tiktok.com/video/tos/useast2a/tos-useast2a-v-27dcd7/oMDrMAJUIBCbeIFaAkAQtuEmJBePGxrnWDhqCT/?a=1988&amp;bti=ODszNWYuMDE6&amp;ch=0&amp;cr=0&amp;dr=0&amp;er=0&amp;lr=default&amp;cd=0%7C0%7C0%7C0&amp;br=250&amp;bt=125&amp;ds=5&amp;ft=GNDpcInz7ThbK-UPXq8Zmo&amp;mime_type=audio_mpeg&amp;qs=13&amp;rc=ajZzODw6ZnRwbDMzNzU8M0BpajZzODw6ZnRwbDMzNzU8M0BfM2hlcjRnNGpgLS1kMTZzYSNfM2hlcjRnNGpgLS1kMTZzcw%3D%3D&amp;btag=e00078000&amp;expire=1763004183&amp;l=202511131022442EE54DE47B86CCA867A8&amp;ply_type=3&amp;policy=3&amp;signature=7aaf2c0b44c23b7da7d36ec8c6445230&amp;tk=7571587458748974088" TargetMode="External"/><Relationship Id="rId1268" Type="http://schemas.openxmlformats.org/officeDocument/2006/relationships/hyperlink" Target="https://v16-webapp-prime.tiktok.com/video/tos/useast2a/tos-useast2a-v-27dcd7/ooeee3bScCCLDgsQAQoAPAEuIFigJQFSGoTmID/?a=1988&amp;bti=ODszNWYuMDE6&amp;ch=0&amp;cr=0&amp;dr=0&amp;er=0&amp;lr=default&amp;cd=0%7C0%7C0%7C0&amp;br=250&amp;bt=125&amp;ds=5&amp;ft=GNDpcInz7ThyY-UPXq8Zmo&amp;mime_type=audio_mpeg&amp;qs=13&amp;rc=ajU2b205cm11MzMzNzU8M0BpajU2b205cm11MzMzNzU8M0AyaDFsMmRjbHBhLS1kMTZzYSMyaDFsMmRjbHBhLS1kMTZzcw%3D%3D&amp;btag=e00050000&amp;expire=1763004487&amp;l=2025111310264583C2663DA446357263D7&amp;ply_type=3&amp;policy=3&amp;signature=5d3b607775e93c2b34c0a910bfd72b3c&amp;tk=7571587458748974088" TargetMode="External"/><Relationship Id="rId1269" Type="http://schemas.openxmlformats.org/officeDocument/2006/relationships/hyperlink" Target="https://p16-sign-sg.tiktokcdn.com/tos-alisg-avt-0068/a922d44f129753f3f4657ae1aab09386~tplv-tiktokx-cropcenter:1080:1080.jpeg?dr=14579&amp;refresh_token=43a32604&amp;x-expires=1763172000&amp;x-signature=DV4s5L0h1SYLpGsOfTJJn3LagL4%3D&amp;t=4d5b0474&amp;ps=13740610&amp;shp=a5d48078&amp;shcp=81f88b70&amp;idc=my" TargetMode="External"/><Relationship Id="rId437" Type="http://schemas.openxmlformats.org/officeDocument/2006/relationships/hyperlink" Target="https://v16-webapp-prime.tiktok.com/video/tos/maliva/tos-maliva-ve-0068c801-us/osWURmTUFUjEEhDlBAIeInSfl7IQrFQDg9JBuI/?a=1988&amp;bti=ODszNWYuMDE6&amp;ch=0&amp;cr=3&amp;dr=0&amp;lr=all&amp;cd=0%7C0%7C0%7C&amp;cv=1&amp;br=2528&amp;bt=1264&amp;cs=0&amp;ds=3&amp;ft=I~da4oKyD12NvOA0i.IxRehNblBF-UjNSMopiX&amp;mime_type=video_mp4&amp;qs=0&amp;rc=NGZkZmQ3NzU3aTtnNTw4ZEBpajdxN205cjw7cjMzNzczM0AvYF9fYTUuXy0xMTZjMl8uYSNfcWNpMmRjNl5gLS1kMTZzcw%3D%3D&amp;btag=e00090000&amp;expire=1763173547&amp;l=20251113102443BFAC5C39F8934C8F8E6A&amp;ply_type=2&amp;policy=2&amp;signature=6cf4daf92901d9e8a53b4a3b8e5cf51e&amp;tk=tt_chain_token" TargetMode="External"/><Relationship Id="rId436" Type="http://schemas.openxmlformats.org/officeDocument/2006/relationships/hyperlink" Target="https://p16-sign-va.tiktokcdn.com/tos-maliva-avt-0068/924cd2a569ead49e262b2573224c311d~tplv-tiktokx-cropcenter:1080:1080.jpeg?dr=14579&amp;refresh_token=4bce579b&amp;x-expires=1763172000&amp;x-signature=xUvkMpVI7y3piZXn6hlPtNUK%2FBg%3D&amp;t=4d5b0474&amp;ps=13740610&amp;shp=a5d48078&amp;shcp=81f88b70&amp;idc=my" TargetMode="External"/><Relationship Id="rId435" Type="http://schemas.openxmlformats.org/officeDocument/2006/relationships/hyperlink" Target="https://v16-webapp-prime.tiktok.com/video/tos/useast2a/tos-useast2a-v-27dcd7/o4XIq2QflEA8WAimCgAsICIpfVUAqBBJ7D4JFF/?a=1988&amp;bti=ODszNWYuMDE6&amp;ch=0&amp;cr=0&amp;dr=0&amp;er=0&amp;lr=default&amp;cd=0%7C0%7C0%7C0&amp;br=250&amp;bt=125&amp;ds=5&amp;ft=GNDpcInz7Th29-UPXq8Zmo&amp;mime_type=audio_mpeg&amp;qs=13&amp;rc=M3dlbnY5cm87cjMzNzU8M0BpM3dlbnY5cm87cjMzNzU8M0Bsal4yMmRzXl5gLS1kMTZzYSNsal4yMmRzXl5gLS1kMTZzcw%3D%3D&amp;btag=e00050000&amp;expire=1763004347&amp;l=20251113102443BFAC5C39F8934C8F8E6A&amp;ply_type=3&amp;policy=3&amp;signature=c65e8a8b14118ec72c1628d9d68500f5&amp;tk=7571587458748974088" TargetMode="External"/><Relationship Id="rId434" Type="http://schemas.openxmlformats.org/officeDocument/2006/relationships/hyperlink" Target="https://p16-sign-va.tiktokcdn.com/tos-maliva-avt-0068/924cd2a569ead49e262b2573224c311d~tplv-tiktokx-cropcenter:100:100.jpeg?dr=14579&amp;refresh_token=3c12b699&amp;x-expires=1763172000&amp;x-signature=t6CqDcu3J7l065AkPPj3M%2FB4kdU%3D&amp;t=4d5b0474&amp;ps=13740610&amp;shp=a5d48078&amp;shcp=81f88b70&amp;idc=my" TargetMode="External"/><Relationship Id="rId439" Type="http://schemas.openxmlformats.org/officeDocument/2006/relationships/hyperlink" Target="https://p77-sign-va.tiktokcdn.com/tos-maliva-avt-0068/0c857903b1d71ebd63a58d7ad9b30044~tplv-tiktokx-cropcenter:100:100.jpeg?dr=14579&amp;refresh_token=bd7ccf7b&amp;x-expires=1763172000&amp;x-signature=qnFlEFg%2F126y2FC73ux9%2Bx6bk0k%3D&amp;t=4d5b0474&amp;ps=13740610&amp;shp=a5d48078&amp;shcp=81f88b70&amp;idc=my" TargetMode="External"/><Relationship Id="rId438" Type="http://schemas.openxmlformats.org/officeDocument/2006/relationships/hyperlink" Target="https://www.tiktok.com/@lorenatdahta/video/7355650659036777733" TargetMode="External"/><Relationship Id="rId1260" Type="http://schemas.openxmlformats.org/officeDocument/2006/relationships/hyperlink" Target="https://v16-webapp-prime.tiktok.com/video/tos/maliva/tos-maliva-ve-0068c801-us/oMm9Jv71uBfI2AFRyBbEDo0CROEhQjfsDxcDEC/?a=1988&amp;bti=ODszNWYuMDE6&amp;ch=0&amp;cr=3&amp;dr=0&amp;lr=all&amp;cd=0%7C0%7C0%7C&amp;cv=1&amp;br=232&amp;bt=116&amp;cs=0&amp;ds=3&amp;ft=-Csk_mrMPD12N_hopd-Ux315hY6e3wv25dcAp&amp;mime_type=video_mp4&amp;qs=0&amp;rc=cnF8b2hsc2d3SkBwaHIxaDFybndmZWk8Ozc7ZWVoOThoO2hmaEBpM3k1O3M5cnVwcjMzNzczM0BjRl5Nc3FePmJKYSNvYF90aHFmOiMyLjIvYTZgNTAxLy4xMy9hYSMub2JhMmRrbHFgLS1kMTZzcw%3D%3D&amp;btag=e000b0000&amp;expire=1763173380&amp;l=20251113102250DC012CE1E68AEAAA2B86&amp;ply_type=2&amp;policy=2&amp;signature=0b1ed7ec54925ee5f6cf6d035035541d&amp;tk=tt_chain_token" TargetMode="External"/><Relationship Id="rId1261" Type="http://schemas.openxmlformats.org/officeDocument/2006/relationships/hyperlink" Target="https://www.tiktok.com/@patrycia.leme/video/7366601462735998214" TargetMode="External"/><Relationship Id="rId1262" Type="http://schemas.openxmlformats.org/officeDocument/2006/relationships/hyperlink" Target="https://p16-sign-va.tiktokcdn.com/tos-maliva-avt-0068/0aba569d43d303b4e1add8e178eb23a3~tplv-tiktokx-cropcenter:100:100.jpeg?dr=14579&amp;refresh_token=311cb945&amp;x-expires=1763172000&amp;x-signature=fwGBYlJFAM9vQQ4xJ5MzSaP8b1Q%3D&amp;t=4d5b0474&amp;ps=13740610&amp;shp=a5d48078&amp;shcp=81f88b70&amp;idc=my" TargetMode="External"/><Relationship Id="rId1263" Type="http://schemas.openxmlformats.org/officeDocument/2006/relationships/hyperlink" Target="https://sf16-ies-music-sg.tiktokcdn.com/obj/tos-alisg-ve-2774/aadd62c0a7834b87adcc68fca28a093a" TargetMode="External"/><Relationship Id="rId433" Type="http://schemas.openxmlformats.org/officeDocument/2006/relationships/hyperlink" Target="https://www.tiktok.com/@musadumont/video/7355855148909890822" TargetMode="External"/><Relationship Id="rId1264" Type="http://schemas.openxmlformats.org/officeDocument/2006/relationships/hyperlink" Target="https://p77-sg.tiktokcdn.com/aweme/720x720/tos-alisg-v-2774/848970941ddc4d6dbe8a95adf6f87e19.jpeg" TargetMode="External"/><Relationship Id="rId432" Type="http://schemas.openxmlformats.org/officeDocument/2006/relationships/hyperlink" Target="https://v16-webapp-prime.tiktok.com/video/tos/useast2a/tos-useast2a-pve-0068/oMJDjJEME0PQE3FQmz5AePTft2zRB6EFVIBBEi/?a=1988&amp;bti=ODszNWYuMDE6&amp;ch=0&amp;cr=3&amp;dr=0&amp;lr=all&amp;cd=0%7C0%7C0%7C&amp;cv=1&amp;br=2390&amp;bt=1195&amp;cs=0&amp;ds=3&amp;ft=-Csk_mrMPD12NDhopd-Ux2.2GY6e3wv25rcAp&amp;mime_type=video_mp4&amp;qs=0&amp;rc=ZjU8Ozo5OWZmN2lpZTg4aEBpanN0O3M5cmhtcjMzNzczM0AwLjZeXi1gNjMxMTAuNmNhYSNlMmdvMmRrb15gLS1kMTZzcw%3D%3D&amp;btag=e00090000&amp;expire=1763173419&amp;l=20251113102236D675DBC36011DA84E058&amp;ply_type=2&amp;policy=2&amp;signature=d651882313da8b91e883208622e92877&amp;tk=tt_chain_token" TargetMode="External"/><Relationship Id="rId1265" Type="http://schemas.openxmlformats.org/officeDocument/2006/relationships/hyperlink" Target="https://v16-webapp-prime.tiktok.com/video/tos/maliva/tos-maliva-ve-68c800-us/oYxlnbChEDVJoXm8SgkQeBZrQ8RcAYdqkBfOlT/?a=1988&amp;bti=ODszNWYuMDE6&amp;ch=0&amp;cr=3&amp;dr=0&amp;lr=all&amp;cd=0%7C0%7C0%7C&amp;cv=1&amp;br=1338&amp;bt=669&amp;cs=0&amp;ds=3&amp;ft=I~da4oKyD12NvuA0i.IxREJNglBF-UjNSmopiX&amp;mime_type=video_mp4&amp;qs=0&amp;rc=NDxmNTo0NTk6aWhkaWRmPEBpanhkbTQ6ZnJ2bDMzNzczM0BfL2EwYzE0NWExM15jMTZiYSNecTMxcjRfbF5gLS1kMTZzcw%3D%3D&amp;btag=e00090000&amp;expire=1763173562&amp;l=202511131024337F554789EF0D09A1F8EB&amp;ply_type=2&amp;policy=2&amp;signature=55878219fae1fd59b854e76dc5a20705&amp;tk=tt_chain_token" TargetMode="External"/><Relationship Id="rId431" Type="http://schemas.openxmlformats.org/officeDocument/2006/relationships/hyperlink" Target="https://p16-sign-sg.tiktokcdn.com/tos-alisg-v-2774/okAIgEmAZKYImChfjAmEAcWiEzGDtBF3QH4Bey~720x720.jpeg?lk3s=08d74b56&amp;x-expires=1763022156&amp;x-signature=BT9U7qUa2AlujaIreS7XkPNOs5o%3D" TargetMode="External"/><Relationship Id="rId1266" Type="http://schemas.openxmlformats.org/officeDocument/2006/relationships/hyperlink" Target="https://www.tiktok.com/@heyfolkspdc/video/7247924011412294918" TargetMode="External"/><Relationship Id="rId430" Type="http://schemas.openxmlformats.org/officeDocument/2006/relationships/hyperlink" Target="https://p16-sign-va.tiktokcdn.com/tos-maliva-avt-0068/7321752650215129093~tplv-tiktokx-cropcenter:100:100.jpeg?dr=14579&amp;refresh_token=d2b6a4b1&amp;x-expires=1763172000&amp;x-signature=X2Urftzz3cnpTvfULvGApUT1kBU%3D&amp;t=4d5b0474&amp;ps=13740610&amp;shp=a5d48078&amp;shcp=81f88b70&amp;idc=my" TargetMode="External"/><Relationship Id="rId1267" Type="http://schemas.openxmlformats.org/officeDocument/2006/relationships/hyperlink" Target="https://p77-sign-sg.tiktokcdn.com/tos-alisg-avt-0068/a922d44f129753f3f4657ae1aab09386~tplv-tiktokx-cropcenter:100:100.jpeg?dr=14579&amp;refresh_token=fdf273b4&amp;x-expires=1763172000&amp;x-signature=k9kZXtI6haYmCf6CcaKoXuObTsE%3D&amp;t=4d5b0474&amp;ps=13740610&amp;shp=a5d48078&amp;shcp=81f88b70&amp;idc=my"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v16-webapp-prime.tiktok.com/video/tos/useast2a/tos-useast2a-v-27dcd7/ocAIQE9AJYVIoCTfXAuqF6C0gppDUBFXJoeB6J/?a=1988&amp;bti=ODszNWYuMDE6&amp;ch=0&amp;cr=0&amp;dr=0&amp;er=0&amp;lr=default&amp;cd=0%7C0%7C0%7C0&amp;br=250&amp;bt=125&amp;ds=5&amp;ft=GNDpcInz7ThjFKvPXq8Zmo&amp;mime_type=audio_mpeg&amp;qs=13&amp;rc=am5kN3g5cjh0NTMzNzU8M0Bpam5kN3g5cjh0NTMzNzU8M0BvNi5uMmRzYGlhLS1kMTZzYSNvNi5uMmRzYGlhLS1kMTZzcw%3D%3D&amp;btag=e00050000&amp;expire=1764559457&amp;l=2025120110215532A809179141715F3748&amp;ply_type=3&amp;policy=3&amp;signature=70c1368f8c1970d7c22516220d6945f1&amp;tk=7571587458748974088" TargetMode="External"/><Relationship Id="rId391"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390" Type="http://schemas.openxmlformats.org/officeDocument/2006/relationships/hyperlink" Target="https://www.tiktok.com/@psi.walace/video/7547842404511026438" TargetMode="External"/><Relationship Id="rId1" Type="http://schemas.openxmlformats.org/officeDocument/2006/relationships/hyperlink" Target="https://p16-sign-va.tiktokcdn.com/tos-maliva-avt-0068/7332767316591984645~tplv-tiktokx-cropcenter:100:100.jpeg?dr=14579&amp;refresh_token=9e051157&amp;x-expires=1764727200&amp;x-signature=ryXkwWyeCx%2BMAMh6IkQ6zzSIUNg%3D&amp;t=4d5b0474&amp;ps=13740610&amp;shp=a5d48078&amp;shcp=81f88b70&amp;idc=my" TargetMode="External"/><Relationship Id="rId2" Type="http://schemas.openxmlformats.org/officeDocument/2006/relationships/hyperlink" Target="https://v16-webapp-prime.tiktok.com/video/tos/useast2a/tos-useast2a-v-27dcd7/o0zFiSNCiAAF5QxAUCAB56Z2ElEgPs5oKES17/?a=1988&amp;bti=ODszNWYuMDE6&amp;ch=0&amp;cr=0&amp;dr=0&amp;er=0&amp;lr=default&amp;cd=0%7C0%7C0%7C0&amp;br=250&amp;bt=125&amp;ds=5&amp;ft=GNDpcInz7ThazKvPXq8Zmo&amp;mime_type=audio_mpeg&amp;qs=13&amp;rc=ajtxeHM5cmRteDMzNzU8M0BpajtxeHM5cmRteDMzNzU8M0BwYWRtMmQ0XmxgLS1kMTZzYSNwYWRtMmQ0XmxgLS1kMTZzcw%3D%3D&amp;btag=e00050000&amp;expire=1764559361&amp;l=2025120110213521203C48224A5C66F6F4&amp;ply_type=3&amp;policy=3&amp;signature=960b45a4d10c90b267a4a86b960d047f&amp;tk=7571587458748974088" TargetMode="External"/><Relationship Id="rId3" Type="http://schemas.openxmlformats.org/officeDocument/2006/relationships/hyperlink" Target="https://p77-sign-va.tiktokcdn.com/tos-maliva-avt-0068/7332767316591984645~tplv-tiktokx-cropcenter:1080:1080.jpeg?dr=14579&amp;refresh_token=d418832b&amp;x-expires=1764727200&amp;x-signature=gF6MBQO29S2BjxD%2BfT39%2FGlxcX4%3D&amp;t=4d5b0474&amp;ps=13740610&amp;shp=a5d48078&amp;shcp=81f88b70&amp;idc=my" TargetMode="External"/><Relationship Id="rId4" Type="http://schemas.openxmlformats.org/officeDocument/2006/relationships/hyperlink" Target="https://v16-webapp-prime.tiktok.com/video/tos/useast2a/tos-useast2a-pve-0068/ogEfTFTeAnjRqDxmI8aB0ylhd2EEsnIJQgBiQv/?a=1988&amp;bti=ODszNWYuMDE6&amp;ch=0&amp;cr=3&amp;dr=0&amp;lr=all&amp;cd=0%7C0%7C0%7C&amp;cv=1&amp;br=574&amp;bt=287&amp;cs=0&amp;ds=6&amp;ft=-Csk_mrMPD12N8Dh5d-UxSc2hY6e3wv252cAp&amp;mime_type=video_mp4&amp;qs=5&amp;rc=aTk5Omc6Z2VmOTloPDM5N0BpM202b3I5cndteDMzNzczM0BiXjQxYDEtX2IxXzEtXy02YSNjMHJwMmQ0NmxgLS1kMTZzcw%3D%3D&amp;btag=e00090000&amp;expire=1764728561&amp;l=2025120110213521203C48224A5C66F6F4&amp;ply_type=2&amp;policy=2&amp;signature=42c1132c30f44f3a4b8836964d798b07&amp;tk=tt_chain_token" TargetMode="External"/><Relationship Id="rId9" Type="http://schemas.openxmlformats.org/officeDocument/2006/relationships/hyperlink" Target="https://www.tiktok.com/@lorenatdahta/video/7246403750162631942" TargetMode="External"/><Relationship Id="rId385" Type="http://schemas.openxmlformats.org/officeDocument/2006/relationships/hyperlink" Target="https://www.tiktok.com/@psi.walace/video/7570849498499403028" TargetMode="External"/><Relationship Id="rId384" Type="http://schemas.openxmlformats.org/officeDocument/2006/relationships/hyperlink" Target="https://v16-webapp-prime.tiktok.com/video/tos/alisg/tos-alisg-pve-0037c001/oYEiqDo6IU0EcnEBwRABfBYRejAiQjQgHc1pEa/?a=1988&amp;bti=ODszNWYuMDE6&amp;ch=0&amp;cr=3&amp;dr=0&amp;lr=all&amp;cd=0%7C0%7C0%7C&amp;cv=1&amp;br=1742&amp;bt=871&amp;cs=0&amp;ds=3&amp;ft=-Csk_mrMPD12N.Zh5d-UxxG2aY6e3wv25UcAp&amp;mime_type=video_mp4&amp;qs=0&amp;rc=NTQ1Z2g8Omg4PGc3Z2Q3OUBpM2pkOW45cmtqNzMzODczNEBhNF8yMDBjNjIxMi01YzMxYSNgZWleMmRzcjVhLS1kMWBzcw%3D%3D&amp;btag=e00090000&amp;expire=1764728673&amp;l=20251201102322C8514DE7730851EF645E&amp;ply_type=2&amp;policy=2&amp;signature=8ff4a0e420c9503ebaf16b1e7dc176cb&amp;tk=tt_chain_token" TargetMode="External"/><Relationship Id="rId383" Type="http://schemas.openxmlformats.org/officeDocument/2006/relationships/hyperlink" Target="https://p77-sign-va.tiktokcdn.com/tos-maliva-avt-0068/1b1ab6d65ae96fbe11db1ee88f115e37~tplv-tiktokx-cropcenter:1080:1080.jpeg?dr=14579&amp;refresh_token=ca2a94f7&amp;x-expires=1764727200&amp;x-signature=jwFMT3YXWkpr9die%2B7bIz0fGYmQ%3D&amp;t=4d5b0474&amp;ps=13740610&amp;shp=a5d48078&amp;shcp=81f88b70&amp;idc=my" TargetMode="External"/><Relationship Id="rId382" Type="http://schemas.openxmlformats.org/officeDocument/2006/relationships/hyperlink" Target="https://v16-webapp-prime.tiktok.com/video/tos/alisg/tos-alisg-v-27dcd7/oYdFIArIA8qTEIXxSAIA5wLeo3DigheHCfACGA/?a=1988&amp;bti=ODszNWYuMDE6&amp;ch=0&amp;cr=0&amp;dr=0&amp;er=0&amp;lr=default&amp;cd=0%7C0%7C0%7C0&amp;br=250&amp;bt=125&amp;ds=5&amp;ft=GNDpcInz7ThDgKvPXq8Zmo&amp;mime_type=audio_mpeg&amp;qs=13&amp;rc=anlxNnQ5cjZqNzMzODU8NEBpanlxNnQ5cjZqNzMzODU8NEBkb2ZkMmRrczVhLS1kMS1zYSNkb2ZkMmRrczVhLS1kMS1zcw%3D%3D&amp;btag=e00050000&amp;expire=1764559473&amp;l=20251201102322C8514DE7730851EF645E&amp;ply_type=3&amp;policy=3&amp;signature=79ee0755567bcadd457438302d485531&amp;tk=7571587458748974088" TargetMode="External"/><Relationship Id="rId5" Type="http://schemas.openxmlformats.org/officeDocument/2006/relationships/hyperlink" Target="https://www.tiktok.com/@sabrineti.ticoliro/video/7471811645954723078" TargetMode="External"/><Relationship Id="rId389" Type="http://schemas.openxmlformats.org/officeDocument/2006/relationships/hyperlink" Target="https://v16-webapp-prime.tiktok.com/video/tos/useast2a/tos-useast2a-ve-0068c003/o4Q33GEi1ffUVWvGKSlMsAgRkFF8AJeIOIcfQq/?a=1988&amp;bti=ODszNWYuMDE6&amp;ch=0&amp;cr=3&amp;dr=0&amp;lr=all&amp;cd=0%7C0%7C0%7C&amp;cv=1&amp;br=2008&amp;bt=1004&amp;cs=0&amp;ds=3&amp;ft=-Csk_mrMPD12NbDh5d-UxPR2SY6e3wv25IcAp&amp;mime_type=video_mp4&amp;qs=0&amp;rc=OjxoOjpkNzZnZmk0MzQ7ZkBpajV3dWs5cjxvNTMzNzczM0BeLzUuYTY0X2MxLTQyMGAzYSNoY3BfMmQ0MnNhLS1kMTZzcw%3D%3D&amp;btag=e00090000&amp;expire=1764728570&amp;l=20251201102055111140D50F38376E882B&amp;ply_type=2&amp;policy=2&amp;signature=edba3cbccda6b2934bd51206aa4ffecf&amp;tk=tt_chain_token" TargetMode="External"/><Relationship Id="rId6"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388"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7" Type="http://schemas.openxmlformats.org/officeDocument/2006/relationships/hyperlink" Target="https://p16-sign-sg.tiktokcdn.com/tos-alisg-v-2774/oEfLEaCXE3zgB2AJEeCylEoeOsARhGQOyAIAFD~720x720.jpeg?lk3s=08d74b56&amp;x-expires=1764577221&amp;x-signature=sgHx9X0BgMA%2Bd%2FCzKbZ%2F0s8SsBY%3D" TargetMode="External"/><Relationship Id="rId387" Type="http://schemas.openxmlformats.org/officeDocument/2006/relationships/hyperlink" Target="https://v16-webapp-prime.tiktok.com/video/tos/useast2a/tos-useast2a-v-27dcd7/oYAgdxQemiIpFkFXEeGfvVLqArVfAJMImhUAIQ/?a=1988&amp;bti=ODszNWYuMDE6&amp;ch=0&amp;cr=0&amp;dr=0&amp;er=0&amp;lr=default&amp;cd=0%7C0%7C0%7C0&amp;br=250&amp;bt=125&amp;ds=5&amp;ft=GNDpcInz7ThszKvPXq8Zmo&amp;mime_type=audio_mpeg&amp;qs=13&amp;rc=M2p3c205cmhvNTMzNzU8M0BpM2p3c205cmhvNTMzNzU8M0AxY28xMmQ0MnNhLS1kMTZzYSMxY28xMmQ0MnNhLS1kMTZzcw%3D%3D&amp;btag=e00050000&amp;expire=1764559370&amp;l=20251201102055111140D50F38376E882B&amp;ply_type=3&amp;policy=3&amp;signature=fac2876c189b7be235710b2f67736abe&amp;tk=7571587458748974088" TargetMode="External"/><Relationship Id="rId8" Type="http://schemas.openxmlformats.org/officeDocument/2006/relationships/hyperlink" Target="https://v16-webapp-prime.tiktok.com/video/tos/useast2a/tos-useast2a-ve-0068c004/owyh8Z2dIkFCk1SA7QozNgqILgAfQbDoCACyU1/?a=1988&amp;bti=ODszNWYuMDE6&amp;ch=0&amp;cr=3&amp;dr=0&amp;lr=all&amp;cd=0%7C0%7C0%7C&amp;cv=1&amp;br=3692&amp;bt=1846&amp;cs=0&amp;ds=3&amp;ft=ytpHh9DfxxOusd.YtDKt8lcLVWOuRx_HFKKMNOWCuJETJDz7T&amp;mime_type=video_mp4&amp;qs=0&amp;rc=Nzs7Ozg8ZTg7PDw4ODg2Z0BpM3VtZzg6Zmo5bDMzNzczM0AyMl8vMC5iXy0xLi8vXmBjYSNpYWNmcjQwXzVgLS1kMTZzcw%3D%3D&amp;btag=e000b0000&amp;expire=1764728431&amp;l=202512011020211DC26370CAB01566B5CA&amp;ply_type=2&amp;policy=2&amp;signature=4262048026ded516ab51fd08d044d70e&amp;tk=tt_chain_token" TargetMode="External"/><Relationship Id="rId38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381"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380" Type="http://schemas.openxmlformats.org/officeDocument/2006/relationships/hyperlink" Target="https://www.tiktok.com/@psi.walace/video/7566025460065357077" TargetMode="External"/><Relationship Id="rId379" Type="http://schemas.openxmlformats.org/officeDocument/2006/relationships/hyperlink" Target="https://v16-webapp-prime.tiktok.com/video/tos/alisg/tos-alisg-pve-0037c001/ooxddMfApZX6M0R8iApfxgHU2fNCfAHfQixLBl/?a=1988&amp;bti=ODszNWYuMDE6&amp;ch=0&amp;cr=3&amp;dr=0&amp;lr=all&amp;cd=0%7C0%7C0%7C&amp;cv=1&amp;br=1432&amp;bt=716&amp;cs=0&amp;ds=3&amp;ft=-Csk_mrMPD12NaDh5d-Uxq42hY6e3wv25IcAp&amp;mime_type=video_mp4&amp;qs=0&amp;rc=ZzY7aWhoaWQ0OWRpNDs1OEBpanBydXc5cnR4NjMzODczNEAxL2AyNC5eNWAxYTA1XjQwYSMzZGUyMmQ0a3NhLS1kMWBzcw%3D%3D&amp;btag=e00090000&amp;expire=1764728625&amp;l=202512011021380CC83080A64AA152B5B8&amp;ply_type=2&amp;policy=2&amp;signature=9230543de604294c43163c45b380d003&amp;tk=tt_chain_token" TargetMode="External"/><Relationship Id="rId374" Type="http://schemas.openxmlformats.org/officeDocument/2006/relationships/hyperlink" Target="https://v16-webapp-prime.tiktok.com/video/tos/alisg/tos-alisg-pve-0037c001/ocCjTPIAQQeTCe4nIRvvd6AQGeAVLDg7dCTSOI/?a=1988&amp;bti=ODszNWYuMDE6&amp;ch=0&amp;cr=3&amp;dr=0&amp;lr=all&amp;cd=0%7C0%7C0%7C&amp;cv=1&amp;br=1852&amp;bt=926&amp;cs=0&amp;ds=3&amp;ft=-Csk_mrMPD12N7Dh5d-UxII2hY6e3wv252cAp&amp;mime_type=video_mp4&amp;qs=0&amp;rc=OjY2PDs7Njk1Omc7Nzg4aUBpanczbG45cnc6NzMzODczNEA0YmEuXl5iNTMxMWMzXy0zYSNkcTJzMmRzX2NhLS1kMWBzcw%3D%3D&amp;btag=e00090000&amp;expire=1764728535&amp;l=2025120110210247DE29902DF1415935A0&amp;ply_type=2&amp;policy=2&amp;signature=88e170ba6f0f6f47010793f35a786637&amp;tk=tt_chain_token" TargetMode="External"/><Relationship Id="rId373" Type="http://schemas.openxmlformats.org/officeDocument/2006/relationships/hyperlink" Target="https://p77-sign-va.tiktokcdn.com/tos-maliva-avt-0068/b65580219dd212688aa9c5305651ee47~tplv-tiktokx-cropcenter:1080:1080.jpeg?dr=14579&amp;refresh_token=65299c8d&amp;x-expires=1764727200&amp;x-signature=fCBTj%2BixHQYZ1econVLm6Q2yBYg%3D&amp;t=4d5b0474&amp;ps=13740610&amp;shp=a5d48078&amp;shcp=81f88b70&amp;idc=my" TargetMode="External"/><Relationship Id="rId372" Type="http://schemas.openxmlformats.org/officeDocument/2006/relationships/hyperlink" Target="https://v16-webapp-prime.tiktok.com/video/tos/alisg/tos-alisg-v-27dcd7/ocQJvHEArALPjeQmU6ZodTgIDfCFFBALuBApnI/?a=1988&amp;bti=ODszNWYuMDE6&amp;ch=0&amp;cr=0&amp;dr=0&amp;er=0&amp;lr=default&amp;cd=0%7C0%7C0%7C0&amp;br=250&amp;bt=125&amp;ds=5&amp;ft=GNDpcInz7ThHzKvPXq8Zmo&amp;mime_type=audio_mpeg&amp;qs=13&amp;rc=MzhxeXE5cnQ6NzMzODU8NEBpMzhxeXE5cnQ6NzMzODU8NEBoYl5mMmQ0YGNhLS1kMS1zYSNoYl5mMmQ0YGNhLS1kMS1zcw%3D%3D&amp;btag=e00050000&amp;expire=1764559334&amp;l=2025120110210247DE29902DF1415935A0&amp;ply_type=3&amp;policy=3&amp;signature=a035d836e197b20c7b40c7fcf9ddf9ae&amp;tk=7571587458748974088" TargetMode="External"/><Relationship Id="rId371" Type="http://schemas.openxmlformats.org/officeDocument/2006/relationships/hyperlink" Target="https://p16-sign-va.tiktokcdn.com/tos-maliva-avt-0068/b65580219dd212688aa9c5305651ee47~tplv-tiktokx-cropcenter:100:100.jpeg?dr=14579&amp;refresh_token=d8e18523&amp;x-expires=1764727200&amp;x-signature=FUkhT7zDieVxyPnSflsZmp9pK6A%3D&amp;t=4d5b0474&amp;ps=13740610&amp;shp=a5d48078&amp;shcp=81f88b70&amp;idc=my" TargetMode="External"/><Relationship Id="rId378"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377" Type="http://schemas.openxmlformats.org/officeDocument/2006/relationships/hyperlink" Target="https://v16-webapp-prime.tiktok.com/video/tos/alisg/tos-alisg-v-27dcd7/oo17IAAajHGWMMCfF5FEAyDJQfJmNnAIIrfKAe/?a=1988&amp;bti=ODszNWYuMDE6&amp;ch=0&amp;cr=0&amp;dr=0&amp;er=0&amp;lr=default&amp;cd=0%7C0%7C0%7C0&amp;br=250&amp;bt=125&amp;ds=5&amp;ft=GNDpcInz7ThAzKvPXq8Zmo&amp;mime_type=audio_mpeg&amp;qs=13&amp;rc=ajk3eHY5cjV4NjMzODU8NEBpajk3eHY5cjV4NjMzODU8NEAzXmhuMmRjbXNhLS1kMS1zYSMzXmhuMmRjbXNhLS1kMS1zcw%3D%3D&amp;btag=e00050000&amp;expire=1764559425&amp;l=202512011021380CC83080A64AA152B5B8&amp;ply_type=3&amp;policy=3&amp;signature=8c82ea431c20bd07366345c04bdca3eb&amp;tk=7571587458748974088" TargetMode="External"/><Relationship Id="rId37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375" Type="http://schemas.openxmlformats.org/officeDocument/2006/relationships/hyperlink" Target="https://www.tiktok.com/@dulcivaldejesussantos/video/7574621769491811605" TargetMode="External"/><Relationship Id="rId39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395" Type="http://schemas.openxmlformats.org/officeDocument/2006/relationships/hyperlink" Target="https://www.tiktok.com/@psi.walace/video/7542304558312164613" TargetMode="External"/><Relationship Id="rId394" Type="http://schemas.openxmlformats.org/officeDocument/2006/relationships/hyperlink" Target="https://v16-webapp-prime.tiktok.com/video/tos/useast2a/tos-useast2a-ve-0068c003/o4p7dZEWiUOKBzd8v8qmiQuLSrkuAECIQaBT3/?a=1988&amp;bti=ODszNWYuMDE6&amp;ch=0&amp;cr=3&amp;dr=0&amp;lr=all&amp;cd=0%7C0%7C0%7C&amp;cv=1&amp;br=2308&amp;bt=1154&amp;cs=0&amp;ds=3&amp;ft=-Csk_mrMPD12NSBh5d-Uxs12aY6e3wv252cAp&amp;mime_type=video_mp4&amp;qs=0&amp;rc=aDllO2ZkMzs2ZGk3ZGVmZ0BpandpOXE5cjV0NTMzNzczM0BhX2FgYDBgNmAxMC1iMF8zYSNtbGNrMmRrYGlhLS1kMTZzcw%3D%3D&amp;btag=e00090000&amp;expire=1764728657&amp;l=2025120110215532A809179141715F3748&amp;ply_type=2&amp;policy=2&amp;signature=7e745039032b2447834a71334467d192&amp;tk=tt_chain_token" TargetMode="External"/><Relationship Id="rId393"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399" Type="http://schemas.openxmlformats.org/officeDocument/2006/relationships/hyperlink" Target="https://v16-webapp-prime.tiktok.com/video/tos/alisg/tos-alisg-pve-0037c001/ogYSe4M3gWA9RwCFwAQ4N3IhDtOl8jepSufgA4/?a=1988&amp;bti=ODszNWYuMDE6&amp;ch=0&amp;cr=3&amp;dr=0&amp;lr=all&amp;cd=0%7C0%7C0%7C&amp;cv=1&amp;br=1606&amp;bt=803&amp;cs=0&amp;ds=3&amp;ft=-Csk_mrMPD12NaDh5d-Uxq42hY6e3wv25IcAp&amp;mime_type=video_mp4&amp;qs=0&amp;rc=Ozo2Zzs4OTQ0ZGg3Z2g2NEBpM2h4a285cmg6NzMzODczNEBfMzUvM2NfNTExLmAyYjZfYSMzNmJpMmRzYzJhLS1kMWBzcw%3D%3D&amp;btag=e00090000&amp;expire=1764728582&amp;l=202512011021380CC83080A64AA152B5B8&amp;ply_type=2&amp;policy=2&amp;signature=d0c8e9dc2faf3e721cef05e89cfa9d24&amp;tk=tt_chain_token" TargetMode="External"/><Relationship Id="rId398"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397" Type="http://schemas.openxmlformats.org/officeDocument/2006/relationships/hyperlink" Target="https://v16-webapp-prime.tiktok.com/video/tos/alisg/tos-alisg-v-27dcd7/ooErdAToIDEfeIAUASAAbuxbgCFfq7FDOcOq0t/?a=1988&amp;bti=ODszNWYuMDE6&amp;ch=0&amp;cr=0&amp;dr=0&amp;er=0&amp;lr=default&amp;cd=0%7C0%7C0%7C0&amp;br=250&amp;bt=125&amp;ds=5&amp;ft=GNDpcInz7ThAzKvPXq8Zmo&amp;mime_type=audio_mpeg&amp;qs=13&amp;rc=am90ZXA5cnQ6NzMzODU8NEBpam90ZXA5cnQ6NzMzODU8NEBfb2FwMmRrYzJhLS1kMS1zYSNfb2FwMmRrYzJhLS1kMS1zcw%3D%3D&amp;btag=e00050000&amp;expire=1764559382&amp;l=202512011021380CC83080A64AA152B5B8&amp;ply_type=3&amp;policy=3&amp;signature=e7fe3752596e8a27e9e599a80ab2b606&amp;tk=7571587458748974088" TargetMode="External"/><Relationship Id="rId1730" Type="http://schemas.openxmlformats.org/officeDocument/2006/relationships/hyperlink" Target="https://p77-sign-va.tiktokcdn.com/tos-maliva-avt-0068/2986301dbf30203424b910880d1be878~tplv-tiktokx-cropcenter:100:100.jpeg?dr=14579&amp;refresh_token=aa674bb2&amp;x-expires=1764727200&amp;x-signature=gBowEG%2BDpi6uOb5lQPCTQ3ka77Q%3D&amp;t=4d5b0474&amp;ps=13740610&amp;shp=a5d48078&amp;shcp=81f88b70&amp;idc=my" TargetMode="External"/><Relationship Id="rId1731" Type="http://schemas.openxmlformats.org/officeDocument/2006/relationships/hyperlink" Target="https://v16-webapp-prime.tiktok.com/video/tos/useast2a/tos-useast2a-v-27dcd7/oUQiSQ4BAclE5B4kiAptxZSoClEU0QCPAAK13/?a=1988&amp;bti=ODszNWYuMDE6&amp;ch=0&amp;cr=0&amp;dr=0&amp;er=0&amp;lr=default&amp;cd=0%7C0%7C0%7C0&amp;br=250&amp;bt=125&amp;ds=5&amp;ft=GNDpcInz7ThrzKvPXq8Zmo&amp;mime_type=audio_mpeg&amp;qs=13&amp;rc=M2ttOnI5cjRkeDMzNzU8M0BpM2ttOnI5cjRkeDMzNzU8M0BwYzNmMmQ0XjZgLS1kMTZzYSNwYzNmMmQ0XjZgLS1kMTZzcw%3D%3D&amp;btag=e00078000&amp;expire=1764559265&amp;l=20251201102050B730D50024D84153D9E5&amp;ply_type=3&amp;policy=3&amp;signature=062eaea9373997787378315720f2dcce&amp;tk=7571587458748974088" TargetMode="External"/><Relationship Id="rId1732" Type="http://schemas.openxmlformats.org/officeDocument/2006/relationships/hyperlink" Target="https://p16-sign-va.tiktokcdn.com/tos-maliva-avt-0068/2986301dbf30203424b910880d1be878~tplv-tiktokx-cropcenter:1080:1080.jpeg?dr=14579&amp;refresh_token=82c5be2c&amp;x-expires=1764727200&amp;x-signature=oLcDxL99%2BVGWVpeuQBd68LLC3Lc%3D&amp;t=4d5b0474&amp;ps=13740610&amp;shp=a5d48078&amp;shcp=81f88b70&amp;idc=my" TargetMode="External"/><Relationship Id="rId1733" Type="http://schemas.openxmlformats.org/officeDocument/2006/relationships/hyperlink" Target="https://webapp-sg.tiktok.com/c78c55b051bd849e5f09a00106be273b/692f9e91/kmoat/mps/logo/v2/r/p/v09044g40000cu9a9uvog65rrn028rp0/4359820a43f0466ea1ba79929cf081f8/afb250e09cf989c6b3d4698ab6755c15/mp4/main.mp4?a=1988&amp;bti=ODszNWYuMDE6&amp;ch=0&amp;cr=3&amp;dr=0&amp;lr=all&amp;cd=0%7C0%7C0%7C&amp;br=0&amp;bt=0&amp;cs=0&amp;ds=3&amp;eid=1286&amp;ft=bLZkAmrMPD12NTDh5d-UxHX2hY6e3wv25McAp&amp;mime_type=video_mp4&amp;qs=0&amp;rc=cnF8b2hsc2d3SkBwaHIxaDFybndmOzQzZjU8ZDRoOTM2ZDU8NkBpM3U1cXU5cnhkeDMzNzczM0BjRl5Nc3FePmJKYSNvYF90aHFmOiNjNWM2NjRfXjMxYzEtNTIxYSNtNS1vMmRzNjZgLS1kMTZzcw%3D%3D&amp;btag=e000b8000&amp;definition=720p&amp;du=15&amp;item_id=7463208937135820038&amp;l=20251201102050B730D50024D84153D9E5&amp;logo_type=tiktok_m&amp;ply_type=2&amp;policy=eyJ2bSI6MiwiY2siOiJ0dF9jaGFpbl90b2tlbiJ9&amp;user_text=alinemamedemusse" TargetMode="External"/><Relationship Id="rId1734" Type="http://schemas.openxmlformats.org/officeDocument/2006/relationships/hyperlink" Target="https://www.tiktok.com/@alinemamedemusse/video/7463208937135820038" TargetMode="External"/><Relationship Id="rId1735" Type="http://schemas.openxmlformats.org/officeDocument/2006/relationships/hyperlink" Target="https://p16-sign-va.tiktokcdn.com/tos-maliva-avt-0068/fc1698d10dca32b79684fcca308c78cc~tplv-tiktokx-cropcenter:100:100.jpeg?dr=14579&amp;refresh_token=866fa9ea&amp;x-expires=1764727200&amp;x-signature=qpjl1%2Bt4vMIEwTmJJ5wdX%2FC1yLE%3D&amp;t=4d5b0474&amp;ps=13740610&amp;shp=a5d48078&amp;shcp=81f88b70&amp;idc=my" TargetMode="External"/><Relationship Id="rId1736" Type="http://schemas.openxmlformats.org/officeDocument/2006/relationships/hyperlink" Target="https://v16-webapp-prime.tiktok.com/video/tos/useast2a/tos-useast2a-v-27dcd7/oEKyTefege24fAogYvKYwAeZAgKA8EvgT4BeMk0/?a=1988&amp;bti=ODszNWYuMDE6&amp;ch=0&amp;cr=0&amp;dr=0&amp;er=0&amp;lr=default&amp;cd=0%7C0%7C0%7C0&amp;br=250&amp;bt=125&amp;ds=5&amp;ft=GNDpcInz7ThJzKvPXq8Zmo&amp;mime_type=audio_mpeg&amp;qs=13&amp;rc=ajZpdng5cnN5NDMzNzU8M0BpajZpdng5cnN5NDMzNzU8M0A0MGxzMmQ0b19hLS1kMTZzYSM0MGxzMmQ0b19hLS1kMTZzcw%3D%3D&amp;btag=e00058000&amp;expire=1764559527&amp;l=20251201102141EAAE30DD17435761F356&amp;ply_type=3&amp;policy=3&amp;signature=a584d85d282479e4a53422bd9e8c0616&amp;tk=7571587458748974088" TargetMode="External"/><Relationship Id="rId1737" Type="http://schemas.openxmlformats.org/officeDocument/2006/relationships/hyperlink" Target="https://p16-sign-va.tiktokcdn.com/tos-maliva-avt-0068/fc1698d10dca32b79684fcca308c78cc~tplv-tiktokx-cropcenter:1080:1080.jpeg?dr=14579&amp;refresh_token=f3577678&amp;x-expires=1764727200&amp;x-signature=4scmhRuaxr2ckE380toGq0txXXI%3D&amp;t=4d5b0474&amp;ps=13740610&amp;shp=a5d48078&amp;shcp=81f88b70&amp;idc=my" TargetMode="External"/><Relationship Id="rId1738" Type="http://schemas.openxmlformats.org/officeDocument/2006/relationships/hyperlink" Target="https://v16-webapp-prime.tiktok.com/video/tos/useast2a/tos-useast2a-ve-0068c001/okZsIGDbQFAxIlCr2gESeAIgCqfhfjqYQBwFgg/?a=1988&amp;bti=ODszNWYuMDE6&amp;ch=0&amp;cr=3&amp;dr=0&amp;lr=all&amp;cd=0%7C0%7C0%7C&amp;cv=1&amp;br=1198&amp;bt=599&amp;cs=0&amp;ds=3&amp;ft=-Csk_mrMPD12NWDh5d-Uxvt2hY6e3wv251cAp&amp;mime_type=video_mp4&amp;qs=0&amp;rc=ODpkNGloOjppNzM1ODhnZ0BpampvO285cnB5NDMzNzczM0BgNmA2NGIyXjMxX15hNF5eYSNhYDMzMmRzbF9hLS1kMTZzcw%3D%3D&amp;btag=e00098000&amp;expire=1764728727&amp;l=20251201102141EAAE30DD17435761F356&amp;ply_type=2&amp;policy=2&amp;signature=91eb5bd796709c012f6591256c755550&amp;tk=tt_chain_token" TargetMode="External"/><Relationship Id="rId1739" Type="http://schemas.openxmlformats.org/officeDocument/2006/relationships/hyperlink" Target="https://www.tiktok.com/@neurodivergenciaeopapo/video/7518757198554598661" TargetMode="External"/><Relationship Id="rId1720"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721" Type="http://schemas.openxmlformats.org/officeDocument/2006/relationships/hyperlink" Target="https://sf16-ies-music-sg.tiktokcdn.com/obj/tos-alisg-ve-2774/og5Dc6DEFvSezKm9wznxFCQafwZIMgPfAKFivE" TargetMode="External"/><Relationship Id="rId1722" Type="http://schemas.openxmlformats.org/officeDocument/2006/relationships/hyperlink" Target="https://p77-sg.tiktokcdn.com/aweme/720x720/tos-alisg-v-2774/oIAjYBUiZvYWAByxA9qvhAEJm6WAEAYurKirr.jpeg" TargetMode="External"/><Relationship Id="rId1723" Type="http://schemas.openxmlformats.org/officeDocument/2006/relationships/hyperlink" Target="https://v16-webapp-prime.tiktok.com/video/tos/useast2a/tos-useast2a-pve-0068/oo2ENEzDQpWBgi8Ff2lRBQAfIKQch0EkNqZH9J/?a=1988&amp;bti=ODszNWYuMDE6&amp;ch=0&amp;cr=3&amp;dr=0&amp;lr=all&amp;cd=0%7C0%7C0%7C&amp;cv=1&amp;br=6192&amp;bt=3096&amp;cs=0&amp;ds=3&amp;ft=-Csk_mrMPD12NyDh5d-UxO72hY6e3wv257cAp&amp;mime_type=video_mp4&amp;qs=0&amp;rc=NjozaTtlZjRkZzUzZmdkaUBpajw2Onk5cmRncTMzNzczM0AzNjU1YDQ2NTMxMTVfNmEwYSNtbTEyMmRrZTVgLS1kMTZzcw%3D%3D&amp;btag=e00090000&amp;expire=1764728524&amp;l=20251201102104F69A53E45B65A94E5B1C&amp;ply_type=2&amp;policy=2&amp;signature=1aeb1e5f831bb5856eef31ebc639a4f0&amp;tk=tt_chain_token" TargetMode="External"/><Relationship Id="rId1724" Type="http://schemas.openxmlformats.org/officeDocument/2006/relationships/hyperlink" Target="https://www.tiktok.com/@psi.jonathanorlandi/video/7336603247873953029" TargetMode="External"/><Relationship Id="rId1725" Type="http://schemas.openxmlformats.org/officeDocument/2006/relationships/hyperlink" Target="https://p16-sign-va.tiktokcdn.com/tos-maliva-avt-0068/fc1698d10dca32b79684fcca308c78cc~tplv-tiktokx-cropcenter:100:100.jpeg?dr=14579&amp;refresh_token=866fa9ea&amp;x-expires=1764727200&amp;x-signature=qpjl1%2Bt4vMIEwTmJJ5wdX%2FC1yLE%3D&amp;t=4d5b0474&amp;ps=13740610&amp;shp=a5d48078&amp;shcp=81f88b70&amp;idc=my" TargetMode="External"/><Relationship Id="rId1726" Type="http://schemas.openxmlformats.org/officeDocument/2006/relationships/hyperlink" Target="https://v16-webapp-prime.tiktok.com/video/tos/useast2a/tos-useast2a-v-27dcd7/ocfZpSgMeEERlMArAGTQAZCoUICSLoAK3qAEIf/?a=1988&amp;bti=ODszNWYuMDE6&amp;ch=0&amp;cr=0&amp;dr=0&amp;er=0&amp;lr=default&amp;cd=0%7C0%7C0%7C0&amp;br=250&amp;bt=125&amp;ds=5&amp;ft=GNDpcInz7ThbzKvPXq8Zmo&amp;mime_type=audio_mpeg&amp;qs=13&amp;rc=M2x2cnk5cjhvMzMzNzU8M0BpM2x2cnk5cjhvMzMzNzU8M0BoaDBxMmQ0MGBhLS1kMTZzYSNoaDBxMmQ0MGBhLS1kMTZzcw%3D%3D&amp;btag=e00050000&amp;expire=1764559452&amp;l=20251201102139650E38823033055E6EEC&amp;ply_type=3&amp;policy=3&amp;signature=49ce327cabfdfa1c24fdaeb11df0534e&amp;tk=7571587458748974088" TargetMode="External"/><Relationship Id="rId1727" Type="http://schemas.openxmlformats.org/officeDocument/2006/relationships/hyperlink" Target="https://p77-sign-va.tiktokcdn.com/tos-maliva-avt-0068/fc1698d10dca32b79684fcca308c78cc~tplv-tiktokx-cropcenter:1080:1080.jpeg?dr=14579&amp;refresh_token=7a5c72ca&amp;x-expires=1764727200&amp;x-signature=mdrR35uP4icWi14xzo7Dz99gj6M%3D&amp;t=4d5b0474&amp;ps=13740610&amp;shp=a5d48078&amp;shcp=81f88b70&amp;idc=my" TargetMode="External"/><Relationship Id="rId1728" Type="http://schemas.openxmlformats.org/officeDocument/2006/relationships/hyperlink" Target="https://v16-webapp-prime.tiktok.com/video/tos/useast2a/tos-useast2a-ve-0068c001/okE2lEbivSQR1ZQMwSQEI7BHBUayUAsWJOiBa/?a=1988&amp;bti=ODszNWYuMDE6&amp;ch=0&amp;cr=3&amp;dr=0&amp;lr=all&amp;cd=0%7C0%7C0%7C&amp;cv=1&amp;br=1548&amp;bt=774&amp;cs=0&amp;ds=3&amp;ft=-Csk_mrMPD12NzDh5d-UxKyFaY6e3wv257cAp&amp;mime_type=video_mp4&amp;qs=0&amp;rc=Ojo6PGQ8ZzdkNjlkNjtlZEBpM3U7ZXA5cnBvMzMzNzczM0AvMjEyLl8uXjYxLjE0YzUwYSMvYy9tMmRrLWBhLS1kMTZzcw%3D%3D&amp;btag=e00090000&amp;expire=1764728652&amp;l=20251201102139650E38823033055E6EEC&amp;ply_type=2&amp;policy=2&amp;signature=0d8d8bf9662a3c0d91549133d57b20f3&amp;tk=tt_chain_token" TargetMode="External"/><Relationship Id="rId1729" Type="http://schemas.openxmlformats.org/officeDocument/2006/relationships/hyperlink" Target="https://www.tiktok.com/@neurodivergenciaeopapo/video/7501116259862334775" TargetMode="External"/><Relationship Id="rId1752" Type="http://schemas.openxmlformats.org/officeDocument/2006/relationships/hyperlink" Target="https://p16-sign-va.tiktokcdn.com/tos-maliva-avt-0068/409b8f094a519052398ae01ba95bf160~tplv-tiktokx-cropcenter:1080:1080.jpeg?dr=14579&amp;refresh_token=88af2447&amp;x-expires=1764727200&amp;x-signature=h1%2FGjwg20EJeaSgECLYSfH6uVDk%3D&amp;t=4d5b0474&amp;ps=13740610&amp;shp=a5d48078&amp;shcp=81f88b70&amp;idc=my" TargetMode="External"/><Relationship Id="rId1753" Type="http://schemas.openxmlformats.org/officeDocument/2006/relationships/hyperlink" Target="https://v16-webapp-prime.tiktok.com/video/tos/useast2a/tos-useast2a-ve-0068c004/oM7WEIpERJifZVeAJQgSUIqqQAal6yDpL5hBFB/?a=1988&amp;bti=ODszNWYuMDE6&amp;ch=0&amp;cr=3&amp;dr=0&amp;lr=all&amp;cd=0%7C0%7C0%7C&amp;cv=1&amp;br=1182&amp;bt=591&amp;cs=0&amp;ds=6&amp;ft=-Csk_mrMPD12NeZh5d-UxbS5hY6e3wv25McAp&amp;mime_type=video_mp4&amp;qs=5&amp;rc=NzZkZDY3ZTw5OjY2Nzg6PEBpM2VubnM5cnhscDMzNzczM0AwXzIvLS9gXjUxYWIxXzRgYSMtbV8zMmRjXmhgLS1kMTZzcw%3D%3D&amp;btag=e00090000&amp;expire=1764728658&amp;l=2025120110231876F6DCE29F9E0DEB7B51&amp;ply_type=2&amp;policy=2&amp;signature=68ead702d61352759156118cdf70d63b&amp;tk=tt_chain_token" TargetMode="External"/><Relationship Id="rId1754" Type="http://schemas.openxmlformats.org/officeDocument/2006/relationships/hyperlink" Target="https://www.tiktok.com/@veigasaymon/video/7325427974470126853" TargetMode="External"/><Relationship Id="rId1755" Type="http://schemas.openxmlformats.org/officeDocument/2006/relationships/hyperlink" Target="https://p16-sign-va.tiktokcdn.com/tos-maliva-avt-0068/13f8e6686c50644d286baea2a2d9ea82~tplv-tiktokx-cropcenter:100:100.jpeg?dr=14579&amp;refresh_token=ff577510&amp;x-expires=1764727200&amp;x-signature=3GlUhHi47QgbJysOFtyw8ERZxyA%3D&amp;t=4d5b0474&amp;ps=13740610&amp;shp=a5d48078&amp;shcp=81f88b70&amp;idc=my" TargetMode="External"/><Relationship Id="rId1756" Type="http://schemas.openxmlformats.org/officeDocument/2006/relationships/hyperlink" Target="https://v16-webapp-prime.tiktok.com/video/tos/useast2a/tos-useast2a-v-27dcd7/okEGvJCBAXjCrlyUzaNEdwQwZLANAGBiA9RiS/?a=1988&amp;bti=ODszNWYuMDE6&amp;ch=0&amp;cr=0&amp;dr=0&amp;er=0&amp;lr=default&amp;cd=0%7C0%7C0%7C0&amp;br=250&amp;bt=125&amp;ds=5&amp;ft=GNDpcInz7ThHCKvPXq8Zmo&amp;mime_type=audio_mpeg&amp;qs=13&amp;rc=M2Vpdmw5cmduNTMzNzU8M0BpM2Vpdmw5cmduNTMzNzU8M0Awby4tMmRrYF9hLS1kMTZzYSMwby4tMmRrYF9hLS1kMTZzcw%3D%3D&amp;btag=e00058000&amp;expire=1764559775&amp;l=20251201102621685156231C3BF25DC8EB&amp;ply_type=3&amp;policy=3&amp;signature=ee9b6ef4a41ef7691c3f0a5f01ae9259&amp;tk=7571587458748974088" TargetMode="External"/><Relationship Id="rId1757" Type="http://schemas.openxmlformats.org/officeDocument/2006/relationships/hyperlink" Target="https://p16-sign-va.tiktokcdn.com/tos-maliva-avt-0068/13f8e6686c50644d286baea2a2d9ea82~tplv-tiktokx-cropcenter:1080:1080.jpeg?dr=14579&amp;refresh_token=d3c6948c&amp;x-expires=1764727200&amp;x-signature=l6JqpqWF%2B7G4ZJujvJnFT%2BS2SO8%3D&amp;t=4d5b0474&amp;ps=13740610&amp;shp=a5d48078&amp;shcp=81f88b70&amp;idc=my" TargetMode="External"/><Relationship Id="rId1758" Type="http://schemas.openxmlformats.org/officeDocument/2006/relationships/hyperlink" Target="https://v16-webapp-prime.tiktok.com/video/tos/alisg/tos-alisg-ve-37c813-sg/osS3qAfkJlIhaeR8EbQZQBFELGBOAouYDxB0Bn/?a=1988&amp;bti=ODszNWYuMDE6&amp;ch=0&amp;cr=3&amp;dr=0&amp;lr=all&amp;cd=0%7C0%7C0%7C&amp;cv=1&amp;br=2752&amp;bt=1376&amp;cs=0&amp;ds=3&amp;ft=-Csk_mrMPD12NjKh5d-UxSI5SY6e3wv25NcAp&amp;mime_type=video_mp4&amp;qs=0&amp;rc=ZDg0ZGc0NWY6aGhnMzY7Z0Bpajpsdm85cjluNTMzNzczM0A2L15eNGE0Nl4xYTIzMWJfYSMzLmVhMmRzNl9hLS1kMTZzcw%3D%3D&amp;btag=e00098000&amp;expire=1764728975&amp;l=20251201102621685156231C3BF25DC8EB&amp;ply_type=2&amp;policy=2&amp;signature=0a474b4ab6fc9c839dfccae3870a72d3&amp;tk=tt_chain_token" TargetMode="External"/><Relationship Id="rId1759" Type="http://schemas.openxmlformats.org/officeDocument/2006/relationships/hyperlink" Target="https://www.tiktok.com/@tdahdemaepramae/video/7536569658711854341" TargetMode="External"/><Relationship Id="rId808"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807" Type="http://schemas.openxmlformats.org/officeDocument/2006/relationships/hyperlink" Target="https://v16-webapp-prime.tiktok.com/video/tos/useast2a/tos-useast2a-v-27dcd7/ooMAS8s5FCyQnELTyCwQIwSAA9oHgfeHq8fGIM/?a=1988&amp;bti=ODszNWYuMDE6&amp;ch=0&amp;cr=0&amp;dr=0&amp;er=0&amp;lr=default&amp;cd=0%7C0%7C0%7C0&amp;br=250&amp;bt=125&amp;ds=5&amp;ft=GNDpcInz7ThoPKvPXq8Zmo&amp;mime_type=audio_mpeg&amp;qs=13&amp;rc=amY6N3Y5cjNtczMzNzU8M0BpamY6N3Y5cjNtczMzNzU8M0BlbGRrMmRrc3FgLS1kMTZzYSNlbGRrMmRrc3FgLS1kMTZzcw%3D%3D&amp;btag=e00048000&amp;expire=1764559241&amp;l=202512011020068133AB7BCB086C5F4CDC&amp;ply_type=3&amp;policy=3&amp;signature=aa24d384ba57fab66b3fc8a57d797522&amp;tk=7571587458748974088" TargetMode="External"/><Relationship Id="rId806" Type="http://schemas.openxmlformats.org/officeDocument/2006/relationships/hyperlink" Target="https://p77-sign-sg.tiktokcdn.com/tos-alisg-avt-0068/9832aa685b2cfe94db09e06f702f0a77~tplv-tiktokx-cropcenter:100:100.jpeg?dr=14579&amp;refresh_token=116394dd&amp;x-expires=1764727200&amp;x-signature=DzuYo5SgEqSX3O7NQ22TILsaPZ4%3D&amp;t=4d5b0474&amp;ps=13740610&amp;shp=a5d48078&amp;shcp=81f88b70&amp;idc=my" TargetMode="External"/><Relationship Id="rId805" Type="http://schemas.openxmlformats.org/officeDocument/2006/relationships/hyperlink" Target="https://www.tiktok.com/@joaorostand/video/7339985873351593222" TargetMode="External"/><Relationship Id="rId809" Type="http://schemas.openxmlformats.org/officeDocument/2006/relationships/hyperlink" Target="https://v16-webapp-prime.tiktok.com/video/tos/alisg/tos-alisg-pve-0037c001/oQ2DigAimIcxjIQop8CPu9EZImhhBfdAk7wzwo/?a=1988&amp;bti=ODszNWYuMDE6&amp;ch=0&amp;cr=3&amp;dr=0&amp;lr=all&amp;cd=0%7C0%7C0%7C&amp;cv=1&amp;br=1468&amp;bt=734&amp;cs=0&amp;ds=3&amp;ft=-Csk_mrMPD12Nudh5d-Uxs12aY6e3wv252cAp&amp;mime_type=video_mp4&amp;qs=0&amp;rc=N2Q7NWk4Z2RlOGY5OTw6NkBpM2h0dms5cmptczMzNzczM0AwXl80Mi9gNjIxNDI0Ly01YSNnYTNoMmRzcXFgLS1kMTZzcw%3D%3D&amp;btag=e00088000&amp;expire=1764728441&amp;l=202512011020068133AB7BCB086C5F4CDC&amp;ply_type=2&amp;policy=2&amp;signature=12b040221cea617e821c9fd739148d1e&amp;tk=tt_chain_token" TargetMode="External"/><Relationship Id="rId800" Type="http://schemas.openxmlformats.org/officeDocument/2006/relationships/hyperlink" Target="https://www.tiktok.com/@psichrisalmeida/video/7356422351115881733" TargetMode="External"/><Relationship Id="rId804" Type="http://schemas.openxmlformats.org/officeDocument/2006/relationships/hyperlink" Target="https://v16-webapp-prime.tiktok.com/video/tos/useast2a/tos-useast2a-pve-0068/ogAB433DQiEljiscoZBsUSPdUE7dQzhKBiQIR/?a=1988&amp;bti=ODszNWYuMDE6&amp;ch=0&amp;cr=3&amp;dr=0&amp;lr=all&amp;cd=0%7C0%7C0%7C&amp;cv=1&amp;br=1444&amp;bt=722&amp;cs=0&amp;ds=6&amp;ft=I~da4oKyD12Nvb.WS.IxRnTNWlBF-UjNS3opiX&amp;mime_type=video_mp4&amp;qs=5&amp;rc=OjVpaTc5ZTZlZDU8M2U0aEBpamo5ZXU5cjtncTMzNzczM0BfYGI1Li5hXjIxMC0yMmFeYSNvLy9qMmQ0b2JgLS1kMTZzcw%3D%3D&amp;btag=e00088000&amp;expire=1764728480&amp;l=20251201102046E8B89E886773854715A1&amp;ply_type=2&amp;policy=2&amp;signature=aa6c58fe205906ac6c559a5593488dbf&amp;tk=tt_chain_token" TargetMode="External"/><Relationship Id="rId803" Type="http://schemas.openxmlformats.org/officeDocument/2006/relationships/hyperlink" Target="https://p16-sign-va.tiktokcdn.com/tos-maliva-avt-0068/9b657748b0b2620f98810c4ee65b50e4~tplv-tiktokx-cropcenter:1080:1080.jpeg?dr=14579&amp;refresh_token=398b220a&amp;x-expires=1764727200&amp;x-signature=cRMdX8muJmRWC7Rr9aCzF1s2YJQ%3D&amp;t=4d5b0474&amp;ps=13740610&amp;shp=a5d48078&amp;shcp=81f88b70&amp;idc=my" TargetMode="External"/><Relationship Id="rId802" Type="http://schemas.openxmlformats.org/officeDocument/2006/relationships/hyperlink" Target="https://v16-webapp-prime.tiktok.com/video/tos/useast2a/tos-useast2a-v-27dcd7/okfcKM5EAzJwAEqEsBFlC3DDQ5JRABwkfN3Usl/?a=1988&amp;bti=ODszNWYuMDE6&amp;ch=0&amp;cr=0&amp;dr=0&amp;er=0&amp;lr=default&amp;cd=0%7C0%7C0%7C0&amp;br=250&amp;bt=125&amp;ds=5&amp;ft=GNDpcInz7ThuPKvPXq8Zmo&amp;mime_type=audio_mpeg&amp;qs=13&amp;rc=ank0OWw5cmxncTMzNzU8M0Bpank0OWw5cmxncTMzNzU8M0BwYGNnMmRrcGJgLS1kMTZzYSNwYGNnMmRrcGJgLS1kMTZzcw%3D%3D&amp;btag=e00048000&amp;expire=1764559280&amp;l=20251201102046E8B89E886773854715A1&amp;ply_type=3&amp;policy=3&amp;signature=621b201cb279901354c887d10e66feb0&amp;tk=7571587458748974088" TargetMode="External"/><Relationship Id="rId801" Type="http://schemas.openxmlformats.org/officeDocument/2006/relationships/hyperlink" Target="https://p77-sign-va.tiktokcdn.com/tos-maliva-avt-0068/9b657748b0b2620f98810c4ee65b50e4~tplv-tiktokx-cropcenter:100:100.jpeg?dr=14579&amp;refresh_token=fed1e43b&amp;x-expires=1764727200&amp;x-signature=WZulY1XqMxZSzv7qh3X4oyw59RY%3D&amp;t=4d5b0474&amp;ps=13740610&amp;shp=a5d48078&amp;shcp=81f88b70&amp;idc=my" TargetMode="External"/><Relationship Id="rId1750" Type="http://schemas.openxmlformats.org/officeDocument/2006/relationships/hyperlink" Target="https://p16-sign-va.tiktokcdn.com/tos-maliva-avt-0068/409b8f094a519052398ae01ba95bf160~tplv-tiktokx-cropcenter:100:100.jpeg?dr=14579&amp;refresh_token=5748a869&amp;x-expires=1764727200&amp;x-signature=N%2FBc5DyrAsE9yoOdqQowyLACSfM%3D&amp;t=4d5b0474&amp;ps=13740610&amp;shp=a5d48078&amp;shcp=81f88b70&amp;idc=my" TargetMode="External"/><Relationship Id="rId1751" Type="http://schemas.openxmlformats.org/officeDocument/2006/relationships/hyperlink" Target="https://v16-webapp-prime.tiktok.com/video/tos/useast2a/tos-useast2a-v-27dcd7/o8eskvrECACIAhgHLfGVSLQeUQAv9lTVkL4oKq/?a=1988&amp;bti=ODszNWYuMDE6&amp;ch=0&amp;cr=0&amp;dr=0&amp;er=0&amp;lr=default&amp;cd=0%7C0%7C0%7C0&amp;br=250&amp;bt=125&amp;ds=5&amp;ft=GNDpcInz7Th5gKvPXq8Zmo&amp;mime_type=audio_mpeg&amp;qs=13&amp;rc=M29meGw5cndscDMzNzU8M0BpM29meGw5cndscDMzNzU8M0BjZGlsMmRjX2hgLS1kMTZzYSNjZGlsMmRjX2hgLS1kMTZzcw%3D%3D&amp;btag=e00050000&amp;expire=1764559458&amp;l=2025120110231876F6DCE29F9E0DEB7B51&amp;ply_type=3&amp;policy=3&amp;signature=04650dc6011073ed542f1d28fcb435f7&amp;tk=7571587458748974088" TargetMode="External"/><Relationship Id="rId1741" Type="http://schemas.openxmlformats.org/officeDocument/2006/relationships/hyperlink" Target="https://sf16-ies-music-sg.tiktokcdn.com/obj/tos-alisg-ve-2774/ec28b201a97b4673ba761ff39b60fe91" TargetMode="External"/><Relationship Id="rId1742" Type="http://schemas.openxmlformats.org/officeDocument/2006/relationships/hyperlink" Target="https://p77-sg.tiktokcdn.com/aweme/720x720/tos-alisg-v-2774/604e1985ea7e4d018e3eb92ee6d522b4.jpeg" TargetMode="External"/><Relationship Id="rId1743" Type="http://schemas.openxmlformats.org/officeDocument/2006/relationships/hyperlink" Target="https://v16-webapp-prime.tiktok.com/video/tos/useast2a/tos-useast2a-ve-0068c002/ogM7evAmnR4RclIkAY8AJ6RY4BbekWBgDMQNEr/?a=1988&amp;bti=ODszNWYuMDE6&amp;ch=0&amp;cr=3&amp;dr=0&amp;lr=all&amp;cd=0%7C0%7C0%7C&amp;cv=1&amp;br=1032&amp;bt=516&amp;cs=0&amp;ds=3&amp;ft=-Csk_mrMPD12N0dh5d-UxPO2hY6e3wv252cAp&amp;mime_type=video_mp4&amp;qs=0&amp;rc=NjpnPGk4ZGQ8ZWdnOmc8NUBpamh1cjU6ZjlpbDMzNzczM0AzYGIxYi0yNjAxYzQvX14xYSMwYG8xcjQwZmtgLS1kMTZzcw%3D%3D&amp;btag=e00090000&amp;expire=1764728499&amp;l=20251201102014E2CB5F4C19000C61E683&amp;ply_type=2&amp;policy=2&amp;signature=5674f630dfa695bad691e40c4c09d91d&amp;tk=tt_chain_token" TargetMode="External"/><Relationship Id="rId1744" Type="http://schemas.openxmlformats.org/officeDocument/2006/relationships/hyperlink" Target="https://www.tiktok.com/@full.cortes/video/7255011000850648326" TargetMode="External"/><Relationship Id="rId1745" Type="http://schemas.openxmlformats.org/officeDocument/2006/relationships/hyperlink" Target="https://p16-sign-va.tiktokcdn.com/tos-maliva-avt-0068/dc1608455681d3e6f1abea986b3921cc~tplv-tiktokx-cropcenter:100:100.jpeg?dr=14579&amp;refresh_token=9cbd0250&amp;x-expires=1764727200&amp;x-signature=ydvSuI4h5zgSx%2Bsd0mtiDqLT0DI%3D&amp;t=4d5b0474&amp;ps=13740610&amp;shp=a5d48078&amp;shcp=81f88b70&amp;idc=my" TargetMode="External"/><Relationship Id="rId1746" Type="http://schemas.openxmlformats.org/officeDocument/2006/relationships/hyperlink" Target="https://v16-webapp-prime.tiktok.com/video/tos/useast2a/tos-useast2a-v-27dcd7/ocVPAqGAAIXALH4pzkeEmdP8SmedffQtJIFycI/?a=1988&amp;bti=ODszNWYuMDE6&amp;ch=0&amp;cr=0&amp;dr=0&amp;er=0&amp;lr=default&amp;cd=0%7C0%7C0%7C0&amp;br=250&amp;bt=125&amp;ds=5&amp;ft=GNDpcInz7ThpzKvPXq8Zmo&amp;mime_type=audio_mpeg&amp;qs=13&amp;rc=amlnbnM5cjxpcTMzNzU8M0BpamlnbnM5cjxpcTMzNzU8M0BgcHNnMmRzbmlgLS1kMTZzYSNgcHNnMmRzbmlgLS1kMTZzcw%3D%3D&amp;btag=e00050000&amp;expire=1764559366&amp;l=2025120110213056C909F1BE127E576E48&amp;ply_type=3&amp;policy=3&amp;signature=69f0389505833cb6f65b48a2a48e5a39&amp;tk=7571587458748974088" TargetMode="External"/><Relationship Id="rId1747" Type="http://schemas.openxmlformats.org/officeDocument/2006/relationships/hyperlink" Target="https://p16-sign-va.tiktokcdn.com/tos-maliva-avt-0068/dc1608455681d3e6f1abea986b3921cc~tplv-tiktokx-cropcenter:1080:1080.jpeg?dr=14579&amp;refresh_token=24b3be5c&amp;x-expires=1764727200&amp;x-signature=weQEGejZCADzPq9QFW1yD2Ob07o%3D&amp;t=4d5b0474&amp;ps=13740610&amp;shp=a5d48078&amp;shcp=81f88b70&amp;idc=my" TargetMode="External"/><Relationship Id="rId1748" Type="http://schemas.openxmlformats.org/officeDocument/2006/relationships/hyperlink" Target="https://v16-webapp-prime.tiktok.com/video/tos/maliva/tos-maliva-ve-68c800-us/o0RpvjQAkGAX2QffP8Gffq8ISoMsFESISgTXvV/?a=1988&amp;bti=ODszNWYuMDE6&amp;ch=0&amp;cr=3&amp;dr=0&amp;lr=all&amp;cd=0%7C0%7C0%7C&amp;cv=1&amp;br=1962&amp;bt=981&amp;cs=0&amp;ds=3&amp;ft=-Csk_mrMPD12NgDh5d-UxgS5hY6e3wv25-cAp&amp;mime_type=video_mp4&amp;qs=0&amp;rc=ZTY6MzszNDlkPDU1aTs1NkBpamk8dnk5cjdpcTMzNzczM0A2Xy0vNC9gNmMxMTNfM19eYSNxNmVxMmRjbmlgLS1kMTZzcw%3D%3D&amp;btag=e00090000&amp;expire=1764728566&amp;l=2025120110213056C909F1BE127E576E48&amp;ply_type=2&amp;policy=2&amp;signature=278896e9c5f75e03ec111810f164af83&amp;tk=tt_chain_token" TargetMode="External"/><Relationship Id="rId1749" Type="http://schemas.openxmlformats.org/officeDocument/2006/relationships/hyperlink" Target="https://www.tiktok.com/@michelmansurpsicologia/video/7343960456433863941" TargetMode="External"/><Relationship Id="rId1740" Type="http://schemas.openxmlformats.org/officeDocument/2006/relationships/hyperlink" Target="https://p77-sign-va.tiktokcdn.com/tos-maliva-avt-0068/5efc3dc167f0c154418af722dfeb0fbc~tplv-tiktokx-cropcenter:100:100.jpeg?dr=14579&amp;refresh_token=82d265f9&amp;x-expires=1764727200&amp;x-signature=gBpPiNxIoC5l682hwmPpNmIAEF8%3D&amp;t=4d5b0474&amp;ps=13740610&amp;shp=a5d48078&amp;shcp=81f88b70&amp;idc=my" TargetMode="External"/><Relationship Id="rId1710" Type="http://schemas.openxmlformats.org/officeDocument/2006/relationships/hyperlink" Target="https://p77-sign-va.tiktokcdn.com/tos-maliva-avt-0068/ebc42eb348fcf29a09bcbf1c40faef80~tplv-tiktokx-cropcenter:100:100.jpeg?dr=14579&amp;refresh_token=caf3553d&amp;x-expires=1764727200&amp;x-signature=kuXKVitFmIMlqcy74SEn%2BHk6AyQ%3D&amp;t=4d5b0474&amp;ps=13740610&amp;shp=a5d48078&amp;shcp=81f88b70&amp;idc=my" TargetMode="External"/><Relationship Id="rId1711" Type="http://schemas.openxmlformats.org/officeDocument/2006/relationships/hyperlink" Target="https://sf16-ies-music-sg.tiktokcdn.com/obj/tos-alisg-ve-2774/ocSaveTtDMSIgOmr0bbheqwCZpKCknQTBJPJBj" TargetMode="External"/><Relationship Id="rId1712" Type="http://schemas.openxmlformats.org/officeDocument/2006/relationships/hyperlink" Target="https://p77-sg.tiktokcdn.com/aweme/720x720/tos-alisg-v-2774/oYmnYiChAvs2AEFEtAfyBACzw0o4AAcTt4UWqO.jpeg" TargetMode="External"/><Relationship Id="rId1713" Type="http://schemas.openxmlformats.org/officeDocument/2006/relationships/hyperlink" Target="https://v16-webapp-prime.tiktok.com/video/tos/useast2a/tos-useast2a-pve-0068/oUJYSZd5GC8IeAejKCNEr4lQDOIeg6bSXt6nDT/?a=1988&amp;bti=ODszNWYuMDE6&amp;ch=0&amp;cr=3&amp;dr=0&amp;lr=all&amp;cd=0%7C0%7C0%7C&amp;cv=1&amp;br=1668&amp;bt=834&amp;cs=0&amp;ds=3&amp;ft=-Csk_mrMPD12NXdh5d-Uxe42hY6e3wv25XcAp&amp;mime_type=video_mp4&amp;qs=0&amp;rc=MzppNWhoN2c8ZjQ1MzQ4PEBpanZyZzg6Zmt4bDMzNzczM0A0YTU1LzZfNWExNGE2X2NgYSM2b2NicjRnamJgLS1kMTZzcw%3D%3D&amp;btag=e00088000&amp;expire=1764728449&amp;l=202512011020161DC26370CAB01566B4BC&amp;ply_type=2&amp;policy=2&amp;signature=cdbee7eaea219b7da5ee1f497a0cf618&amp;tk=tt_chain_token" TargetMode="External"/><Relationship Id="rId1714" Type="http://schemas.openxmlformats.org/officeDocument/2006/relationships/hyperlink" Target="https://www.tiktok.com/@psicologo.mateus/video/7250209855347100934" TargetMode="External"/><Relationship Id="rId1715" Type="http://schemas.openxmlformats.org/officeDocument/2006/relationships/hyperlink" Target="https://p77-sign-va.tiktokcdn.com/tos-maliva-avt-0068/431bee7578e519987635a70e5b8f7fb3~tplv-tiktokx-cropcenter:100:100.jpeg?dr=14579&amp;refresh_token=22fe3023&amp;x-expires=1764727200&amp;x-signature=B%2BqycUlboPCsE%2BhHasWfyav%2Ft%2Bo%3D&amp;t=4d5b0474&amp;ps=13740610&amp;shp=a5d48078&amp;shcp=81f88b70&amp;idc=my" TargetMode="External"/><Relationship Id="rId1716" Type="http://schemas.openxmlformats.org/officeDocument/2006/relationships/hyperlink" Target="https://v16-webapp-prime.tiktok.com/video/tos/useast2a/tos-useast2a-v-0000/5c9dca12532145819e7cc8b5b38cebdd/?a=1988&amp;bti=ODszNWYuMDE6&amp;ch=0&amp;cr=0&amp;dr=0&amp;er=0&amp;lr=default&amp;cd=0%7C0%7C0%7C0&amp;br=206&amp;bt=103&amp;ds=5&amp;ft=GNDpcInz7ThyPKvPXq8Zmo&amp;mime_type=audio_mp4&amp;qs=13&amp;rc=M3J5dDQ5aGR3cTMzZDU8M0BpM3J5dDQ5aGR3cTMzZDU8M0BmYDVxLm9yb3NfLS0zMTZzYSNmYDVxLm9yb3NfLS0zMTZzcw%3D%3D&amp;btag=e00070000&amp;expire=1764559233&amp;l=202512011020211DC26370CAB01566B5CA&amp;ply_type=3&amp;policy=3&amp;signature=9a5da3d6358985064eab05a71c18a634&amp;tk=7571587458748974088" TargetMode="External"/><Relationship Id="rId1717" Type="http://schemas.openxmlformats.org/officeDocument/2006/relationships/hyperlink" Target="https://p16-amd-va.tiktokcdn.com/img/musically-maliva-obj/1652094473512966~c5_720x720.jpeg" TargetMode="External"/><Relationship Id="rId1718" Type="http://schemas.openxmlformats.org/officeDocument/2006/relationships/hyperlink" Target="https://v16-webapp-prime.tiktok.com/video/tos/maliva/tos-maliva-ve-0068c801-us/ogWJIkAygoSUz2INmhm1NPhArFlzVfCmakhUJC/?a=1988&amp;bti=ODszNWYuMDE6&amp;ch=0&amp;cr=3&amp;dr=0&amp;lr=all&amp;cd=0%7C0%7C0%7C&amp;cv=1&amp;br=2284&amp;bt=1142&amp;cs=0&amp;ds=3&amp;ft=ytpHh9DfxxOusd.YtDKt8lcLVWOuRx_HFKKMNOWCuJETJDz7T&amp;mime_type=video_mp4&amp;qs=0&amp;rc=cnF8b2hsc2d3SkBwaHIxaDFybndmNjNkNThpNWdpNzQzOTk8NkBpajQ5NTU6ZjVvbDMzNzczM0BjRl5Nc3FePmJKYSNvYF90aHFmOiMvLzMuYzUxXy8xYDU2NF8xYSMzMDZfcjRnM2lgLS1kMTZzcw%3D%3D&amp;btag=e000b0000&amp;expire=1764728427&amp;l=202512011020211DC26370CAB01566B5CA&amp;ply_type=2&amp;policy=2&amp;signature=463c9c74f951db98d5f5f61bafe61a53&amp;tk=tt_chain_token" TargetMode="External"/><Relationship Id="rId1719" Type="http://schemas.openxmlformats.org/officeDocument/2006/relationships/hyperlink" Target="https://www.tiktok.com/@mr.tdahzinho/video/7253983248429108485" TargetMode="External"/><Relationship Id="rId1700" Type="http://schemas.openxmlformats.org/officeDocument/2006/relationships/hyperlink" Target="https://p77-sign-va.tiktokcdn.com/tos-maliva-avt-0068/5276198b93082394c0b92347278b7f75~tplv-tiktokx-cropcenter:100:100.jpeg?dr=14579&amp;refresh_token=da92ecf1&amp;x-expires=1764727200&amp;x-signature=0Wl0bwbuHx7Ft%2FAfk93zRPDjda0%3D&amp;t=4d5b0474&amp;ps=13740610&amp;shp=a5d48078&amp;shcp=81f88b70&amp;idc=my" TargetMode="External"/><Relationship Id="rId1701" Type="http://schemas.openxmlformats.org/officeDocument/2006/relationships/hyperlink" Target="https://v16-webapp-prime.tiktok.com/video/tos/useast2a/tos-useast2a-v-27dcd7/ookBiAAAiBEAEFioznlBpiEfHQ3EAsKpIEg69v/?a=1988&amp;bti=ODszNWYuMDE6&amp;ch=0&amp;cr=0&amp;dr=0&amp;er=0&amp;lr=default&amp;cd=0%7C0%7C0%7C0&amp;br=250&amp;bt=125&amp;ds=5&amp;ft=GNDpcInz7ThmPKvPXq8Zmo&amp;mime_type=audio_mpeg&amp;qs=13&amp;rc=Mzg5eXE5cnA7dzMzNzU8M0BpMzg5eXE5cnA7dzMzNzU8M0Blc2EwMmRjZDFgLS1kMTZzYSNlc2EwMmRjZDFgLS1kMTZzcw%3D%3D&amp;btag=e00078000&amp;expire=1764559239&amp;l=20251201102018B39B5434B49F795A75FD&amp;ply_type=3&amp;policy=3&amp;signature=cd5b5d10ba9db97d02248fa9d9d18690&amp;tk=7571587458748974088" TargetMode="External"/><Relationship Id="rId1702" Type="http://schemas.openxmlformats.org/officeDocument/2006/relationships/hyperlink" Target="https://p16-sign-va.tiktokcdn.com/tos-maliva-avt-0068/5276198b93082394c0b92347278b7f75~tplv-tiktokx-cropcenter:1080:1080.jpeg?dr=14579&amp;refresh_token=0ce29b7d&amp;x-expires=1764727200&amp;x-signature=G3zd4%2B0JmNjwQVwaEzNm4bfnlIM%3D&amp;t=4d5b0474&amp;ps=13740610&amp;shp=a5d48078&amp;shcp=81f88b70&amp;idc=my" TargetMode="External"/><Relationship Id="rId1703" Type="http://schemas.openxmlformats.org/officeDocument/2006/relationships/hyperlink" Target="https://v16-webapp-prime.tiktok.com/video/tos/useast2a/tos-useast2a-pve-0068/ockAWCEQmeDFjGgIf19rFbXCfgSgKOIIj0QS8j/?a=1988&amp;bti=ODszNWYuMDE6&amp;ch=0&amp;cr=3&amp;dr=0&amp;lr=all&amp;cd=0%7C0%7C0%7C&amp;cv=1&amp;br=1880&amp;bt=940&amp;cs=0&amp;ds=3&amp;ft=I~da4oKyD12Nvu.WS.IxRntNWlBF-UjNSMopiX&amp;mime_type=video_mp4&amp;qs=0&amp;rc=PGY0NmY5aDZmNzQ6Zjo7OEBpajc8aWo5cm47dzMzNzczM0AvL2BjXl4wNjUxNjNjX2FeYSMyX2dhMmRrYzFgLS1kMTZzcw%3D%3D&amp;btag=e000b8000&amp;expire=1764728439&amp;l=20251201102018B39B5434B49F795A75FD&amp;ply_type=2&amp;policy=2&amp;signature=29cac0d3aa849bf857d58ff8826e78d9&amp;tk=tt_chain_token" TargetMode="External"/><Relationship Id="rId1704" Type="http://schemas.openxmlformats.org/officeDocument/2006/relationships/hyperlink" Target="https://www.tiktok.com/@tdahempalavra/video/7442348243129830711" TargetMode="External"/><Relationship Id="rId1705" Type="http://schemas.openxmlformats.org/officeDocument/2006/relationships/hyperlink" Target="https://p16-sign-va.tiktokcdn.com/tos-maliva-avt-0068/987a16edb27b7a366cb5166e4d199e31~tplv-tiktokx-cropcenter:100:100.jpeg?dr=14579&amp;refresh_token=9d729bdd&amp;x-expires=1764727200&amp;x-signature=pPZBcjfvVVv3XrAT8Ck1hlkdOqU%3D&amp;t=4d5b0474&amp;ps=13740610&amp;shp=a5d48078&amp;shcp=81f88b70&amp;idc=my" TargetMode="External"/><Relationship Id="rId1706" Type="http://schemas.openxmlformats.org/officeDocument/2006/relationships/hyperlink" Target="https://v16-webapp-prime.tiktok.com/video/tos/useast2a/tos-useast2a-v-27dcd7/ooEDobA1O2bCUBeAytuBy4ACEBJ5sLAEqQfFJK/?a=1988&amp;bti=ODszNWYuMDE6&amp;ch=0&amp;cr=0&amp;dr=0&amp;er=0&amp;lr=default&amp;cd=0%7C0%7C0%7C0&amp;br=250&amp;bt=125&amp;ds=5&amp;ft=GNDpcInz7ThezKvPXq8Zmo&amp;mime_type=audio_mpeg&amp;qs=13&amp;rc=MzhnOHQ5cjk1NDMzNzU8M0BpMzhnOHQ5cjk1NDMzNzU8M0BzbF9kMmRza2phLS1kMTZzYSNzbF9kMmRza2phLS1kMTZzcw%3D%3D&amp;btag=e00060000&amp;expire=1764559702&amp;l=202512011021342A4EB9620CED315EA2E7&amp;ply_type=3&amp;policy=3&amp;signature=8d18f16446839a11eca2bf2c23d16e36&amp;tk=7571587458748974088" TargetMode="External"/><Relationship Id="rId1707" Type="http://schemas.openxmlformats.org/officeDocument/2006/relationships/hyperlink" Target="https://p77-sign-va.tiktokcdn.com/tos-maliva-avt-0068/987a16edb27b7a366cb5166e4d199e31~tplv-tiktokx-cropcenter:1080:1080.jpeg?dr=14579&amp;refresh_token=1aef6e17&amp;x-expires=1764727200&amp;x-signature=ClKO2pzK17NgLt38OrcAOuLfL0o%3D&amp;t=4d5b0474&amp;ps=13740610&amp;shp=a5d48078&amp;shcp=81f88b70&amp;idc=my" TargetMode="External"/><Relationship Id="rId1708" Type="http://schemas.openxmlformats.org/officeDocument/2006/relationships/hyperlink" Target="https://v16-webapp-prime.tiktok.com/video/tos/alisg/tos-alisg-ve-37c813-sg/ooh0Asn5iIbi4FUAho9INL5IIS91BgQ9CfrEzk/?a=1988&amp;bti=ODszNWYuMDE6&amp;ch=0&amp;cr=3&amp;dr=0&amp;lr=all&amp;cd=0%7C0%7C0%7C&amp;cv=1&amp;br=2296&amp;bt=1148&amp;cs=0&amp;ds=3&amp;ft=-Csk_mrMPD12N6Dh5d-Uxq42hY6e3wv25IcAp&amp;mime_type=video_mp4&amp;qs=0&amp;rc=Z2RlZ2RkOzg5ZWQzZ2hlaEBpam1xeXc5cjc1NDMzNzczM0AuXmAtLl5gNTExMWM0MTZfYSMyZWJwMmRjZmphLS1kMTZzcw%3D%3D&amp;btag=e000a0000&amp;expire=1764728902&amp;l=202512011021342A4EB9620CED315EA2E7&amp;ply_type=2&amp;policy=2&amp;signature=2bf4a0c1191e4f1a1cf9c4c22f78345d&amp;tk=tt_chain_token" TargetMode="External"/><Relationship Id="rId1709" Type="http://schemas.openxmlformats.org/officeDocument/2006/relationships/hyperlink" Target="https://www.tiktok.com/@gabriela.matsuda/video/7524436956374240518" TargetMode="External"/><Relationship Id="rId40" Type="http://schemas.openxmlformats.org/officeDocument/2006/relationships/hyperlink" Target="https://p77-sign-sg.tiktokcdn.com/tos-alisg-avt-0068/52d41b2050c6a63d5901041181b2726c~tplv-tiktokx-cropcenter:100:100.jpeg?dr=14579&amp;refresh_token=faa0f306&amp;x-expires=1764727200&amp;x-signature=OnE5XtG3DTEcDxAkrJxk5XSuyfY%3D&amp;t=4d5b0474&amp;ps=13740610&amp;shp=a5d48078&amp;shcp=81f88b70&amp;idc=my" TargetMode="External"/><Relationship Id="rId1334" Type="http://schemas.openxmlformats.org/officeDocument/2006/relationships/hyperlink" Target="https://www.tiktok.com/@saude_e_bemestar__/video/7345987860761201926" TargetMode="External"/><Relationship Id="rId1335" Type="http://schemas.openxmlformats.org/officeDocument/2006/relationships/hyperlink" Target="https://p77-sign-sg.tiktokcdn.com/tos-alisg-avt-0068/9832aa685b2cfe94db09e06f702f0a77~tplv-tiktokx-cropcenter:100:100.jpeg?dr=14579&amp;refresh_token=116394dd&amp;x-expires=1764727200&amp;x-signature=DzuYo5SgEqSX3O7NQ22TILsaPZ4%3D&amp;t=4d5b0474&amp;ps=13740610&amp;shp=a5d48078&amp;shcp=81f88b70&amp;idc=my" TargetMode="External"/><Relationship Id="rId42" Type="http://schemas.openxmlformats.org/officeDocument/2006/relationships/hyperlink" Target="https://p16-sign-sg.tiktokcdn.com/tos-alisg-avt-0068/52d41b2050c6a63d5901041181b2726c~tplv-tiktokx-cropcenter:1080:1080.jpeg?dr=14579&amp;refresh_token=8765dda9&amp;x-expires=1764727200&amp;x-signature=QHOiE33%2Fa2v5DL4WyaVd29YbzN0%3D&amp;t=4d5b0474&amp;ps=13740610&amp;shp=a5d48078&amp;shcp=81f88b70&amp;idc=my" TargetMode="External"/><Relationship Id="rId1336" Type="http://schemas.openxmlformats.org/officeDocument/2006/relationships/hyperlink" Target="https://v16-webapp-prime.tiktok.com/video/tos/useast2a/tos-useast2a-v-27dcd7/oIUhRrIQJyCFaElpGvJY1zfrAPD0BBAINAem6c/?a=1988&amp;bti=ODszNWYuMDE6&amp;ch=0&amp;cr=0&amp;dr=0&amp;er=0&amp;lr=default&amp;cd=0%7C0%7C0%7C0&amp;br=250&amp;bt=125&amp;ds=5&amp;ft=GNDpcInz7Th.pKvPXq8Zmo&amp;mime_type=audio_mpeg&amp;qs=13&amp;rc=amY1b3Q5cnQ4dTMzNzU8M0BpamY1b3Q5cnQ4dTMzNzU8M0AzYWJyMmRzNDRgLS1kMTZzYSMzYWJyMmRzNDRgLS1kMTZzcw%3D%3D&amp;btag=e00050000&amp;expire=1764559708&amp;l=2025120110255511562FBEB39684549774&amp;ply_type=3&amp;policy=3&amp;signature=403b7a4647e6fc0e9ac52f3f1099ca61&amp;tk=7571587458748974088" TargetMode="External"/><Relationship Id="rId41" Type="http://schemas.openxmlformats.org/officeDocument/2006/relationships/hyperlink" Target="https://v16-webapp-prime.tiktok.com/video/tos/useast2a/tos-useast2a-v-27dcd7/ocAAkmIIICgOZvqejZLSroCeohY9eoEUGC2TA9/?a=1988&amp;bti=ODszNWYuMDE6&amp;ch=0&amp;cr=0&amp;dr=0&amp;er=0&amp;lr=default&amp;cd=0%7C0%7C0%7C0&amp;br=250&amp;bt=125&amp;ds=5&amp;ft=GNDpcInz7Th6zKvPXq8Zmo&amp;mime_type=audio_mpeg&amp;qs=13&amp;rc=M2x3bHk5cjZ1dzMzNzU8M0BpM2x3bHk5cjZ1dzMzNzU8M0BecjReMmQ0M15gLS1kMTZzYSNecjReMmQ0M15gLS1kMTZzcw%3D%3D&amp;btag=e00058000&amp;expire=1764559484&amp;l=202512011021446E702D323C03BE6BD085&amp;ply_type=3&amp;policy=3&amp;signature=127014f912c81a7b080d985ebf93d214&amp;tk=7571587458748974088" TargetMode="External"/><Relationship Id="rId1337" Type="http://schemas.openxmlformats.org/officeDocument/2006/relationships/hyperlink" Target="https://p77-sign-sg.tiktokcdn.com/tos-alisg-avt-0068/9832aa685b2cfe94db09e06f702f0a77~tplv-tiktokx-cropcenter:1080:1080.jpeg?dr=14579&amp;refresh_token=cbc27eaf&amp;x-expires=1764727200&amp;x-signature=TapJJQiJYUHxQycFVPQWIIIjK%2Fc%3D&amp;t=4d5b0474&amp;ps=13740610&amp;shp=a5d48078&amp;shcp=81f88b70&amp;idc=my" TargetMode="External"/><Relationship Id="rId44" Type="http://schemas.openxmlformats.org/officeDocument/2006/relationships/hyperlink" Target="https://www.tiktok.com/@almanaquesos/video/7446054371571305733" TargetMode="External"/><Relationship Id="rId1338" Type="http://schemas.openxmlformats.org/officeDocument/2006/relationships/hyperlink" Target="https://v16-webapp-prime.tiktok.com/video/tos/maliva/tos-maliva-ve-68c800-us/o8mmIkxQWBACVyWNWyi5gIzQXCroZAXZEJfCOi/?a=1988&amp;bti=ODszNWYuMDE6&amp;ch=0&amp;cr=3&amp;dr=0&amp;lr=all&amp;cd=0%7C0%7C0%7C&amp;cv=1&amp;br=2382&amp;bt=1191&amp;cs=0&amp;ds=3&amp;ft=-Csk_mrMPD12Nrgh5d-UxXS5hY6e3wv25bcAp&amp;mime_type=video_mp4&amp;qs=0&amp;rc=Zjc0ODg2N2g4ODs6OztlZEBpanM5ZnM5cmU4dTMzNzczM0AxXzVfLTQ2X2ExXmEwMi8vYSNsamU1MmRjMzRgLS1kMTZzcw%3D%3D&amp;btag=e00090000&amp;expire=1764728908&amp;l=2025120110255511562FBEB39684549774&amp;ply_type=2&amp;policy=2&amp;signature=a8e944c67cd2f788575ecd7155985a6a&amp;tk=tt_chain_token" TargetMode="External"/><Relationship Id="rId43" Type="http://schemas.openxmlformats.org/officeDocument/2006/relationships/hyperlink" Target="https://v16-webapp-prime.tiktok.com/video/tos/useast2a/tos-useast2a-pve-0068/oUHr5B3QOiCaqB9rCTLIgVGlIqAjQeeRg0eWS2/?a=1988&amp;bti=ODszNWYuMDE6&amp;ch=0&amp;cr=3&amp;dr=0&amp;lr=all&amp;cd=0%7C0%7C0%7C&amp;cv=1&amp;br=2734&amp;bt=1367&amp;cs=0&amp;ds=3&amp;ft=-Csk_mrMPD12NVDh5d-UxIS5hY6e3wv25ocAp&amp;mime_type=video_mp4&amp;qs=0&amp;rc=Z2k8ODloZTtkaGVkNDM6O0BpMzN3am45cmZ1dzMzNzczM0AzYDA1MzNeNWIxLWBeYWI0YSNeX2NyMmRrMl5gLS1kMTZzcw%3D%3D&amp;btag=e00098000&amp;expire=1764728684&amp;l=202512011021446E702D323C03BE6BD085&amp;ply_type=2&amp;policy=2&amp;signature=4879e77e64491fa7658136dfe52fa29a&amp;tk=tt_chain_token" TargetMode="External"/><Relationship Id="rId1339" Type="http://schemas.openxmlformats.org/officeDocument/2006/relationships/hyperlink" Target="https://www.tiktok.com/@claralisle/video/7407950589566504197" TargetMode="External"/><Relationship Id="rId46" Type="http://schemas.openxmlformats.org/officeDocument/2006/relationships/hyperlink" Target="https://sf16-ies-music-sg.tiktokcdn.com/obj/tos-alisg-ve-2774/okFO7qyn6CJFBZ0dEpUifZIBQhqfYso9tqwgQD" TargetMode="External"/><Relationship Id="rId45" Type="http://schemas.openxmlformats.org/officeDocument/2006/relationships/hyperlink" Target="https://p77-sign-va.tiktokcdn.com/tos-maliva-avt-0068/6781b5addc6a078b0d737acccf484359~tplv-tiktokx-cropcenter:100:100.jpeg?dr=14579&amp;refresh_token=3d5fc930&amp;x-expires=1764727200&amp;x-signature=2GUXN%2BTloh9liEvd1gpX9RSgOag%3D&amp;t=4d5b0474&amp;ps=13740610&amp;shp=a5d48078&amp;shcp=81f88b70&amp;idc=my" TargetMode="External"/><Relationship Id="rId745" Type="http://schemas.openxmlformats.org/officeDocument/2006/relationships/hyperlink" Target="https://p16-sign-va.tiktokcdn.com/tos-maliva-avt-0068/5e4b6fbbbca28a7cdbec97908b69569b~tplv-tiktokx-cropcenter:100:100.jpeg?dr=14579&amp;refresh_token=ba30fb8c&amp;x-expires=1764727200&amp;x-signature=yCYIc94Ak3CAwa1vasGesZmOdP4%3D&amp;t=4d5b0474&amp;ps=13740610&amp;shp=a5d48078&amp;shcp=81f88b70&amp;idc=my" TargetMode="External"/><Relationship Id="rId744" Type="http://schemas.openxmlformats.org/officeDocument/2006/relationships/hyperlink" Target="https://www.tiktok.com/@draanabeatriz11/video/7223570097980329221" TargetMode="External"/><Relationship Id="rId743" Type="http://schemas.openxmlformats.org/officeDocument/2006/relationships/hyperlink" Target="https://v16-webapp-prime.tiktok.com/video/tos/maliva/tos-maliva-ve-0068c801-us/oYzIR0VAnIRsOfXXAaegJgRnoBbxkIBQDcQlEP/?a=1988&amp;bti=ODszNWYuMDE6&amp;ch=0&amp;cr=3&amp;dr=0&amp;lr=all&amp;cd=0%7C0%7C0%7C&amp;cv=1&amp;br=2668&amp;bt=1334&amp;cs=0&amp;ds=3&amp;ft=-Csk_mrMPD12Nqdh5d-UxgS5hY6e3wv25icAp&amp;mime_type=video_mp4&amp;qs=0&amp;rc=Zzw5MzVoZ2VmZztoNzpkaUBpam5qN2U6ZnNuajMzNzczM0AuLzZfLi9fXzYxNi5hL2EwYSMwbmhkcjRvX3NgLS1kMTZzcw%3D%3D&amp;btag=e000b8000&amp;expire=1764728472&amp;l=2025120110204563AE4C62401D615C8166&amp;ply_type=2&amp;policy=2&amp;signature=656c7d93b253cc3dc8a1537d078eb857&amp;tk=tt_chain_token" TargetMode="External"/><Relationship Id="rId742" Type="http://schemas.openxmlformats.org/officeDocument/2006/relationships/hyperlink" Target="https://p16-sg.tiktokcdn.com/aweme/720x720/tos-alisg-v-2774/oARoug5lACAgAZ0UgEFQNrQD7fGfvnaEBtBA1E.jpeg" TargetMode="External"/><Relationship Id="rId749" Type="http://schemas.openxmlformats.org/officeDocument/2006/relationships/hyperlink" Target="https://www.tiktok.com/@ziifrancoterapeuta/video/7520030098746019077" TargetMode="External"/><Relationship Id="rId748" Type="http://schemas.openxmlformats.org/officeDocument/2006/relationships/hyperlink" Target="https://v16-webapp-prime.tiktok.com/video/tos/useast2a/tos-useast2a-ve-0068c003/o8gZY9E2iUYFBogSv6hCiQKLSc5yAEqIQaBCy/?a=1988&amp;bti=ODszNWYuMDE6&amp;ch=0&amp;cr=3&amp;dr=0&amp;lr=all&amp;cd=0%7C0%7C0%7C&amp;cv=1&amp;br=618&amp;bt=309&amp;cs=0&amp;ds=6&amp;ft=ytpHh9DfxxOusd.YtDKt8lcLVWOuRx_HFKKMNOWCuJETJDz7T&amp;mime_type=video_mp4&amp;qs=5&amp;rc=Z2loNzVmOmk5PGg0ODtoOkBpMzM6aWw5cmQ7NDMzNzczM0AyXzUuLS8zNjUxLzQuYC00YSNoaV8yMmRrMmJhLS1kMTZzcw%3D%3D&amp;btag=e00090000&amp;expire=1764728481&amp;l=202512011020211DC26370CAB01566B5CA&amp;ply_type=2&amp;policy=2&amp;signature=03a96bca850b864079d2db8cb8309faf&amp;tk=tt_chain_token" TargetMode="External"/><Relationship Id="rId747" Type="http://schemas.openxmlformats.org/officeDocument/2006/relationships/hyperlink" Target="https://p16-sg.tiktokcdn.com/aweme/720x720/tos-alisg-v-2774/c6fd1194f5304814b164220c4ddec0d4.jpeg" TargetMode="External"/><Relationship Id="rId746" Type="http://schemas.openxmlformats.org/officeDocument/2006/relationships/hyperlink" Target="https://sf16-ies-music-sg.tiktokcdn.com/obj/tos-alisg-ve-2774/e9b69e08e3344dd48eca1929a79145ce" TargetMode="External"/><Relationship Id="rId48" Type="http://schemas.openxmlformats.org/officeDocument/2006/relationships/hyperlink" Target="https://v16-webapp-prime.tiktok.com/video/tos/useast2a/tos-useast2a-pve-0068/oAAwCIXRSIVAGjKRMIeeCLePZGclEqgHO7JXQg/?a=1988&amp;bti=ODszNWYuMDE6&amp;ch=0&amp;cr=3&amp;dr=0&amp;lr=all&amp;cd=0%7C0%7C0%7C&amp;cv=1&amp;br=2268&amp;bt=1134&amp;cs=0&amp;ds=3&amp;ft=-Csk_mrMPD12NKdh5d-Uxs12aY6e3wv252cAp&amp;mime_type=video_mp4&amp;qs=0&amp;rc=Z2g0aGZkZjg4aTU1NGRkaUBpM21xa2s5cjVvNTMzNzczM0BeX2I2XzYzNjQxMTVfL14uYSNlMS1sMmRrMGNhLS1kMTZzcw%3D%3D&amp;btag=e000b0000&amp;expire=1764728455&amp;l=20251201102042908EBE054CA4706238E0&amp;ply_type=2&amp;policy=2&amp;signature=3dcf5ebab38db4efe3ab70231779ef4d&amp;tk=tt_chain_token" TargetMode="External"/><Relationship Id="rId47" Type="http://schemas.openxmlformats.org/officeDocument/2006/relationships/hyperlink" Target="https://p77-sg.tiktokcdn.com/aweme/720x720/tos-alisg-v-2774/o4FO1Aen6CasBksAEgviHZRBQiUfIqMAtqSgID.jpeg" TargetMode="External"/><Relationship Id="rId49" Type="http://schemas.openxmlformats.org/officeDocument/2006/relationships/hyperlink" Target="https://www.tiktok.com/@gustavotubarao/video/7538834980567305477" TargetMode="External"/><Relationship Id="rId741" Type="http://schemas.openxmlformats.org/officeDocument/2006/relationships/hyperlink" Target="https://sf16-ies-music-sg.tiktokcdn.com/obj/tos-alisg-ve-2774/oUNeBfzfaiygM4IrCOMAiC17IRzyFjNa9DI1Fs" TargetMode="External"/><Relationship Id="rId1330" Type="http://schemas.openxmlformats.org/officeDocument/2006/relationships/hyperlink" Target="https://p77-sign-va.tiktokcdn.com/tos-maliva-avt-0068/f33c918b025334118e01aa37b2cabd9d~tplv-tiktokx-cropcenter:100:100.jpeg?dr=14579&amp;refresh_token=06e085d8&amp;x-expires=1764727200&amp;x-signature=va1aZN%2FwouWhw0Ml6vm8SSwwA6c%3D&amp;t=4d5b0474&amp;ps=13740610&amp;shp=a5d48078&amp;shcp=81f88b70&amp;idc=my" TargetMode="External"/><Relationship Id="rId740" Type="http://schemas.openxmlformats.org/officeDocument/2006/relationships/hyperlink" Target="https://p16-sign-sg.tiktokcdn.com/tos-alisg-avt-0068/305c199048748400d13f89ce936c5a5e~tplv-tiktokx-cropcenter:100:100.jpeg?dr=14579&amp;refresh_token=52fb7177&amp;x-expires=1764727200&amp;x-signature=GkCgviyUQNKQLNsruThFnzBNyTI%3D&amp;t=4d5b0474&amp;ps=13740610&amp;shp=a5d48078&amp;shcp=81f88b70&amp;idc=my" TargetMode="External"/><Relationship Id="rId1331" Type="http://schemas.openxmlformats.org/officeDocument/2006/relationships/hyperlink" Target="https://sf16-ies-music-sg.tiktokcdn.com/obj/tos-alisg-ve-2774/o8FjDcNeA7EzFQBsGKorZ4e0agDwgHbfClgin7" TargetMode="External"/><Relationship Id="rId1332" Type="http://schemas.openxmlformats.org/officeDocument/2006/relationships/hyperlink" Target="https://p16-sg.tiktokcdn.com/aweme/720x720/tos-alisg-v-2774/43faa110cb7545508bcb8448e005da2d.jpeg" TargetMode="External"/><Relationship Id="rId1333" Type="http://schemas.openxmlformats.org/officeDocument/2006/relationships/hyperlink" Target="https://v16-webapp-prime.tiktok.com/video/tos/maliva/tos-maliva-ve-0068c801-us/oAyQg5DgYILMFfIf0SfCjh60RnQwMFI7AECS0Q/?a=1988&amp;bti=ODszNWYuMDE6&amp;ch=0&amp;cr=3&amp;dr=0&amp;lr=all&amp;cd=0%7C0%7C0%7C&amp;cv=1&amp;br=1570&amp;bt=785&amp;cs=0&amp;ds=3&amp;ft=I~da4oKyD12Nvl.WS.IxR51NWlBF-UjNSMopiX&amp;mime_type=video_mp4&amp;qs=0&amp;rc=M2Y6OTk8ZTo8OGloZzZnN0BpajtwZG05cng1cTMzNzczM0A2MzZjNF4yX2ExMTQ1Yl8wYSMxNTBsMmRrc21gLS1kMTZzcw%3D%3D&amp;btag=e00090000&amp;expire=1764728478&amp;l=2025120110201396469B6E0854EC6377C0&amp;ply_type=2&amp;policy=2&amp;signature=0d7b921dd136f3b9b57fc5aa200dbdae&amp;tk=tt_chain_token" TargetMode="External"/><Relationship Id="rId1323" Type="http://schemas.openxmlformats.org/officeDocument/2006/relationships/hyperlink" Target="https://v16-webapp-prime.tiktok.com/video/tos/useast2a/tos-useast2a-ve-0068c004/oc8TDQrAEIHEiB3BHU0SQEO3SUPoa2am87iGc/?a=1988&amp;bti=ODszNWYuMDE6&amp;ch=0&amp;cr=3&amp;dr=0&amp;lr=all&amp;cd=0%7C0%7C0%7C&amp;cv=1&amp;br=1398&amp;bt=699&amp;cs=0&amp;ds=3&amp;ft=-Csk_mrMPD12NaDh5d-Uxq42hY6e3wv25IcAp&amp;mime_type=video_mp4&amp;qs=0&amp;rc=ODc3OjYzODUzOzY5ZTg7ZUBpMzpydHY5cm1rMzMzNzczM0A1LjAvNDBiXjUxNDAzYDRiYSNyNW1vMmQ0aG9hLS1kMTZzcw%3D%3D&amp;btag=e00090000&amp;expire=1764728587&amp;l=202512011021380CC83080A64AA152B5B8&amp;ply_type=2&amp;policy=2&amp;signature=1c7b6f9756f9bb19c3ad20b1811e4300&amp;tk=tt_chain_token" TargetMode="External"/><Relationship Id="rId1324" Type="http://schemas.openxmlformats.org/officeDocument/2006/relationships/hyperlink" Target="https://www.tiktok.com/@psi.jonathanorlandi/video/7509499852422647045" TargetMode="External"/><Relationship Id="rId31" Type="http://schemas.openxmlformats.org/officeDocument/2006/relationships/hyperlink" Target="https://v16-webapp-prime.tiktok.com/video/tos/useast2a/tos-useast2a-v-27dcd7/o87HU0ApEiEJw5AgelyKnBBA8EstkiAPoBiiDE/?a=1988&amp;bti=ODszNWYuMDE6&amp;ch=0&amp;cr=0&amp;dr=0&amp;er=0&amp;lr=default&amp;cd=0%7C0%7C0%7C0&amp;br=250&amp;bt=125&amp;ds=5&amp;ft=GNDpcInz7ThJzKvPXq8Zmo&amp;mime_type=audio_mpeg&amp;qs=13&amp;rc=ajc5ZW45cjpzcTMzNzU8M0Bpajc5ZW45cjpzcTMzNzU8M0BoMTZlMmQ0NWdgLS1kMTZzYSNoMTZlMmQ0NWdgLS1kMTZzcw%3D%3D&amp;btag=e00050000&amp;expire=1764559365&amp;l=20251201102141EAAE30DD17435761F356&amp;ply_type=3&amp;policy=3&amp;signature=d9fcf04b3e5fa47126efe00aac0b46cd&amp;tk=7571587458748974088" TargetMode="External"/><Relationship Id="rId1325" Type="http://schemas.openxmlformats.org/officeDocument/2006/relationships/hyperlink" Target="https://p16-sign-va.tiktokcdn.com/tos-maliva-avt-0068/23b777db124c1b95b2dc2d822ec8df52~tplv-tiktokx-cropcenter:100:100.jpeg?dr=14579&amp;refresh_token=15a053a3&amp;x-expires=1764727200&amp;x-signature=N14nldDu8fcg%2FOLecaF%2BYeKV0tM%3D&amp;t=4d5b0474&amp;ps=13740610&amp;shp=a5d48078&amp;shcp=81f88b70&amp;idc=my" TargetMode="External"/><Relationship Id="rId30" Type="http://schemas.openxmlformats.org/officeDocument/2006/relationships/hyperlink" Target="https://p77-sign-sg.tiktokcdn.com/tos-alisg-avt-0068/305c199048748400d13f89ce936c5a5e~tplv-tiktokx-cropcenter:100:100.jpeg?dr=14579&amp;refresh_token=6e5c3449&amp;x-expires=1764727200&amp;x-signature=U717AkV2%2FlGKeLeqJ%2BYWxxc1qiE%3D&amp;t=4d5b0474&amp;ps=13740610&amp;shp=a5d48078&amp;shcp=81f88b70&amp;idc=my" TargetMode="External"/><Relationship Id="rId1326" Type="http://schemas.openxmlformats.org/officeDocument/2006/relationships/hyperlink" Target="https://v16-webapp-prime.tiktok.com/video/tos/useast2a/tos-useast2a-v-27dcd7/oweiAneEOAeXC6gbogSmvSK6vAT1TEX1DEQCAA/?a=1988&amp;bti=ODszNWYuMDE6&amp;ch=0&amp;cr=0&amp;dr=0&amp;er=0&amp;lr=default&amp;cd=0%7C0%7C0%7C0&amp;br=250&amp;bt=125&amp;ds=5&amp;ft=GNDpcInz7ThUPKvPXq8Zmo&amp;mime_type=audio_mpeg&amp;qs=13&amp;rc=M3g0bzw6ZjtlbjMzNzU8M0BpM3g0bzw6ZjtlbjMzNzU8M0A0aXE1cjQwc2dgLS1kMTZzYSM0aXE1cjQwc2dgLS1kMTZzcw%3D%3D&amp;btag=e00050000&amp;expire=1764559280&amp;l=202512011020200FFD70C70F6D756DA043&amp;ply_type=3&amp;policy=3&amp;signature=fb51bdd367f3d65523a2a30a56c18a2d&amp;tk=7571587458748974088" TargetMode="External"/><Relationship Id="rId33" Type="http://schemas.openxmlformats.org/officeDocument/2006/relationships/hyperlink" Target="https://v16-webapp-prime.tiktok.com/video/tos/useast2a/tos-useast2a-ve-0068c004/ooninlcCIoyCkn8AKnsBPguITMAiQ7eoHL2yEu/?a=1988&amp;bti=ODszNWYuMDE6&amp;ch=0&amp;cr=3&amp;dr=0&amp;lr=all&amp;cd=0%7C0%7C0%7C&amp;cv=1&amp;br=2060&amp;bt=1030&amp;cs=0&amp;ds=3&amp;ft=-Csk_mrMPD12NWDh5d-Uxvt2hY6e3wv251cAp&amp;mime_type=video_mp4&amp;qs=0&amp;rc=Njc1NDxkO2ZmZTNkNWc1NUBpM2R3ZWw5cmZzcTMzNzczM0AwLjYwNjIyNWMxNWExNDU0YSNrbGhoMmQ0M2dgLS1kMTZzcw%3D%3D&amp;btag=e00090000&amp;expire=1764728565&amp;l=20251201102141EAAE30DD17435761F356&amp;ply_type=2&amp;policy=2&amp;signature=630585004b964259c443f7d9f0d1db11&amp;tk=tt_chain_token" TargetMode="External"/><Relationship Id="rId1327" Type="http://schemas.openxmlformats.org/officeDocument/2006/relationships/hyperlink" Target="https://p16-sign-va.tiktokcdn.com/tos-maliva-avt-0068/23b777db124c1b95b2dc2d822ec8df52~tplv-tiktokx-cropcenter:1080:1080.jpeg?dr=14579&amp;refresh_token=ea9950ee&amp;x-expires=1764727200&amp;x-signature=78Ma432%2FyAQKZAOwdxRYRCna%2Fk8%3D&amp;t=4d5b0474&amp;ps=13740610&amp;shp=a5d48078&amp;shcp=81f88b70&amp;idc=my" TargetMode="External"/><Relationship Id="rId32" Type="http://schemas.openxmlformats.org/officeDocument/2006/relationships/hyperlink" Target="https://p16-sign-sg.tiktokcdn.com/tos-alisg-avt-0068/305c199048748400d13f89ce936c5a5e~tplv-tiktokx-cropcenter:1080:1080.jpeg?dr=14579&amp;refresh_token=c51704c5&amp;x-expires=1764727200&amp;x-signature=62ljJs%2ByYCh5SZZk0lNGiJDC1j4%3D&amp;t=4d5b0474&amp;ps=13740610&amp;shp=a5d48078&amp;shcp=81f88b70&amp;idc=my" TargetMode="External"/><Relationship Id="rId1328" Type="http://schemas.openxmlformats.org/officeDocument/2006/relationships/hyperlink" Target="https://v16-webapp-prime.tiktok.com/video/tos/useast2a/tos-useast2a-pve-0068/o4TAgCHXeqPgjagI4XfC4ANC2FSAJKRImagqfz/?a=1988&amp;bti=ODszNWYuMDE6&amp;ch=0&amp;cr=3&amp;dr=0&amp;lr=all&amp;cd=0%7C0%7C0%7C&amp;cv=1&amp;br=2248&amp;bt=1124&amp;cs=0&amp;ds=3&amp;ft=I~da4oKyD12Nvi.WS.IxR51NWlBF-UjNSMopiX&amp;mime_type=video_mp4&amp;qs=0&amp;rc=ZTY6aTY5Z2Y6Mzs6NTs7NkBpMzV0aTM6ZjhlbjMzNzczM0BgYS0vYzAyNWAxMC9jMl4zYSMxLnJpcjRfcmdgLS1kMTZzcw%3D%3D&amp;btag=e00090000&amp;expire=1764728480&amp;l=202512011020200FFD70C70F6D756DA043&amp;ply_type=2&amp;policy=2&amp;signature=78e6d9c291d396bbeaf17ec261d87c34&amp;tk=tt_chain_token" TargetMode="External"/><Relationship Id="rId35" Type="http://schemas.openxmlformats.org/officeDocument/2006/relationships/hyperlink" Target="https://p16-sign-sg.tiktokcdn.com/tos-alisg-avt-0068/675a4796d868dc43e5e05fb0936a9bcf~tplv-tiktokx-cropcenter:100:100.jpeg?dr=14579&amp;refresh_token=8e9bc64b&amp;x-expires=1764727200&amp;x-signature=PPWGbWb9rXyQaebriSn6El8WH64%3D&amp;t=4d5b0474&amp;ps=13740610&amp;shp=a5d48078&amp;shcp=81f88b70&amp;idc=my" TargetMode="External"/><Relationship Id="rId1329" Type="http://schemas.openxmlformats.org/officeDocument/2006/relationships/hyperlink" Target="https://www.tiktok.com/@paulokagawa/video/7288723543515335942" TargetMode="External"/><Relationship Id="rId34" Type="http://schemas.openxmlformats.org/officeDocument/2006/relationships/hyperlink" Target="https://www.tiktok.com/@draanabeatriz11/video/7343000539992444166" TargetMode="External"/><Relationship Id="rId739" Type="http://schemas.openxmlformats.org/officeDocument/2006/relationships/hyperlink" Target="https://www.tiktok.com/@marilialanoa/video/7302166305682033925" TargetMode="External"/><Relationship Id="rId734" Type="http://schemas.openxmlformats.org/officeDocument/2006/relationships/hyperlink" Target="https://v16-webapp-prime.tiktok.com/video/tos/useast2a/tos-useast2a-ve-0068c004/ogqXt7gVeAg0vUVfAGjPohC01ICSLIey19nRRl/?a=1988&amp;bti=ODszNWYuMDE6&amp;ch=0&amp;cr=3&amp;dr=0&amp;lr=all&amp;cd=0%7C0%7C0%7C&amp;cv=1&amp;br=2448&amp;bt=1224&amp;cs=0&amp;ds=3&amp;ft=-Csk_mrMPD12NyDh5d-UxO72hY6e3wv257cAp&amp;mime_type=video_mp4&amp;qs=0&amp;rc=NzVnOmhnZWc4ZWVkOWlpZkBpamhkcHM5cjh4eDMzNzczM0A2YWIvXmM0NmAxYGAtNl4tYSNybWViMmRraWlgLS1kMTZzcw%3D%3D&amp;btag=e00090000&amp;expire=1764728530&amp;l=20251201102104F69A53E45B65A94E5B1C&amp;ply_type=2&amp;policy=2&amp;signature=34d285a6cc7d31a96b374009c312e37b&amp;tk=tt_chain_token" TargetMode="External"/><Relationship Id="rId733"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732" Type="http://schemas.openxmlformats.org/officeDocument/2006/relationships/hyperlink" Target="https://v16-webapp-prime.tiktok.com/video/tos/useast2a/tos-useast2a-v-27dcd7/o4TqeAAMPKC92zLvC8XQgXMtoVETezAQQb8fS9/?a=1988&amp;bti=ODszNWYuMDE6&amp;ch=0&amp;cr=0&amp;dr=0&amp;er=0&amp;lr=default&amp;cd=0%7C0%7C0%7C0&amp;br=250&amp;bt=125&amp;ds=5&amp;ft=GNDpcInz7Th4zKvPXq8Zmo&amp;mime_type=audio_mpeg&amp;qs=13&amp;rc=anY4cHk5cnd4eDMzNzU8M0BpanY4cHk5cnd4eDMzNzU8M0Btc2dlMmRraWlgLS1kMTZzYSNtc2dlMmRraWlgLS1kMTZzcw%3D%3D&amp;btag=e00050000&amp;expire=1764559330&amp;l=20251201102104F69A53E45B65A94E5B1C&amp;ply_type=3&amp;policy=3&amp;signature=4cc0fc6eb28ac525b5b4b956e901f1a6&amp;tk=7571587458748974088" TargetMode="External"/><Relationship Id="rId731"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738" Type="http://schemas.openxmlformats.org/officeDocument/2006/relationships/hyperlink" Target="https://v16-webapp-prime.tiktok.com/video/tos/useast2a/tos-useast2a-pve-0068/ooUc5B9DWV3qX9UZRDESbAigZPQEIvc0PiQMB/?a=1988&amp;bti=ODszNWYuMDE6&amp;ch=0&amp;cr=3&amp;dr=0&amp;lr=all&amp;cd=0%7C0%7C0%7C&amp;cv=1&amp;br=902&amp;bt=451&amp;cs=0&amp;ds=6&amp;ft=-Csk_mrMPD12NDgh5d-UxgR2SY6e3wv251cAp&amp;mime_type=video_mp4&amp;qs=5&amp;rc=ZGVnN2ZpZ2Q2ZzU5ZDplOkBpajY8d245cnY6bzMzNzczM0BeNTZgNF5eXmIxNjFeNWE2YSM0YnFyMmQ0bl9gLS1kMTZzcw%3D%3D&amp;btag=e00090000&amp;expire=1764728815&amp;l=20251201102548E15D7702DE8EFF4EC930&amp;ply_type=2&amp;policy=2&amp;signature=eedafce427581d5eb4126abac3c9464f&amp;tk=tt_chain_token" TargetMode="External"/><Relationship Id="rId737" Type="http://schemas.openxmlformats.org/officeDocument/2006/relationships/hyperlink" Target="https://p16-sign-sg.tiktokcdn.com/tos-alisg-v-2774/oI3aPeADVFvKFCgAwOldzsAAgEIwfDrDI2eB3g~720x720.jpeg?lk3s=08d74b56&amp;x-expires=1764577548&amp;x-signature=msb1dzL2kaEOxMFAj8noY7PMCVE%3D" TargetMode="External"/><Relationship Id="rId736" Type="http://schemas.openxmlformats.org/officeDocument/2006/relationships/hyperlink" Target="https://p77-sign-va.tiktokcdn.com/tos-maliva-avt-0068/7326721801726689286~tplv-tiktokx-cropcenter:100:100.jpeg?dr=14579&amp;refresh_token=18cf4625&amp;x-expires=1764727200&amp;x-signature=E2%2BsoVa20ph%2FBbSVTqD55EX0I3s%3D&amp;t=4d5b0474&amp;ps=13740610&amp;shp=a5d48078&amp;shcp=81f88b70&amp;idc=my" TargetMode="External"/><Relationship Id="rId735" Type="http://schemas.openxmlformats.org/officeDocument/2006/relationships/hyperlink" Target="https://www.tiktok.com/@lorenatdahta/video/7470322687919934775" TargetMode="External"/><Relationship Id="rId37" Type="http://schemas.openxmlformats.org/officeDocument/2006/relationships/hyperlink" Target="https://p16-sign-sg.tiktokcdn.com/tos-alisg-avt-0068/675a4796d868dc43e5e05fb0936a9bcf~tplv-tiktokx-cropcenter:1080:1080.jpeg?dr=14579&amp;refresh_token=5bc4e3dc&amp;x-expires=1764727200&amp;x-signature=jrIPs%2B8M7egHHe57US2OkziE%2FAY%3D&amp;t=4d5b0474&amp;ps=13740610&amp;shp=a5d48078&amp;shcp=81f88b70&amp;idc=my" TargetMode="External"/><Relationship Id="rId36" Type="http://schemas.openxmlformats.org/officeDocument/2006/relationships/hyperlink" Target="https://v16-webapp-prime.tiktok.com/video/tos/alisg/tos-alisg-v-27dcd7/oUD72iAEoB0AggK8vwAuB0h9Ef7K2WAidCEAdA/?a=1988&amp;bti=ODszNWYuMDE6&amp;ch=0&amp;cr=0&amp;dr=0&amp;er=0&amp;lr=default&amp;cd=0%7C0%7C0%7C0&amp;br=250&amp;bt=125&amp;ds=5&amp;ft=GNDpcInz7ThizKvPXq8Zmo&amp;mime_type=audio_mpeg&amp;qs=13&amp;rc=anU2ZXA5cjh1NzMzODU8NEBpanU2ZXA5cjh1NzMzODU8NEBxb2hvMmRjcC5hLS1kMS1zYSNxb2hvMmRjcC5hLS1kMS1zcw%3D%3D&amp;btag=e00058000&amp;expire=1764559568&amp;l=20251201102147CB7160225F86D969BC26&amp;ply_type=3&amp;policy=3&amp;signature=2e1996f6bbbdb106c207e4c39011863a&amp;tk=7571587458748974088" TargetMode="External"/><Relationship Id="rId39" Type="http://schemas.openxmlformats.org/officeDocument/2006/relationships/hyperlink" Target="https://www.tiktok.com/@bickystaedler/video/7567100420649143570" TargetMode="External"/><Relationship Id="rId38" Type="http://schemas.openxmlformats.org/officeDocument/2006/relationships/hyperlink" Target="https://v16-webapp-prime.tiktok.com/video/tos/alisg/tos-alisg-pve-0037c001/oM3AYEQ0v04rAQiviEsIJDdOYEBaBV58jihQx/?a=1988&amp;bti=ODszNWYuMDE6&amp;ch=0&amp;cr=3&amp;dr=0&amp;lr=all&amp;cd=0%7C0%7C0%7C&amp;cv=1&amp;br=2758&amp;bt=1379&amp;cs=0&amp;ds=3&amp;ft=-Csk_mrMPD12N3Dh5d-UxIS5hY6e3wv25ocAp&amp;mime_type=video_mp4&amp;qs=0&amp;rc=Z2dkNTpnPDk5aDc6NTRmOkBpM3I7cW45cnJ1NzMzODczNEBhYTExMC00XzYxYmA2MzJiYSM1NWAxMmRrZy5hLS1kMTFzcw%3D%3D&amp;btag=e00098000&amp;expire=1764728768&amp;l=20251201102147CB7160225F86D969BC26&amp;ply_type=2&amp;policy=2&amp;signature=41e04985237a49fe25d7a16966a648cc&amp;tk=tt_chain_token" TargetMode="External"/><Relationship Id="rId730" Type="http://schemas.openxmlformats.org/officeDocument/2006/relationships/hyperlink" Target="https://www.tiktok.com/@dulcivaldejesussantos/video/7563423456189025557" TargetMode="External"/><Relationship Id="rId1320" Type="http://schemas.openxmlformats.org/officeDocument/2006/relationships/hyperlink" Target="https://p77-sign-sg.tiktokcdn.com/tos-alisg-avt-0068/a922d44f129753f3f4657ae1aab09386~tplv-tiktokx-cropcenter:100:100.jpeg?dr=14579&amp;refresh_token=4432e3b7&amp;x-expires=1764727200&amp;x-signature=eQmmyEmebq4nyd8MuxeK1qxKIB4%3D&amp;t=4d5b0474&amp;ps=13740610&amp;shp=a5d48078&amp;shcp=81f88b70&amp;idc=my" TargetMode="External"/><Relationship Id="rId1321" Type="http://schemas.openxmlformats.org/officeDocument/2006/relationships/hyperlink" Target="https://v16-webapp-prime.tiktok.com/video/tos/useast2a/tos-useast2a-v-27dcd7/oEYBpmDOFBQdNG3MXJNCCBtU8eRIMJQfQox2qE/?a=1988&amp;bti=ODszNWYuMDE6&amp;ch=0&amp;cr=0&amp;dr=0&amp;er=0&amp;lr=default&amp;cd=0%7C0%7C0%7C0&amp;br=250&amp;bt=125&amp;ft=GNDpcInz7ThAzKvPXq8Zmo&amp;mime_type=audio_mpeg&amp;qs=6&amp;rc=aWY6NTtlNTRpODRlZzg0NkBpM2o5Z3g5cnFrMzMzNzU8M0AxY141MjQuXzQxLjBgYS4xYSMubmZyMmRjaG9hLS1kMTZzcw%3D%3D&amp;btag=e00090000&amp;expire=1764559387&amp;l=202512011021380CC83080A64AA152B5B8&amp;ply_type=3&amp;policy=3&amp;signature=10e05875cb3b9f9861ada9ad67cb6a0b&amp;tk=7571587458748974088" TargetMode="External"/><Relationship Id="rId1322"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1356" Type="http://schemas.openxmlformats.org/officeDocument/2006/relationships/hyperlink" Target="https://v16-webapp-prime.tiktok.com/video/tos/useast2a/tos-useast2a-v-27dcd7/okasSzU9EBkQhEAKFgjhLAbACECEoAf0ylAb4N/?a=1988&amp;bti=ODszNWYuMDE6&amp;ch=0&amp;cr=0&amp;dr=0&amp;er=0&amp;lr=default&amp;cd=0%7C0%7C0%7C0&amp;br=250&amp;bt=125&amp;ds=5&amp;ft=GNDpcInz7ThezKvPXq8Zmo&amp;mime_type=audio_mpeg&amp;qs=13&amp;rc=MzdqcDg6ZjtybDMzNzU8M0BpMzdqcDg6ZjtybDMzNzU8M0BwLXJkcjQwb2ZgLS1kMTZzYSNwLXJkcjQwb2ZgLS1kMTZzcw%3D%3D&amp;btag=e00050000&amp;expire=1764559355&amp;l=202512011021342A4EB9620CED315EA2E7&amp;ply_type=3&amp;policy=3&amp;signature=5ba47bd6102626f9655bc190b73b181e&amp;tk=7571587458748974088" TargetMode="External"/><Relationship Id="rId1357" Type="http://schemas.openxmlformats.org/officeDocument/2006/relationships/hyperlink" Target="https://p16-sign-va.tiktokcdn.com/tos-maliva-avt-0068/32df75d3b89fa1e2fb023193ee39e5b7~tplv-tiktokx-cropcenter:1080:1080.jpeg?dr=14579&amp;refresh_token=52a5e53f&amp;x-expires=1764727200&amp;x-signature=AJYtiGx4iInZJ9SVARgQEXA4RDE%3D&amp;t=4d5b0474&amp;ps=13740610&amp;shp=a5d48078&amp;shcp=81f88b70&amp;idc=my" TargetMode="External"/><Relationship Id="rId20" Type="http://schemas.openxmlformats.org/officeDocument/2006/relationships/hyperlink" Target="https://p77-sign-sg.tiktokcdn.com/tos-alisg-avt-0068/305c199048748400d13f89ce936c5a5e~tplv-tiktokx-cropcenter:100:100.jpeg?dr=14579&amp;refresh_token=6e5c3449&amp;x-expires=1764727200&amp;x-signature=U717AkV2%2FlGKeLeqJ%2BYWxxc1qiE%3D&amp;t=4d5b0474&amp;ps=13740610&amp;shp=a5d48078&amp;shcp=81f88b70&amp;idc=my" TargetMode="External"/><Relationship Id="rId1358" Type="http://schemas.openxmlformats.org/officeDocument/2006/relationships/hyperlink" Target="https://v16-webapp-prime.tiktok.com/video/tos/maliva/tos-maliva-ve-68c800-us/os1xBjbnJQX4RmkETjAeqphYlBaAPDzf8gDUIQ/?a=1988&amp;bti=ODszNWYuMDE6&amp;ch=0&amp;cr=3&amp;dr=0&amp;lr=all&amp;cd=0%7C0%7C0%7C&amp;cv=1&amp;br=540&amp;bt=270&amp;cs=0&amp;ds=3&amp;ft=-Csk_mrMPD12N6Dh5d-Uxq42hY6e3wv25IcAp&amp;mime_type=video_mp4&amp;qs=0&amp;rc=M2dlPGQ4ZjY3NDw5OWg2OEBpajs2aTg6Zm9ybDMzNzczM0BiMTAuMC9jXzIxLjMtYTBjYSNjZzBucjQwbWZgLS1kMTZzcw%3D%3D&amp;btag=e00090000&amp;expire=1764728555&amp;l=202512011021342A4EB9620CED315EA2E7&amp;ply_type=2&amp;policy=2&amp;signature=fad000c085e51997ddee08dc481205d0&amp;tk=tt_chain_token" TargetMode="External"/><Relationship Id="rId1359" Type="http://schemas.openxmlformats.org/officeDocument/2006/relationships/hyperlink" Target="https://www.tiktok.com/@cattarinalia/video/7252358453232995589" TargetMode="External"/><Relationship Id="rId22" Type="http://schemas.openxmlformats.org/officeDocument/2006/relationships/hyperlink" Target="https://p77-sign-sg.tiktokcdn.com/tos-alisg-avt-0068/305c199048748400d13f89ce936c5a5e~tplv-tiktokx-cropcenter:1080:1080.jpeg?dr=14579&amp;refresh_token=5dd5e1db&amp;x-expires=1764727200&amp;x-signature=whOZSABWcCD92HsP6csUV6crLjY%3D&amp;t=4d5b0474&amp;ps=13740610&amp;shp=a5d48078&amp;shcp=81f88b70&amp;idc=my" TargetMode="External"/><Relationship Id="rId21" Type="http://schemas.openxmlformats.org/officeDocument/2006/relationships/hyperlink" Target="https://v16-webapp-prime.tiktok.com/video/tos/useast2a/tos-useast2a-v-27dcd7/o4byoBAfEDLXIYABlWlUGnjBBEIuJ3AbQCTeAJ/?a=1988&amp;bti=ODszNWYuMDE6&amp;ch=0&amp;cr=0&amp;dr=0&amp;er=0&amp;lr=default&amp;cd=0%7C0%7C0%7C0&amp;br=250&amp;bt=125&amp;ds=5&amp;ft=GNDpcInz7ThIPKvPXq8Zmo&amp;mime_type=audio_mpeg&amp;qs=13&amp;rc=ajhpdzM6ZmY4bjMzNzU8M0BpajhpdzM6ZmY4bjMzNzU8M0Bza21ocjRnaDBgLS1kMTZzYSNza21ocjRnaDBgLS1kMTZzcw%3D%3D&amp;btag=e00050000&amp;expire=1764559281&amp;l=20251201102014E2CB5F4C19000C61E683&amp;ply_type=3&amp;policy=3&amp;signature=485cefdc02465755772b6a96a0f0de6f&amp;tk=7571587458748974088" TargetMode="External"/><Relationship Id="rId24" Type="http://schemas.openxmlformats.org/officeDocument/2006/relationships/hyperlink" Target="https://www.tiktok.com/@draanabeatriz11/video/7279604970134015237" TargetMode="External"/><Relationship Id="rId23" Type="http://schemas.openxmlformats.org/officeDocument/2006/relationships/hyperlink" Target="https://v16-webapp-prime.tiktok.com/video/tos/alisg/tos-alisg-pve-0037c001/ocIeIEBiQeRJWmQHQbL0EIl1lE2MQn7ABgDQAB/?a=1988&amp;bti=ODszNWYuMDE6&amp;ch=0&amp;cr=3&amp;dr=0&amp;lr=all&amp;cd=0%7C0%7C0%7C&amp;cv=1&amp;br=1968&amp;bt=984&amp;cs=0&amp;ds=3&amp;ft=-Csk_mrMPD12N0dh5d-UxPO2hY6e3wv252cAp&amp;mime_type=video_mp4&amp;qs=0&amp;rc=PDM6aDU7MzU1OGRoaDU2OEBpMzdlNTg6ZjQ4bjMzNzczM0A2MjBjY2JgXi8xYy9gYTNgYSMvLzBxcjRvZzBgLS1kMTZzcw%3D%3D&amp;btag=e00090000&amp;expire=1764728481&amp;l=20251201102014E2CB5F4C19000C61E683&amp;ply_type=2&amp;policy=2&amp;signature=fc7c82f98aaf425d5ce2b23f0ada49ef&amp;tk=tt_chain_token" TargetMode="External"/><Relationship Id="rId767" Type="http://schemas.openxmlformats.org/officeDocument/2006/relationships/hyperlink" Target="https://p16-sg.tiktokcdn.com/aweme/720x720/tos-alisg-v-2774/oEEDUsAyVwCm2iDH7PCB3wAWozAfB6lA2EAdiU.jpeg" TargetMode="External"/><Relationship Id="rId766" Type="http://schemas.openxmlformats.org/officeDocument/2006/relationships/hyperlink" Target="https://sf16-ies-music-sg.tiktokcdn.com/obj/tos-alisg-ve-2774/osIWuiyQ2AtRAHBiMfjUIoLwip1jPtxSbRvBs6" TargetMode="External"/><Relationship Id="rId765" Type="http://schemas.openxmlformats.org/officeDocument/2006/relationships/hyperlink" Target="https://p77-sign-va.tiktokcdn.com/tos-maliva-avt-0068/6ef179c2b7509aa593d24920992f7fa9~tplv-tiktokx-cropcenter:100:100.jpeg?dr=14579&amp;refresh_token=cdd4f7e8&amp;x-expires=1764727200&amp;x-signature=sJAAql3lAFeARYoTCeQ%2FwSLNN4Q%3D&amp;t=4d5b0474&amp;ps=13740610&amp;shp=a5d48078&amp;shcp=81f88b70&amp;idc=my" TargetMode="External"/><Relationship Id="rId764" Type="http://schemas.openxmlformats.org/officeDocument/2006/relationships/hyperlink" Target="https://www.tiktok.com/@lorenatdahta/video/7396104682726329605" TargetMode="External"/><Relationship Id="rId769" Type="http://schemas.openxmlformats.org/officeDocument/2006/relationships/hyperlink" Target="https://www.tiktok.com/@psiqviva/video/7447282791315721477" TargetMode="External"/><Relationship Id="rId768" Type="http://schemas.openxmlformats.org/officeDocument/2006/relationships/hyperlink" Target="https://v16-webapp-prime.tiktok.com/video/tos/useast2a/tos-useast2a-pve-0068/okeX1ec1BOOZQgIgERKLcIQGCsfStIja7VSAEC/?a=1988&amp;bti=ODszNWYuMDE6&amp;ch=0&amp;cr=3&amp;dr=0&amp;lr=all&amp;cd=0%7C0%7C0%7C&amp;cv=1&amp;br=254&amp;bt=127&amp;cs=0&amp;ds=3&amp;ft=I~da4oKyD12Nvz.WS.IxRjkNWlBF-UjNSRopiX&amp;mime_type=video_mp4&amp;qs=0&amp;rc=cnF8b2hsc2d3SkBwaHIxaDFybndmNzNmZDdlPDtkaTczZWRkM0Bpamlram85cnQzdzMzNzczM0BjRl5Nc3FePmJKYSNvYF90aHFmOiNiXjI2MWItNjYxMDZgYTFiYSMxMnBfMmRzcmFgLS1kMTZzcw%3D%3D&amp;btag=e000b0000&amp;expire=1764728434&amp;l=202512011020239FD63C9B4E4C976A9E36&amp;ply_type=2&amp;policy=2&amp;signature=8bd9b093964fb7cce09a9c2cd13e5abd&amp;tk=tt_chain_token" TargetMode="External"/><Relationship Id="rId26" Type="http://schemas.openxmlformats.org/officeDocument/2006/relationships/hyperlink" Target="https://v16-webapp-prime.tiktok.com/video/tos/useast2a/tos-useast2a-v-27dcd7/oQjU0gMxYGBBoQBcIv6KAg4CZkiDEQEiYk2cfc/?a=1988&amp;bti=ODszNWYuMDE6&amp;ch=0&amp;cr=0&amp;dr=0&amp;er=0&amp;lr=default&amp;cd=0%7C0%7C0%7C0&amp;br=250&amp;bt=125&amp;ft=GNDpcInz7ThezKvPXq8Zmo&amp;mime_type=audio_mpeg&amp;qs=6&amp;rc=ZTUzNTRmZTVoNTc5Zzo6M0BpajczaGs5cmg7NTMzNzU8M0AwLjE1YWFjNmExNTYzNC8wYSNgLy9iMmRjbC5hLS1kMTZzcw%3D%3D&amp;btag=e000b8000&amp;expire=1764559321&amp;l=202512011021342A4EB9620CED315EA2E7&amp;ply_type=3&amp;policy=3&amp;signature=3febea40909292c18aa0caf383b409bb&amp;tk=7571587458748974088" TargetMode="External"/><Relationship Id="rId25" Type="http://schemas.openxmlformats.org/officeDocument/2006/relationships/hyperlink" Target="https://p77-sign-va.tiktokcdn.com/tos-maliva-avt-0068/7d6784d66a21b49cb8bf00660db61995~tplv-tiktokx-cropcenter:100:100.jpeg?dr=14579&amp;refresh_token=ef2db4ff&amp;x-expires=1764727200&amp;x-signature=O27PLArhBjc0tiFkNvuALKTsCFs%3D&amp;t=4d5b0474&amp;ps=13740610&amp;shp=a5d48078&amp;shcp=81f88b70&amp;idc=my" TargetMode="External"/><Relationship Id="rId28" Type="http://schemas.openxmlformats.org/officeDocument/2006/relationships/hyperlink" Target="https://v16-webapp-prime.tiktok.com/video/tos/maliva/tos-maliva-v-85c255-us/oMQwFFo8oBFOB2DuIfeFEJgQEhaTggv1oUwEBR/?a=1988&amp;bti=ODszNWYuMDE6&amp;ch=0&amp;cr=3&amp;dr=0&amp;lr=all&amp;cd=0%7C0%7C0%7C&amp;cv=1&amp;br=1544&amp;bt=772&amp;cs=0&amp;ds=3&amp;ft=-Csk_mrMPD12N6Dh5d-Uxq42hY6e3wv25IcAp&amp;mime_type=video_mp4&amp;qs=0&amp;rc=NGQ4NWk7PDxoNTNmNWk5ZkBpMzpnNXE5cmc7NTQzNzM2M0BiMS5eL15hXjYxMi4wYWItYSM1NWNzMmRjbC5hLS1kLTZzcw%3D%3D&amp;btag=e000b8000&amp;expire=1764728521&amp;l=202512011021342A4EB9620CED315EA2E7&amp;ply_type=2&amp;policy=2&amp;signature=24edfbd47ba463865aed13c37546d09a&amp;tk=tt_chain_token" TargetMode="External"/><Relationship Id="rId1350" Type="http://schemas.openxmlformats.org/officeDocument/2006/relationships/hyperlink" Target="https://p77-sign-va.tiktokcdn.com/tos-maliva-avt-0068/7324274213211734022~tplv-tiktokx-cropcenter:100:100.jpeg?dr=14579&amp;refresh_token=699436ce&amp;x-expires=1764727200&amp;x-signature=q2r2Qja7%2B06ySymH0xS0fDD2JXA%3D&amp;t=4d5b0474&amp;ps=13740610&amp;shp=a5d48078&amp;shcp=81f88b70&amp;idc=my" TargetMode="External"/><Relationship Id="rId27" Type="http://schemas.openxmlformats.org/officeDocument/2006/relationships/hyperlink" Target="https://p77-sign-va.tiktokcdn.com/tos-maliva-avt-0068/7d6784d66a21b49cb8bf00660db61995~tplv-tiktokx-cropcenter:1080:1080.jpeg?dr=14579&amp;refresh_token=8c7d0f1c&amp;x-expires=1764727200&amp;x-signature=OtEdzrw%2Bf4psuC3DGuPH3dCdNxo%3D&amp;t=4d5b0474&amp;ps=13740610&amp;shp=a5d48078&amp;shcp=81f88b70&amp;idc=my" TargetMode="External"/><Relationship Id="rId1351" Type="http://schemas.openxmlformats.org/officeDocument/2006/relationships/hyperlink" Target="https://v16-webapp-prime.tiktok.com/video/tos/useast2a/tos-useast2a-v-27dcd7/oIAXPnruGECBfVegEnLASsT11CeLRACEI6gCoK/?a=1988&amp;bti=ODszNWYuMDE6&amp;ch=0&amp;cr=0&amp;dr=0&amp;er=0&amp;lr=default&amp;cd=0%7C0%7C0%7C0&amp;br=250&amp;bt=125&amp;ds=5&amp;ft=GNDpcInz7ThGPKvPXq8Zmo&amp;mime_type=audio_mpeg&amp;qs=13&amp;rc=anRpank5cjltNTMzNzU8M0BpanRpank5cjltNTMzNzU8M0BzNDZfMmRrbF5hLS1kMTZzYSNzNDZfMmRrbF5hLS1kMTZzcw%3D%3D&amp;btag=e00048000&amp;expire=1764559257&amp;l=202512011020239FD63C9B4E4C976A9E36&amp;ply_type=3&amp;policy=3&amp;signature=6ef847ecb768b7d5df7ddaf897a2c4b0&amp;tk=7571587458748974088" TargetMode="External"/><Relationship Id="rId763" Type="http://schemas.openxmlformats.org/officeDocument/2006/relationships/hyperlink" Target="https://v16-webapp-prime.tiktok.com/video/tos/useast2a/tos-useast2a-pve-0068/o0SCSqAAMHjDxf0NQCCjoffvI4CFBAENgIpERr/?a=1988&amp;bti=ODszNWYuMDE6&amp;ch=0&amp;cr=3&amp;dr=0&amp;lr=all&amp;cd=0%7C0%7C0%7C&amp;br=1354&amp;bt=677&amp;cs=0&amp;ds=3&amp;ft=I~da4oKyD12Nvu.WS.IxRntNWlBF-UjNSMopiX&amp;mime_type=video_mp4&amp;qs=0&amp;rc=M2Y7NDM1Mzg7ODY7OmUzM0BpanJnanQ5cnk2dDMzNzczM0BjNTFiMl8vXjMxYS4zXjE1YSNoMDFjMmRzb2ZgLS1kMTZzcw%3D%3D&amp;btag=e000b8000&amp;expire=1764728438&amp;l=20251201102018B39B5434B49F795A75FD&amp;ply_type=2&amp;policy=2&amp;signature=e36f27f080dc08cc8c205af486d94747&amp;tk=tt_chain_token" TargetMode="External"/><Relationship Id="rId1352" Type="http://schemas.openxmlformats.org/officeDocument/2006/relationships/hyperlink" Target="https://p77-sign-va.tiktokcdn.com/tos-maliva-avt-0068/7324274213211734022~tplv-tiktokx-cropcenter:1080:1080.jpeg?dr=14579&amp;refresh_token=5ebe9059&amp;x-expires=1764727200&amp;x-signature=q5DUjF2gq4A4JTaByrZTgdfO9Rg%3D&amp;t=4d5b0474&amp;ps=13740610&amp;shp=a5d48078&amp;shcp=81f88b70&amp;idc=my" TargetMode="External"/><Relationship Id="rId29" Type="http://schemas.openxmlformats.org/officeDocument/2006/relationships/hyperlink" Target="https://www.tiktok.com/@giramundooficial/video/7530735668717276422" TargetMode="External"/><Relationship Id="rId762" Type="http://schemas.openxmlformats.org/officeDocument/2006/relationships/hyperlink" Target="https://p3-sg.tiktokcdn.com/aweme/720x720/tiktok-obj/7384014270524803857.jpeg" TargetMode="External"/><Relationship Id="rId1353" Type="http://schemas.openxmlformats.org/officeDocument/2006/relationships/hyperlink" Target="https://v16-webapp-prime.tiktok.com/video/tos/useast2a/tos-useast2a-pve-0068/o0LIHTUQEia5BIiT7CBkDECUPQnMSKPv6AVkJ/?a=1988&amp;bti=ODszNWYuMDE6&amp;ch=0&amp;cr=3&amp;dr=0&amp;lr=all&amp;cd=0%7C0%7C0%7C&amp;cv=1&amp;br=1546&amp;bt=773&amp;cs=0&amp;ds=2&amp;ft=I~da4oKyD12Nvz.WS.IxRjkNWlBF-UjNSRopiX&amp;mime_type=video_mp4&amp;qs=0&amp;rc=NzdkZjY0Zzs6aDY3O2g0aEBpMztnPHM5cjptNTMzNzczM0BgNjI2YmAuNjMxNDQ2X18uYSMuMy8yMmQ0a15hLS1kMTZzcw%3D%3D&amp;btag=e00088000&amp;expire=1764728457&amp;l=202512011020239FD63C9B4E4C976A9E36&amp;ply_type=2&amp;policy=2&amp;signature=b865c539396412a867741fe3242fdbf0&amp;tk=tt_chain_token" TargetMode="External"/><Relationship Id="rId761" Type="http://schemas.openxmlformats.org/officeDocument/2006/relationships/hyperlink" Target="https://v16-webapp-prime.tiktok.com/video/tos/useast2a/tos-useast2a-v-27dcd7/owpCxBEDgnDAJwQ34kAtF2kBf3JACmEUPREMfO/?a=1988&amp;bti=ODszNWYuMDE6&amp;ch=0&amp;cr=0&amp;dr=0&amp;er=0&amp;lr=default&amp;cd=0%7C0%7C0%7C0&amp;br=252&amp;bt=126&amp;ds=5&amp;ft=GNDpcInz7ThmPKvPXq8Zmo&amp;mime_type=audio_mpeg&amp;qs=13&amp;rc=anE5OnU5cjY2dDMzNzU8M0BpanE5OnU5cjY2dDMzNzU8M0Bsb25tMmQ0cGZgLS1kMTZzYSNsb25tMmQ0cGZgLS1kMTZzcw%3D%3D&amp;btag=e00078000&amp;expire=1764559238&amp;l=20251201102018B39B5434B49F795A75FD&amp;ply_type=3&amp;policy=3&amp;signature=e12889bb6950cc4bd083773be0794825&amp;tk=7571587458748974088" TargetMode="External"/><Relationship Id="rId1354" Type="http://schemas.openxmlformats.org/officeDocument/2006/relationships/hyperlink" Target="https://www.tiktok.com/@elainiellefonseca/video/7535995592644889912" TargetMode="External"/><Relationship Id="rId760"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1355" Type="http://schemas.openxmlformats.org/officeDocument/2006/relationships/hyperlink" Target="https://p77-sign-va.tiktokcdn.com/tos-maliva-avt-0068/32df75d3b89fa1e2fb023193ee39e5b7~tplv-tiktokx-cropcenter:100:100.jpeg?dr=14579&amp;refresh_token=28723b57&amp;x-expires=1764727200&amp;x-signature=fs0Y%2FzykoEXVcP%2Fvh6Mh6vGAy6U%3D&amp;t=4d5b0474&amp;ps=13740610&amp;shp=a5d48078&amp;shcp=81f88b70&amp;idc=my" TargetMode="External"/><Relationship Id="rId1345"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1346" Type="http://schemas.openxmlformats.org/officeDocument/2006/relationships/hyperlink" Target="https://v16-webapp-prime.tiktok.com/video/tos/useast2a/tos-useast2a-v-27dcd7/oQDWEJNZEBCwSpAlA6i0BJmADUPQ1BgeEZfZ3i/?a=1988&amp;bti=ODszNWYuMDE6&amp;ch=0&amp;cr=0&amp;dr=0&amp;er=0&amp;lr=default&amp;cd=0%7C0%7C0%7C0&amp;br=250&amp;bt=125&amp;ds=5&amp;ft=GNDpcInz7ThpgKvPXq8Zmo&amp;mime_type=audio_mpeg&amp;qs=13&amp;rc=am83dG45cjVudTMzNzU8M0Bpam83dG45cjVudTMzNzU8M0Azc19gMmRjam9gLS1kMTZzYSMzc19gMmRjam9gLS1kMTZzcw%3D%3D&amp;btag=e00050000&amp;expire=1764559489&amp;l=202512011023380569D1C6B730C3EFE5B4&amp;ply_type=3&amp;policy=3&amp;signature=8ca7dcb542aa9e48cc37a773cecdc0e4&amp;tk=7571587458748974088" TargetMode="External"/><Relationship Id="rId1347"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1348" Type="http://schemas.openxmlformats.org/officeDocument/2006/relationships/hyperlink" Target="https://v16-webapp-prime.tiktok.com/video/tos/alisg/tos-alisg-pve-0037c001/oASJreQHIESb3mKB0pmEjDOB9EdiJFafQAkFgR/?a=1988&amp;bti=ODszNWYuMDE6&amp;ch=0&amp;cr=3&amp;dr=0&amp;lr=all&amp;cd=0%7C0%7C0%7C&amp;cv=1&amp;br=2248&amp;bt=1124&amp;cs=0&amp;ds=3&amp;ft=-Csk_mrMPD12NgZh5d-Ux3t2SY6e3wv25HcAp&amp;mime_type=video_mp4&amp;qs=0&amp;rc=Nzo5Z2U3aDxoZDczNDs8ZkBpamxmO3g5cmxudTMzNzczM0A1Xl42Y14vXzUxYC9gNi82YSMwXmdmMmRjaW9gLS1kMTZzcw%3D%3D&amp;btag=e00090000&amp;expire=1764728689&amp;l=202512011023380569D1C6B730C3EFE5B4&amp;ply_type=2&amp;policy=2&amp;signature=7ee15480a38b0a9f271902fc414e15bf&amp;tk=tt_chain_token" TargetMode="External"/><Relationship Id="rId11" Type="http://schemas.openxmlformats.org/officeDocument/2006/relationships/hyperlink" Target="https://v16-webapp-prime.tiktok.com/video/tos/alisg/tos-alisg-v-27dcd7/oofvbnsCBABiAQgw19BaQoEV2EAKV5J6fijUDC/?a=1988&amp;bti=ODszNWYuMDE6&amp;ch=0&amp;cr=0&amp;dr=0&amp;er=0&amp;lr=default&amp;cd=0%7C0%7C0%7C0&amp;br=250&amp;bt=125&amp;ds=5&amp;ft=GNDpcInz7ThjFKvPXq8Zmo&amp;mime_type=audio_mpeg&amp;qs=13&amp;rc=anR3M285cnB4NjMzODU8NEBpanR3M285cnB4NjMzODU8NEBlLWlsMmRjXmFhLS1kMS1zYSNlLWlsMmRjXmFhLS1kMS1zcw%3D%3D&amp;btag=e00050000&amp;expire=1764559417&amp;l=2025120110215532A809179141715F3748&amp;ply_type=3&amp;policy=3&amp;signature=1ad1d105ccd20761bc420eca4b07b592&amp;tk=7571587458748974088" TargetMode="External"/><Relationship Id="rId1349" Type="http://schemas.openxmlformats.org/officeDocument/2006/relationships/hyperlink" Target="https://www.tiktok.com/@igorpsicologo/video/7419481334457978118" TargetMode="External"/><Relationship Id="rId10" Type="http://schemas.openxmlformats.org/officeDocument/2006/relationships/hyperlink" Target="https://p77-sign-va.tiktokcdn.com/tos-maliva-avt-0068/d007657c27c5442c2b50b7552d20daa8~tplv-tiktokx-cropcenter:100:100.jpeg?dr=14579&amp;refresh_token=b241e5be&amp;x-expires=1764727200&amp;x-signature=G7flfLlXLfpQMQntyi2CmCzeibo%3D&amp;t=4d5b0474&amp;ps=13740610&amp;shp=a5d48078&amp;shcp=81f88b70&amp;idc=my" TargetMode="External"/><Relationship Id="rId13" Type="http://schemas.openxmlformats.org/officeDocument/2006/relationships/hyperlink" Target="https://v16-webapp-prime.tiktok.com/video/tos/alisg/tos-alisg-pve-0037c001/oYIzwjjIgDAesRe3AR3AFQtIoCLo0ytG8sfh24/?a=1988&amp;bti=ODszNWYuMDE6&amp;ch=0&amp;cr=3&amp;dr=0&amp;lr=all&amp;cd=0%7C0%7C0%7C&amp;cv=1&amp;br=1448&amp;bt=724&amp;cs=0&amp;ds=2&amp;ft=-Csk_mrMPD12NSBh5d-Uxs12aY6e3wv252cAp&amp;mime_type=video_mp4&amp;qs=0&amp;rc=ZmQzNWkzZzNnOjU8ZmU7ZkBpM2dqbng5cjd4NjMzODczNEAxM2FfNS41NTExNC9eMzUzYSMvMV8yMmQ0XmFhLS1kMTFzcw%3D%3D&amp;btag=e00090000&amp;expire=1764728617&amp;l=2025120110215532A809179141715F3748&amp;ply_type=2&amp;policy=2&amp;signature=c1a0e64729e2bee321870a9d5de8be0d&amp;tk=tt_chain_token" TargetMode="External"/><Relationship Id="rId12" Type="http://schemas.openxmlformats.org/officeDocument/2006/relationships/hyperlink" Target="https://p16-sign-va.tiktokcdn.com/tos-maliva-avt-0068/d007657c27c5442c2b50b7552d20daa8~tplv-tiktokx-cropcenter:1080:1080.jpeg?dr=14579&amp;refresh_token=3f5b99b7&amp;x-expires=1764727200&amp;x-signature=Thw5QgBuEfcZ%2FsuNyTrRQwNSe6w%3D&amp;t=4d5b0474&amp;ps=13740610&amp;shp=a5d48078&amp;shcp=81f88b70&amp;idc=my" TargetMode="External"/><Relationship Id="rId756" Type="http://schemas.openxmlformats.org/officeDocument/2006/relationships/hyperlink" Target="https://v16-webapp-prime.tiktok.com/video/tos/useast2a/tos-useast2a-v-27dcd7/owAeZLayEpgTDGMlIelCRvACCbIorKfSgACtI2/?a=1988&amp;bti=ODszNWYuMDE6&amp;ch=0&amp;cr=0&amp;dr=0&amp;er=0&amp;lr=default&amp;cd=0%7C0%7C0%7C0&amp;br=250&amp;bt=125&amp;ds=5&amp;ft=GNDpcInz7ThCPKvPXq8Zmo&amp;mime_type=audio_mpeg&amp;qs=13&amp;rc=ajw1eW05cmxmbzMzNzU8M0Bpajw1eW05cmxmbzMzNzU8M0BjZGAyMmQ0al9gLS1kMTZzYSNjZGAyMmQ0al9gLS1kMTZzcw%3D%3D&amp;btag=e00078000&amp;expire=1764559261&amp;l=20251201102042908EBE054CA4706238E0&amp;ply_type=3&amp;policy=3&amp;signature=57ddfba1d1831363d6c1e00bfeca7af2&amp;tk=7571587458748974088" TargetMode="External"/><Relationship Id="rId755" Type="http://schemas.openxmlformats.org/officeDocument/2006/relationships/hyperlink" Target="https://p16-sign-va.tiktokcdn.com/tos-maliva-avt-0068/ab033d4596f3637580b65cdd22747b8f~tplv-tiktokx-cropcenter:100:100.jpeg?dr=14579&amp;refresh_token=10b6fc38&amp;x-expires=1764727200&amp;x-signature=uQ7cvJM0tyWKwtOV7pDsajdtSbc%3D&amp;t=4d5b0474&amp;ps=13740610&amp;shp=a5d48078&amp;shcp=81f88b70&amp;idc=my" TargetMode="External"/><Relationship Id="rId754" Type="http://schemas.openxmlformats.org/officeDocument/2006/relationships/hyperlink" Target="https://www.tiktok.com/@marilialanoa/video/7279073957595237637" TargetMode="External"/><Relationship Id="rId753" Type="http://schemas.openxmlformats.org/officeDocument/2006/relationships/hyperlink" Target="https://v16-webapp-prime.tiktok.com/video/tos/maliva/tos-maliva-ve-68c800-us/oUIEEQghId0gAMzytfYxNMtwEtCCyhGokMj0AV/?a=1988&amp;bti=ODszNWYuMDE6&amp;ch=0&amp;cr=3&amp;dr=0&amp;lr=all&amp;cd=0%7C0%7C0%7C&amp;cv=1&amp;br=1164&amp;bt=582&amp;cs=0&amp;ds=3&amp;ft=-Csk_mrMPD12NbDh5d-UxPR2SY6e3wv25IcAp&amp;mime_type=video_mp4&amp;qs=0&amp;rc=aGkzZTM6OjgzZThkNWczNUBpM2ZqdjU6ZnM6bjMzNzczM0BiXi8vYzM2XzUxMi02YzUwYSMvbDNqcjQwYS9gLS1kMTZzcw%3D%3D&amp;btag=e00090000&amp;expire=1764728547&amp;l=20251201102055111140D50F38376E882B&amp;ply_type=2&amp;policy=2&amp;signature=9b0c44a0bf28d618ab2c305b241b91f4&amp;tk=tt_chain_token" TargetMode="External"/><Relationship Id="rId759" Type="http://schemas.openxmlformats.org/officeDocument/2006/relationships/hyperlink" Target="https://www.tiktok.com/@clarisepazterapeuta/video/7302247328797232390" TargetMode="External"/><Relationship Id="rId758" Type="http://schemas.openxmlformats.org/officeDocument/2006/relationships/hyperlink" Target="https://v16-webapp-prime.tiktok.com/video/tos/useast2a/tos-useast2a-pve-0068/ogiAEckISCz2dBBMgzoiMq0kIfyKyQiAjEWyWA/?a=1988&amp;bti=ODszNWYuMDE6&amp;ch=0&amp;cr=3&amp;dr=0&amp;lr=all&amp;cd=0%7C0%7C0%7C&amp;cv=1&amp;br=272&amp;bt=136&amp;cs=0&amp;ds=6&amp;ft=-Csk_mrMPD12NKdh5d-Uxs12aY6e3wv252cAp&amp;mime_type=video_mp4&amp;qs=5&amp;rc=aDNoOWg4OTtmOzRkZGk7NUBpM2Y7cmw5cjtmbzMzNzczM0AyXmFiNDUyNjMxYy9fYWJeYSNibG1iMmRjal9gLS1kMTZzcw%3D%3D&amp;btag=e000b8000&amp;expire=1764728461&amp;l=20251201102042908EBE054CA4706238E0&amp;ply_type=2&amp;policy=2&amp;signature=163f9db53736e1be1d28108b2d94b59b&amp;tk=tt_chain_token" TargetMode="External"/><Relationship Id="rId757" Type="http://schemas.openxmlformats.org/officeDocument/2006/relationships/hyperlink" Target="https://p16-sign-va.tiktokcdn.com/tos-maliva-avt-0068/ab033d4596f3637580b65cdd22747b8f~tplv-tiktokx-cropcenter:1080:1080.jpeg?dr=14579&amp;refresh_token=c656b1cd&amp;x-expires=1764727200&amp;x-signature=CrlodQQAcHxpW5KCMUBYTi64opo%3D&amp;t=4d5b0474&amp;ps=13740610&amp;shp=a5d48078&amp;shcp=81f88b70&amp;idc=my" TargetMode="External"/><Relationship Id="rId15" Type="http://schemas.openxmlformats.org/officeDocument/2006/relationships/hyperlink" Target="https://p77-sign-sg.tiktokcdn.com/tos-alisg-avt-0068/305c199048748400d13f89ce936c5a5e~tplv-tiktokx-cropcenter:100:100.jpeg?dr=14579&amp;refresh_token=6e5c3449&amp;x-expires=1764727200&amp;x-signature=U717AkV2%2FlGKeLeqJ%2BYWxxc1qiE%3D&amp;t=4d5b0474&amp;ps=13740610&amp;shp=a5d48078&amp;shcp=81f88b70&amp;idc=my" TargetMode="External"/><Relationship Id="rId14" Type="http://schemas.openxmlformats.org/officeDocument/2006/relationships/hyperlink" Target="https://www.tiktok.com/@dra.anaclaudiatavares/video/7555884934326471944" TargetMode="External"/><Relationship Id="rId17" Type="http://schemas.openxmlformats.org/officeDocument/2006/relationships/hyperlink" Target="https://p16-sign-sg.tiktokcdn.com/tos-alisg-avt-0068/305c199048748400d13f89ce936c5a5e~tplv-tiktokx-cropcenter:1080:1080.jpeg?dr=14579&amp;refresh_token=c51704c5&amp;x-expires=1764727200&amp;x-signature=62ljJs%2ByYCh5SZZk0lNGiJDC1j4%3D&amp;t=4d5b0474&amp;ps=13740610&amp;shp=a5d48078&amp;shcp=81f88b70&amp;idc=my" TargetMode="External"/><Relationship Id="rId16" Type="http://schemas.openxmlformats.org/officeDocument/2006/relationships/hyperlink" Target="https://v16-webapp-prime.tiktok.com/video/tos/useast2a/tos-useast2a-v-27dcd7/oAoQwzIgSqELOIMyDkTgkweQAvGrCCAIfAfQNA/?a=1988&amp;bti=ODszNWYuMDE6&amp;ch=0&amp;cr=0&amp;dr=0&amp;er=0&amp;lr=default&amp;cd=0%7C0%7C0%7C0&amp;br=250&amp;bt=125&amp;ds=5&amp;ft=GNDpcInz7ThVPKvPXq8Zmo&amp;mime_type=audio_mpeg&amp;qs=13&amp;rc=ampqb3M5cng5NDMzNzU8M0Bpampqb3M5cng5NDMzNzU8M0Awcy0uMmRjX2RhLS1kMTZzYSMwcy0uMmRjX2RhLS1kMTZzcw%3D%3D&amp;btag=e00048000&amp;expire=1764559267&amp;l=2025120110201396469B6E0854EC6377C0&amp;ply_type=3&amp;policy=3&amp;signature=71bba8067459487a439cedecf48ee0fa&amp;tk=7571587458748974088" TargetMode="External"/><Relationship Id="rId1340"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9" Type="http://schemas.openxmlformats.org/officeDocument/2006/relationships/hyperlink" Target="https://www.tiktok.com/@draanabeatriz11/video/7521123458407795974" TargetMode="External"/><Relationship Id="rId752" Type="http://schemas.openxmlformats.org/officeDocument/2006/relationships/hyperlink" Target="https://p77-sign-va.tiktokcdn.com/tos-maliva-avt-0068/7326721801726689286~tplv-tiktokx-cropcenter:1080:1080.jpeg?dr=14579&amp;refresh_token=19420db4&amp;x-expires=1764727200&amp;x-signature=MrMtO7g3igBNsJvynwOSz5Ud%2BhY%3D&amp;t=4d5b0474&amp;ps=13740610&amp;shp=a5d48078&amp;shcp=81f88b70&amp;idc=my" TargetMode="External"/><Relationship Id="rId1341" Type="http://schemas.openxmlformats.org/officeDocument/2006/relationships/hyperlink" Target="https://v16-webapp-prime.tiktok.com/video/tos/useast2a/tos-useast2a-v-27dcd7/oUIA6ONoXCSAlgTj1tIEDFECXSDRpfAPxfSzfS/?a=1988&amp;bti=ODszNWYuMDE6&amp;ch=0&amp;cr=0&amp;dr=0&amp;er=0&amp;lr=default&amp;cd=0%7C0%7C0%7C0&amp;br=250&amp;bt=125&amp;ds=5&amp;ft=GNDpcInz7ThIPKvPXq8Zmo&amp;mime_type=audio_mpeg&amp;qs=13&amp;rc=am50ZnQ5cnZsdzMzNzU8M0Bpam50ZnQ5cnZsdzMzNzU8M0BoYWJwMmRzX3JgLS1kMTZzYSNoYWJwMmRzX3JgLS1kMTZzcw%3D%3D&amp;btag=e00050000&amp;expire=1764559309&amp;l=20251201102014E2CB5F4C19000C61E683&amp;ply_type=3&amp;policy=3&amp;signature=1bb9c155fb97c7b8e4f8d8a04c58c9ed&amp;tk=7571587458748974088" TargetMode="External"/><Relationship Id="rId18" Type="http://schemas.openxmlformats.org/officeDocument/2006/relationships/hyperlink" Target="https://v16-webapp-prime.tiktok.com/video/tos/useast2a/tos-useast2a-ve-0068c003/oAdC8piMlIBo1zQALL3of6iX0gEyI9wgkFgDZA/?a=1988&amp;bti=ODszNWYuMDE6&amp;ch=0&amp;cr=3&amp;dr=0&amp;lr=all&amp;cd=0%7C0%7C0%7C&amp;cv=1&amp;br=1810&amp;bt=905&amp;cs=0&amp;ds=3&amp;ft=I~da4oKyD12Nvl.WS.IxR51NWlBF-UjNSMopiX&amp;mime_type=video_mp4&amp;qs=0&amp;rc=NGU1OmVmO2lpOGZlaTs2M0Bpajg2eG05cnQ5NDMzNzczM0BeXy8vNjIuNWIxLjYyYGM0YSMybWpfMmRzX2RhLS1kMTZzcw%3D%3D&amp;btag=e00088000&amp;expire=1764728467&amp;l=2025120110201396469B6E0854EC6377C0&amp;ply_type=2&amp;policy=2&amp;signature=436320c361b00e7fba4134edc4381adf&amp;tk=tt_chain_token" TargetMode="External"/><Relationship Id="rId751" Type="http://schemas.openxmlformats.org/officeDocument/2006/relationships/hyperlink" Target="https://v16-webapp-prime.tiktok.com/video/tos/useast2a/tos-useast2a-v-27dcd7/oYzzEzNuAKpjyfAKgJAABdkqhgEgdEJoENAArO/?a=1988&amp;bti=ODszNWYuMDE6&amp;ch=0&amp;cr=0&amp;dr=0&amp;er=0&amp;lr=default&amp;cd=0%7C0%7C0%7C0&amp;br=250&amp;bt=125&amp;ds=5&amp;ft=GNDpcInz7ThszKvPXq8Zmo&amp;mime_type=audio_mpeg&amp;qs=13&amp;rc=Mzw7bDM6Zmg6bjMzNzU8M0BpMzw7bDM6Zmg6bjMzNzU8M0BpbzZtcjRnYi9gLS1kMTZzYSNpbzZtcjRnYi9gLS1kMTZzcw%3D%3D&amp;btag=e00050000&amp;expire=1764559347&amp;l=20251201102055111140D50F38376E882B&amp;ply_type=3&amp;policy=3&amp;signature=c7b5f1a819c0f07528b296883892f667&amp;tk=7571587458748974088" TargetMode="External"/><Relationship Id="rId1342" Type="http://schemas.openxmlformats.org/officeDocument/2006/relationships/hyperlink" Target="https://p77-sign-sg.tiktokcdn.com/tos-alisg-avt-0068/a922d44f129753f3f4657ae1aab09386~tplv-tiktokx-cropcenter:1080:1080.jpeg?dr=14579&amp;refresh_token=2c5396d3&amp;x-expires=1764727200&amp;x-signature=UQQdtyMLjhg42RtimEy1TOiZgok%3D&amp;t=4d5b0474&amp;ps=13740610&amp;shp=a5d48078&amp;shcp=81f88b70&amp;idc=my" TargetMode="External"/><Relationship Id="rId750" Type="http://schemas.openxmlformats.org/officeDocument/2006/relationships/hyperlink" Target="https://p16-sign-va.tiktokcdn.com/tos-maliva-avt-0068/7326721801726689286~tplv-tiktokx-cropcenter:100:100.jpeg?dr=14579&amp;refresh_token=ca76a651&amp;x-expires=1764727200&amp;x-signature=yh298qblqBFwttjCiYmRWF%2BD4Lw%3D&amp;t=4d5b0474&amp;ps=13740610&amp;shp=a5d48078&amp;shcp=81f88b70&amp;idc=my" TargetMode="External"/><Relationship Id="rId1343" Type="http://schemas.openxmlformats.org/officeDocument/2006/relationships/hyperlink" Target="https://v16-webapp-prime.tiktok.com/video/tos/useast2a/tos-useast2a-ve-0068c001/o8yjfADfOJpCgFj0OernXQSIgIs9C0jEDmtSET/?a=1988&amp;bti=ODszNWYuMDE6&amp;ch=0&amp;cr=3&amp;dr=0&amp;lr=all&amp;cd=0%7C0%7C0%7C&amp;cv=1&amp;br=622&amp;bt=311&amp;cs=0&amp;ds=6&amp;ft=-Csk_mrMPD12N0dh5d-UxPO2hY6e3wv252cAp&amp;mime_type=video_mp4&amp;qs=5&amp;rc=NjxoPDQ7NDs2OTlpaDw2aUBpM2VrZ3A5cnNsdzMzNzczM0A0MS5eYF9hNS4xMmNiYmIzYSM0NDNzMmRzX3JgLS1kMTZzcw%3D%3D&amp;btag=e00090000&amp;expire=1764728509&amp;l=20251201102014E2CB5F4C19000C61E683&amp;ply_type=2&amp;policy=2&amp;signature=082fe3f84e7f8ff5c32bdcc7385bddfe&amp;tk=tt_chain_token" TargetMode="External"/><Relationship Id="rId1344" Type="http://schemas.openxmlformats.org/officeDocument/2006/relationships/hyperlink" Target="https://www.tiktok.com/@psi.jonathanorlandi/video/7457158230075116806" TargetMode="External"/><Relationship Id="rId84" Type="http://schemas.openxmlformats.org/officeDocument/2006/relationships/hyperlink" Target="https://p77-sign-va.tiktokcdn.com/tos-maliva-avt-0068/9c7e33a443eac8b62c597b69b16902e0~tplv-tiktokx-cropcenter:100:100.jpeg?dr=14579&amp;refresh_token=b0a268c6&amp;x-expires=1764727200&amp;x-signature=RZ88uCkE%2F%2FDP3h5rmoAZwiaAV%2Fc%3D&amp;t=4d5b0474&amp;ps=13740610&amp;shp=a5d48078&amp;shcp=81f88b70&amp;idc=my" TargetMode="External"/><Relationship Id="rId1774" Type="http://schemas.openxmlformats.org/officeDocument/2006/relationships/hyperlink" Target="https://www.tiktok.com/@evolutiva_mente/video/7404150034045996294" TargetMode="External"/><Relationship Id="rId83" Type="http://schemas.openxmlformats.org/officeDocument/2006/relationships/hyperlink" Target="https://www.tiktok.com/@veigasaymon/video/7472532990564863238" TargetMode="External"/><Relationship Id="rId1775" Type="http://schemas.openxmlformats.org/officeDocument/2006/relationships/hyperlink" Target="https://p16-sign-va.tiktokcdn.com/tos-maliva-avt-0068/af2e626856556626c46fc495e4da441c~tplv-tiktokx-cropcenter:100:100.jpeg?dr=14579&amp;refresh_token=a6dc2d76&amp;x-expires=1764727200&amp;x-signature=qkIbpS6dee0McZptG1OsPu5nhdA%3D&amp;t=4d5b0474&amp;ps=13740610&amp;shp=a5d48078&amp;shcp=81f88b70&amp;idc=my" TargetMode="External"/><Relationship Id="rId86" Type="http://schemas.openxmlformats.org/officeDocument/2006/relationships/hyperlink" Target="https://p77-sign-va.tiktokcdn.com/tos-maliva-avt-0068/9c7e33a443eac8b62c597b69b16902e0~tplv-tiktokx-cropcenter:1080:1080.jpeg?dr=14579&amp;refresh_token=e9c61db9&amp;x-expires=1764727200&amp;x-signature=%2B9ee08jMrygBa78IbwjBrh9znMM%3D&amp;t=4d5b0474&amp;ps=13740610&amp;shp=a5d48078&amp;shcp=81f88b70&amp;idc=my" TargetMode="External"/><Relationship Id="rId1776" Type="http://schemas.openxmlformats.org/officeDocument/2006/relationships/hyperlink" Target="https://v16-webapp-prime.tiktok.com/video/tos/maliva/tos-maliva-ve-27dcd7c799-us/owJDxPlBSxJxEcUUF2CCSQYDmgCSUu6BGBf2eg/?a=1988&amp;bti=ODszNWYuMDE6&amp;ch=0&amp;cr=0&amp;dr=0&amp;er=0&amp;lr=default&amp;cd=0%7C0%7C0%7C0&amp;br=250&amp;bt=125&amp;ft=GNDpcInz7ThUPKvPXq8Zmo&amp;mime_type=audio_mpeg&amp;qs=6&amp;rc=Zmc8OTw4Zzg7aWZmOTNoNUBpanI2M2o5cnFwbzMzZzU8NEAtYF8uLjM1XzExLS80NGBfYSNlbjQyMmQ0NDZgLS1kMS9zcw%3D%3D&amp;btag=e00088000&amp;expire=1764559257&amp;l=202512011020200FFD70C70F6D756DA043&amp;ply_type=3&amp;policy=3&amp;signature=ad0bde23a20d66959a3bdaf787a49e57&amp;tk=7571587458748974088" TargetMode="External"/><Relationship Id="rId85" Type="http://schemas.openxmlformats.org/officeDocument/2006/relationships/hyperlink" Target="https://v16-webapp-prime.tiktok.com/video/tos/alisg/tos-alisg-v-27dcd7/oAgDSCarEmbgY8FARTkEzXlfLf5TCcolWQDe2g/?a=1988&amp;bti=ODszNWYuMDE6&amp;ch=0&amp;cr=0&amp;dr=0&amp;er=0&amp;lr=default&amp;cd=0%7C0%7C0%7C0&amp;br=250&amp;bt=125&amp;ft=GNDpcInz7ThJzKvPXq8Zmo&amp;mime_type=audio_mpeg&amp;qs=6&amp;rc=Mzw6aGhpZDNlNzhmNDpkZUBpamw6eHY5cnFsNjMzODU8NEBhMWE0NjBgXjExMmIvNGFhYSMxLW9mMmQ0czJhLS1kMS1zcw%3D%3D&amp;btag=e00090000&amp;expire=1764559389&amp;l=20251201102141EAAE30DD17435761F356&amp;ply_type=3&amp;policy=3&amp;signature=05ad5879a17ce55e4aacf40524c40c2e&amp;tk=7571587458748974088" TargetMode="External"/><Relationship Id="rId1777" Type="http://schemas.openxmlformats.org/officeDocument/2006/relationships/hyperlink" Target="https://p16-sign-va.tiktokcdn.com/tos-maliva-avt-0068/372c8194bccc408b29e0a731a3f80e46~tplv-tiktokx-cropcenter:1080:1080.jpeg?dr=14579&amp;refresh_token=f7064623&amp;x-expires=1764727200&amp;x-signature=KtV6KYADEUtgr1snaugGNHUAPxI%3D&amp;t=4d5b0474&amp;ps=13740610&amp;shp=a5d48078&amp;shcp=81f88b70&amp;idc=my" TargetMode="External"/><Relationship Id="rId88" Type="http://schemas.openxmlformats.org/officeDocument/2006/relationships/hyperlink" Target="https://www.tiktok.com/@tdahdescomplicado/video/7551181760227282184" TargetMode="External"/><Relationship Id="rId1778" Type="http://schemas.openxmlformats.org/officeDocument/2006/relationships/hyperlink" Target="https://v16-webapp-prime.tiktok.com/video/tos/maliva/tos-maliva-ve-0068c801-us/ocHSnHLfVlEMXJBpBeDknFFNTd95QA5Inz8tEC/?a=1988&amp;bti=ODszNWYuMDE6&amp;ch=0&amp;cr=3&amp;dr=0&amp;lr=all&amp;cd=0%7C0%7C0%7C&amp;br=864&amp;bt=432&amp;cs=0&amp;ds=3&amp;ft=I~da4oKyD12Nvi.WS.IxR51NWlBF-UjNSMopiX&amp;mime_type=video_mp4&amp;qs=0&amp;rc=NDk0ODplZzZlNDQ4M2g3OUBpamx0dnY5cmtncTMzNzgzM0AzMC8wYGAxXzExMy82MTRhYSMyYnNtMmRzL2ZgLS1kLzZzcw%3D%3D&amp;btag=e000b0000&amp;expire=1764728429&amp;l=202512011020200FFD70C70F6D756DA043&amp;ply_type=2&amp;policy=2&amp;signature=2249727b7d0f2d2536648d470643edbc&amp;tk=tt_chain_token" TargetMode="External"/><Relationship Id="rId87" Type="http://schemas.openxmlformats.org/officeDocument/2006/relationships/hyperlink" Target="https://v16-webapp-prime.tiktok.com/video/tos/alisg/tos-alisg-ve-4863-sg/oQAieqg6QEuA8sOGlXRfWDeFlIYzQoKfASBF27/?a=1988&amp;bti=ODszNWYuMDE6&amp;ch=0&amp;cr=3&amp;dr=0&amp;lr=all&amp;cd=0%7C0%7C0%7C&amp;cv=1&amp;br=1322&amp;bt=661&amp;cs=0&amp;ds=3&amp;ft=-Csk_mrMPD12NWDh5d-Uxvt2hY6e3wv251cAp&amp;mime_type=video_mp4&amp;qs=0&amp;rc=aGg6ZTY4NDwzZThoaTNkM0BpanE0aG85cjtsNjQzOGk1NEA2LzYuYDZgXzIxMV5eXjYwYSNiNWAtMmRrczJhLS1kYzFzcw%3D%3D&amp;btag=e00090000&amp;expire=1764728589&amp;l=20251201102141EAAE30DD17435761F356&amp;ply_type=2&amp;policy=2&amp;signature=0a37ec57cfc9335ca07685b558ec146b&amp;tk=tt_chain_token" TargetMode="External"/><Relationship Id="rId1779" Type="http://schemas.openxmlformats.org/officeDocument/2006/relationships/hyperlink" Target="https://www.tiktok.com/@trintadedobemestar/video/7322885689375296773" TargetMode="External"/><Relationship Id="rId89" Type="http://schemas.openxmlformats.org/officeDocument/2006/relationships/hyperlink" Target="https://p16-sign-va.tiktokcdn.com/tos-maliva-avt-0068/409b8f094a519052398ae01ba95bf160~tplv-tiktokx-cropcenter:100:100.jpeg?dr=14579&amp;refresh_token=5748a869&amp;x-expires=1764727200&amp;x-signature=N%2FBc5DyrAsE9yoOdqQowyLACSfM%3D&amp;t=4d5b0474&amp;ps=13740610&amp;shp=a5d48078&amp;shcp=81f88b70&amp;idc=my" TargetMode="External"/><Relationship Id="rId709" Type="http://schemas.openxmlformats.org/officeDocument/2006/relationships/hyperlink" Target="https://v16-webapp-prime.tiktok.com/video/tos/maliva/tos-maliva-ve-0068c799-us/ocBszq0YEAtFaIiCkfIUCg2iIhB9iAiMQvAGi0/?a=1988&amp;bti=ODszNWYuMDE6&amp;ch=0&amp;cr=3&amp;dr=0&amp;lr=all&amp;cd=0%7C0%7C0%7C&amp;cv=1&amp;br=1522&amp;bt=761&amp;cs=0&amp;ds=3&amp;ft=-Csk_mrMPD12N_gh5d-UxHv2hY6e3wv25zcAp&amp;mime_type=video_mp4&amp;qs=0&amp;rc=Zjw2ZzU6ZDo3aTdpaTNkaEBpajVkbXA5cmY4MzMzaTczNEA2NTYwYmBeNi8xYS9iYjJiYSNybzBrMmRjLmphLS1kMTJzcw%3D%3D&amp;btag=e00090000&amp;expire=1764728835&amp;l=20251201102601F3A130A9AE577B60291D&amp;ply_type=2&amp;policy=2&amp;signature=8fe5662f8f3f8edb889d0a3caabc8d42&amp;tk=tt_chain_token" TargetMode="External"/><Relationship Id="rId708" Type="http://schemas.openxmlformats.org/officeDocument/2006/relationships/hyperlink" Target="https://p77-sg.tiktokcdn.com/aweme/720x720/tos-alisg-v-2774/55bd140de38546eeb87ad7b20bdc00d0.jpeg" TargetMode="External"/><Relationship Id="rId707" Type="http://schemas.openxmlformats.org/officeDocument/2006/relationships/hyperlink" Target="https://sf16-ies-music-sg.tiktokcdn.com/obj/tos-alisg-ve-2774/oIpptDjDZQ5bfgq6WgQ1RUUoICojyEnsrtDBeB" TargetMode="External"/><Relationship Id="rId706" Type="http://schemas.openxmlformats.org/officeDocument/2006/relationships/hyperlink" Target="https://p16-sign-va.tiktokcdn.com/tos-maliva-avt-0068/da7a6883faf98893a78013cae3307500~tplv-tiktokx-cropcenter:100:100.jpeg?dr=14579&amp;refresh_token=acbbbb94&amp;x-expires=1764727200&amp;x-signature=wfo9pt8lqcqDyV9TwU%2Fq%2BM7LKNE%3D&amp;t=4d5b0474&amp;ps=13740610&amp;shp=a5d48078&amp;shcp=81f88b70&amp;idc=my" TargetMode="External"/><Relationship Id="rId80" Type="http://schemas.openxmlformats.org/officeDocument/2006/relationships/hyperlink" Target="https://v16-webapp-prime.tiktok.com/video/tos/useast2a/tos-useast2a-v-27dcd7/oga3iO8sQKxJCE1TnAECxWicUxBzJefxBqAqBA/?a=1988&amp;bti=ODszNWYuMDE6&amp;ch=0&amp;cr=0&amp;dr=0&amp;er=0&amp;lr=default&amp;cd=0%7C0%7C0%7C0&amp;br=250&amp;bt=125&amp;ds=5&amp;ft=GNDpcInz7ThFgKvPXq8Zmo&amp;mime_type=audio_mpeg&amp;qs=13&amp;rc=M2RxZms5cmd2eDMzNzU8M0BpM2RxZms5cmd2eDMzNzU8M0BpMGI0MmRjXm1gLS1kMTZzYSNpMGI0MmRjXm1gLS1kMTZzcw%3D%3D&amp;btag=e00050000&amp;expire=1764559485&amp;l=2025120110233096978CEC0666EFF2D3F0&amp;ply_type=3&amp;policy=3&amp;signature=24202df633454f3e407c3f6c32f4cf64&amp;tk=7571587458748974088" TargetMode="External"/><Relationship Id="rId82" Type="http://schemas.openxmlformats.org/officeDocument/2006/relationships/hyperlink" Target="https://v16-webapp-prime.tiktok.com/video/tos/useast2a/tos-useast2a-pve-0068/oIzIyJA2iQF6Psw7BU0NZ0xiIQpAUVrdvSE6l/?a=1988&amp;bti=ODszNWYuMDE6&amp;ch=0&amp;cr=3&amp;dr=0&amp;lr=all&amp;cd=0%7C0%7C0%7C&amp;cv=1&amp;br=1952&amp;bt=976&amp;cs=0&amp;ds=3&amp;ft=-Csk_mrMPD12NBZh5d-UxSc2hY6e3wv252cAp&amp;mime_type=video_mp4&amp;qs=0&amp;rc=M2ZoZTNmZGgzOjplaDNpO0BpM25xdWo5cjx2eDMzNzgzM0A1MzJjYS0vNTExNS8uNDMyYSNtYTBpMmRrXm1gLS1kLzZzcw%3D%3D&amp;btag=e00090000&amp;expire=1764728685&amp;l=2025120110233096978CEC0666EFF2D3F0&amp;ply_type=2&amp;policy=2&amp;signature=410df2af6440b0bc0f96f18d3e53af9d&amp;tk=tt_chain_token" TargetMode="External"/><Relationship Id="rId81" Type="http://schemas.openxmlformats.org/officeDocument/2006/relationships/hyperlink" Target="https://p16-sign-va.tiktokcdn.com/tos-maliva-avt-0068/409b8f094a519052398ae01ba95bf160~tplv-tiktokx-cropcenter:1080:1080.jpeg?dr=14579&amp;refresh_token=88af2447&amp;x-expires=1764727200&amp;x-signature=h1%2FGjwg20EJeaSgECLYSfH6uVDk%3D&amp;t=4d5b0474&amp;ps=13740610&amp;shp=a5d48078&amp;shcp=81f88b70&amp;idc=my" TargetMode="External"/><Relationship Id="rId701" Type="http://schemas.openxmlformats.org/officeDocument/2006/relationships/hyperlink" Target="https://p16-sign-sg.tiktokcdn.com/tos-alisg-avt-0068/9832aa685b2cfe94db09e06f702f0a77~tplv-tiktokx-cropcenter:100:100.jpeg?dr=14579&amp;refresh_token=07da26e1&amp;x-expires=1764727200&amp;x-signature=Ri8nDTJDplNCkNFz41OqjVNk2dg%3D&amp;t=4d5b0474&amp;ps=13740610&amp;shp=a5d48078&amp;shcp=81f88b70&amp;idc=my" TargetMode="External"/><Relationship Id="rId700" Type="http://schemas.openxmlformats.org/officeDocument/2006/relationships/hyperlink" Target="https://www.tiktok.com/@curiosos_epicos/video/7491860058838404407" TargetMode="External"/><Relationship Id="rId705" Type="http://schemas.openxmlformats.org/officeDocument/2006/relationships/hyperlink" Target="https://www.tiktok.com/@claralisle/video/7393866319092845829" TargetMode="External"/><Relationship Id="rId704" Type="http://schemas.openxmlformats.org/officeDocument/2006/relationships/hyperlink" Target="https://v16-webapp-prime.tiktok.com/video/tos/alisg/tos-alisg-pve-0037c001/owiDmBI8ngDSQSAuQnfEBnV50JFlRnyEyJP9fO/?a=1988&amp;bti=ODszNWYuMDE6&amp;ch=0&amp;cr=3&amp;dr=0&amp;lr=all&amp;cd=0%7C0%7C0%7C&amp;cv=1&amp;br=1616&amp;bt=808&amp;cs=0&amp;ds=3&amp;ft=I~da4oKyD12Nvu.WS.IxRntNWlBF-UjNSMopiX&amp;mime_type=video_mp4&amp;qs=0&amp;rc=aDloNDU8ZDc1Njo1M2k2N0BpM3M3ZHg5cnU2dDMzNzczM0AuXjZeMF8vXjUxYDRjYTM2YSNhZmljMmRrZ2JgLS1kMTZzcw%3D%3D&amp;btag=e00088000&amp;expire=1764728460&amp;l=20251201102018B39B5434B49F795A75FD&amp;ply_type=2&amp;policy=2&amp;signature=4958f64aaa8d74cc46facdb625187ab0&amp;tk=tt_chain_token" TargetMode="External"/><Relationship Id="rId703"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702" Type="http://schemas.openxmlformats.org/officeDocument/2006/relationships/hyperlink" Target="https://v16-webapp-prime.tiktok.com/video/tos/useast2a/tos-useast2a-v-27dcd7/o4AfEFpWCIrJeDkFI4lBHTAUEkEUnmZJQAB4Im/?a=1988&amp;bti=ODszNWYuMDE6&amp;ch=0&amp;cr=0&amp;dr=0&amp;er=0&amp;lr=default&amp;cd=0%7C0%7C0%7C0&amp;br=250&amp;bt=125&amp;ds=5&amp;ft=GNDpcInz7ThmPKvPXq8Zmo&amp;mime_type=audio_mpeg&amp;qs=13&amp;rc=MzU8dmw5cms3dDMzNzU8M0BpMzU8dmw5cms3dDMzNzU8M0ByX20xMmRzaGJgLS1kMTZzYSNyX20xMmRzaGJgLS1kMTZzcw%3D%3D&amp;btag=e00048000&amp;expire=1764559260&amp;l=20251201102018B39B5434B49F795A75FD&amp;ply_type=3&amp;policy=3&amp;signature=ac049b4fd5fb7d7caabfa0858e76769b&amp;tk=7571587458748974088" TargetMode="External"/><Relationship Id="rId1770" Type="http://schemas.openxmlformats.org/officeDocument/2006/relationships/hyperlink" Target="https://p77-sign-va.tiktokcdn.com/tos-maliva-avt-0068/5e5b84ee647a8a7823fb0c571e620293~tplv-tiktokx-cropcenter:100:100.jpeg?dr=14579&amp;refresh_token=36976c26&amp;x-expires=1764727200&amp;x-signature=VwlhZz5xrLnRjNMJE5t4SmYpRvw%3D&amp;t=4d5b0474&amp;ps=13740610&amp;shp=a5d48078&amp;shcp=81f88b70&amp;idc=my" TargetMode="External"/><Relationship Id="rId1771" Type="http://schemas.openxmlformats.org/officeDocument/2006/relationships/hyperlink" Target="https://v16-webapp-prime.tiktok.com/video/tos/useast2a/tos-useast2a-v-27dcd7/oAasfBBY30Dg0iEVzYVlmAkKoEaAARvEAA5GiC/?a=1988&amp;bti=ODszNWYuMDE6&amp;ch=0&amp;cr=0&amp;dr=0&amp;er=0&amp;lr=default&amp;cd=0%7C0%7C0%7C0&amp;br=250&amp;bt=125&amp;ds=5&amp;ft=GNDpcInz7ThmPKvPXq8Zmo&amp;mime_type=audio_mpeg&amp;qs=13&amp;rc=am9uN3M5cmxndTMzNzU8M0Bpam9uN3M5cmxndTMzNzU8M0BvMV5gMmRzMy1gLS1kMTZzYSNvMV5gMmRzMy1gLS1kMTZzcw%3D%3D&amp;btag=e00050000&amp;expire=1764559315&amp;l=20251201102018B39B5434B49F795A75FD&amp;ply_type=3&amp;policy=3&amp;signature=ad2c7e142769e0b8cd89ea7e8bddff56&amp;tk=7571587458748974088" TargetMode="External"/><Relationship Id="rId1772" Type="http://schemas.openxmlformats.org/officeDocument/2006/relationships/hyperlink" Target="https://p77-sign-va.tiktokcdn.com/tos-maliva-avt-0068/5e5b84ee647a8a7823fb0c571e620293~tplv-tiktokx-cropcenter:1080:1080.jpeg?dr=14579&amp;refresh_token=703dfcf1&amp;x-expires=1764727200&amp;x-signature=RvdJcujZshiyjk%2F9f%2Fendj3RVpw%3D&amp;t=4d5b0474&amp;ps=13740610&amp;shp=a5d48078&amp;shcp=81f88b70&amp;idc=my" TargetMode="External"/><Relationship Id="rId1773" Type="http://schemas.openxmlformats.org/officeDocument/2006/relationships/hyperlink" Target="https://v16-webapp-prime.tiktok.com/video/tos/alisg/tos-alisg-pve-0037c001/ooQMXENPmBUFceoqADBPTQDwFQJIJEfR4E5XIU/?a=1988&amp;bti=ODszNWYuMDE6&amp;ch=0&amp;cr=3&amp;dr=0&amp;lr=all&amp;cd=0%7C0%7C0%7C&amp;cv=1&amp;br=1992&amp;bt=996&amp;cs=0&amp;ds=3&amp;ft=I~da4oKyD12Nvu.WS.IxRntNWlBF-UjNSMopiX&amp;mime_type=video_mp4&amp;qs=0&amp;rc=ODs3Zjk3Zmk4aDQ8OWdkOEBpM3h4eW85cnRndTMzNzczM0BiXjUvYjUyXjExYWAzLWBhYSNeazEyMmQ0MS1gLS1kMTZzcw%3D%3D&amp;btag=e00090000&amp;expire=1764728515&amp;l=20251201102018B39B5434B49F795A75FD&amp;ply_type=2&amp;policy=2&amp;signature=1d71c4502a5e930494e4d2fd647e5937&amp;tk=tt_chain_token" TargetMode="External"/><Relationship Id="rId73" Type="http://schemas.openxmlformats.org/officeDocument/2006/relationships/hyperlink" Target="https://www.tiktok.com/@tdah.na.real/video/7527809174118386949" TargetMode="External"/><Relationship Id="rId1763" Type="http://schemas.openxmlformats.org/officeDocument/2006/relationships/hyperlink" Target="https://v16-webapp-prime.tiktok.com/video/tos/alisg/tos-alisg-pve-0037c001/ogNvSeqUHCrgAAWjUCeRofJAZgIsgm8ddq6MQ8/?a=1988&amp;bti=ODszNWYuMDE6&amp;ch=0&amp;cr=3&amp;dr=0&amp;lr=all&amp;cd=0%7C0%7C0%7C&amp;cv=1&amp;br=1780&amp;bt=890&amp;cs=0&amp;ds=3&amp;ft=I~da4oKyD12Nvu.WS.IxRntNWlBF-UjNSMopiX&amp;mime_type=video_mp4&amp;qs=0&amp;rc=ZWY5Omg7aDM3Nzs4OGc0OEBpamRwPGw5cmozdTMzNzczM0BgL2AxMjBeNWAxYy8vMTMwYSNzYzVlMmRzXi1gLS1kMTZzcw%3D%3D&amp;btag=e00088000&amp;expire=1764728473&amp;l=20251201102018B39B5434B49F795A75FD&amp;ply_type=2&amp;policy=2&amp;signature=6f9bfb5a6e25a97dc5fe1130673f6eef&amp;tk=tt_chain_token" TargetMode="External"/><Relationship Id="rId72" Type="http://schemas.openxmlformats.org/officeDocument/2006/relationships/hyperlink" Target="https://v16-webapp-prime.tiktok.com/video/tos/useast2a/tos-useast2a-ve-0068c001/ogQ8bmQ2EIEbCflEIfCwECAcQrFuFSf2LgQDrE/?a=1988&amp;bti=ODszNWYuMDE6&amp;ch=0&amp;cr=3&amp;dr=0&amp;lr=all&amp;cd=0%7C0%7C0%7C&amp;cv=1&amp;br=1216&amp;bt=608&amp;cs=0&amp;ds=3&amp;ft=-Csk_mrMPD12N0dh5d-UxPO2hY6e3wv252cAp&amp;mime_type=video_mp4&amp;qs=0&amp;rc=NmUzOTk3ZDYzNzRnPDU4ZUBpamo0aG05cnk1NDMzNzgzM0BfL2ExNTAuXzExNTYuLjJeYSNhcm02MmRzXnBhLS1kLzZzcw%3D%3D&amp;btag=e000b8000&amp;expire=1764728439&amp;l=20251201102014E2CB5F4C19000C61E683&amp;ply_type=2&amp;policy=2&amp;signature=02ae5a05bf417fcf1527009a20cf7d44&amp;tk=tt_chain_token" TargetMode="External"/><Relationship Id="rId1764" Type="http://schemas.openxmlformats.org/officeDocument/2006/relationships/hyperlink" Target="https://www.tiktok.com/@evolutiva_mente/video/7403924323074870533" TargetMode="External"/><Relationship Id="rId75" Type="http://schemas.openxmlformats.org/officeDocument/2006/relationships/hyperlink" Target="https://v16-webapp-prime.tiktok.com/video/tos/alisg/tos-alisg-v-27dcd7/o0UnstQgQ3CFkE5lfXJR49fAYUDvBBEYBgToM3/?a=1988&amp;bti=ODszNWYuMDE6&amp;ch=0&amp;cr=0&amp;dr=0&amp;er=0&amp;lr=default&amp;cd=0%7C0%7C0%7C0&amp;br=250&amp;bt=125&amp;ft=GNDpcInz7ThoPKvPXq8Zmo&amp;mime_type=audio_mpeg&amp;qs=6&amp;rc=aWU0Nzg5NDhnZjxoM2g1NEBpMztoM3Y5cmVzNjMzODU8NEAzL2EzXzAwNTExYGFeXzIzYSNtLi8wMmRjXm9hLS1kMS1zcw%3D%3D&amp;btag=e00090000&amp;expire=1764559350&amp;l=202512011020068133AB7BCB086C5F4CDC&amp;ply_type=3&amp;policy=3&amp;signature=38702ef2a5cbd69aef9b32b3183af897&amp;tk=7571587458748974088" TargetMode="External"/><Relationship Id="rId1765" Type="http://schemas.openxmlformats.org/officeDocument/2006/relationships/hyperlink" Target="https://p16-sign-va.tiktokcdn.com/tos-maliva-avt-0068/dc1608455681d3e6f1abea986b3921cc~tplv-tiktokx-cropcenter:100:100.jpeg?dr=14579&amp;refresh_token=9cbd0250&amp;x-expires=1764727200&amp;x-signature=ydvSuI4h5zgSx%2Bsd0mtiDqLT0DI%3D&amp;t=4d5b0474&amp;ps=13740610&amp;shp=a5d48078&amp;shcp=81f88b70&amp;idc=my" TargetMode="External"/><Relationship Id="rId74" Type="http://schemas.openxmlformats.org/officeDocument/2006/relationships/hyperlink" Target="https://p16-sign-va.tiktokcdn.com/tos-maliva-avt-0068/6be26b68d84c67932ffb00957a6ebeb5~tplv-tiktokx-cropcenter:100:100.jpeg?dr=14579&amp;refresh_token=48ca4d6a&amp;x-expires=1764727200&amp;x-signature=gObk7sY%2F9xw0Sy4xsIv8WsM3TIY%3D&amp;t=4d5b0474&amp;ps=13740610&amp;shp=a5d48078&amp;shcp=81f88b70&amp;idc=my" TargetMode="External"/><Relationship Id="rId1766" Type="http://schemas.openxmlformats.org/officeDocument/2006/relationships/hyperlink" Target="https://v16-webapp-prime.tiktok.com/video/tos/useast2a/tos-useast2a-v-27dcd7/oITCPLCOAuHeNQvOeLczEASe9AQoQAEKGkQLIg/?a=1988&amp;bti=ODszNWYuMDE6&amp;ch=0&amp;cr=0&amp;dr=0&amp;er=0&amp;lr=default&amp;cd=0%7C0%7C0%7C0&amp;br=250&amp;bt=125&amp;ds=5&amp;ft=GNDpcInz7ThpzKvPXq8Zmo&amp;mime_type=audio_mpeg&amp;qs=13&amp;rc=MzVkdG45cnJscTMzNzU8M0BpMzVkdG45cnJscTMzNzU8M0BsL3AuMmRzMGNgLS1kMTZzYSNsL3AuMmRzMGNgLS1kMTZzcw%3D%3D&amp;btag=e00050000&amp;expire=1764559358&amp;l=2025120110213056C909F1BE127E576E48&amp;ply_type=3&amp;policy=3&amp;signature=d0411b24cfabc6c3e6c51b130fc4ceb5&amp;tk=7571587458748974088" TargetMode="External"/><Relationship Id="rId77" Type="http://schemas.openxmlformats.org/officeDocument/2006/relationships/hyperlink" Target="https://v16-webapp-prime.tiktok.com/video/tos/alisg/tos-alisg-pve-0037c001/oIPaMUwABQBiDZgOwvB4coEheITUa6RDeioE0L/?a=1988&amp;bti=ODszNWYuMDE6&amp;ch=0&amp;cr=3&amp;dr=0&amp;lr=all&amp;cd=0%7C0%7C0%7C&amp;cv=1&amp;br=2170&amp;bt=1085&amp;cs=0&amp;ds=3&amp;ft=-Csk_mrMPD12Nudh5d-Uxs12aY6e3wv252cAp&amp;mime_type=video_mp4&amp;qs=0&amp;rc=ODRpPDhmOGhkMzhlNDc6NEBpM3I8NWo5cmpzNjMzODczNEAtMGM2LzY1NTMxYzUuMDA2YSNoZ280MmQ0Nm9hLS1kMWBzcw%3D%3D&amp;btag=e00090000&amp;expire=1764728550&amp;l=202512011020068133AB7BCB086C5F4CDC&amp;ply_type=2&amp;policy=2&amp;signature=9ddeb5897c24f434ebad2afe36313782&amp;tk=tt_chain_token" TargetMode="External"/><Relationship Id="rId1767" Type="http://schemas.openxmlformats.org/officeDocument/2006/relationships/hyperlink" Target="https://p16-sign-va.tiktokcdn.com/tos-maliva-avt-0068/dc1608455681d3e6f1abea986b3921cc~tplv-tiktokx-cropcenter:1080:1080.jpeg?dr=14579&amp;refresh_token=24b3be5c&amp;x-expires=1764727200&amp;x-signature=weQEGejZCADzPq9QFW1yD2Ob07o%3D&amp;t=4d5b0474&amp;ps=13740610&amp;shp=a5d48078&amp;shcp=81f88b70&amp;idc=my" TargetMode="External"/><Relationship Id="rId76" Type="http://schemas.openxmlformats.org/officeDocument/2006/relationships/hyperlink" Target="https://p77-sign-va.tiktokcdn.com/tos-maliva-avt-0068/6be26b68d84c67932ffb00957a6ebeb5~tplv-tiktokx-cropcenter:1080:1080.jpeg?dr=14579&amp;refresh_token=35bc7e71&amp;x-expires=1764727200&amp;x-signature=9kgeXHmuBa%2FceQqvh13XxZRQbzY%3D&amp;t=4d5b0474&amp;ps=13740610&amp;shp=a5d48078&amp;shcp=81f88b70&amp;idc=my" TargetMode="External"/><Relationship Id="rId1768" Type="http://schemas.openxmlformats.org/officeDocument/2006/relationships/hyperlink" Target="https://v16-webapp-prime.tiktok.com/video/tos/maliva/tos-maliva-ve-0068c801-us/oseIp8ke3gsjMwxiAAwQAVCSQCvWA4PqLNLVfN/?a=1988&amp;bti=ODszNWYuMDE6&amp;ch=0&amp;cr=3&amp;dr=0&amp;lr=all&amp;cd=1%7C0%7C1%7C&amp;cv=1&amp;br=1486&amp;bt=743&amp;cs=0&amp;ds=3&amp;ft=-Csk_mrMPD12NgDh5d-UxgS5hY6e3wv25-cAp&amp;mime_type=video_mp4&amp;qs=0&amp;rc=OWY3ZTxpM2U0ZTVpM2RnN0BpanMzZXA5cnRscTMzNzczM0AuMDU1Li8uXjUxLjM2NTJfYSNqYV4uMmRrL2NgLS1kMTZzcw%3D%3D&amp;btag=e00090000&amp;expire=1764728558&amp;l=2025120110213056C909F1BE127E576E48&amp;ply_type=2&amp;policy=2&amp;signature=4b527950a233afb68112d3cbecf9f220&amp;tk=tt_chain_token" TargetMode="External"/><Relationship Id="rId79" Type="http://schemas.openxmlformats.org/officeDocument/2006/relationships/hyperlink" Target="https://p16-sign-va.tiktokcdn.com/tos-maliva-avt-0068/409b8f094a519052398ae01ba95bf160~tplv-tiktokx-cropcenter:100:100.jpeg?dr=14579&amp;refresh_token=5748a869&amp;x-expires=1764727200&amp;x-signature=N%2FBc5DyrAsE9yoOdqQowyLACSfM%3D&amp;t=4d5b0474&amp;ps=13740610&amp;shp=a5d48078&amp;shcp=81f88b70&amp;idc=my" TargetMode="External"/><Relationship Id="rId1769" Type="http://schemas.openxmlformats.org/officeDocument/2006/relationships/hyperlink" Target="https://www.tiktok.com/@michelmansurpsicologia/video/7340623143859457286" TargetMode="External"/><Relationship Id="rId78" Type="http://schemas.openxmlformats.org/officeDocument/2006/relationships/hyperlink" Target="https://www.tiktok.com/@dr.thiagocastrooficial/video/7563678079781014805" TargetMode="External"/><Relationship Id="rId71" Type="http://schemas.openxmlformats.org/officeDocument/2006/relationships/hyperlink" Target="https://p77-sign-va.tiktokcdn.com/tos-maliva-avt-0068/9b6af4958a7cc6ac09fb0db99868e9da~tplv-tiktokx-cropcenter:1080:1080.jpeg?dr=14579&amp;refresh_token=92566151&amp;x-expires=1764727200&amp;x-signature=8wGT4ixTyIM4eC3vj5BUJFewGww%3D&amp;t=4d5b0474&amp;ps=13740610&amp;shp=a5d48078&amp;shcp=81f88b70&amp;idc=my" TargetMode="External"/><Relationship Id="rId70" Type="http://schemas.openxmlformats.org/officeDocument/2006/relationships/hyperlink" Target="https://v16-webapp-prime.tiktok.com/video/tos/useast2a/tos-useast2a-v-27dcd7/oIQiSpPmkulIHBwOiGJK4a4sxmMUGpCPCAgPK/?a=1988&amp;bti=ODszNWYuMDE6&amp;ch=0&amp;cr=0&amp;dr=0&amp;er=0&amp;lr=default&amp;cd=0%7C0%7C0%7C0&amp;br=250&amp;bt=125&amp;ft=GNDpcInz7ThIPKvPXq8Zmo&amp;mime_type=audio_mpeg&amp;qs=6&amp;rc=Mzw2Z2Q6M2RmM2c2NDs5OEBpanJyZWo5cjk1NDMzNzU8M0AxMC9jLjZjNi8xYF4uNDVfYSM0aWQ0MmQ0YXBhLS1kMTZzcw%3D%3D&amp;btag=e000b8000&amp;expire=1764559239&amp;l=20251201102014E2CB5F4C19000C61E683&amp;ply_type=3&amp;policy=3&amp;signature=f6b6e599e53e2ec36901bc34d2a7c223&amp;tk=7571587458748974088" TargetMode="External"/><Relationship Id="rId1760" Type="http://schemas.openxmlformats.org/officeDocument/2006/relationships/hyperlink" Target="https://p77-sign-va.tiktokcdn.com/tos-maliva-avt-0068/5e5b84ee647a8a7823fb0c571e620293~tplv-tiktokx-cropcenter:100:100.jpeg?dr=14579&amp;refresh_token=36976c26&amp;x-expires=1764727200&amp;x-signature=VwlhZz5xrLnRjNMJE5t4SmYpRvw%3D&amp;t=4d5b0474&amp;ps=13740610&amp;shp=a5d48078&amp;shcp=81f88b70&amp;idc=my" TargetMode="External"/><Relationship Id="rId1761" Type="http://schemas.openxmlformats.org/officeDocument/2006/relationships/hyperlink" Target="https://v16-webapp-prime.tiktok.com/video/tos/useast2a/tos-useast2a-v-27dcd7/ogIu5AToICEefIGAANAgkQ4eSCLvFCgGA9H355/?a=1988&amp;bti=ODszNWYuMDE6&amp;ch=0&amp;cr=0&amp;dr=0&amp;er=0&amp;lr=default&amp;cd=0%7C0%7C0%7C0&amp;br=250&amp;bt=125&amp;ds=5&amp;ft=GNDpcInz7ThmPKvPXq8Zmo&amp;mime_type=audio_mpeg&amp;qs=13&amp;rc=MzVzNXg5cngzdTMzNzU8M0BpMzVzNXg5cngzdTMzNzU8M0BocjZjMmRzXy1gLS1kMTZzYSNocjZjMmRzXy1gLS1kMTZzcw%3D%3D&amp;btag=e00048000&amp;expire=1764559273&amp;l=20251201102018B39B5434B49F795A75FD&amp;ply_type=3&amp;policy=3&amp;signature=61045a8928e351b2bc913316999ebe4d&amp;tk=7571587458748974088" TargetMode="External"/><Relationship Id="rId1762" Type="http://schemas.openxmlformats.org/officeDocument/2006/relationships/hyperlink" Target="https://p77-sign-va.tiktokcdn.com/tos-maliva-avt-0068/5e5b84ee647a8a7823fb0c571e620293~tplv-tiktokx-cropcenter:1080:1080.jpeg?dr=14579&amp;refresh_token=703dfcf1&amp;x-expires=1764727200&amp;x-signature=RvdJcujZshiyjk%2F9f%2Fendj3RVpw%3D&amp;t=4d5b0474&amp;ps=13740610&amp;shp=a5d48078&amp;shcp=81f88b70&amp;idc=my" TargetMode="External"/><Relationship Id="rId62" Type="http://schemas.openxmlformats.org/officeDocument/2006/relationships/hyperlink" Target="https://v16-webapp-prime.tiktok.com/video/tos/useast2a/tos-useast2a-ve-0068c003/oo4VHAkMgEPzzfnWQTeeFAgfJF1t8PrAFWRYA7/?a=1988&amp;bti=ODszNWYuMDE6&amp;ch=0&amp;cr=3&amp;dr=0&amp;lr=all&amp;cd=0%7C0%7C0%7C&amp;cv=1&amp;br=1546&amp;bt=773&amp;cs=0&amp;ds=3&amp;ft=ytpHh9DfxxOusd.YtDKt8lcLVWOuRx_HFKKMNOWCuJETJDz7T&amp;mime_type=video_mp4&amp;qs=0&amp;rc=MzRnOWk2aWdnZzhnNTc6Z0BpM3ZvdnA5cml5MzMzNzgzM0A1Yy4zNmJeX14xXy8zNC0yYSNzZ19jMmRjMjRhLS1kLzZzcw%3D%3D&amp;btag=e00088000&amp;expire=1764728469&amp;l=202512011020211DC26370CAB01566B5CA&amp;ply_type=2&amp;policy=2&amp;signature=b7e5ddca1a63489dd3e4e0eb4b0d20c8&amp;tk=tt_chain_token" TargetMode="External"/><Relationship Id="rId1312" Type="http://schemas.openxmlformats.org/officeDocument/2006/relationships/hyperlink" Target="https://p16-sign-va.tiktokcdn.com/tos-maliva-avt-0068/ebc42eb348fcf29a09bcbf1c40faef80~tplv-tiktokx-cropcenter:1080:1080.jpeg?dr=14579&amp;refresh_token=da718dc3&amp;x-expires=1764727200&amp;x-signature=idHE7IQWzL4DE2KOvOUyTQ92c2U%3D&amp;t=4d5b0474&amp;ps=13740610&amp;shp=a5d48078&amp;shcp=81f88b70&amp;idc=my" TargetMode="External"/><Relationship Id="rId1796" Type="http://schemas.openxmlformats.org/officeDocument/2006/relationships/hyperlink" Target="https://sf16-ies-music-sg.tiktokcdn.com/obj/tos-alisg-ve-2774/oknMrdNYqFfndzcxAQL63IgGPeeJTaEIDaCVuY" TargetMode="External"/><Relationship Id="rId61" Type="http://schemas.openxmlformats.org/officeDocument/2006/relationships/hyperlink" Target="https://p16-sign-va.tiktokcdn.com/tos-maliva-avt-0068/d6256afed811bb7cfc08946a383186a8~tplv-tiktokx-cropcenter:1080:1080.jpeg?dr=14579&amp;refresh_token=27ae290b&amp;x-expires=1764727200&amp;x-signature=6okzs%2FAOC1DfUGMst4HJU0if9tc%3D&amp;t=4d5b0474&amp;ps=13740610&amp;shp=a5d48078&amp;shcp=81f88b70&amp;idc=my" TargetMode="External"/><Relationship Id="rId1313" Type="http://schemas.openxmlformats.org/officeDocument/2006/relationships/hyperlink" Target="https://v16-webapp-prime.tiktok.com/video/tos/useast2a/tos-useast2a-ve-0068c002/okkvODRIqIv6CDaghywonazCfFtQAASBJE22PZ/?a=1988&amp;bti=ODszNWYuMDE6&amp;ch=0&amp;cr=3&amp;dr=0&amp;lr=all&amp;cd=0%7C0%7C0%7C&amp;cv=1&amp;br=676&amp;bt=338&amp;cs=0&amp;ds=6&amp;ft=I~da4oKyD12Nvi.WS.IxR51NWlBF-UjNSMopiX&amp;mime_type=video_mp4&amp;qs=5&amp;rc=NmY1Njo4aGU7PGgzOTY2PEBpamRkcDU6ZjUzazMzNzczM0AvNTA0MjY2X2AxM2IuYTRgYSMuc2trcjRvbm9gLS1kMTZzcw%3D%3D&amp;btag=e00088000&amp;expire=1764728449&amp;l=202512011020200FFD70C70F6D756DA043&amp;ply_type=2&amp;policy=2&amp;signature=3ab0dbe1723febcd407ca3f04d969a87&amp;tk=tt_chain_token" TargetMode="External"/><Relationship Id="rId1797" Type="http://schemas.openxmlformats.org/officeDocument/2006/relationships/hyperlink" Target="https://p77-sg.tiktokcdn.com/aweme/720x720/tos-alisg-v-2774/owfbJHoBAAAiA4wG6xBuo0ElBEAkOMsvJiOWAV.jpeg" TargetMode="External"/><Relationship Id="rId64" Type="http://schemas.openxmlformats.org/officeDocument/2006/relationships/hyperlink" Target="https://p16-sign-sg.tiktokcdn.com/tos-alisg-avt-0068/305c199048748400d13f89ce936c5a5e~tplv-tiktokx-cropcenter:100:100.jpeg?dr=14579&amp;refresh_token=52fb7177&amp;x-expires=1764727200&amp;x-signature=GkCgviyUQNKQLNsruThFnzBNyTI%3D&amp;t=4d5b0474&amp;ps=13740610&amp;shp=a5d48078&amp;shcp=81f88b70&amp;idc=my" TargetMode="External"/><Relationship Id="rId1314" Type="http://schemas.openxmlformats.org/officeDocument/2006/relationships/hyperlink" Target="https://www.tiktok.com/@psicologo.mateus/video/7238987840082791686" TargetMode="External"/><Relationship Id="rId1798" Type="http://schemas.openxmlformats.org/officeDocument/2006/relationships/hyperlink" Target="https://v16-webapp-prime.tiktok.com/video/tos/maliva/tos-maliva-ve-0068c801-us/oIs4NXeIjRzADSeerOgAKPGLBNsLICDkCgM8o1/?a=1988&amp;bti=ODszNWYuMDE6&amp;ch=0&amp;cr=3&amp;dr=0&amp;lr=all&amp;cd=0%7C0%7C0%7C&amp;cv=1&amp;br=636&amp;bt=318&amp;cs=0&amp;ds=3&amp;ft=-Csk_mrMPD12NgDh5d-UxgS5hY6e3wv25-cAp&amp;mime_type=video_mp4&amp;qs=0&amp;rc=ZWc0aDM0NTlkOmZlNWdlOkBpajZpZnQ5cjNscTMzNzczM0BiNjQuNmA2NTUxNi1hNWMuYSNhcGhyMmRjY2lgLS1kMTZzcw%3D%3D&amp;btag=e00090000&amp;expire=1764728637&amp;l=2025120110213056C909F1BE127E576E48&amp;ply_type=2&amp;policy=2&amp;signature=3d269e65c9a375e513788f3e9ad41a62&amp;tk=tt_chain_token" TargetMode="External"/><Relationship Id="rId63" Type="http://schemas.openxmlformats.org/officeDocument/2006/relationships/hyperlink" Target="https://www.tiktok.com/@piguivideos/video/7498479410048175415" TargetMode="External"/><Relationship Id="rId1315" Type="http://schemas.openxmlformats.org/officeDocument/2006/relationships/hyperlink" Target="https://p77-sign-va.tiktokcdn.com/tos-maliva-avt-0068/00f6ab8b637b29865ceebe24b10fef4a~tplv-tiktokx-cropcenter:100:100.jpeg?dr=14579&amp;refresh_token=4b53d85e&amp;x-expires=1764727200&amp;x-signature=dFwXDxTx3ETWELw0GrgO%2FDfypX4%3D&amp;t=4d5b0474&amp;ps=13740610&amp;shp=a5d48078&amp;shcp=81f88b70&amp;idc=my" TargetMode="External"/><Relationship Id="rId1799" Type="http://schemas.openxmlformats.org/officeDocument/2006/relationships/hyperlink" Target="https://www.tiktok.com/@anabeatrizbrazil/video/7344007493384752390" TargetMode="External"/><Relationship Id="rId66" Type="http://schemas.openxmlformats.org/officeDocument/2006/relationships/hyperlink" Target="https://p16-sign-sg.tiktokcdn.com/tos-alisg-avt-0068/305c199048748400d13f89ce936c5a5e~tplv-tiktokx-cropcenter:1080:1080.jpeg?dr=14579&amp;refresh_token=c51704c5&amp;x-expires=1764727200&amp;x-signature=62ljJs%2ByYCh5SZZk0lNGiJDC1j4%3D&amp;t=4d5b0474&amp;ps=13740610&amp;shp=a5d48078&amp;shcp=81f88b70&amp;idc=my" TargetMode="External"/><Relationship Id="rId1316" Type="http://schemas.openxmlformats.org/officeDocument/2006/relationships/hyperlink" Target="https://sf16-ies-music-sg.tiktokcdn.com/obj/tos-alisg-ve-2774/dc03c985ace24a7398e5acfdaf3ceaed" TargetMode="External"/><Relationship Id="rId65" Type="http://schemas.openxmlformats.org/officeDocument/2006/relationships/hyperlink" Target="https://v16-webapp-prime.tiktok.com/video/tos/useast2a/tos-useast2a-v-27dcd7/o8qISLGKToCSXIAJYfII7sCEVAdgYqAUvOeeEC/?a=1988&amp;bti=ODszNWYuMDE6&amp;ch=0&amp;cr=0&amp;dr=0&amp;er=0&amp;lr=default&amp;cd=0%7C0%7C0%7C0&amp;br=250&amp;bt=125&amp;ds=5&amp;ft=GNDpcInz7ThkPKvPXq8Zmo&amp;mime_type=audio_mpeg&amp;qs=13&amp;rc=amtuNnQ5cjRvdzMzNzU8M0BpamtuNnQ5cjRvdzMzNzU8M0A0YmplMmQ0X2NgLS1kMTZzYSM0YmplMmQ0X2NgLS1kMTZzcw%3D%3D&amp;btag=e00050000&amp;expire=1764559321&amp;l=2025120110204563AE4C62401D615C8166&amp;ply_type=3&amp;policy=3&amp;signature=481734a04bb723f3702549856aca08e8&amp;tk=7571587458748974088" TargetMode="External"/><Relationship Id="rId1317" Type="http://schemas.openxmlformats.org/officeDocument/2006/relationships/hyperlink" Target="https://p16-sg.tiktokcdn.com/aweme/720x720/tos-alisg-v-2774/baccdb3bc024418b9276ed236c584908.jpeg" TargetMode="External"/><Relationship Id="rId68" Type="http://schemas.openxmlformats.org/officeDocument/2006/relationships/hyperlink" Target="https://www.tiktok.com/@draanabeatriz11/video/7448766255613431045" TargetMode="External"/><Relationship Id="rId1318" Type="http://schemas.openxmlformats.org/officeDocument/2006/relationships/hyperlink" Target="https://v16-webapp-prime.tiktok.com/video/tos/alisg/tos-alisg-pve-0037c001/oshGEJxtxNDIwFERfbQk9Qfr5HszdoQBAKDLnB/?a=1988&amp;bti=ODszNWYuMDE6&amp;ch=0&amp;cr=3&amp;dr=0&amp;lr=all&amp;cd=0%7C0%7C0%7C&amp;cv=1&amp;br=2196&amp;bt=1098&amp;cs=0&amp;ds=3&amp;ft=I~da4oKyD12Nvm1WS.IxR~kNglBF-UjNSEopiX&amp;mime_type=video_mp4&amp;qs=0&amp;rc=NzVlaTs6ZDRoOjlmPDg7N0BpajYzcTY6ZnlrazMzNzczM0A1MzAxYTNeNl8xMjA0MzZhYSNwaGJycjRvaS5gLS1kMTZzcw%3D%3D&amp;btag=e00088000&amp;expire=1764728509&amp;l=2025120110210868B8F68F0D0B7F5CDC9D&amp;ply_type=2&amp;policy=2&amp;signature=7c24a4cf5f349e902228c255b4ea2cdc&amp;tk=tt_chain_token" TargetMode="External"/><Relationship Id="rId67" Type="http://schemas.openxmlformats.org/officeDocument/2006/relationships/hyperlink" Target="https://v16-webapp-prime.tiktok.com/video/tos/useast2a/tos-useast2a-pve-0068/ooFYI0JRXE81JiDlBSQFRXaLQfV6nyEBFgVtfA/?a=1988&amp;bti=ODszNWYuMDE6&amp;ch=0&amp;cr=3&amp;dr=0&amp;lr=all&amp;cd=0%7C0%7C0%7C&amp;cv=1&amp;br=1956&amp;bt=978&amp;cs=0&amp;ds=3&amp;ft=-Csk_mrMPD12Nqdh5d-UxgS5hY6e3wv25icAp&amp;mime_type=video_mp4&amp;qs=0&amp;rc=ZjlkZzc3ODxkaTk4OjhlN0BpMztvO3A5cnZvdzMzNzczM0BiLTBiMzQwNjYxNF4zLzIvYSNxMmtmMmRrXmNgLS1kMTZzcw%3D%3D&amp;btag=e00090000&amp;expire=1764728521&amp;l=2025120110204563AE4C62401D615C8166&amp;ply_type=2&amp;policy=2&amp;signature=0975af12bcb6383c0c071166488951a0&amp;tk=tt_chain_token" TargetMode="External"/><Relationship Id="rId1319" Type="http://schemas.openxmlformats.org/officeDocument/2006/relationships/hyperlink" Target="https://www.tiktok.com/@psi.carolynedestefani/video/7224647923882020101" TargetMode="External"/><Relationship Id="rId729" Type="http://schemas.openxmlformats.org/officeDocument/2006/relationships/hyperlink" Target="https://v16-webapp-prime.tiktok.com/video/tos/alisg/tos-alisg-pve-0037c001/okr7GeDpIIroR0WBCARALCItgWjVAOmUfDftSQ/?a=1988&amp;bti=ODszNWYuMDE6&amp;ch=0&amp;cr=3&amp;dr=0&amp;lr=all&amp;cd=0%7C0%7C0%7C&amp;cv=1&amp;br=2724&amp;bt=1362&amp;cs=0&amp;ds=3&amp;ft=-Csk_mrMPD12NyDh5d-UxO72hY6e3wv257cAp&amp;mime_type=video_mp4&amp;qs=0&amp;rc=MzRkPDw0Z2llNDlmOjRoOUBpajNsO2o5cndkNjMzODczNEAxNmNjMzFhNjAxYi5iYmBjYSNeZ2RsMmQ0bm9hLS1kMTFzcw%3D%3D&amp;btag=e00090000&amp;expire=1764728532&amp;l=20251201102104F69A53E45B65A94E5B1C&amp;ply_type=2&amp;policy=2&amp;signature=83274d6b15906544353394aa0e57838b&amp;tk=tt_chain_token" TargetMode="External"/><Relationship Id="rId728" Type="http://schemas.openxmlformats.org/officeDocument/2006/relationships/hyperlink" Target="https://p16-sign-va.tiktokcdn.com/tos-maliva-avt-0068/b65580219dd212688aa9c5305651ee47~tplv-tiktokx-cropcenter:1080:1080.jpeg?dr=14579&amp;refresh_token=3163266f&amp;x-expires=1764727200&amp;x-signature=ClKzrdbOpB%2BCrvfBAEQQWYtuWa8%3D&amp;t=4d5b0474&amp;ps=13740610&amp;shp=a5d48078&amp;shcp=81f88b70&amp;idc=my" TargetMode="External"/><Relationship Id="rId60" Type="http://schemas.openxmlformats.org/officeDocument/2006/relationships/hyperlink" Target="https://v16-webapp-prime.tiktok.com/video/tos/useast2a/tos-useast2a-v-27dcd7/oYj1PBCifkLh0iM0wBiPgAoGW8BTzGIUE7B8KV/?a=1988&amp;bti=ODszNWYuMDE6&amp;ch=0&amp;cr=0&amp;dr=0&amp;er=0&amp;lr=default&amp;cd=0%7C0%7C0%7C0&amp;br=250&amp;bt=125&amp;ft=GNDpcInz7ThyPKvPXq8Zmo&amp;mime_type=audio_mpeg&amp;qs=6&amp;rc=Njk6ZmU8NDpmNzVpZjVmNEBpM3BqO3Y5cm95MzMzNzU8M0A2NjRjM19iNi4xLTIwMWIzYSMwMXJeMmQ0MzRhLS1kMTZzcw%3D%3D&amp;btag=e00088000&amp;expire=1764559269&amp;l=202512011020211DC26370CAB01566B5CA&amp;ply_type=3&amp;policy=3&amp;signature=bddfa5757aa52c04310fb64e5b959cc6&amp;tk=7571587458748974088" TargetMode="External"/><Relationship Id="rId723" Type="http://schemas.openxmlformats.org/officeDocument/2006/relationships/hyperlink" Target="https://p77-sign-va.tiktokcdn.com/tos-maliva-avt-0068/b65580219dd212688aa9c5305651ee47~tplv-tiktokx-cropcenter:1080:1080.jpeg?dr=14579&amp;refresh_token=65299c8d&amp;x-expires=1764727200&amp;x-signature=fCBTj%2BixHQYZ1econVLm6Q2yBYg%3D&amp;t=4d5b0474&amp;ps=13740610&amp;shp=a5d48078&amp;shcp=81f88b70&amp;idc=my" TargetMode="External"/><Relationship Id="rId722" Type="http://schemas.openxmlformats.org/officeDocument/2006/relationships/hyperlink" Target="https://v16-webapp-prime.tiktok.com/video/tos/alisg/tos-alisg-v-27dcd7/oUfdA47HARshIAEsCa1FSoeDCWAUeITwXigEAD/?a=1988&amp;bti=ODszNWYuMDE6&amp;ch=0&amp;cr=0&amp;dr=0&amp;er=0&amp;lr=default&amp;cd=0%7C0%7C0%7C0&amp;br=250&amp;bt=125&amp;ds=5&amp;ft=GNDpcInz7ThuPKvPXq8Zmo&amp;mime_type=audio_mpeg&amp;qs=13&amp;rc=M3Zvb2s5cnEzNjMzODU8NEBpM3Zvb2s5cnEzNjMzODU8NEAyaWUxMmRjX3BhLS1kMS1zYSMyaWUxMmRjX3BhLS1kMS1zcw%3D%3D&amp;btag=e00050000&amp;expire=1764559330&amp;l=20251201102046E8B89E886773854715A1&amp;ply_type=3&amp;policy=3&amp;signature=f40307f43ec487b706f5a0d8ac1a0fd5&amp;tk=7571587458748974088" TargetMode="External"/><Relationship Id="rId721" Type="http://schemas.openxmlformats.org/officeDocument/2006/relationships/hyperlink" Target="https://p77-sign-va.tiktokcdn.com/tos-maliva-avt-0068/b65580219dd212688aa9c5305651ee47~tplv-tiktokx-cropcenter:100:100.jpeg?dr=14579&amp;refresh_token=15e2eec0&amp;x-expires=1764727200&amp;x-signature=S9%2BUHdJh1BBS9Rm8nEGMYLSM1%2BY%3D&amp;t=4d5b0474&amp;ps=13740610&amp;shp=a5d48078&amp;shcp=81f88b70&amp;idc=my" TargetMode="External"/><Relationship Id="rId720" Type="http://schemas.openxmlformats.org/officeDocument/2006/relationships/hyperlink" Target="https://www.tiktok.com/@lorenatdahta/video/7217830554513771782" TargetMode="External"/><Relationship Id="rId727" Type="http://schemas.openxmlformats.org/officeDocument/2006/relationships/hyperlink" Target="https://v16-webapp-prime.tiktok.com/video/tos/alisg/tos-alisg-v-27dcd7/o8AYDTAKugP1rEaDltECa2iABaAHXlaUioPA1/?a=1988&amp;bti=ODszNWYuMDE6&amp;ch=0&amp;cr=0&amp;dr=0&amp;er=0&amp;lr=default&amp;cd=0%7C0%7C0%7C0&amp;br=250&amp;bt=125&amp;ds=5&amp;ft=GNDpcInz7Th4zKvPXq8Zmo&amp;mime_type=audio_mpeg&amp;qs=13&amp;rc=anQ1b285cjtkNjMzODU8NEBpanQ1b285cjtkNjMzODU8NEBmcHBuMmQ0b29hLS1kMS1zYSNmcHBuMmQ0b29hLS1kMS1zcw%3D%3D&amp;btag=e00050000&amp;expire=1764559331&amp;l=20251201102104F69A53E45B65A94E5B1C&amp;ply_type=3&amp;policy=3&amp;signature=085a7db74b580cb709ea37493279fbc9&amp;tk=7571587458748974088" TargetMode="External"/><Relationship Id="rId726" Type="http://schemas.openxmlformats.org/officeDocument/2006/relationships/hyperlink" Target="https://p16-sign-va.tiktokcdn.com/tos-maliva-avt-0068/b65580219dd212688aa9c5305651ee47~tplv-tiktokx-cropcenter:100:100.jpeg?dr=14579&amp;refresh_token=d8e18523&amp;x-expires=1764727200&amp;x-signature=FUkhT7zDieVxyPnSflsZmp9pK6A%3D&amp;t=4d5b0474&amp;ps=13740610&amp;shp=a5d48078&amp;shcp=81f88b70&amp;idc=my" TargetMode="External"/><Relationship Id="rId725" Type="http://schemas.openxmlformats.org/officeDocument/2006/relationships/hyperlink" Target="https://www.tiktok.com/@dulcivaldejesussantos/video/7563801967756168469" TargetMode="External"/><Relationship Id="rId724" Type="http://schemas.openxmlformats.org/officeDocument/2006/relationships/hyperlink" Target="https://v16-webapp-prime.tiktok.com/video/tos/alisg/tos-alisg-pve-0037c001/o8yWQouRqDA8CwNOnAF2DjRgHIgAWCfeIbfkwE/?a=1988&amp;bti=ODszNWYuMDE6&amp;ch=0&amp;cr=3&amp;dr=0&amp;lr=all&amp;cd=0%7C0%7C0%7C&amp;cv=1&amp;br=1318&amp;bt=659&amp;cs=0&amp;ds=2&amp;ft=I~da4oKyD12Nvb.WS.IxRnTNWlBF-UjNS3opiX&amp;mime_type=video_mp4&amp;qs=0&amp;rc=Omg8aGZnODM3Z2Y8ZTVkaUBpamVxaHU5cmQzNjMzODczNEAxL2NfNDYxXjIxNmJfMy80YSNfLS4xMmRrX3BhLS1kMTFzcw%3D%3D&amp;btag=e00090000&amp;expire=1764728530&amp;l=20251201102046E8B89E886773854715A1&amp;ply_type=2&amp;policy=2&amp;signature=9726c440bab391f6e5832292f2a1275d&amp;tk=tt_chain_token" TargetMode="External"/><Relationship Id="rId69" Type="http://schemas.openxmlformats.org/officeDocument/2006/relationships/hyperlink" Target="https://p77-sign-va.tiktokcdn.com/tos-maliva-avt-0068/9b6af4958a7cc6ac09fb0db99868e9da~tplv-tiktokx-cropcenter:100:100.jpeg?dr=14579&amp;refresh_token=90b14842&amp;x-expires=1764727200&amp;x-signature=QaMizGSmFOFpuIR2NfjXdFDkvP0%3D&amp;t=4d5b0474&amp;ps=13740610&amp;shp=a5d48078&amp;shcp=81f88b70&amp;idc=my" TargetMode="External"/><Relationship Id="rId1790" Type="http://schemas.openxmlformats.org/officeDocument/2006/relationships/hyperlink" Target="https://p16-sign-sg.tiktokcdn.com/tos-alisg-avt-0068/ef453429da1ede2afa52cd21b126e3e9~tplv-tiktokx-cropcenter:100:100.jpeg?dr=14579&amp;refresh_token=7c317c85&amp;x-expires=1764727200&amp;x-signature=2OtmuRXv9PiFy1I4XP0BG6cFP5w%3D&amp;t=4d5b0474&amp;ps=13740610&amp;shp=a5d48078&amp;shcp=81f88b70&amp;idc=my" TargetMode="External"/><Relationship Id="rId1791" Type="http://schemas.openxmlformats.org/officeDocument/2006/relationships/hyperlink" Target="https://v16-webapp-prime.tiktok.com/video/tos/useast2a/tos-useast2a-v-27dcd7/okGUzNgQXF0uCBJfDotYJVQEYEQEfBDDY0ZiP9/?a=1988&amp;bti=ODszNWYuMDE6&amp;ch=0&amp;cr=0&amp;dr=0&amp;er=0&amp;lr=default&amp;cd=0%7C0%7C0%7C0&amp;br=250&amp;bt=125&amp;ft=GNDpcInz7ThGPKvPXq8Zmo&amp;mime_type=audio_mpeg&amp;qs=6&amp;rc=ZzNnNmYzNDdpZTg4NWY5OkBpajQ6eHA5cjk5MzMzNzU8M0AwXjVgMjA0NjExYTBeLjZhYSNvaGBpMmQ0YG5hLS1kMTZzcw%3D%3D&amp;btag=e00090000&amp;expire=1764559387&amp;l=202512011020239FD63C9B4E4C976A9E36&amp;ply_type=3&amp;policy=3&amp;signature=76b45719861e00ab91a745a34081ccff&amp;tk=7571587458748974088" TargetMode="External"/><Relationship Id="rId1792" Type="http://schemas.openxmlformats.org/officeDocument/2006/relationships/hyperlink" Target="https://p16-sign-sg.tiktokcdn.com/tos-alisg-avt-0068/ef453429da1ede2afa52cd21b126e3e9~tplv-tiktokx-cropcenter:1080:1080.jpeg?dr=14579&amp;refresh_token=6fd225d6&amp;x-expires=1764727200&amp;x-signature=pBPeCOiDryp%2F3%2F0tb0M3PrxZfXc%3D&amp;t=4d5b0474&amp;ps=13740610&amp;shp=a5d48078&amp;shcp=81f88b70&amp;idc=my" TargetMode="External"/><Relationship Id="rId1793" Type="http://schemas.openxmlformats.org/officeDocument/2006/relationships/hyperlink" Target="https://v16-webapp-prime.tiktok.com/video/tos/useast2a/tos-useast2a-pve-0068/oo2V6NEYWbMTGlJlCMXb2lQQDfA5FBgdMBfoGI/?a=1988&amp;bti=ODszNWYuMDE6&amp;ch=0&amp;cr=3&amp;dr=0&amp;lr=all&amp;cd=0%7C0%7C0%7C&amp;cv=1&amp;br=1372&amp;bt=686&amp;cs=0&amp;ds=3&amp;ft=I~da4oKyD12Nvz.WS.IxRjkNWlBF-UjNSRopiX&amp;mime_type=video_mp4&amp;qs=0&amp;rc=aGk2OGQ6Z2Y7OGZlaTQ3N0BpamhmNHc5cnA5MzMzNzgzM0AwYDEyMl40X2AxYzExMC40YSNxYGUwMmRzX25hLS1kLzZzcw%3D%3D&amp;btag=e00090000&amp;expire=1764728587&amp;l=202512011020239FD63C9B4E4C976A9E36&amp;ply_type=2&amp;policy=2&amp;signature=adf9fbdde8bfc7d8c752d078ae2be997&amp;tk=tt_chain_token" TargetMode="External"/><Relationship Id="rId1310" Type="http://schemas.openxmlformats.org/officeDocument/2006/relationships/hyperlink" Target="https://p77-sign-va.tiktokcdn.com/tos-maliva-avt-0068/ebc42eb348fcf29a09bcbf1c40faef80~tplv-tiktokx-cropcenter:100:100.jpeg?dr=14579&amp;refresh_token=caf3553d&amp;x-expires=1764727200&amp;x-signature=kuXKVitFmIMlqcy74SEn%2BHk6AyQ%3D&amp;t=4d5b0474&amp;ps=13740610&amp;shp=a5d48078&amp;shcp=81f88b70&amp;idc=my" TargetMode="External"/><Relationship Id="rId1794" Type="http://schemas.openxmlformats.org/officeDocument/2006/relationships/hyperlink" Target="https://www.tiktok.com/@pdc3irmaos/video/7508738660817210629" TargetMode="External"/><Relationship Id="rId1311" Type="http://schemas.openxmlformats.org/officeDocument/2006/relationships/hyperlink" Target="https://v16-webapp-prime.tiktok.com/video/tos/useast2a/tos-useast2a-v-27dcd7/5a25064863174c2a8c69404135700d23/?a=1988&amp;bti=ODszNWYuMDE6&amp;ch=0&amp;cr=0&amp;dr=0&amp;er=0&amp;lr=default&amp;cd=0%7C0%7C0%7C0&amp;br=250&amp;bt=125&amp;ds=5&amp;ft=GNDpcInz7ThUPKvPXq8Zmo&amp;mime_type=audio_mpeg&amp;qs=13&amp;rc=ajd0ajM6ZjszazMzNzU8M0Bpajd0ajM6ZjszazMzNzU8M0A1MnBscjQwbm9gLS1kMTZzYSM1MnBscjQwbm9gLS1kMTZzcw%3D%3D&amp;btag=e00048000&amp;expire=1764559249&amp;l=202512011020200FFD70C70F6D756DA043&amp;ply_type=3&amp;policy=3&amp;signature=1ce678f13bc0e95d9ee502531fe8b9b1&amp;tk=7571587458748974088" TargetMode="External"/><Relationship Id="rId1795" Type="http://schemas.openxmlformats.org/officeDocument/2006/relationships/hyperlink" Target="https://p16-sign-va.tiktokcdn.com/musically-maliva-obj/1594805258216454~tplv-tiktokx-cropcenter:100:100.jpeg?dr=14579&amp;refresh_token=c55fc523&amp;x-expires=1764727200&amp;x-signature=37bzPBdz%2FfBXBqBlTOkX3boUhW4%3D&amp;t=4d5b0474&amp;ps=13740610&amp;shp=a5d48078&amp;shcp=81f88b70&amp;idc=my" TargetMode="External"/><Relationship Id="rId51" Type="http://schemas.openxmlformats.org/officeDocument/2006/relationships/hyperlink" Target="https://p16-sign-sg.tiktokcdn.com/tos-alisg-v-2774/okAIgEmAZKYImChfjAmEAcWiEzGDtBF3QH4Bey~720x720.jpeg?lk3s=08d74b56&amp;x-expires=1764577215&amp;x-signature=v753JKSgWCMuI6P26MUYlNw%2BgPc%3D" TargetMode="External"/><Relationship Id="rId1301" Type="http://schemas.openxmlformats.org/officeDocument/2006/relationships/hyperlink" Target="https://v16-webapp-prime.tiktok.com/video/tos/useast2a/tos-useast2a-v-27dcd7/owAk1AIM8JeJ14HWQAAfCSgChKLf8feAKMgSTv/?a=1988&amp;bti=ODszNWYuMDE6&amp;ch=0&amp;cr=0&amp;dr=0&amp;er=0&amp;lr=default&amp;cd=0%7C0%7C0%7C0&amp;br=250&amp;bt=125&amp;ds=5&amp;ft=GNDpcInz7ThkPKvPXq8Zmo&amp;mime_type=audio_mpeg&amp;qs=13&amp;rc=M3g4N2s5cjh5eDMzNzU8M0BpM3g4N2s5cjh5eDMzNzU8M0BoZV4xMmRzbWNgLS1kMTZzYSNoZV4xMmRzbWNgLS1kMTZzcw%3D%3D&amp;btag=e00050000&amp;expire=1764559361&amp;l=2025120110204563AE4C62401D615C8166&amp;ply_type=3&amp;policy=3&amp;signature=7b53f0c212931dbe7e862d5b75719f39&amp;tk=7571587458748974088" TargetMode="External"/><Relationship Id="rId1785" Type="http://schemas.openxmlformats.org/officeDocument/2006/relationships/hyperlink" Target="https://p16-sign-va.tiktokcdn.com/tos-maliva-avt-0068/a8c07d9cf8714e5a6a84c15bd0263d8a~tplv-tiktokx-cropcenter:100:100.jpeg?dr=14579&amp;refresh_token=75fb7efa&amp;x-expires=1764727200&amp;x-signature=mqQJAYQZ2APrPxmVd%2FcqDHRKX4A%3D&amp;t=4d5b0474&amp;ps=13740610&amp;shp=a5d48078&amp;shcp=81f88b70&amp;idc=my" TargetMode="External"/><Relationship Id="rId50" Type="http://schemas.openxmlformats.org/officeDocument/2006/relationships/hyperlink" Target="https://p16-sign-va.tiktokcdn.com/tos-maliva-avt-0068/7321752650215129093~tplv-tiktokx-cropcenter:100:100.jpeg?dr=14579&amp;refresh_token=8da1a5b8&amp;x-expires=1764727200&amp;x-signature=P3mWLZnAsUOkqtQ7J82OcXAfXrc%3D&amp;t=4d5b0474&amp;ps=13740610&amp;shp=a5d48078&amp;shcp=81f88b70&amp;idc=my" TargetMode="External"/><Relationship Id="rId1302" Type="http://schemas.openxmlformats.org/officeDocument/2006/relationships/hyperlink" Target="https://p77-sign-va.tiktokcdn.com/tos-maliva-avt-0068/431bee7578e519987635a70e5b8f7fb3~tplv-tiktokx-cropcenter:1080:1080.jpeg?dr=14579&amp;refresh_token=4553ee2b&amp;x-expires=1764727200&amp;x-signature=8pmd4P8yOCuhzXXpaXJUy9t6ZBw%3D&amp;t=4d5b0474&amp;ps=13740610&amp;shp=a5d48078&amp;shcp=81f88b70&amp;idc=my" TargetMode="External"/><Relationship Id="rId1786" Type="http://schemas.openxmlformats.org/officeDocument/2006/relationships/hyperlink" Target="https://v16-webapp-prime.tiktok.com/video/tos/useast2a/tos-useast2a-v-27dcd7/oYsNEJezwDC3cPACA3F8BJoAAUDQOBjNE9fz3E/?a=1988&amp;bti=ODszNWYuMDE6&amp;ch=0&amp;cr=0&amp;dr=0&amp;er=0&amp;lr=default&amp;cd=0%7C0%7C0%7C0&amp;br=250&amp;bt=125&amp;ds=5&amp;ft=GNDpcInz7ThIPKvPXq8Zmo&amp;mime_type=audio_mpeg&amp;qs=13&amp;rc=Mzp0c3g5cnZxMzMzNzU8M0BpMzp0c3g5cnZxMzMzNzU8M0BjMHNgMmQ0M29hLS1kMTZzYSNjMHNgMmQ0M29hLS1kMTZzcw%3D%3D&amp;btag=e00050000&amp;expire=1764559275&amp;l=20251201102014E2CB5F4C19000C61E683&amp;ply_type=3&amp;policy=3&amp;signature=95f923212eb7f2d2cf68c08478a56fca&amp;tk=7571587458748974088" TargetMode="External"/><Relationship Id="rId53" Type="http://schemas.openxmlformats.org/officeDocument/2006/relationships/hyperlink" Target="https://www.tiktok.com/@musadumont/video/7355855148909890822" TargetMode="External"/><Relationship Id="rId1303" Type="http://schemas.openxmlformats.org/officeDocument/2006/relationships/hyperlink" Target="https://v16-webapp-prime.tiktok.com/video/tos/useast2a/tos-useast2a-pve-0068/ogRg8RuEcVj2QEdIRCFPARKDgFSSiCgLffPIel/?a=1988&amp;bti=ODszNWYuMDE6&amp;ch=0&amp;cr=3&amp;dr=0&amp;lr=all&amp;cd=0%7C0%7C0%7C&amp;cv=1&amp;br=4828&amp;bt=2414&amp;cs=0&amp;ds=3&amp;ft=-Csk_mrMPD12Nqdh5d-UxgS5hY6e3wv25icAp&amp;mime_type=video_mp4&amp;qs=0&amp;rc=ZjplZDs8NTw0aGg0NmVkZ0BpamtnZGw5cml5eDMzNzczM0A0NC5hNmA0Xi4xYDUuM141YSMvcGtoMmQ0a2NgLS1kMTZzcw%3D%3D&amp;btag=e00090000&amp;expire=1764728561&amp;l=2025120110204563AE4C62401D615C8166&amp;ply_type=2&amp;policy=2&amp;signature=f3125e3a4118234325cc49a6c56601dd&amp;tk=tt_chain_token" TargetMode="External"/><Relationship Id="rId1787" Type="http://schemas.openxmlformats.org/officeDocument/2006/relationships/hyperlink" Target="https://p16-sign-va.tiktokcdn.com/tos-maliva-avt-0068/a8c07d9cf8714e5a6a84c15bd0263d8a~tplv-tiktokx-cropcenter:1080:1080.jpeg?dr=14579&amp;refresh_token=6675003c&amp;x-expires=1764727200&amp;x-signature=iERHclbWN1Xgce6T3ORY7dZgoBY%3D&amp;t=4d5b0474&amp;ps=13740610&amp;shp=a5d48078&amp;shcp=81f88b70&amp;idc=my" TargetMode="External"/><Relationship Id="rId52" Type="http://schemas.openxmlformats.org/officeDocument/2006/relationships/hyperlink" Target="https://v16-webapp-prime.tiktok.com/video/tos/alisg/tos-alisg-pve-0037c001/ooeICK1SKRAnmhhJLe7t4eAVMgInaCGBMg6jAL/?a=1988&amp;bti=ODszNWYuMDE6&amp;ch=0&amp;cr=3&amp;dr=0&amp;lr=all&amp;cd=0%7C0%7C0%7C&amp;cv=1&amp;br=2014&amp;bt=1007&amp;cs=0&amp;ds=3&amp;ft=-Csk_mrMPD12N0dh5d-UxPO2hY6e3wv252cAp&amp;mime_type=video_mp4&amp;qs=0&amp;rc=ZDU5PDk0PGg6aTg7NWhmaEBpanN0O3M5cmhtcjMzNzczM0BiXi4zLjZhNi4xY2MxMGBhYSNlMmdvMmRrb15gLS1kMTZzcw%3D%3D&amp;btag=e00090000&amp;expire=1764728478&amp;l=20251201102014E2CB5F4C19000C61E683&amp;ply_type=2&amp;policy=2&amp;signature=80c9a530f659fef20453e51294fadd55&amp;tk=tt_chain_token" TargetMode="External"/><Relationship Id="rId1304" Type="http://schemas.openxmlformats.org/officeDocument/2006/relationships/hyperlink" Target="https://www.tiktok.com/@mr.tdahzinho/video/7466964243288460550" TargetMode="External"/><Relationship Id="rId1788" Type="http://schemas.openxmlformats.org/officeDocument/2006/relationships/hyperlink" Target="https://v16-webapp-prime.tiktok.com/video/tos/useast2a/tos-useast2a-ve-0068c001/o00mIkLtwBA3c4GoI7i5gI0QoCOoKAJGEEfc3i/?a=1988&amp;bti=ODszNWYuMDE6&amp;ch=0&amp;cr=3&amp;dr=0&amp;lr=all&amp;cd=0%7C0%7C0%7C&amp;cv=1&amp;br=1664&amp;bt=832&amp;cs=0&amp;ds=3&amp;ft=-Csk_mrMPD12N0dh5d-UxPO2hY6e3wv252cAp&amp;mime_type=video_mp4&amp;qs=0&amp;rc=N2ZoaWRoZmQ0ZzhlODpoNEBpamRqeHM5cnJxMzMzNzczM0BeXy0zXzYtNS4xYWI2MWEwYSMycC1qMmRjM29hLS1kMTZzcw%3D%3D&amp;btag=e00090000&amp;expire=1764728475&amp;l=20251201102014E2CB5F4C19000C61E683&amp;ply_type=2&amp;policy=2&amp;signature=1d546e547ee6afeb6136eb2ec75aa3ca&amp;tk=tt_chain_token" TargetMode="External"/><Relationship Id="rId55" Type="http://schemas.openxmlformats.org/officeDocument/2006/relationships/hyperlink" Target="https://v16-webapp-prime.tiktok.com/video/tos/useast2a/tos-useast2a-v-27dcd7/512c49cba05d4899871edfe391c80383/?a=1988&amp;bti=ODszNWYuMDE6&amp;ch=0&amp;cr=0&amp;dr=0&amp;er=0&amp;lr=default&amp;cd=0%7C0%7C0%7C0&amp;br=250&amp;bt=125&amp;ds=5&amp;ft=GNDpcInz7ThkPKvPXq8Zmo&amp;mime_type=audio_mpeg&amp;qs=13&amp;rc=amxsNWc6ZjN2azMzNzU8M0BpamxsNWc6ZjN2azMzNzU8M0BzZWxpcjQwYF9gLS1kMTZzYSNzZWxpcjQwYF9gLS1kMTZzcw%3D%3D&amp;btag=e00050000&amp;expire=1764559360&amp;l=2025120110204563AE4C62401D615C8166&amp;ply_type=3&amp;policy=3&amp;signature=e44731fdc57ecff37e21867dd205c9d1&amp;tk=7571587458748974088" TargetMode="External"/><Relationship Id="rId1305" Type="http://schemas.openxmlformats.org/officeDocument/2006/relationships/hyperlink" Target="https://p16-sign-va.tiktokcdn.com/musically-maliva-obj/1594805258216454~tplv-tiktokx-cropcenter:100:100.jpeg?dr=14579&amp;refresh_token=c55fc523&amp;x-expires=1764727200&amp;x-signature=37bzPBdz%2FfBXBqBlTOkX3boUhW4%3D&amp;t=4d5b0474&amp;ps=13740610&amp;shp=a5d48078&amp;shcp=81f88b70&amp;idc=my" TargetMode="External"/><Relationship Id="rId1789" Type="http://schemas.openxmlformats.org/officeDocument/2006/relationships/hyperlink" Target="https://www.tiktok.com/@janainaferreira.2/video/7509597762946682117" TargetMode="External"/><Relationship Id="rId54"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306" Type="http://schemas.openxmlformats.org/officeDocument/2006/relationships/hyperlink" Target="https://v16-webapp-prime.tiktok.com/video/tos/useast2a/tos-useast2a-v-27dcd7/o8YhJFDrJUBRjMiqPBEITuBCiQhQ7wCmgofgfu/?a=1988&amp;bti=ODszNWYuMDE6&amp;ch=0&amp;cr=0&amp;dr=0&amp;er=0&amp;lr=default&amp;cd=0%7C0%7C0%7C0&amp;br=250&amp;bt=125&amp;ft=GNDpcInz7ThoPKvPXq8Zmo&amp;mime_type=audio_mpeg&amp;qs=6&amp;rc=aDo6ODQ2Z2ZmaDxlZmZoZkBpM3lnZHI5cmRyNTMzNzU8M0A0LV80LjVgNi4xY2MvNTUzYSNkLmI1MmRray1hLS1kMTZzcw%3D%3D&amp;btag=e00090000&amp;expire=1764559373&amp;l=202512011020068133AB7BCB086C5F4CDC&amp;ply_type=3&amp;policy=3&amp;signature=e053cab56fce765d56205e1173760cc0&amp;tk=7571587458748974088" TargetMode="External"/><Relationship Id="rId57" Type="http://schemas.openxmlformats.org/officeDocument/2006/relationships/hyperlink" Target="https://v16-webapp-prime.tiktok.com/video/tos/useast2a/tos-useast2a-ve-0068c001/ooBKjfXEhU9IQMVBeYNJRG7ARwYnkzJMBQUwB8/?a=1988&amp;bti=ODszNWYuMDE6&amp;ch=0&amp;cr=3&amp;dr=0&amp;lr=all&amp;cd=0%7C0%7C0%7C&amp;cv=1&amp;br=960&amp;bt=480&amp;cs=0&amp;ds=3&amp;ft=-Csk_mrMPD12Nqdh5d-UxgS5hY6e3wv25icAp&amp;mime_type=video_mp4&amp;qs=0&amp;rc=MzQ1aGZnZjlpPDs6OmlnNEBpajZqcGQ6Znd2azMzNzczM0AvLjEtNjViX2ExMmNeLy5hYSM1MC5fcjRnNl9gLS1kMTZzcw%3D%3D&amp;btag=e00090000&amp;expire=1764728560&amp;l=2025120110204563AE4C62401D615C8166&amp;ply_type=2&amp;policy=2&amp;signature=bbf519e6ca3d25ff09ec9c4cf3690b22&amp;tk=tt_chain_token" TargetMode="External"/><Relationship Id="rId1307" Type="http://schemas.openxmlformats.org/officeDocument/2006/relationships/hyperlink" Target="https://p77-sign-va.tiktokcdn.com/musically-maliva-obj/1594805258216454~tplv-tiktokx-cropcenter:1080:1080.jpeg?dr=14579&amp;refresh_token=9e43ac06&amp;x-expires=1764727200&amp;x-signature=ybIVfPszy5XaPzsxwe4fSdzfZTk%3D&amp;t=4d5b0474&amp;ps=13740610&amp;shp=a5d48078&amp;shcp=81f88b70&amp;idc=my" TargetMode="External"/><Relationship Id="rId56"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308" Type="http://schemas.openxmlformats.org/officeDocument/2006/relationships/hyperlink" Target="https://v16-webapp-prime.tiktok.com/video/tos/useast2a/tos-useast2a-pve-0068/ocBLAimgkFCWiEYgQoED48fwIeqGQt8TBJBI5R/?a=1988&amp;bti=ODszNWYuMDE6&amp;ch=0&amp;cr=3&amp;dr=0&amp;lr=all&amp;cd=0%7C0%7C0%7C&amp;cv=1&amp;br=1128&amp;bt=564&amp;cs=0&amp;ds=3&amp;ft=-Csk_mrMPD12Nudh5d-Uxs12aY6e3wv252cAp&amp;mime_type=video_mp4&amp;qs=0&amp;rc=NjRkODM2PGY4NGY1Mzw4N0BpM21zbHY5cmxyNTMzNzczM0AxMzU0NTI1X2AxYDIuMWEzYSNgbWM1MmQ0ai1hLS1kMTZzcw%3D%3D&amp;btag=e00090000&amp;expire=1764728573&amp;l=202512011020068133AB7BCB086C5F4CDC&amp;ply_type=2&amp;policy=2&amp;signature=717999aabef1389abd29884e7d36bebb&amp;tk=tt_chain_token" TargetMode="External"/><Relationship Id="rId1309" Type="http://schemas.openxmlformats.org/officeDocument/2006/relationships/hyperlink" Target="https://www.tiktok.com/@felcapensa/video/7530453564590705976" TargetMode="External"/><Relationship Id="rId719" Type="http://schemas.openxmlformats.org/officeDocument/2006/relationships/hyperlink" Target="https://v16-webapp-prime.tiktok.com/video/tos/maliva/tos-maliva-ve-0068c801-us/o4bIZzj5I2nVPVfDUx8e9QaYCUNLogCfblgSdA/?a=1988&amp;bti=ODszNWYuMDE6&amp;ch=0&amp;cr=3&amp;dr=0&amp;lr=all&amp;cd=0%7C0%7C0%7C&amp;cv=1&amp;br=1756&amp;bt=878&amp;cs=0&amp;ds=3&amp;ft=-Csk_mrMPD12NDZh5d-UxSI5SY6e3wv25NcAp&amp;mime_type=video_mp4&amp;qs=0&amp;rc=PDc4NGRnZzxlNmY0aTo2OEBpM2x5PGk6ZmlnajMzNzczM0AxMmBhMS0xX2IxLjE0YS80YSNpZ2BrcjRfc2lgLS1kMTZzcw%3D%3D&amp;btag=e00090000&amp;expire=1764728682&amp;l=2025120110233960BDF2AFAD3CC4F063FC&amp;ply_type=2&amp;policy=2&amp;signature=73bad29ae9756d92949df8c2a28a5eda&amp;tk=tt_chain_token" TargetMode="External"/><Relationship Id="rId718"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717" Type="http://schemas.openxmlformats.org/officeDocument/2006/relationships/hyperlink" Target="https://v16-webapp-prime.tiktok.com/video/tos/useast2a/tos-useast2a-v-27dcd7/aa581cd425744818bbca0ff9f08f5bc2/?a=1988&amp;bti=ODszNWYuMDE6&amp;ch=0&amp;cr=0&amp;dr=0&amp;er=0&amp;lr=default&amp;cd=0%7C0%7C0%7C0&amp;br=250&amp;bt=125&amp;ds=5&amp;ft=GNDpcInz7ThzgKvPXq8Zmo&amp;mime_type=audio_mpeg&amp;qs=13&amp;rc=M3hxdmk6ZmZoajMzNzU8M0BpM3hxdmk6ZmZoajMzNzU8M0BzNnBycjRfMmlgLS1kMTZzYSNzNnBycjRfMmlgLS1kMTZzcw%3D%3D&amp;btag=e00050000&amp;expire=1764559482&amp;l=2025120110233960BDF2AFAD3CC4F063FC&amp;ply_type=3&amp;policy=3&amp;signature=79069ace31a72612883875aa6e983fe3&amp;tk=7571587458748974088" TargetMode="External"/><Relationship Id="rId712" Type="http://schemas.openxmlformats.org/officeDocument/2006/relationships/hyperlink" Target="https://v16-webapp-prime.tiktok.com/video/tos/alisg/tos-alisg-v-27dcd7/ogHIoA0uEFEZnfAAIT1Dg5cMhbGAgpReYDzfCD/?a=1988&amp;bti=ODszNWYuMDE6&amp;ch=0&amp;cr=0&amp;dr=0&amp;er=0&amp;lr=default&amp;cd=0%7C0%7C0%7C0&amp;br=250&amp;bt=125&amp;ds=5&amp;ft=GNDpcInz7ThpzKvPXq8Zmo&amp;mime_type=audio_mpeg&amp;qs=13&amp;rc=amdyaG45cmg0NjMzODU8NEBpamdyaG45cmg0NjMzODU8NEBvYGFqMmRjZHNhLS1kMS1zYSNvYGFqMmRjZHNhLS1kMS1zcw%3D%3D&amp;btag=e00050000&amp;expire=1764559385&amp;l=2025120110213056C909F1BE127E576E48&amp;ply_type=3&amp;policy=3&amp;signature=52fd74ad972f4febe2c261b7f62085c1&amp;tk=7571587458748974088" TargetMode="External"/><Relationship Id="rId711" Type="http://schemas.openxmlformats.org/officeDocument/2006/relationships/hyperlink" Target="https://p16-sign-va.tiktokcdn.com/tos-maliva-avt-0068/b65580219dd212688aa9c5305651ee47~tplv-tiktokx-cropcenter:100:100.jpeg?dr=14579&amp;refresh_token=d8e18523&amp;x-expires=1764727200&amp;x-signature=FUkhT7zDieVxyPnSflsZmp9pK6A%3D&amp;t=4d5b0474&amp;ps=13740610&amp;shp=a5d48078&amp;shcp=81f88b70&amp;idc=my" TargetMode="External"/><Relationship Id="rId710" Type="http://schemas.openxmlformats.org/officeDocument/2006/relationships/hyperlink" Target="https://www.tiktok.com/@opsiquiatrasincero/video/7506464590264356127" TargetMode="External"/><Relationship Id="rId716"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715" Type="http://schemas.openxmlformats.org/officeDocument/2006/relationships/hyperlink" Target="https://www.tiktok.com/@dulcivaldejesussantos/video/7565511003958512916" TargetMode="External"/><Relationship Id="rId714" Type="http://schemas.openxmlformats.org/officeDocument/2006/relationships/hyperlink" Target="https://v16-webapp-prime.tiktok.com/video/tos/alisg/tos-alisg-pve-0037c001/oUUSogXajPGRSlZeF6FEAeDPRfAGAQPIQkfaQC/?a=1988&amp;bti=ODszNWYuMDE6&amp;ch=0&amp;cr=3&amp;dr=0&amp;lr=all&amp;cd=0%7C0%7C0%7C&amp;cv=1&amp;br=1992&amp;bt=996&amp;cs=0&amp;ds=3&amp;ft=-Csk_mrMPD12NgDh5d-UxgS5hY6e3wv25-cAp&amp;mime_type=video_mp4&amp;qs=0&amp;rc=NDlmNzs5ZzU7Mzw2aTU4NEBpamxsNXc5cjY0NjMzODczNEAtYDMzLzFhNjUxMmM0MDZfYSNqbmU2MmRzY3NhLS1kMTFzcw%3D%3D&amp;btag=e00090000&amp;expire=1764728585&amp;l=2025120110213056C909F1BE127E576E48&amp;ply_type=2&amp;policy=2&amp;signature=3f2cd664d68ac666db4327208eb56fc1&amp;tk=tt_chain_token" TargetMode="External"/><Relationship Id="rId713" Type="http://schemas.openxmlformats.org/officeDocument/2006/relationships/hyperlink" Target="https://p77-sign-va.tiktokcdn.com/tos-maliva-avt-0068/b65580219dd212688aa9c5305651ee47~tplv-tiktokx-cropcenter:1080:1080.jpeg?dr=14579&amp;refresh_token=65299c8d&amp;x-expires=1764727200&amp;x-signature=fCBTj%2BixHQYZ1econVLm6Q2yBYg%3D&amp;t=4d5b0474&amp;ps=13740610&amp;shp=a5d48078&amp;shcp=81f88b70&amp;idc=my" TargetMode="External"/><Relationship Id="rId59" Type="http://schemas.openxmlformats.org/officeDocument/2006/relationships/hyperlink" Target="https://p16-sign-va.tiktokcdn.com/tos-maliva-avt-0068/d6256afed811bb7cfc08946a383186a8~tplv-tiktokx-cropcenter:100:100.jpeg?dr=14579&amp;refresh_token=4fa92570&amp;x-expires=1764727200&amp;x-signature=1ObrLbBq%2BuvEfLtnenIP7McaDnw%3D&amp;t=4d5b0474&amp;ps=13740610&amp;shp=a5d48078&amp;shcp=81f88b70&amp;idc=my" TargetMode="External"/><Relationship Id="rId58" Type="http://schemas.openxmlformats.org/officeDocument/2006/relationships/hyperlink" Target="https://www.tiktok.com/@lorenatdahta/video/7230465344375180549" TargetMode="External"/><Relationship Id="rId1780" Type="http://schemas.openxmlformats.org/officeDocument/2006/relationships/hyperlink" Target="https://p16-sign-va.tiktokcdn.com/tos-maliva-avt-0068/409b8f094a519052398ae01ba95bf160~tplv-tiktokx-cropcenter:100:100.jpeg?dr=14579&amp;refresh_token=5748a869&amp;x-expires=1764727200&amp;x-signature=N%2FBc5DyrAsE9yoOdqQowyLACSfM%3D&amp;t=4d5b0474&amp;ps=13740610&amp;shp=a5d48078&amp;shcp=81f88b70&amp;idc=my" TargetMode="External"/><Relationship Id="rId1781" Type="http://schemas.openxmlformats.org/officeDocument/2006/relationships/hyperlink" Target="https://v16-webapp-prime.tiktok.com/video/tos/useast2a/tos-useast2a-v-27dcd7/o4HIoAE4EFEae2AgITrDSvZoBxHAf9NY7C3fC9/?a=1988&amp;bti=ODszNWYuMDE6&amp;ch=0&amp;cr=0&amp;dr=0&amp;er=0&amp;lr=default&amp;cd=0%7C0%7C0%7C0&amp;br=250&amp;bt=125&amp;ds=5&amp;ft=GNDpcInz7ThCPKvPXq8Zmo&amp;mime_type=audio_mpeg&amp;qs=13&amp;rc=M3JtcHg5cnUzdTMzNzU8M0BpM3JtcHg5cnUzdTMzNzU8M0ByNXFqMmRzc2pgLS1kMTZzYSNyNXFqMmRzc2pgLS1kMTZzcw%3D%3D&amp;btag=e00048000&amp;expire=1764559300&amp;l=20251201102042908EBE054CA4706238E0&amp;ply_type=3&amp;policy=3&amp;signature=675774c881202e1a84665aa8991cd266&amp;tk=7571587458748974088" TargetMode="External"/><Relationship Id="rId1782" Type="http://schemas.openxmlformats.org/officeDocument/2006/relationships/hyperlink" Target="https://p16-sign-va.tiktokcdn.com/tos-maliva-avt-0068/409b8f094a519052398ae01ba95bf160~tplv-tiktokx-cropcenter:1080:1080.jpeg?dr=14579&amp;refresh_token=88af2447&amp;x-expires=1764727200&amp;x-signature=h1%2FGjwg20EJeaSgECLYSfH6uVDk%3D&amp;t=4d5b0474&amp;ps=13740610&amp;shp=a5d48078&amp;shcp=81f88b70&amp;idc=my" TargetMode="External"/><Relationship Id="rId1783" Type="http://schemas.openxmlformats.org/officeDocument/2006/relationships/hyperlink" Target="https://v16-webapp-prime.tiktok.com/video/tos/useast2a/tos-useast2a-ve-0068c001/owIqNmjIgCAefRfYANyghsmRSCL8AH2GB66DEs/?a=1988&amp;bti=ODszNWYuMDE6&amp;ch=0&amp;cr=3&amp;dr=0&amp;lr=all&amp;cd=0%7C0%7C0%7C&amp;cv=1&amp;br=2758&amp;bt=1379&amp;cs=0&amp;ds=3&amp;ft=-Csk_mrMPD12NKdh5d-Uxs12aY6e3wv252cAp&amp;mime_type=video_mp4&amp;qs=0&amp;rc=ZjZmZTNmMzZpOzhlNzs4OkBpampndHU5cjMzdTMzNzczM0BeXl80YWAyNjUxXmMvY2IuYSMyNS8xMmRjc2pgLS1kMTZzcw%3D%3D&amp;btag=e00088000&amp;expire=1764728500&amp;l=20251201102042908EBE054CA4706238E0&amp;ply_type=2&amp;policy=2&amp;signature=8614dbfd2ad60848a54ffef40a6f036a&amp;tk=tt_chain_token" TargetMode="External"/><Relationship Id="rId1300" Type="http://schemas.openxmlformats.org/officeDocument/2006/relationships/hyperlink" Target="https://p16-sign-va.tiktokcdn.com/tos-maliva-avt-0068/431bee7578e519987635a70e5b8f7fb3~tplv-tiktokx-cropcenter:100:100.jpeg?dr=14579&amp;refresh_token=959d08f3&amp;x-expires=1764727200&amp;x-signature=%2B1QrUKRmZMzu6GKca%2FU2HoPUufE%3D&amp;t=4d5b0474&amp;ps=13740610&amp;shp=a5d48078&amp;shcp=81f88b70&amp;idc=my" TargetMode="External"/><Relationship Id="rId1784" Type="http://schemas.openxmlformats.org/officeDocument/2006/relationships/hyperlink" Target="https://www.tiktok.com/@veigasaymon/video/7416320171314269446" TargetMode="External"/><Relationship Id="rId349" Type="http://schemas.openxmlformats.org/officeDocument/2006/relationships/hyperlink" Target="https://v16-webapp-prime.tiktok.com/video/tos/useast2a/tos-useast2a-ve-0068c003/osfRcWgmzLf0AEkk8jRRGFAIhIQAeF8GItfFlF/?a=1988&amp;bti=ODszNWYuMDE6&amp;ch=0&amp;cr=3&amp;dr=0&amp;lr=all&amp;cd=0%7C0%7C0%7C&amp;cv=1&amp;br=1018&amp;bt=509&amp;cs=0&amp;ds=3&amp;ft=-Csk_mrMPD12NbDh5d-UxPR2SY6e3wv25IcAp&amp;mime_type=video_mp4&amp;qs=0&amp;rc=OjtkM2llaWczO2g0NzgzaUBpM3h2Z245cmRpNjMzNzczM0BjLTRgNmEzNjExNjZhNDJeYSNhc21iMmQ0bF9hLS1kMTZzcw%3D%3D&amp;btag=e00090000&amp;expire=1764728524&amp;l=20251201102055111140D50F38376E882B&amp;ply_type=2&amp;policy=2&amp;signature=61ffdf21992e7ed03a577ad337e6f91a&amp;tk=tt_chain_token" TargetMode="External"/><Relationship Id="rId348" Type="http://schemas.openxmlformats.org/officeDocument/2006/relationships/hyperlink" Target="https://p16-sign-va.tiktokcdn.com/tos-maliva-avt-0068/54df30458f3a66aed8bbb7fbd484cf07~tplv-tiktokx-cropcenter:1080:1080.jpeg?dr=14579&amp;refresh_token=0620cb10&amp;x-expires=1764727200&amp;x-signature=os4eiuVeUU5CDyuxlcJSatm0KYU%3D&amp;t=4d5b0474&amp;ps=13740610&amp;shp=a5d48078&amp;shcp=81f88b70&amp;idc=my" TargetMode="External"/><Relationship Id="rId347" Type="http://schemas.openxmlformats.org/officeDocument/2006/relationships/hyperlink" Target="https://v16-webapp-prime.tiktok.com/video/tos/useast2a/tos-useast2a-v-27dcd7/o4iWGeWbQInkYFf9RgjALErtQzmfJG0euFKCni/?a=1988&amp;bti=ODszNWYuMDE6&amp;ch=0&amp;cr=0&amp;dr=0&amp;er=0&amp;lr=default&amp;cd=0%7C0%7C0%7C0&amp;br=250&amp;bt=125&amp;ft=GNDpcInz7ThszKvPXq8Zmo&amp;mime_type=audio_mpeg&amp;qs=6&amp;rc=PGRkNWVnaDw6ODs0M2Y1OUBpamk6OW85cm1pNjMzNzU8M0BeYjQzNTAuNi4xL2EtMi5jYSNjbmtmMmRjbF9hLS1kMTZzcw%3D%3D&amp;btag=e00090000&amp;expire=1764559324&amp;l=20251201102055111140D50F38376E882B&amp;ply_type=3&amp;policy=3&amp;signature=c8f874297ab6c49d2324e7bf88b6c457&amp;tk=7571587458748974088" TargetMode="External"/><Relationship Id="rId346" Type="http://schemas.openxmlformats.org/officeDocument/2006/relationships/hyperlink" Target="https://p77-sign-va.tiktokcdn.com/tos-maliva-avt-0068/54df30458f3a66aed8bbb7fbd484cf07~tplv-tiktokx-cropcenter:100:100.jpeg?dr=14579&amp;refresh_token=2ee07d07&amp;x-expires=1764727200&amp;x-signature=3MnZPrDBmQhcX7Q8Shdpdk0LzM0%3D&amp;t=4d5b0474&amp;ps=13740610&amp;shp=a5d48078&amp;shcp=81f88b70&amp;idc=my" TargetMode="External"/><Relationship Id="rId341"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340" Type="http://schemas.openxmlformats.org/officeDocument/2006/relationships/hyperlink" Target="https://www.tiktok.com/@psi.walace/video/7536342264658791686" TargetMode="External"/><Relationship Id="rId345" Type="http://schemas.openxmlformats.org/officeDocument/2006/relationships/hyperlink" Target="https://www.tiktok.com/@liberdade.mentall/video/7573114566322687252" TargetMode="External"/><Relationship Id="rId344" Type="http://schemas.openxmlformats.org/officeDocument/2006/relationships/hyperlink" Target="https://v16-webapp-prime.tiktok.com/video/tos/alisg/tos-alisg-pve-0037/o0uG6QGop4BXlsfZB4FEgtDjCGAV3lTEInfyUR/?a=1988&amp;bti=ODszNWYuMDE6&amp;ch=0&amp;cr=3&amp;dr=0&amp;lr=all&amp;cd=0%7C0%7C0%7C&amp;cv=1&amp;br=880&amp;bt=440&amp;cs=0&amp;ds=3&amp;ft=-Csk_mrMPD12NVDh5d-UxIS5hY6e3wv25ocAp&amp;mime_type=video_mp4&amp;qs=0&amp;rc=aDNpZDU1ODs6Nzg4aWdpZUBpM2Z5d3Y5cnJrNzMzODgzNEAzXzNjY18yX18xMC8wMGIxYSNoMm82MmRzamBhLS1kLzFzcw%3D%3D&amp;btag=e00090000&amp;expire=1764728622&amp;l=202512011021446E702D323C03BE6BD085&amp;ply_type=2&amp;policy=2&amp;signature=2fd4b24b8ac3f714bb4c1910c0f99ea7&amp;tk=tt_chain_token" TargetMode="External"/><Relationship Id="rId34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342" Type="http://schemas.openxmlformats.org/officeDocument/2006/relationships/hyperlink" Target="https://v16-webapp-prime.tiktok.com/video/tos/alisg/tos-alisg-v-27dcd7/owJBuFBQQBdfgfGW6pQBCBQZiyIUMBA1DRG4Eg/?a=1988&amp;bti=ODszNWYuMDE6&amp;ch=0&amp;cr=0&amp;dr=0&amp;er=0&amp;lr=default&amp;cd=0%7C0%7C0%7C0&amp;br=250&amp;bt=125&amp;ft=GNDpcInz7Th6zKvPXq8Zmo&amp;mime_type=audio_mpeg&amp;qs=6&amp;rc=aDc6ZWg2N2Y5Zzo6Ojw1aEBpanJuM3k5cjprNzMzODU8NEBiY19gLjU2NjExYF4tNDU1YSMtLmJfMmRja2BhLS1kMS1zcw%3D%3D&amp;btag=e00090000&amp;expire=1764559422&amp;l=202512011021446E702D323C03BE6BD085&amp;ply_type=3&amp;policy=3&amp;signature=02637a02615c3d4822ff7f24b5b176ca&amp;tk=7571587458748974088" TargetMode="External"/><Relationship Id="rId338" Type="http://schemas.openxmlformats.org/officeDocument/2006/relationships/hyperlink" Target="https://p77-sign-va.tiktokcdn.com/tos-maliva-avt-0068/1b1ab6d65ae96fbe11db1ee88f115e37~tplv-tiktokx-cropcenter:1080:1080.jpeg?dr=14579&amp;refresh_token=ca2a94f7&amp;x-expires=1764727200&amp;x-signature=jwFMT3YXWkpr9die%2B7bIz0fGYmQ%3D&amp;t=4d5b0474&amp;ps=13740610&amp;shp=a5d48078&amp;shcp=81f88b70&amp;idc=my" TargetMode="External"/><Relationship Id="rId337" Type="http://schemas.openxmlformats.org/officeDocument/2006/relationships/hyperlink" Target="https://v16-webapp-prime.tiktok.com/video/tos/useast2a/tos-useast2a-v-27dcd7/oMJDwAaAECCAE3FQoE1Cvdnf9dfJBxUlWEBGQv/?a=1988&amp;bti=ODszNWYuMDE6&amp;ch=0&amp;cr=0&amp;dr=0&amp;er=0&amp;lr=default&amp;cd=0%7C0%7C0%7C0&amp;br=250&amp;bt=125&amp;ds=5&amp;ft=GNDpcInz7Th4zKvPXq8Zmo&amp;mime_type=audio_mpeg&amp;qs=13&amp;rc=M294bnk5cnY6NTMzNzU8M0BpM294bnk5cnY6NTMzNzU8M0BsczJyMmRjYl9hLS1kMTZzYSNsczJyMmRjYl9hLS1kMTZzcw%3D%3D&amp;btag=e00050000&amp;expire=1764559351&amp;l=20251201102104F69A53E45B65A94E5B1C&amp;ply_type=3&amp;policy=3&amp;signature=91e8fde8a21a5a6ff2749efd313fde2a&amp;tk=7571587458748974088" TargetMode="External"/><Relationship Id="rId33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335" Type="http://schemas.openxmlformats.org/officeDocument/2006/relationships/hyperlink" Target="https://www.tiktok.com/@portaldrauziovarella/video/7329612907409444102" TargetMode="External"/><Relationship Id="rId339" Type="http://schemas.openxmlformats.org/officeDocument/2006/relationships/hyperlink" Target="https://v16-webapp-prime.tiktok.com/video/tos/useast2a/tos-useast2a-pve-0068/oMIRQf9WDBaoFh8ENWEdnWI5lBJEE4hQeBRccA/?a=1988&amp;bti=ODszNWYuMDE6&amp;ch=0&amp;cr=3&amp;dr=0&amp;lr=all&amp;cd=0%7C0%7C0%7C&amp;cv=1&amp;br=1590&amp;bt=795&amp;cs=0&amp;ds=3&amp;ft=-Csk_mrMPD12NyDh5d-UxO72hY6e3wv257cAp&amp;mime_type=video_mp4&amp;qs=0&amp;rc=MzM8ODxoNzc0ZmZnO2c2aUBpM3dsOHg5cjY6NTMzNzczM0AyXzYzMDFgNTAxYTM2LWNiYSNwMGsvMmRjYl9hLS1kMTZzcw%3D%3D&amp;btag=e00090000&amp;expire=1764728551&amp;l=20251201102104F69A53E45B65A94E5B1C&amp;ply_type=2&amp;policy=2&amp;signature=e5d37ac9c8e4a8c89bb8e5ac0421a4f5&amp;tk=tt_chain_token" TargetMode="External"/><Relationship Id="rId330" Type="http://schemas.openxmlformats.org/officeDocument/2006/relationships/hyperlink" Target="https://www.tiktok.com/@liberdade.mentall/video/7488864265013579014" TargetMode="External"/><Relationship Id="rId334" Type="http://schemas.openxmlformats.org/officeDocument/2006/relationships/hyperlink" Target="https://v16-webapp-prime.tiktok.com/video/tos/maliva/tos-maliva-ve-0068c801-us/oUR4CiQERMREQEOIUBFlABqDQAJaIByDfAuEep/?a=1988&amp;bti=ODszNWYuMDE6&amp;ch=0&amp;cr=3&amp;dr=0&amp;lr=all&amp;cd=0%7C0%7C0%7C&amp;cv=1&amp;br=1432&amp;bt=716&amp;cs=0&amp;ds=3&amp;ft=-Csk_mrMPD12N5Dh5d-UxP12hY6e3wv25ocAp&amp;mime_type=video_mp4&amp;qs=0&amp;rc=ZGRnaWc0OTVnNjw1NmVmM0BpM2s8a245cjMzcDMzNzczM0BiMWA1MDAzNi8xLmEvXi8zYSMtcGRsMmRrNXBgLS1kMTZzcw%3D%3D&amp;btag=e00090000&amp;expire=1764728551&amp;l=2025120110205711DA509A8B9B2F6AA181&amp;ply_type=2&amp;policy=2&amp;signature=1a3f3a3713880c820d4b2d57151f2ead&amp;tk=tt_chain_token" TargetMode="External"/><Relationship Id="rId333" Type="http://schemas.openxmlformats.org/officeDocument/2006/relationships/hyperlink" Target="https://p16-sign-sg.tiktokcdn.com/tos-alisg-avt-0068/b17389db51347cfeb6c6736dc73648c1~tplv-tiktokx-cropcenter:1080:1080.jpeg?dr=14579&amp;refresh_token=c9570f40&amp;x-expires=1764727200&amp;x-signature=GBRPn7kLlsoKPHetuHbHxAxOF8k%3D&amp;t=4d5b0474&amp;ps=13740610&amp;shp=a5d48078&amp;shcp=81f88b70&amp;idc=my" TargetMode="External"/><Relationship Id="rId332" Type="http://schemas.openxmlformats.org/officeDocument/2006/relationships/hyperlink" Target="https://v16-webapp-prime.tiktok.com/video/tos/useast2a/tos-useast2a-v-27dcd7/oUD44CfQAS6AlFAU1BjBCjJfEuEBBEQQJQCAPO/?a=1988&amp;bti=ODszNWYuMDE6&amp;ch=0&amp;cr=0&amp;dr=0&amp;er=0&amp;lr=default&amp;cd=0%7C0%7C0%7C0&amp;br=250&amp;bt=125&amp;ds=5&amp;ft=GNDpcInz7ThvzKvPXq8Zmo&amp;mime_type=audio_mpeg&amp;qs=13&amp;rc=anc3NWs5cjszcDMzNzU8M0Bpanc3NWs5cjszcDMzNzU8M0BjZC5yMmRzNXBgLS1kMTZzYSNjZC5yMmRzNXBgLS1kMTZzcw%3D%3D&amp;btag=e00050000&amp;expire=1764559351&amp;l=2025120110205711DA509A8B9B2F6AA181&amp;ply_type=3&amp;policy=3&amp;signature=90ad5bc1ab4b9d8c475898d72143c14a&amp;tk=7571587458748974088" TargetMode="External"/><Relationship Id="rId331" Type="http://schemas.openxmlformats.org/officeDocument/2006/relationships/hyperlink" Target="https://p16-sign-sg.tiktokcdn.com/tos-alisg-avt-0068/b17389db51347cfeb6c6736dc73648c1~tplv-tiktokx-cropcenter:100:100.jpeg?dr=14579&amp;refresh_token=7127c8ca&amp;x-expires=1764727200&amp;x-signature=B4u0XCt%2BBDLxyjhajLzMZJJeTUw%3D&amp;t=4d5b0474&amp;ps=13740610&amp;shp=a5d48078&amp;shcp=81f88b70&amp;idc=my" TargetMode="External"/><Relationship Id="rId370" Type="http://schemas.openxmlformats.org/officeDocument/2006/relationships/hyperlink" Target="https://www.tiktok.com/@psi.walace/video/7523725264317189381" TargetMode="External"/><Relationship Id="rId369" Type="http://schemas.openxmlformats.org/officeDocument/2006/relationships/hyperlink" Target="https://v16-webapp-prime.tiktok.com/video/tos/useast2a/tos-useast2a-ve-0068c003/o0Kpdww2VSPEhGsim1H9nqUpBQEaQiUh8BVAI/?a=1988&amp;bti=ODszNWYuMDE6&amp;ch=0&amp;cr=3&amp;dr=0&amp;lr=all&amp;cd=0%7C0%7C0%7C&amp;cv=1&amp;br=1500&amp;bt=750&amp;cs=0&amp;ds=3&amp;ft=-Csk_mrMPD12NTKh5d-UxII2hY6e3wv252cAp&amp;mime_type=video_mp4&amp;qs=0&amp;rc=MzU8ZmVoNmg6MzNnZTk7OkBpamRtd2o5cjR0NDMzNzczM0BfMjFfXzAyNS8xYzY1MzNhYSNyYV5nMmQ0MGhhLS1kMTZzcw%3D%3D&amp;btag=e00090000&amp;expire=1764728888&amp;l=20251201102611DEF09C65EA3D7160BDA1&amp;ply_type=2&amp;policy=2&amp;signature=665060cdee0eae1daff09025ffcc557b&amp;tk=tt_chain_token" TargetMode="External"/><Relationship Id="rId368" Type="http://schemas.openxmlformats.org/officeDocument/2006/relationships/hyperlink" Target="https://p77-sg.tiktokcdn.com/aweme/720x720/tos-alisg-v-2774/o8CZDEgpEsoAeWtxEBnAtQFAgpHQVBf148CJcS.jpeg" TargetMode="External"/><Relationship Id="rId363" Type="http://schemas.openxmlformats.org/officeDocument/2006/relationships/hyperlink" Target="https://p77-sg.tiktokcdn.com/aweme/720x720/tos-alisg-v-2774/0c6f9b5b9dbe4ce79434e9b5f3aa6e97.jpeg" TargetMode="External"/><Relationship Id="rId362" Type="http://schemas.openxmlformats.org/officeDocument/2006/relationships/hyperlink" Target="https://sf16-ies-music-sg.tiktokcdn.com/obj/tos-alisg-ve-2774/oErrDXbngQMpzJGa68eSz7VfvC2FCDmYedLzoA" TargetMode="External"/><Relationship Id="rId361" Type="http://schemas.openxmlformats.org/officeDocument/2006/relationships/hyperlink" Target="https://p16-sign-va.tiktokcdn.com/tos-maliva-avt-0068/d32280d9675e02b4b9376c618da9c83e~tplv-tiktokx-cropcenter:100:100.jpeg?dr=14579&amp;refresh_token=fdcac663&amp;x-expires=1764727200&amp;x-signature=Cbg9QT6yOt0KDKTsOxo9%2Ff3sHzU%3D&amp;t=4d5b0474&amp;ps=13740610&amp;shp=a5d48078&amp;shcp=81f88b70&amp;idc=my" TargetMode="External"/><Relationship Id="rId360" Type="http://schemas.openxmlformats.org/officeDocument/2006/relationships/hyperlink" Target="https://www.tiktok.com/@psi.walace/video/7525578360261758213" TargetMode="External"/><Relationship Id="rId367" Type="http://schemas.openxmlformats.org/officeDocument/2006/relationships/hyperlink" Target="https://sf16-ies-music-sg.tiktokcdn.com/obj/tos-alisg-ve-2774/oMyOHOoBzAh6qWbii1nknBIZWAFsflLwCsMz8X" TargetMode="External"/><Relationship Id="rId366"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365" Type="http://schemas.openxmlformats.org/officeDocument/2006/relationships/hyperlink" Target="https://www.tiktok.com/@caiofontesz/video/7494669022491921719" TargetMode="External"/><Relationship Id="rId364" Type="http://schemas.openxmlformats.org/officeDocument/2006/relationships/hyperlink" Target="https://v16-webapp-prime.tiktok.com/video/tos/useast2a/tos-useast2a-ve-0068c002/o0fFGLQIEaDAAJIFm0BsYoFllDcBREggQP4of5/?a=1988&amp;bti=ODszNWYuMDE6&amp;ch=0&amp;cr=3&amp;dr=0&amp;lr=all&amp;cd=0%7C0%7C0%7C&amp;cv=1&amp;br=806&amp;bt=403&amp;cs=0&amp;ds=3&amp;ft=-Csk_mrMPD12NkZh5d-Ux3t2SY6e3wv25HcAp&amp;mime_type=video_mp4&amp;qs=0&amp;rc=PGdlNjpmNjZlZmY7OjlpNUBpam5xOGw5cnA5MzMzNzczM0A1NWM1Yl41NTIxLzEtMS0tYSMubWRrMmRrZi5hLS1kMTZzcw%3D%3D&amp;btag=e00088000&amp;expire=1764728623&amp;l=20251201102308F103B97239407AECD052&amp;ply_type=2&amp;policy=2&amp;signature=b948a185e44a97ff17814a1c59adecc6&amp;tk=tt_chain_token" TargetMode="External"/><Relationship Id="rId95" Type="http://schemas.openxmlformats.org/officeDocument/2006/relationships/hyperlink" Target="https://v16-webapp-prime.tiktok.com/video/tos/useast2a/tos-useast2a-v-27dcd7/9a468d2f04c340edbe91c37f3f82ba18/?a=1988&amp;bti=ODszNWYuMDE6&amp;ch=0&amp;cr=0&amp;dr=0&amp;er=0&amp;lr=default&amp;cd=0%7C0%7C0%7C0&amp;br=250&amp;bt=125&amp;ds=5&amp;ft=GNDpcInz7ThvFKvPXq8Zmo&amp;mime_type=audio_mpeg&amp;qs=13&amp;rc=amw3ZDw6ZndsazMzNzU8M0Bpamw3ZDw6ZndsazMzNzU8M0AzMG8ucjRnLTNgLS1kMTZzYSMzMG8ucjRnLTNgLS1kMTZzcw%3D%3D&amp;btag=e00050000&amp;expire=1764559410&amp;l=2025120110220104295D62D2C47867A675&amp;ply_type=3&amp;policy=3&amp;signature=cb88b45991742fe9268c8366eab9fd5e&amp;tk=7571587458748974088" TargetMode="External"/><Relationship Id="rId94" Type="http://schemas.openxmlformats.org/officeDocument/2006/relationships/hyperlink" Target="https://p16-sign-va.tiktokcdn.com/tos-maliva-avt-0068/8f988a8a6da971b38670c47e70486fcc~tplv-tiktokx-cropcenter:100:100.jpeg?dr=14579&amp;refresh_token=07d97d85&amp;x-expires=1764727200&amp;x-signature=y20jrKBNIHJ4%2BJOpvvXuErMHNgs%3D&amp;t=4d5b0474&amp;ps=13740610&amp;shp=a5d48078&amp;shcp=81f88b70&amp;idc=my" TargetMode="External"/><Relationship Id="rId97" Type="http://schemas.openxmlformats.org/officeDocument/2006/relationships/hyperlink" Target="https://www.tiktok.com/@editado.com.sucesso/video/7227468635042860294" TargetMode="External"/><Relationship Id="rId96" Type="http://schemas.openxmlformats.org/officeDocument/2006/relationships/hyperlink" Target="https://p16-sign-va.tiktokcdn.com/tos-maliva-avt-0068/8f988a8a6da971b38670c47e70486fcc~tplv-tiktokx-cropcenter:1080:1080.jpeg?dr=14579&amp;refresh_token=f1117938&amp;x-expires=1764727200&amp;x-signature=%2FvlW%2BuCApsSDKWptdi3rBSABO9w%3D&amp;t=4d5b0474&amp;ps=13740610&amp;shp=a5d48078&amp;shcp=81f88b70&amp;idc=my" TargetMode="External"/><Relationship Id="rId99" Type="http://schemas.openxmlformats.org/officeDocument/2006/relationships/hyperlink" Target="https://v16-webapp-prime.tiktok.com/video/tos/useast2a/tos-useast2a-v-27dcd7/ogqbroUZtdjCeVxas6DeB8VUJBbn4QTJaQbKEw/?a=1988&amp;bti=ODszNWYuMDE6&amp;ch=0&amp;cr=0&amp;dr=0&amp;er=0&amp;lr=default&amp;cd=0%7C0%7C0%7C0&amp;br=250&amp;bt=125&amp;ft=GNDpcInz7ThRPKvPXq8Zmo&amp;mime_type=audio_mpeg&amp;qs=6&amp;rc=ZGRlNjQ0ODY0Zzs8ZTQ2NEBpamZ0NTo6ZnBlZzMzNzU8M0BgNTJeY15hNl4xMzZgMGEwYSM0L2xjcjRfNl9gLS1kMTZzcw%3D%3D&amp;btag=e00088000&amp;expire=1764559271&amp;l=202512011020161DC26370CAB01566B4BC&amp;ply_type=3&amp;policy=3&amp;signature=7612a5d40b1a34e70f45fc55b9675860&amp;tk=7571587458748974088" TargetMode="External"/><Relationship Id="rId98" Type="http://schemas.openxmlformats.org/officeDocument/2006/relationships/hyperlink" Target="https://p77-sign-va.tiktokcdn.com/tos-maliva-avt-0068/63f6fa7e4cb74129badf2a29bc39db27~tplv-tiktokx-cropcenter:100:100.jpeg?dr=14579&amp;refresh_token=ae0e249c&amp;x-expires=1764727200&amp;x-signature=3UrmXRA7UefTpIEafcKUe9r1hZA%3D&amp;t=4d5b0474&amp;ps=13740610&amp;shp=a5d48078&amp;shcp=81f88b70&amp;idc=my" TargetMode="External"/><Relationship Id="rId91" Type="http://schemas.openxmlformats.org/officeDocument/2006/relationships/hyperlink" Target="https://p16-sign-va.tiktokcdn.com/tos-maliva-avt-0068/409b8f094a519052398ae01ba95bf160~tplv-tiktokx-cropcenter:1080:1080.jpeg?dr=14579&amp;refresh_token=88af2447&amp;x-expires=1764727200&amp;x-signature=h1%2FGjwg20EJeaSgECLYSfH6uVDk%3D&amp;t=4d5b0474&amp;ps=13740610&amp;shp=a5d48078&amp;shcp=81f88b70&amp;idc=my" TargetMode="External"/><Relationship Id="rId90" Type="http://schemas.openxmlformats.org/officeDocument/2006/relationships/hyperlink" Target="https://v16-webapp-prime.tiktok.com/video/tos/useast2a/tos-useast2a-v-27dcd7/o0eTQoEk8DPfOAVBJlCeQy7AgALhCPEIwPGSAI/?a=1988&amp;bti=ODszNWYuMDE6&amp;ch=0&amp;cr=0&amp;dr=0&amp;er=0&amp;lr=default&amp;cd=0%7C0%7C0%7C0&amp;br=250&amp;bt=125&amp;ds=5&amp;ft=GNDpcInz7ThmPKvPXq8Zmo&amp;mime_type=audio_mpeg&amp;qs=13&amp;rc=amx1a2o5cjQ3eTMzNzU8M0Bpamx1a2o5cjQ3eTMzNzU8M0BjNF9wMmRzLmRgLS1kMTZzYSNjNF9wMmRzLmRgLS1kMTZzcw%3D%3D&amp;btag=e00078000&amp;expire=1764559235&amp;l=20251201102018B39B5434B49F795A75FD&amp;ply_type=3&amp;policy=3&amp;signature=0b02a016f8e07207fb0293ac3dbc596a&amp;tk=7571587458748974088" TargetMode="External"/><Relationship Id="rId93" Type="http://schemas.openxmlformats.org/officeDocument/2006/relationships/hyperlink" Target="https://www.tiktok.com/@veigasaymon/video/7485053498451578117" TargetMode="External"/><Relationship Id="rId92" Type="http://schemas.openxmlformats.org/officeDocument/2006/relationships/hyperlink" Target="https://webapp-va.tiktok.com/c091102d18c719acf77dc3f68feba41a/692f9e74/kmoat/mps/logo/v3/r/p/v09025g40000cvg40u7og65juagsa980/0a2b7f6edf6e4323bb2f8d9b07434630/4db8e6ccafe7b77f601e59e889ed5481/mp4/main.mp4?a=1988&amp;bti=ODszNWYuMDE6&amp;ch=0&amp;cr=3&amp;dr=0&amp;lr=all&amp;cd=0%7C0%7C0%7C&amp;cv=1&amp;br=0&amp;bt=0&amp;cs=0&amp;ds=3&amp;ft=LrmaEoKyD12Nvu.WS.IxRntNWlBF-UjNSMopiX&amp;mime_type=video_mp4&amp;qs=0&amp;rc=cnF8b2hsc2d3SkBwaHIxaDFybndmMzk2OmVnaWU2NmhpaGllZEBpMzx2ZG05cng3eTMzNzgzM0BjRl5Nc3FePmJKYSNvYF90aHFmOiMwMTEtNjUvXy8xM2EzNC8tYSM1XmRyMmQ0LWRgLS1kLzZzcw%3D%3D&amp;btag=e000b8000&amp;definition=720p&amp;du=18&amp;item_id=7485053498451578117&amp;l=20251201102018B39B5434B49F795A75FD&amp;logo_type=tiktok_creator&amp;ply_type=2&amp;policy=eyJ2bSI6MiwiY2siOiJ0dF9jaGFpbl90b2tlbiJ9&amp;sign_params=item_id%2Cuser_text&amp;user_text=veigasaymon" TargetMode="External"/><Relationship Id="rId359" Type="http://schemas.openxmlformats.org/officeDocument/2006/relationships/hyperlink" Target="https://v16-webapp-prime.tiktok.com/video/tos/useast2a/tos-useast2a-ve-0068c002/osrTigAioIkzJIQoaWCOlxEBciXBBfVAkPz02w/?a=1988&amp;bti=ODszNWYuMDE6&amp;ch=0&amp;cr=3&amp;dr=0&amp;lr=all&amp;cd=0%7C0%7C0%7C&amp;cv=1&amp;br=2180&amp;bt=1090&amp;cs=0&amp;ds=3&amp;ft=-Csk_mrMPD12NNBh5d-UxIS5hY6e3wv25ocAp&amp;mime_type=video_mp4&amp;qs=0&amp;rc=OTc7NWg6ZjpnZDs6ZjY4ZEBpMzhoZ205cjM2NDMzNzczM0A1NTEvLjYuXmMxXmNfMjE0YSNlZWlhMmRzZWxhLS1kMTZzcw%3D%3D&amp;btag=e00090000&amp;expire=1764728660&amp;l=20251201102153319CD8E1EA373154CB8C&amp;ply_type=2&amp;policy=2&amp;signature=ef8e06e48e4db6446f16488c1d6592fa&amp;tk=tt_chain_token" TargetMode="External"/><Relationship Id="rId358" Type="http://schemas.openxmlformats.org/officeDocument/2006/relationships/hyperlink" Target="https://p77-sg.tiktokcdn.com/aweme/720x720/tos-alisg-v-2774/o8CZDEgpEsoAeWtxEBnAtQFAgpHQVBf148CJcS.jpeg" TargetMode="External"/><Relationship Id="rId357" Type="http://schemas.openxmlformats.org/officeDocument/2006/relationships/hyperlink" Target="https://sf16-ies-music-sg.tiktokcdn.com/obj/tos-alisg-ve-2774/oMyOHOoBzAh6qWbii1nknBIZWAFsflLwCsMz8X" TargetMode="External"/><Relationship Id="rId352" Type="http://schemas.openxmlformats.org/officeDocument/2006/relationships/hyperlink" Target="https://v16-webapp-prime.tiktok.com/video/tos/useast2a/tos-useast2a-v-27dcd7/ogcbTgTRRESAoAC7ACtFMDSEEBDAe5E8egfRlY/?a=1988&amp;bti=ODszNWYuMDE6&amp;ch=0&amp;cr=0&amp;dr=0&amp;er=0&amp;lr=default&amp;cd=0%7C0%7C0%7C0&amp;br=250&amp;bt=125&amp;ds=5&amp;ft=GNDpcInz7ThbzKvPXq8Zmo&amp;mime_type=audio_mpeg&amp;qs=13&amp;rc=anY6OXc5cnFqNjMzNzU8M0BpanY6OXc5cnFqNjMzNzU8M0A2bC1zMmRrMWFhLS1kMTZzYSM2bC1zMmRrMWFhLS1kMTZzcw%3D%3D&amp;btag=e00050000&amp;expire=1764559445&amp;l=20251201102139650E38823033055E6EEC&amp;ply_type=3&amp;policy=3&amp;signature=1260d1fbc9c19e31a1d9c6d6e22ce4f2&amp;tk=7571587458748974088" TargetMode="External"/><Relationship Id="rId351"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350" Type="http://schemas.openxmlformats.org/officeDocument/2006/relationships/hyperlink" Target="https://www.tiktok.com/@visaopsicologiaof/video/7554502786784726283" TargetMode="External"/><Relationship Id="rId35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355" Type="http://schemas.openxmlformats.org/officeDocument/2006/relationships/hyperlink" Target="https://www.tiktok.com/@psi.walace/video/7555635308767792440" TargetMode="External"/><Relationship Id="rId354" Type="http://schemas.openxmlformats.org/officeDocument/2006/relationships/hyperlink" Target="https://v16-webapp-prime.tiktok.com/video/tos/useast2a/tos-useast2a-ve-0068c001/osRXGByOAe7E3QooWwJFEHX2IBWf7N7bsQDAEo/?a=1988&amp;bti=ODszNWYuMDE6&amp;ch=0&amp;cr=3&amp;dr=0&amp;lr=all&amp;cd=0%7C0%7C0%7C&amp;cv=1&amp;br=1564&amp;bt=782&amp;cs=0&amp;ds=3&amp;ft=-Csk_mrMPD12NzDh5d-UxKyFaY6e3wv257cAp&amp;mime_type=video_mp4&amp;qs=0&amp;rc=Zjw8NTtlNGVkZWY3ODo5OEBpM3FzOHg5cnZqNjMzNzczM0AxY2ExMjBfXjQxNjE1Xy42YSNfY2VoMmRrMGFhLS1kMTZzcw%3D%3D&amp;btag=e00090000&amp;expire=1764728645&amp;l=20251201102139650E38823033055E6EEC&amp;ply_type=2&amp;policy=2&amp;signature=74b38518b8357bb9600dbc926178d797&amp;tk=tt_chain_token" TargetMode="External"/><Relationship Id="rId353"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1378" Type="http://schemas.openxmlformats.org/officeDocument/2006/relationships/hyperlink" Target="https://v16-webapp-prime.tiktok.com/video/tos/alisg/tos-alisg-ve-37c813-sg/oQNtROhIw0jXARcgfCLQAfBGgMSlZCsTevNITW/?a=1988&amp;bti=ODszNWYuMDE6&amp;ch=0&amp;cr=3&amp;dr=0&amp;lr=all&amp;cd=0%7C0%7C0%7C&amp;cv=1&amp;br=1054&amp;bt=527&amp;cs=0&amp;ds=3&amp;ft=-Csk_mrMPD12NxDh5d-UxIS5hY6e3wv25ycAp&amp;mime_type=video_mp4&amp;qs=0&amp;rc=ZTpmMzU1aGVnPDs2PGg7ZUBpam1xdW85cmRxMzMzNzczM0AzNF4tYi9gX2MxL2JeYC0vYSM2NjVlMmQ0bGFhLS1kMTZzcw%3D%3D&amp;btag=e00090000&amp;expire=1764728548&amp;l=202512011020485614ECD0EEDB8C5FDDDB&amp;ply_type=2&amp;policy=2&amp;signature=6f29dec6c20baa1b47323ff13eea944d&amp;tk=tt_chain_token" TargetMode="External"/><Relationship Id="rId1379" Type="http://schemas.openxmlformats.org/officeDocument/2006/relationships/hyperlink" Target="https://www.tiktok.com/@thaisgarciaterapeuta/video/7501728670701063430" TargetMode="External"/><Relationship Id="rId305" Type="http://schemas.openxmlformats.org/officeDocument/2006/relationships/hyperlink" Target="https://www.tiktok.com/@liberdade.mentall/video/7488113342129655045" TargetMode="External"/><Relationship Id="rId789" Type="http://schemas.openxmlformats.org/officeDocument/2006/relationships/hyperlink" Target="https://v16-webapp-prime.tiktok.com/video/tos/useast2a/tos-useast2a-pve-0068/oYAhk9kjIPHCk5EArmUzNgdIsTAfMc3oDkIyUp/?a=1988&amp;bti=ODszNWYuMDE6&amp;ch=0&amp;cr=3&amp;dr=0&amp;lr=all&amp;cd=0%7C0%7C0%7C&amp;cv=1&amp;br=540&amp;bt=270&amp;cs=0&amp;ds=6&amp;ft=I~da4oKyD12Nvu.WS.IxRntNWlBF-UjNSMopiX&amp;mime_type=video_mp4&amp;qs=5&amp;rc=aTY8PDlkZzozOzs2OzVpaEBpamVsdDo6ZjxpajMzNzczM0A1YDAtM2NhNjMxNl9eLzY0YSNiNmA0cjRnYGdgLS1kMTZzcw%3D%3D&amp;btag=e000b8000&amp;expire=1764728440&amp;l=20251201102018B39B5434B49F795A75FD&amp;ply_type=2&amp;policy=2&amp;signature=5a6dae3aca7be043f17a7a4bf7c33f36&amp;tk=tt_chain_token" TargetMode="External"/><Relationship Id="rId304" Type="http://schemas.openxmlformats.org/officeDocument/2006/relationships/hyperlink" Target="https://v16-webapp-prime.tiktok.com/video/tos/useast2a/tos-useast2a-ve-0068c003/oYCqIPjCeI4IIeLjaoIgZXASWPge4lXWzX1Q0G/?a=1988&amp;bti=ODszNWYuMDE6&amp;ch=0&amp;cr=3&amp;dr=0&amp;lr=all&amp;cd=0%7C0%7C0%7C&amp;cv=1&amp;br=600&amp;bt=300&amp;cs=0&amp;ds=6&amp;ft=-Csk_mrMPD12NWDh5d-Uxvt2hY6e3wv251cAp&amp;mime_type=video_mp4&amp;qs=5&amp;rc=Z2U1Zjc5NTtkaWUzO2czZEBpM25mb285cjdreTMzNzczM0AyNGMwLTUuNjUxLi0xNV9eYSNiNTZzMmRrcmlgLS1kMTZzcw%3D%3D&amp;btag=e00090000&amp;expire=1764728621&amp;l=20251201102141EAAE30DD17435761F356&amp;ply_type=2&amp;policy=2&amp;signature=88c95424c6eb83c14b165eb7b7689e9d&amp;tk=tt_chain_token" TargetMode="External"/><Relationship Id="rId788" Type="http://schemas.openxmlformats.org/officeDocument/2006/relationships/hyperlink" Target="https://p16-sign-va.tiktokcdn.com/tos-maliva-avt-0068/ebc42eb348fcf29a09bcbf1c40faef80~tplv-tiktokx-cropcenter:1080:1080.jpeg?dr=14579&amp;refresh_token=da718dc3&amp;x-expires=1764727200&amp;x-signature=idHE7IQWzL4DE2KOvOUyTQ92c2U%3D&amp;t=4d5b0474&amp;ps=13740610&amp;shp=a5d48078&amp;shcp=81f88b70&amp;idc=my" TargetMode="External"/><Relationship Id="rId30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787" Type="http://schemas.openxmlformats.org/officeDocument/2006/relationships/hyperlink" Target="https://v16-webapp-prime.tiktok.com/video/tos/useast2a/tos-useast2a-v-27dcd7/87db1e09e5454cbaae27f5060782636d/?a=1988&amp;bti=ODszNWYuMDE6&amp;ch=0&amp;cr=0&amp;dr=0&amp;er=0&amp;lr=default&amp;cd=0%7C0%7C0%7C0&amp;br=250&amp;bt=125&amp;ds=5&amp;ft=GNDpcInz7ThmPKvPXq8Zmo&amp;mime_type=audio_mpeg&amp;qs=13&amp;rc=M2dlOzY6ZmZpajMzNzU8M0BpM2dlOzY6ZmZpajMzNzU8M0AyNHFhcjRvYGdgLS1kMTZzYSMyNHFhcjRvYGdgLS1kMTZzcw%3D%3D&amp;btag=e00078000&amp;expire=1764559240&amp;l=20251201102018B39B5434B49F795A75FD&amp;ply_type=3&amp;policy=3&amp;signature=42a79f64d539b90c77c7b2cecca248f4&amp;tk=7571587458748974088" TargetMode="External"/><Relationship Id="rId302" Type="http://schemas.openxmlformats.org/officeDocument/2006/relationships/hyperlink" Target="https://v16-webapp-prime.tiktok.com/video/tos/useast2a/tos-useast2a-v-27dcd7/oQAC07PpAPThEf2oFjEHwIIDWgZS1AvCuefOv0/?a=1988&amp;bti=ODszNWYuMDE6&amp;ch=0&amp;cr=0&amp;dr=0&amp;er=0&amp;lr=default&amp;cd=0%7C0%7C0%7C0&amp;br=250&amp;bt=125&amp;ds=5&amp;ft=GNDpcInz7ThJzKvPXq8Zmo&amp;mime_type=audio_mpeg&amp;qs=13&amp;rc=amo8b3Q5cnlreTMzNzU8M0Bpamo8b3Q5cnlreTMzNzU8M0BvYzRhMmRzcmlgLS1kMTZzYSNvYzRhMmRzcmlgLS1kMTZzcw%3D%3D&amp;btag=e00050000&amp;expire=1764559421&amp;l=20251201102141EAAE30DD17435761F356&amp;ply_type=3&amp;policy=3&amp;signature=ae79559408d25bbca75be75c315d85ab&amp;tk=7571587458748974088" TargetMode="External"/><Relationship Id="rId786" Type="http://schemas.openxmlformats.org/officeDocument/2006/relationships/hyperlink" Target="https://p16-sign-va.tiktokcdn.com/tos-maliva-avt-0068/ebc42eb348fcf29a09bcbf1c40faef80~tplv-tiktokx-cropcenter:100:100.jpeg?dr=14579&amp;refresh_token=874285da&amp;x-expires=1764727200&amp;x-signature=KqwndfhqcA8WaJcIHV8sy1waMLM%3D&amp;t=4d5b0474&amp;ps=13740610&amp;shp=a5d48078&amp;shcp=81f88b70&amp;idc=my" TargetMode="External"/><Relationship Id="rId309" Type="http://schemas.openxmlformats.org/officeDocument/2006/relationships/hyperlink" Target="https://v16-webapp-prime.tiktok.com/video/tos/useast2a/tos-useast2a-pve-0068/oU9BQUD4FgwGp6JvuRewABlETvqQIJgfQoP8VE/?a=1988&amp;bti=ODszNWYuMDE6&amp;ch=0&amp;cr=3&amp;dr=0&amp;lr=all&amp;cd=0%7C0%7C0%7C&amp;cv=1&amp;br=2346&amp;bt=1173&amp;cs=0&amp;ds=3&amp;ft=-Csk_mrMPD12N8Dh5d-UxSc2hY6e3wv252cAp&amp;mime_type=video_mp4&amp;qs=0&amp;rc=OTdoM2Y2aTQ3OTc0NGU4ZEBpM3JveXE5cjRpNTMzNzczM0BgMDQyXzJhNWIxLl8vYTBgYSNgMmZoMmRrNWZhLS1kMTZzcw%3D%3D&amp;btag=e00090000&amp;expire=1764728610&amp;l=2025120110213521203C48224A5C66F6F4&amp;ply_type=2&amp;policy=2&amp;signature=0c04a53e090b9ad1a5bda3a5e899e3e8&amp;tk=tt_chain_token" TargetMode="External"/><Relationship Id="rId308"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307" Type="http://schemas.openxmlformats.org/officeDocument/2006/relationships/hyperlink" Target="https://v16-webapp-prime.tiktok.com/video/tos/useast2a/tos-useast2a-v-27dcd7/okJnp8qJpIjtU65BEoPQIRD9F9fACBPAFIZJAe/?a=1988&amp;bti=ODszNWYuMDE6&amp;ch=0&amp;cr=0&amp;dr=0&amp;er=0&amp;lr=default&amp;cd=0%7C0%7C0%7C0&amp;br=250&amp;bt=125&amp;ds=5&amp;ft=GNDpcInz7ThazKvPXq8Zmo&amp;mime_type=audio_mpeg&amp;qs=13&amp;rc=M251eXg5cnlpNTMzNzU8M0BpM251eXg5cnlpNTMzNzU8M0BzNDNsMmRjNWZhLS1kMTZzYSNzNDNsMmRjNWZhLS1kMTZzcw%3D%3D&amp;btag=e00050000&amp;expire=1764559410&amp;l=2025120110213521203C48224A5C66F6F4&amp;ply_type=3&amp;policy=3&amp;signature=dcd85a294c6136b064b5a034ebe25aa6&amp;tk=7571587458748974088" TargetMode="External"/><Relationship Id="rId30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781" Type="http://schemas.openxmlformats.org/officeDocument/2006/relationships/hyperlink" Target="https://p16-sign-va.tiktokcdn.com/tos-maliva-avt-0068/b65580219dd212688aa9c5305651ee47~tplv-tiktokx-cropcenter:100:100.jpeg?dr=14579&amp;refresh_token=d8e18523&amp;x-expires=1764727200&amp;x-signature=FUkhT7zDieVxyPnSflsZmp9pK6A%3D&amp;t=4d5b0474&amp;ps=13740610&amp;shp=a5d48078&amp;shcp=81f88b70&amp;idc=my" TargetMode="External"/><Relationship Id="rId1370"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780" Type="http://schemas.openxmlformats.org/officeDocument/2006/relationships/hyperlink" Target="https://www.tiktok.com/@natan.ferreira.de/video/7554867213556043064" TargetMode="External"/><Relationship Id="rId1371" Type="http://schemas.openxmlformats.org/officeDocument/2006/relationships/hyperlink" Target="https://sf16-ies-music-sg.tiktokcdn.com/obj/tos-alisg-ve-2774/oERHw6BOqMz1iLjMbovAszeKn2iy5PWuBiATYI" TargetMode="External"/><Relationship Id="rId1372" Type="http://schemas.openxmlformats.org/officeDocument/2006/relationships/hyperlink" Target="https://p77-sg.tiktokcdn.com/aweme/720x720/tos-alisg-v-2774/owQAsSGa6CgAfAz5mzQFBLIDUCGf4NAJ4e4xmg.jpeg" TargetMode="External"/><Relationship Id="rId1373" Type="http://schemas.openxmlformats.org/officeDocument/2006/relationships/hyperlink" Target="https://v16-webapp-prime.tiktok.com/video/tos/maliva/tos-maliva-ve-0068c801-us/osTg20tHA4QIL2SNjegCCGeglQRZgAXcAekn8M/?a=1988&amp;bti=ODszNWYuMDE6&amp;ch=0&amp;cr=3&amp;dr=0&amp;lr=all&amp;cd=0%7C0%7C0%7C&amp;cv=1&amp;br=1340&amp;bt=670&amp;cs=0&amp;ds=3&amp;ft=-Csk_mrMPD12NXdh5d-Uxe42hY6e3wv25XcAp&amp;mime_type=video_mp4&amp;qs=0&amp;rc=Mzw1MzdpZWRlaGZpPDU7M0BpM2d4a3g5cjM4dTMzNzczM0AuNWAuYC42NS0xMWMzMl8vYSMxMGpvMmRzaDRgLS1kMTZzcw%3D%3D&amp;btag=e00090000&amp;expire=1764728525&amp;l=202512011020161DC26370CAB01566B4BC&amp;ply_type=2&amp;policy=2&amp;signature=ef065cccf94a123f269f852bce08852f&amp;tk=tt_chain_token" TargetMode="External"/><Relationship Id="rId30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785" Type="http://schemas.openxmlformats.org/officeDocument/2006/relationships/hyperlink" Target="https://www.tiktok.com/@dulcivaldejesussantos/video/7572759827672239381" TargetMode="External"/><Relationship Id="rId1374" Type="http://schemas.openxmlformats.org/officeDocument/2006/relationships/hyperlink" Target="https://www.tiktok.com/@liberdade.mentall/video/7407958496542559494" TargetMode="External"/><Relationship Id="rId300" Type="http://schemas.openxmlformats.org/officeDocument/2006/relationships/hyperlink" Target="https://www.tiktok.com/@psi.walace/video/7516671993526095109" TargetMode="External"/><Relationship Id="rId784" Type="http://schemas.openxmlformats.org/officeDocument/2006/relationships/hyperlink" Target="https://v16-webapp-prime.tiktok.com/video/tos/alisg/tos-alisg-pve-0037c001/osEB0iQ2zFlfCAplScYAX45AiEqQX3LIJwPiI2/?a=1988&amp;bti=ODszNWYuMDE6&amp;ch=0&amp;cr=3&amp;dr=0&amp;lr=all&amp;cd=0%7C0%7C0%7C&amp;br=2180&amp;bt=1090&amp;cs=0&amp;ds=3&amp;ft=-Csk_mrMPD12NsDh5d-UxSc2hY6e3wv25DcAp&amp;mime_type=video_mp4&amp;qs=0&amp;rc=N2k3NTw0OjtpNjdkPGYzZ0BpanFxbHA5cjh3NzMzODczNEBfLzBiYDRhXjExMTJeNC0uYSNoZTVmMmQ0ZV9hLS1kMTFzcw%3D%3D&amp;btag=e00090000&amp;expire=1764728582&amp;l=2025120110213238A64472738F9C5726DD&amp;ply_type=2&amp;policy=2&amp;signature=c5d2226481ce4efc07a67e2bf85d15a8&amp;tk=tt_chain_token" TargetMode="External"/><Relationship Id="rId1375" Type="http://schemas.openxmlformats.org/officeDocument/2006/relationships/hyperlink" Target="https://p16-sign-va.tiktokcdn.com/tos-maliva-avt-0068/1b2cbd4cbd8b9322457b2c2f8a0f3593~tplv-tiktokx-cropcenter:100:100.jpeg?dr=14579&amp;refresh_token=832ea0cb&amp;x-expires=1764727200&amp;x-signature=57NhgmrleZvlk3E18f79ZgPl%2FrY%3D&amp;t=4d5b0474&amp;ps=13740610&amp;shp=a5d48078&amp;shcp=81f88b70&amp;idc=my" TargetMode="External"/><Relationship Id="rId783" Type="http://schemas.openxmlformats.org/officeDocument/2006/relationships/hyperlink" Target="https://p16-sign-va.tiktokcdn.com/tos-maliva-avt-0068/b65580219dd212688aa9c5305651ee47~tplv-tiktokx-cropcenter:1080:1080.jpeg?dr=14579&amp;refresh_token=3163266f&amp;x-expires=1764727200&amp;x-signature=ClKzrdbOpB%2BCrvfBAEQQWYtuWa8%3D&amp;t=4d5b0474&amp;ps=13740610&amp;shp=a5d48078&amp;shcp=81f88b70&amp;idc=my" TargetMode="External"/><Relationship Id="rId1376" Type="http://schemas.openxmlformats.org/officeDocument/2006/relationships/hyperlink" Target="https://v16-webapp-prime.tiktok.com/video/tos/useast2a/tos-useast2a-v-2370-euttp/o0VAjGfE2gd2Mj5eZEENTbEoAYEOFcoADeAe47/?a=1988&amp;bti=ODszNWYuMDE6&amp;ch=0&amp;cr=0&amp;dr=0&amp;er=0&amp;lr=default&amp;cd=0%7C0%7C0%7C0&amp;br=250&amp;bt=125&amp;ds=5&amp;ft=GNDpcInz7Th8zKvPXq8Zmo&amp;mime_type=audio_mpeg&amp;qs=13&amp;rc=ajZrcHg5cnJ4cjMzZjU8M0BpajZrcHg5cnJ4cjMzZjU8M0BwazBgMmRzM3FgLS1kMWNzYSNwazBgMmRzM3FgLS1kMWNzcw%3D%3D&amp;btag=e00058000&amp;expire=1764559500&amp;l=202512011020485614ECD0EEDB8C5FDDDB&amp;ply_type=3&amp;policy=3&amp;signature=dbcff92905dcffbbda3f4e72b535106b&amp;tk=7571587458748974088" TargetMode="External"/><Relationship Id="rId782" Type="http://schemas.openxmlformats.org/officeDocument/2006/relationships/hyperlink" Target="https://v16-webapp-prime.tiktok.com/video/tos/alisg/tos-alisg-v-27dcd7/oAUFQIeMB4rxeB2OgivPC8QXuiFnBpBUny9J7X/?a=1988&amp;bti=ODszNWYuMDE6&amp;ch=0&amp;cr=0&amp;dr=0&amp;er=0&amp;lr=default&amp;cd=0%7C0%7C0%7C0&amp;br=250&amp;bt=125&amp;ft=GNDpcInz7Th0zKvPXq8Zmo&amp;mime_type=audio_mpeg&amp;qs=6&amp;rc=NzQ0NjxnOGc2NDQ4ZGhmN0Bpamg1c2w5cnh3NzMzODU8NEAzNC0xYTNjNl4xNGNfMGEtYSNycHMvMmRrZV9hLS1kMS1zcw%3D%3D&amp;btag=e00090000&amp;expire=1764559382&amp;l=2025120110213238A64472738F9C5726DD&amp;ply_type=3&amp;policy=3&amp;signature=ec2beb157b8361415ff94ec432dea570&amp;tk=7571587458748974088" TargetMode="External"/><Relationship Id="rId1377" Type="http://schemas.openxmlformats.org/officeDocument/2006/relationships/hyperlink" Target="https://p19-common-sign-useastred.tiktokcdn-eu.com/tos-useast2a-avt-0068-euttp/aef08c932f06f3dfcbe7cd92188a70ad~tplv-tiktokx-cropcenter:1080:1080.jpeg?dr=14579&amp;refresh_token=204d10f1&amp;x-expires=1764727200&amp;x-signature=D1cda1M6tRe67ghlKiL5MXT99ik%3D&amp;t=4d5b0474&amp;ps=13740610&amp;shp=a5d48078&amp;shcp=81f88b70&amp;idc=my" TargetMode="External"/><Relationship Id="rId1367" Type="http://schemas.openxmlformats.org/officeDocument/2006/relationships/hyperlink" Target="https://p77-sg.tiktokcdn.com/aweme/720x720/tos-alisg-v-2774/97ebf018613c4a8abbf9e55690232f42.jpeg" TargetMode="External"/><Relationship Id="rId1368" Type="http://schemas.openxmlformats.org/officeDocument/2006/relationships/hyperlink" Target="https://v16-webapp-prime.tiktok.com/video/tos/alisg/tos-alisg-ve-37c813-sg/oQGEvnsFQ9oEJGwBpEYDfBGR1sAFgrkQTetnIn/?a=1988&amp;bti=ODszNWYuMDE6&amp;ch=0&amp;cr=3&amp;dr=0&amp;lr=all&amp;cd=0%7C0%7C0%7C&amp;cv=1&amp;br=2546&amp;bt=1273&amp;cs=0&amp;ds=3&amp;ft=I~da4oKyD12Nvb.WS.IxRnTNWlBF-UjNS3opiX&amp;mime_type=video_mp4&amp;qs=0&amp;rc=M2RlaDw2NDs6ZTwzPDY0Z0Bpam55Zm45cnU3eTMzNzczM0A2YF81NjE1NS0xMTAyYC1iYSNlYHJjMmQ0bi5gLS1kMTZzcw%3D%3D&amp;btag=e00090000&amp;expire=1764728509&amp;l=20251201102046E8B89E886773854715A1&amp;ply_type=2&amp;policy=2&amp;signature=f033a5f43db3976129b0f90b5c1e4045&amp;tk=tt_chain_token" TargetMode="External"/><Relationship Id="rId1369" Type="http://schemas.openxmlformats.org/officeDocument/2006/relationships/hyperlink" Target="https://www.tiktok.com/@rosane.piscologia/video/7476623603304303878" TargetMode="External"/><Relationship Id="rId778" Type="http://schemas.openxmlformats.org/officeDocument/2006/relationships/hyperlink" Target="https://p16-sign-sg.tiktokcdn.com/tos-alisg-avt-0068/0d277ede36dc77af748b34535b8adf71~tplv-tiktokx-cropcenter:1080:1080.jpeg?dr=14579&amp;refresh_token=9b0c3982&amp;x-expires=1764727200&amp;x-signature=uwl6JOKxlLJz3DhbaA2Py%2FPTgu8%3D&amp;t=4d5b0474&amp;ps=13740610&amp;shp=a5d48078&amp;shcp=81f88b70&amp;idc=my" TargetMode="External"/><Relationship Id="rId777" Type="http://schemas.openxmlformats.org/officeDocument/2006/relationships/hyperlink" Target="https://v16-webapp-prime.tiktok.com/video/tos/useast2a/tos-useast2a-v-27dcd7/oARsGRbjIAIuCI1oI9AweCEaATL33SeeJgkG9I/?a=1988&amp;bti=ODszNWYuMDE6&amp;ch=0&amp;cr=0&amp;dr=0&amp;er=0&amp;lr=default&amp;cd=0%7C0%7C0%7C0&amp;br=250&amp;bt=125&amp;ds=5&amp;ft=GNDpcInz7ThdPKvPXq8Zmo&amp;mime_type=audio_mpeg&amp;qs=13&amp;rc=amc7cW45cmk3NjMzNzU8M0Bpamc7cW45cmk3NjMzNzU8M0BvNW5iMmRrY2BhLS1kMTZzYSNvNW5iMmRrY2BhLS1kMTZzcw%3D%3D&amp;btag=e00050000&amp;expire=1764559282&amp;l=202512011020239FD63C9B4E4C976A9DFE&amp;ply_type=3&amp;policy=3&amp;signature=c6de1536a7ec6de0340f5bcf5fd3f09f&amp;tk=7571587458748974088" TargetMode="External"/><Relationship Id="rId776" Type="http://schemas.openxmlformats.org/officeDocument/2006/relationships/hyperlink" Target="https://p16-sign-sg.tiktokcdn.com/tos-alisg-avt-0068/0d277ede36dc77af748b34535b8adf71~tplv-tiktokx-cropcenter:100:100.jpeg?dr=14579&amp;refresh_token=e3f217a0&amp;x-expires=1764727200&amp;x-signature=Vt1Wsgx59xe41Ttc2YuLaUZoiMI%3D&amp;t=4d5b0474&amp;ps=13740610&amp;shp=a5d48078&amp;shcp=81f88b70&amp;idc=my" TargetMode="External"/><Relationship Id="rId775" Type="http://schemas.openxmlformats.org/officeDocument/2006/relationships/hyperlink" Target="http://natan.ferreira.de" TargetMode="External"/><Relationship Id="rId779" Type="http://schemas.openxmlformats.org/officeDocument/2006/relationships/hyperlink" Target="https://v16-webapp-prime.tiktok.com/video/tos/alisg/tos-alisg-ve-37c813-sg/oEBrARd2tFfUIEEaQoEDo8fEIBV9QdWzBJY3oR/?a=1988&amp;bti=ODszNWYuMDE6&amp;ch=0&amp;cr=3&amp;dr=0&amp;lr=all&amp;cd=0%7C0%7C0%7C&amp;cv=1&amp;br=226&amp;bt=113&amp;cs=0&amp;ds=3&amp;ft=-Csk_mrMPD12NLdh5d-Uxbt2hY6e3wv25HcAp&amp;mime_type=video_mp4&amp;qs=0&amp;rc=M2c1ZzNnOzNmODVnNDQ5aEBpM2hnOW45cnc3NjMzNzczM0A1MjYvYGM2XmAxMV4uNDNfYSNlNWEvMmRzYmBhLS1kMTZzcw%3D%3D&amp;btag=e00090000&amp;expire=1764728482&amp;l=202512011020239FD63C9B4E4C976A9DFE&amp;ply_type=2&amp;policy=2&amp;signature=7f4dfe7a50c8ca887ac63feedc5074f7&amp;tk=tt_chain_token" TargetMode="External"/><Relationship Id="rId770" Type="http://schemas.openxmlformats.org/officeDocument/2006/relationships/hyperlink" Target="https://p77-sign-va.tiktokcdn.com/tos-maliva-avt-0068/7d1de8375d99029c00fedd01d7903cdd~tplv-tiktokx-cropcenter:100:100.jpeg?dr=14579&amp;refresh_token=426af72e&amp;x-expires=1764727200&amp;x-signature=QDYvnNuT1DpyME2xRSktTjEALmE%3D&amp;t=4d5b0474&amp;ps=13740610&amp;shp=a5d48078&amp;shcp=81f88b70&amp;idc=my" TargetMode="External"/><Relationship Id="rId1360" Type="http://schemas.openxmlformats.org/officeDocument/2006/relationships/hyperlink" Target="https://p77-sign-va.tiktokcdn.com/tos-maliva-avt-0068/3b4c93f11ab91ab662692017c3327107~tplv-tiktokx-cropcenter:100:100.jpeg?dr=14579&amp;refresh_token=32f8da62&amp;x-expires=1764727200&amp;x-signature=iI%2F5hcP5UHua7THmv49%2F%2BcU29Ss%3D&amp;t=4d5b0474&amp;ps=13740610&amp;shp=a5d48078&amp;shcp=81f88b70&amp;idc=my" TargetMode="External"/><Relationship Id="rId1361" Type="http://schemas.openxmlformats.org/officeDocument/2006/relationships/hyperlink" Target="https://sf16-ies-music-sg.tiktokcdn.com/obj/tos-alisg-ve-2774/oUNeBfzfaiygM4IrCOMAiC17IRzyFjNa9DI1Fs" TargetMode="External"/><Relationship Id="rId1362" Type="http://schemas.openxmlformats.org/officeDocument/2006/relationships/hyperlink" Target="https://p16-sg.tiktokcdn.com/aweme/720x720/tos-alisg-v-2774/oARoug5lACAgAZ0UgEFQNrQD7fGfvnaEBtBA1E.jpeg" TargetMode="External"/><Relationship Id="rId774" Type="http://schemas.openxmlformats.org/officeDocument/2006/relationships/hyperlink" Target="https://www.tiktok.com/@lute_contra_depressao/video/7522212054481030406" TargetMode="External"/><Relationship Id="rId1363" Type="http://schemas.openxmlformats.org/officeDocument/2006/relationships/hyperlink" Target="https://v16-webapp-prime.tiktok.com/video/tos/maliva/tos-maliva-ve-0068c801-us/oYrOh9regtLjAIxSJmEHXPfAIKC7SeN2CoOGzh/?a=1988&amp;bti=ODszNWYuMDE6&amp;ch=0&amp;cr=3&amp;dr=0&amp;lr=all&amp;cd=0%7C0%7C0%7C&amp;cv=1&amp;br=354&amp;bt=177&amp;cs=0&amp;ds=3&amp;ft=-Csk_mrMPD12NXdh5d-Uxe42hY6e3wv25XcAp&amp;mime_type=video_mp4&amp;qs=0&amp;rc=MzdmZTRlOzY8NjhpOWQ6aUBpMzs3b2U6Zm93bTMzNzczM0BfNDIuLmEvNl4xLjZiNC4yYSMwaXJycjRnYXFgLS1kMTZzcw%3D%3D&amp;btag=e00088000&amp;expire=1764728458&amp;l=202512011020161DC26370CAB01566B4BC&amp;ply_type=2&amp;policy=2&amp;signature=cb5cf09e263e6fee642adece2998cdf0&amp;tk=tt_chain_token" TargetMode="External"/><Relationship Id="rId773" Type="http://schemas.openxmlformats.org/officeDocument/2006/relationships/hyperlink" Target="https://v16-webapp-prime.tiktok.com/video/tos/useast2a/tos-useast2a-ve-0068c004/oQRnoBaGSUA2BiJQRiCV549IxEkBvBRAdQSJE/?a=1988&amp;bti=ODszNWYuMDE6&amp;ch=0&amp;cr=3&amp;dr=0&amp;lr=all&amp;cd=0%7C0%7C0%7C&amp;cv=1&amp;br=412&amp;bt=206&amp;cs=0&amp;ds=6&amp;ft=-Csk_mrMPD12NgDh5d-UxgS5hY6e3wv25-cAp&amp;mime_type=video_mp4&amp;qs=5&amp;rc=NThnaDdmOmQ2ZWg8ZDc0aEBpam86N2s5cnA3NDMzNzczM0A0Li4tNi0zXjMxNDZjMy8xYSMxbmYtMmRrMmZhLS1kMTZzcw%3D%3D&amp;btag=e00090000&amp;expire=1764728554&amp;l=2025120110213056C909F1BE127E576E48&amp;ply_type=2&amp;policy=2&amp;signature=0a64175273078e7fd6606b7dd050fe27&amp;tk=tt_chain_token" TargetMode="External"/><Relationship Id="rId1364" Type="http://schemas.openxmlformats.org/officeDocument/2006/relationships/hyperlink" Target="https://www.tiktok.com/@psicofisiocuidado/video/7276648310188887301" TargetMode="External"/><Relationship Id="rId772" Type="http://schemas.openxmlformats.org/officeDocument/2006/relationships/hyperlink" Target="https://p77-sg.tiktokcdn.com/aweme/720x720/tos-alisg-v-2774/o4A8EiGS96Y7r6BApURZj7WAA3NPCh7FAEiPY.jpeg" TargetMode="External"/><Relationship Id="rId1365" Type="http://schemas.openxmlformats.org/officeDocument/2006/relationships/hyperlink" Target="https://p16-sign-va.tiktokcdn.com/tos-maliva-avt-0068/57bbd31068c1a08746eac939ea1daaf8~tplv-tiktokx-cropcenter:100:100.jpeg?dr=14579&amp;refresh_token=a0ff98ac&amp;x-expires=1764727200&amp;x-signature=D%2BpL0Yov%2BYZocfvrZvv0fe6SuPA%3D&amp;t=4d5b0474&amp;ps=13740610&amp;shp=a5d48078&amp;shcp=81f88b70&amp;idc=my" TargetMode="External"/><Relationship Id="rId771" Type="http://schemas.openxmlformats.org/officeDocument/2006/relationships/hyperlink" Target="https://sf16-ies-music-sg.tiktokcdn.com/obj/tos-alisg-ve-2774/o41ZIiFU2PQMMegWBQDCMt1yZClgKBbtEiEHfP" TargetMode="External"/><Relationship Id="rId1366" Type="http://schemas.openxmlformats.org/officeDocument/2006/relationships/hyperlink" Target="https://sf16-ies-music-sg.tiktokcdn.com/obj/tos-alisg-ve-2774/ooBrqo0B6lnEtkFZ1SYdPlCQ9SgfaW73eNdQdD" TargetMode="External"/><Relationship Id="rId327" Type="http://schemas.openxmlformats.org/officeDocument/2006/relationships/hyperlink" Target="https://v16-webapp-prime.tiktok.com/video/tos/useast2a/tos-useast2a-v-27dcd7/oIn5nEgCHIAO9AfPEsAAEyEteToDRCCSeGPT2L/?a=1988&amp;bti=ODszNWYuMDE6&amp;ch=0&amp;cr=0&amp;dr=0&amp;er=0&amp;lr=default&amp;cd=0%7C0%7C0%7C0&amp;br=250&amp;bt=125&amp;ds=5&amp;ft=GNDpcInz7ThcFKvPXq8Zmo&amp;mime_type=audio_mpeg&amp;qs=13&amp;rc=M3hocW05cnZ2eTMzNzU8M0BpM3hocW05cnZ2eTMzNzU8M0BqMXBzMmRzaGpgLS1kMTZzYSNqMXBzMmRzaGpgLS1kMTZzcw%3D%3D&amp;btag=e00050000&amp;expire=1764559429&amp;l=2025120110220384643B3986DED954E961&amp;ply_type=3&amp;policy=3&amp;signature=d5f5acb3f40d78d61f24c079de491218&amp;tk=7571587458748974088" TargetMode="External"/><Relationship Id="rId326"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325" Type="http://schemas.openxmlformats.org/officeDocument/2006/relationships/hyperlink" Target="https://www.tiktok.com/@liberdade.mentall/video/7572743276441111828" TargetMode="External"/><Relationship Id="rId324" Type="http://schemas.openxmlformats.org/officeDocument/2006/relationships/hyperlink" Target="https://v16-webapp-prime.tiktok.com/video/tos/alisg/tos-alisg-pve-0037/oYIVmUpA8IXCq3yvDBQilFFoKKgBIgfqEkCCQf/?a=1988&amp;bti=ODszNWYuMDE6&amp;ch=0&amp;cr=3&amp;dr=0&amp;lr=all&amp;cd=0%7C0%7C0%7C&amp;cv=1&amp;br=986&amp;bt=493&amp;cs=0&amp;ds=3&amp;ft=-Csk_mrMPD12NNBh5d-UxIS5hY6e3wv25ocAp&amp;mime_type=video_mp4&amp;qs=0&amp;rc=NGk1Ozc7PGlmOzloZGVpNkBpamxrbG85cmd2NzMzODgzNEAyLzAzNTYxXzIxM2FeXjQyYSNwLy0tMmRzZ19hLS1kLzFzcw%3D%3D&amp;btag=e00090000&amp;expire=1764728597&amp;l=20251201102153319CD8E1EA373154CB8C&amp;ply_type=2&amp;policy=2&amp;signature=1f46584b2429c74dd1b9d0467ab3bf39&amp;tk=tt_chain_token" TargetMode="External"/><Relationship Id="rId329" Type="http://schemas.openxmlformats.org/officeDocument/2006/relationships/hyperlink" Target="https://v16-webapp-prime.tiktok.com/video/tos/useast2a/tos-useast2a-ve-0068c001/oIA6IqByeL3PKJt7tatrkzGiQnwiICzTgEoAq2/?a=1988&amp;bti=ODszNWYuMDE6&amp;ch=0&amp;cr=3&amp;dr=0&amp;lr=all&amp;cd=0%7C0%7C0%7C&amp;cv=1&amp;br=1502&amp;bt=751&amp;cs=0&amp;ds=3&amp;ft=I~da4oKyD12NvaMWS.IxRYjNWlBF-UjNSkopiX&amp;mime_type=video_mp4&amp;qs=0&amp;rc=Mzc7ZTk4aWk8Ojc5NDZnOUBpanBnZGo5cjl2eTMzNzczM0BfNS80MTE0X18xYGJiYy5gYSNnNHNhMmQ0aGpgLS1kMTZzcw%3D%3D&amp;btag=e00090000&amp;expire=1764728629&amp;l=2025120110220384643B3986DED954E961&amp;ply_type=2&amp;policy=2&amp;signature=2223351cddef7bc3aeafc53ce0e52558&amp;tk=tt_chain_token" TargetMode="External"/><Relationship Id="rId1390" Type="http://schemas.openxmlformats.org/officeDocument/2006/relationships/hyperlink" Target="https://p77-sign-va.tiktokcdn.com/tos-maliva-avt-0068/0c857903b1d71ebd63a58d7ad9b30044~tplv-tiktokx-cropcenter:100:100.jpeg?dr=14579&amp;refresh_token=f2ca17db&amp;x-expires=1764727200&amp;x-signature=jMPE8zks6Apag7zG6sgBp4rRnpU%3D&amp;t=4d5b0474&amp;ps=13740610&amp;shp=a5d48078&amp;shcp=81f88b70&amp;idc=my" TargetMode="External"/><Relationship Id="rId328"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1391" Type="http://schemas.openxmlformats.org/officeDocument/2006/relationships/hyperlink" Target="https://v16-webapp-prime.tiktok.com/video/tos/useast2a/tos-useast2a-v-27dcd7/o0EAuyuKxAwAooEz6LEBBiigtFBbQtAspf9Vqk/?a=1988&amp;bti=ODszNWYuMDE6&amp;ch=0&amp;cr=0&amp;dr=0&amp;er=0&amp;lr=default&amp;cd=0%7C0%7C0%7C0&amp;br=250&amp;bt=125&amp;ds=5&amp;ft=GNDpcInz7ThoPKvPXq8Zmo&amp;mime_type=audio_mpeg&amp;qs=13&amp;rc=ampodnQ5cmQ0bzMzNzU8M0BpampodnQ5cmQ0bzMzNzU8M0BycG1oMmRzYWtgLS1kMTZzYSNycG1oMmRzYWtgLS1kMTZzcw%3D%3D&amp;btag=e00050000&amp;expire=1764559267&amp;l=202512011020068133AB7BCB086C5F4CDC&amp;ply_type=3&amp;policy=3&amp;signature=a1d23860facbcc0c13f2ea843bd82d6f&amp;tk=7571587458748974088" TargetMode="External"/><Relationship Id="rId1392" Type="http://schemas.openxmlformats.org/officeDocument/2006/relationships/hyperlink" Target="https://p77-sign-va.tiktokcdn.com/tos-maliva-avt-0068/0c857903b1d71ebd63a58d7ad9b30044~tplv-tiktokx-cropcenter:1080:1080.jpeg?dr=14579&amp;refresh_token=119a0f11&amp;x-expires=1764727200&amp;x-signature=HoicRW9XlcVqtFyC2Ibd4WPT48I%3D&amp;t=4d5b0474&amp;ps=13740610&amp;shp=a5d48078&amp;shcp=81f88b70&amp;idc=my" TargetMode="External"/><Relationship Id="rId1393" Type="http://schemas.openxmlformats.org/officeDocument/2006/relationships/hyperlink" Target="https://www.tiktok.com/@pisicopop/video/7308804131991440645" TargetMode="External"/><Relationship Id="rId1394" Type="http://schemas.openxmlformats.org/officeDocument/2006/relationships/hyperlink" Target="https://p77-sign-va.tiktokcdn.com/tos-maliva-avt-0068/409b8f094a519052398ae01ba95bf160~tplv-tiktokx-cropcenter:100:100.jpeg?dr=14579&amp;refresh_token=ea4abb33&amp;x-expires=1764727200&amp;x-signature=ulGbqLOsmXwSKH0AbdTjKUZA%2Boo%3D&amp;t=4d5b0474&amp;ps=13740610&amp;shp=a5d48078&amp;shcp=81f88b70&amp;idc=my" TargetMode="External"/><Relationship Id="rId1395" Type="http://schemas.openxmlformats.org/officeDocument/2006/relationships/hyperlink" Target="https://sf16-ies-music-sg.tiktokcdn.com/obj/tos-alisg-ve-2774/8308f094f4fb439b9cb30e9bf09f2081" TargetMode="External"/><Relationship Id="rId32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1396" Type="http://schemas.openxmlformats.org/officeDocument/2006/relationships/hyperlink" Target="https://p16-sg.tiktokcdn.com/aweme/720x720/tos-alisg-v-2774/15c65a6fc7f94aedb80a2f1a79fc34f2.jpeg" TargetMode="External"/><Relationship Id="rId322" Type="http://schemas.openxmlformats.org/officeDocument/2006/relationships/hyperlink" Target="https://v16-webapp-prime.tiktok.com/video/tos/alisg/tos-alisg-v-27dcd7/o05oVLACEWTZECgLGSilTfAKPQB38DcMifJ9fN/?a=1988&amp;bti=ODszNWYuMDE6&amp;ch=0&amp;cr=0&amp;dr=0&amp;er=0&amp;lr=default&amp;cd=0%7C0%7C0%7C0&amp;br=250&amp;bt=125&amp;ft=GNDpcInz7ThhFKvPXq8Zmo&amp;mime_type=audio_mpeg&amp;qs=6&amp;rc=Nmk0aWg1Z2U8NzU4ODYzZEBpanU2O245cnZ2NzMzODU8NEBgY2A2NWEyXmMxXjEzNC40YSNlMWk1MmRrZ19hLS1kMS1zcw%3D%3D&amp;btag=e00090000&amp;expire=1764559397&amp;l=20251201102153319CD8E1EA373154CB8C&amp;ply_type=3&amp;policy=3&amp;signature=e5796cc6c185e029e7b07ee66f4b71f4&amp;tk=7571587458748974088" TargetMode="External"/><Relationship Id="rId1397" Type="http://schemas.openxmlformats.org/officeDocument/2006/relationships/hyperlink" Target="https://v16-webapp-prime.tiktok.com/video/tos/maliva/tos-maliva-ve-0068c800-us/ad222ec3063242f4bf1b26572dc527dd/?a=1988&amp;bti=ODszNWYuMDE6&amp;ch=0&amp;cr=3&amp;dr=0&amp;lr=all&amp;cd=0%7C0%7C0%7C&amp;cv=1&amp;br=2766&amp;bt=1383&amp;cs=0&amp;ds=3&amp;ft=ytpHh9DfxxOusd.YtDKt8lcLVWOuRx_HFKKMNOWCuJETJDz7T&amp;mime_type=video_mp4&amp;qs=0&amp;rc=Omg5OmU2aGg4MzU8M2c4N0BpMzg8bzg6ZnM1NzMzNzczM0BhY15jMzU0XzUxYzIxMS1fYSMyXmJtcjRfMS1gLS1kMTZzcw%3D%3D&amp;btag=e000b8000&amp;expire=1764728449&amp;l=202512011020211DC26370CAB01566B5CA&amp;ply_type=2&amp;policy=2&amp;signature=08af1f4f08af006f767f10fd8f43f501&amp;tk=tt_chain_token" TargetMode="External"/><Relationship Id="rId32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1398" Type="http://schemas.openxmlformats.org/officeDocument/2006/relationships/hyperlink" Target="https://www.tiktok.com/@veigasaymon/video/6989624470734523653" TargetMode="External"/><Relationship Id="rId320" Type="http://schemas.openxmlformats.org/officeDocument/2006/relationships/hyperlink" Target="https://www.tiktok.com/@ateiadamente/video/7571621196295441685" TargetMode="External"/><Relationship Id="rId1399" Type="http://schemas.openxmlformats.org/officeDocument/2006/relationships/hyperlink" Target="https://p77-sign-va.tiktokcdn.com/tos-maliva-avt-0068/12bef02487e5a59671608efc8a1f1343~tplv-tiktokx-cropcenter:100:100.jpeg?dr=14579&amp;refresh_token=e46d2904&amp;x-expires=1764727200&amp;x-signature=xstehjf5s1hMo1fIUMJNhUee68o%3D&amp;t=4d5b0474&amp;ps=13740610&amp;shp=a5d48078&amp;shcp=81f88b70&amp;idc=my" TargetMode="External"/><Relationship Id="rId1389" Type="http://schemas.openxmlformats.org/officeDocument/2006/relationships/hyperlink" Target="https://www.tiktok.com/@igorpsicologo/video/7483688263765462278" TargetMode="External"/><Relationship Id="rId316" Type="http://schemas.openxmlformats.org/officeDocument/2006/relationships/hyperlink" Target="https://p16-sign-va.tiktokcdn.com/tos-maliva-avt-0068/cb55f28c3a82c49c1acd47a368599a7a~tplv-tiktokx-cropcenter:100:100.jpeg?dr=14579&amp;refresh_token=92ea76dc&amp;x-expires=1764727200&amp;x-signature=YNJT5OfSKiHC%2Bjyep7N9lFK97L4%3D&amp;t=4d5b0474&amp;ps=13740610&amp;shp=a5d48078&amp;shcp=81f88b70&amp;idc=my" TargetMode="External"/><Relationship Id="rId315" Type="http://schemas.openxmlformats.org/officeDocument/2006/relationships/hyperlink" Target="https://www.tiktok.com/@liberdade.mentall/video/7487402562518371639" TargetMode="External"/><Relationship Id="rId799" Type="http://schemas.openxmlformats.org/officeDocument/2006/relationships/hyperlink" Target="https://v16-webapp-prime.tiktok.com/video/tos/useast2a/tos-useast2a-ve-0068c004/ocGCBf1JCikkEzQd6QzoiA8XIBI6A1cN8gjEjh/?a=1988&amp;bti=ODszNWYuMDE6&amp;ch=0&amp;cr=3&amp;dr=0&amp;lr=all&amp;cd=0%7C0%7C0%7C&amp;cv=1&amp;br=1848&amp;bt=924&amp;cs=0&amp;ds=3&amp;ft=I~da4oKyD12Nvl.WS.IxR51NWlBF-UjNSMopiX&amp;mime_type=video_mp4&amp;qs=0&amp;rc=MzU1Njc0ZWc7N2hmPGhkPEBpandnaW85cjducjMzNzczM0BhYGMxYTAzNS8xLTZjMDYtYSMzbDFxMmRzM19gLS1kMTZzcw%3D%3D&amp;btag=e00088000&amp;expire=1764728456&amp;l=2025120110201396469B6E0854EC6377C0&amp;ply_type=2&amp;policy=2&amp;signature=5d837614b682883e43e87045d940a1a8&amp;tk=tt_chain_token" TargetMode="External"/><Relationship Id="rId314" Type="http://schemas.openxmlformats.org/officeDocument/2006/relationships/hyperlink" Target="https://v16-webapp-prime.tiktok.com/video/tos/useast2a/tos-useast2a-ve-0068c003/ok6MlgPcPnCzeSqRC0FEgDDeI0AjF5oIQPfQST/?a=1988&amp;bti=ODszNWYuMDE6&amp;ch=0&amp;cr=3&amp;dr=0&amp;lr=all&amp;cd=0%7C0%7C0%7C&amp;cv=1&amp;br=1300&amp;bt=650&amp;cs=0&amp;ds=3&amp;ft=-Csk_mrMPD12N8Dh5d-UxSc2hY6e3wv252cAp&amp;mime_type=video_mp4&amp;qs=0&amp;rc=aGhoaGVnMzc6ODc4Mzg0Z0BpMzxueXQ5cnk8eTMzNzczM0AwYTEuM2BiNmAxYTEtLV4zYSM0ZF4wMmRrZGhgLS1kMTZzcw%3D%3D&amp;btag=e00090000&amp;expire=1764728594&amp;l=2025120110213521203C48224A5C66F6F4&amp;ply_type=2&amp;policy=2&amp;signature=18a2e14541cdf98fcccc0a39f19a6762&amp;tk=tt_chain_token" TargetMode="External"/><Relationship Id="rId798" Type="http://schemas.openxmlformats.org/officeDocument/2006/relationships/hyperlink" Target="https://p77-sg.tiktokcdn.com/aweme/720x720/tos-alisg-v-2774/oAqAEjVDgb9ZCEfunAEAqpFPtqBOQifJBrAPDA.jpeg" TargetMode="External"/><Relationship Id="rId313"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797" Type="http://schemas.openxmlformats.org/officeDocument/2006/relationships/hyperlink" Target="https://sf16-ies-music-sg.tiktokcdn.com/obj/tos-alisg-ve-2774/ooI0OzcW3AxCYwsQ5HMBgiiANJBBDhQGRfH1vo" TargetMode="External"/><Relationship Id="rId319" Type="http://schemas.openxmlformats.org/officeDocument/2006/relationships/hyperlink" Target="https://v16-webapp-prime.tiktok.com/video/tos/alisg/tos-alisg-pve-0037/oMBbMyXiSQliZ8TPjGvzoIAAREaX5Ri2sAoJY/?a=1988&amp;bti=ODszNWYuMDE6&amp;ch=0&amp;cr=3&amp;dr=0&amp;lr=all&amp;cd=0%7C0%7C0%7C&amp;cv=1&amp;br=1780&amp;bt=890&amp;cs=0&amp;ds=3&amp;ft=-Csk_mrMPD12N3Dh5d-UxIS5hY6e3wv25ocAp&amp;mime_type=video_mp4&amp;qs=0&amp;rc=Zzg7OWg2Zmc4aDloNDM8aEBpamtnZXA5cjt2NzMzODgzNEBhL19jNjAzXl8xXjMyY2EwYSMxZjBlMmRrbTZhLS1kL2Bzcw%3D%3D&amp;btag=e00090000&amp;expire=1764728682&amp;l=20251201102147CB7160225F86D969BC26&amp;ply_type=2&amp;policy=2&amp;signature=978f494c4cd6f3d15a3fe25e76081bfb&amp;tk=tt_chain_token" TargetMode="External"/><Relationship Id="rId318" Type="http://schemas.openxmlformats.org/officeDocument/2006/relationships/hyperlink" Target="https://p16-sign-va.tiktokcdn.com/tos-maliva-avt-0068/cb55f28c3a82c49c1acd47a368599a7a~tplv-tiktokx-cropcenter:1080:1080.jpeg?dr=14579&amp;refresh_token=7ab3d00d&amp;x-expires=1764727200&amp;x-signature=UmIVIzchpojMR16kiNLt4wtFjTs%3D&amp;t=4d5b0474&amp;ps=13740610&amp;shp=a5d48078&amp;shcp=81f88b70&amp;idc=my" TargetMode="External"/><Relationship Id="rId317" Type="http://schemas.openxmlformats.org/officeDocument/2006/relationships/hyperlink" Target="https://v16-webapp-prime.tiktok.com/video/tos/alisg/tos-alisg-v-27dcd7/ocITMQDqTzeJERGSELQUeyBYurfoRICAgI5XCK/?a=1988&amp;bti=ODszNWYuMDE6&amp;ch=0&amp;cr=0&amp;dr=0&amp;er=0&amp;lr=default&amp;cd=0%7C0%7C0%7C0&amp;br=250&amp;bt=125&amp;ft=GNDpcInz7ThizKvPXq8Zmo&amp;mime_type=audio_mpeg&amp;qs=6&amp;rc=PGdnOGQ4ZTQ1NDdoNTo6ZEBpM2xyNnk5cnR2NzMzODU8NEA0YjQ2YWJfX2IxNTE2MjRiYSNrZTBlMmQ0bjZhLS1kMS1zcw%3D%3D&amp;btag=e00090000&amp;expire=1764559482&amp;l=20251201102147CB7160225F86D969BC26&amp;ply_type=3&amp;policy=3&amp;signature=3fd53164d8a749a2d39c40b3998412b6&amp;tk=7571587458748974088" TargetMode="External"/><Relationship Id="rId1380" Type="http://schemas.openxmlformats.org/officeDocument/2006/relationships/hyperlink" Target="https://p77-sign-va.tiktokcdn.com/tos-maliva-avt-0068/6f3d0900e711aa796f2c0d7770710a90~tplv-tiktokx-cropcenter:100:100.jpeg?dr=14579&amp;refresh_token=5c431d67&amp;x-expires=1764727200&amp;x-signature=WDKpSlgjtqCKNGNBuDI9gNj7zVI%3D&amp;t=4d5b0474&amp;ps=13740610&amp;shp=a5d48078&amp;shcp=81f88b70&amp;idc=my" TargetMode="External"/><Relationship Id="rId792" Type="http://schemas.openxmlformats.org/officeDocument/2006/relationships/hyperlink" Target="https://v16-webapp-prime.tiktok.com/video/tos/useast2a/tos-useast2a-v-27dcd7/5898511c395f41dd9ecb9236b5d71af2/?a=1988&amp;bti=ODszNWYuMDE6&amp;ch=0&amp;cr=0&amp;dr=0&amp;er=0&amp;lr=default&amp;cd=0%7C0%7C0%7C0&amp;br=200&amp;bt=100&amp;ds=5&amp;ft=GNDpcInz7Th8zKvPXq8Zmo&amp;mime_type=video_mp4&amp;qs=13&amp;rc=ajo6MzY6ZjhtZTMzNzU8M0Bpajo6MzY6ZjhtZTMzNzU8M0BebDZmcjQwc2hgLS1kMTZzYSNebDZmcjQwc2hgLS1kMTZzcw%3D%3D&amp;btag=e00050000&amp;expire=1764559324&amp;l=202512011020485614ECD0EEDB8C5FDDDB&amp;ply_type=3&amp;policy=3&amp;signature=343199070523d393e7387b9e6e37cae4&amp;tk=7571587458748974088" TargetMode="External"/><Relationship Id="rId1381" Type="http://schemas.openxmlformats.org/officeDocument/2006/relationships/hyperlink" Target="https://sf16-ies-music-sg.tiktokcdn.com/obj/tos-alisg-ve-2774/ec28b201a97b4673ba761ff39b60fe91" TargetMode="External"/><Relationship Id="rId791" Type="http://schemas.openxmlformats.org/officeDocument/2006/relationships/hyperlink" Target="https://p16-sign-va.tiktokcdn.com/tos-maliva-avt-0068/72466cc9d5b9a27930c91e8fb7677589~tplv-tiktokx-cropcenter:100:100.jpeg?dr=14579&amp;refresh_token=b237c687&amp;x-expires=1764727200&amp;x-signature=ScrWLEHr0FjIiW%2BvFjGOyF42nU8%3D&amp;t=4d5b0474&amp;ps=13740610&amp;shp=a5d48078&amp;shcp=81f88b70&amp;idc=my" TargetMode="External"/><Relationship Id="rId1382" Type="http://schemas.openxmlformats.org/officeDocument/2006/relationships/hyperlink" Target="https://p16-sg.tiktokcdn.com/aweme/720x720/tos-alisg-v-2774/604e1985ea7e4d018e3eb92ee6d522b4.jpeg" TargetMode="External"/><Relationship Id="rId790" Type="http://schemas.openxmlformats.org/officeDocument/2006/relationships/hyperlink" Target="https://www.tiktok.com/@psicologo.mateus/video/7216726126473792773" TargetMode="External"/><Relationship Id="rId1383" Type="http://schemas.openxmlformats.org/officeDocument/2006/relationships/hyperlink" Target="https://v16-webapp-prime.tiktok.com/video/tos/alisg/tos-alisg-pve-0037c001/oMIneBi1TEVK8fSgQgFmDb8ZJwtlkIAbNBxRQ0/?a=1988&amp;bti=ODszNWYuMDE6&amp;ch=0&amp;cr=3&amp;dr=0&amp;lr=all&amp;cd=0%7C0%7C0%7C&amp;cv=1&amp;br=1632&amp;bt=816&amp;cs=0&amp;ds=3&amp;ft=I~da4oKyD12Nvu.WS.IxRntNWlBF-UjNSMopiX&amp;mime_type=video_mp4&amp;qs=0&amp;rc=OThlMzY6ZzhlOzU8Njo2NkBpM3g4ZWQ6ZjltbDMzNzczM0AtXi1fMGEtNl8xLi1eNTQvYSNjZWJxcjRfNm5gLS1kMTZzcw%3D%3D&amp;btag=e000b8000&amp;expire=1764728439&amp;l=20251201102018B39B5434B49F795A75FD&amp;ply_type=2&amp;policy=2&amp;signature=9ca7f6d127063e6310768477a1689aa9&amp;tk=tt_chain_token" TargetMode="External"/><Relationship Id="rId1384" Type="http://schemas.openxmlformats.org/officeDocument/2006/relationships/hyperlink" Target="https://www.tiktok.com/@thiagorodrigopsiquiatra/video/7256764264583630085" TargetMode="External"/><Relationship Id="rId312" Type="http://schemas.openxmlformats.org/officeDocument/2006/relationships/hyperlink" Target="https://v16-webapp-prime.tiktok.com/video/tos/useast2a/tos-useast2a-v-27dcd7/oMAEoi4AEZ8EzBmvoAGeDiQSuBJBKAiCkdoguj/?a=1988&amp;bti=ODszNWYuMDE6&amp;ch=0&amp;cr=0&amp;dr=0&amp;er=0&amp;lr=default&amp;cd=0%7C0%7C0%7C0&amp;br=250&amp;bt=125&amp;ds=5&amp;ft=GNDpcInz7ThazKvPXq8Zmo&amp;mime_type=audio_mpeg&amp;qs=13&amp;rc=MzRsdXI5cjU8eTMzNzU8M0BpMzRsdXI5cjU8eTMzNzU8M0AwM2tiMmRrZmhgLS1kMTZzYSMwM2tiMmRrZmhgLS1kMTZzcw%3D%3D&amp;btag=e00050000&amp;expire=1764559394&amp;l=2025120110213521203C48224A5C66F6F4&amp;ply_type=3&amp;policy=3&amp;signature=f8b459013b5eb7ee303c2c6ecdda9f07&amp;tk=7571587458748974088" TargetMode="External"/><Relationship Id="rId796" Type="http://schemas.openxmlformats.org/officeDocument/2006/relationships/hyperlink" Target="https://p16-sign-va.tiktokcdn.com/tos-maliva-avt-0068/9990f37f58e531c49fc9931b44c233e0~tplv-tiktokx-cropcenter:100:100.jpeg?dr=14579&amp;refresh_token=3348ba58&amp;x-expires=1764727200&amp;x-signature=EIhcJtIvFB3M%2B0S54ulQIXo9aX4%3D&amp;t=4d5b0474&amp;ps=13740610&amp;shp=a5d48078&amp;shcp=81f88b70&amp;idc=my" TargetMode="External"/><Relationship Id="rId1385"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31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795" Type="http://schemas.openxmlformats.org/officeDocument/2006/relationships/hyperlink" Target="https://www.tiktok.com/@brunolnunes/video/7127297775670250757" TargetMode="External"/><Relationship Id="rId1386" Type="http://schemas.openxmlformats.org/officeDocument/2006/relationships/hyperlink" Target="https://v16-webapp-prime.tiktok.com/video/tos/useast2a/tos-useast2a-v-27dcd7/ooeb2PEzE7CsEFyDaASEAgCZIeAtC1D5oEtfTm/?a=1988&amp;bti=ODszNWYuMDE6&amp;ch=0&amp;cr=0&amp;dr=0&amp;er=0&amp;lr=default&amp;cd=0%7C0%7C0%7C0&amp;br=250&amp;bt=125&amp;ds=5&amp;ft=GNDpcInz7Th6zKvPXq8Zmo&amp;mime_type=audio_mpeg&amp;qs=13&amp;rc=ajlzcnY5cnFweTMzNzU8M0BpajlzcnY5cnFweTMzNzU8M0BuaWdwMmRrYWFgLS1kMTZzYSNuaWdwMmRrYWFgLS1kMTZzcw%3D%3D&amp;btag=e00050000&amp;expire=1764559371&amp;l=202512011021446E702D323C03BE6BD085&amp;ply_type=3&amp;policy=3&amp;signature=d6589fc697ec3856080aa92ec5a2f53c&amp;tk=7571587458748974088" TargetMode="External"/><Relationship Id="rId310" Type="http://schemas.openxmlformats.org/officeDocument/2006/relationships/hyperlink" Target="https://www.tiktok.com/@psi.walace/video/7540420241554214150" TargetMode="External"/><Relationship Id="rId794" Type="http://schemas.openxmlformats.org/officeDocument/2006/relationships/hyperlink" Target="https://v16-webapp-prime.tiktok.com/video/tos/useast2a/tos-useast2a-ve-0068c004/bae2ed7673e04148b88aaa6a3a0154d6/?a=1988&amp;bti=ODszNWYuMDE6&amp;ch=0&amp;cr=3&amp;dr=0&amp;lr=all&amp;cd=0%7C0%7C0%7C&amp;cv=1&amp;br=1836&amp;bt=918&amp;cs=0&amp;ds=3&amp;ft=-Csk_mrMPD12NxDh5d-UxIS5hY6e3wv25ycAp&amp;mime_type=video_mp4&amp;qs=0&amp;rc=NmdnOTk1NDQ8ZThnMzY1PEBpM285Zmk6ZndtZTMzNzczM0BgL2FjMS5fNjUxYjYtYS4vYSMtMmhmcjRfcmhgLS1kMTZzcw%3D%3D&amp;btag=e00090000&amp;expire=1764728524&amp;l=202512011020485614ECD0EEDB8C5FDDDB&amp;ply_type=2&amp;policy=2&amp;signature=54b926d03ac92e1ebdce2818f6c69e96&amp;tk=tt_chain_token" TargetMode="External"/><Relationship Id="rId1387"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793" Type="http://schemas.openxmlformats.org/officeDocument/2006/relationships/hyperlink" Target="https://p16-sign-va.tiktokcdn.com/tos-maliva-avt-0068/72466cc9d5b9a27930c91e8fb7677589~tplv-tiktokx-cropcenter:1080:1080.jpeg?dr=14579&amp;refresh_token=dab6cdb5&amp;x-expires=1764727200&amp;x-signature=G3N4KyBpphmXlonUIEO9Wei6zyQ%3D&amp;t=4d5b0474&amp;ps=13740610&amp;shp=a5d48078&amp;shcp=81f88b70&amp;idc=my" TargetMode="External"/><Relationship Id="rId1388" Type="http://schemas.openxmlformats.org/officeDocument/2006/relationships/hyperlink" Target="https://v16-webapp-prime.tiktok.com/video/tos/useast2a/tos-useast2a-ve-0068c004/okhZP8EjiUm9BvrJvTvkiQpqSbHtAEzIQZBL7/?a=1988&amp;bti=ODszNWYuMDE6&amp;ch=0&amp;cr=3&amp;dr=0&amp;lr=all&amp;cd=0%7C0%7C0%7C&amp;cv=1&amp;br=2592&amp;bt=1296&amp;cs=0&amp;ds=3&amp;ft=-Csk_mrMPD12NVDh5d-UxIS5hY6e3wv25ocAp&amp;mime_type=video_mp4&amp;qs=0&amp;rc=NTk8aTw4ZjM7aTNoMzRkZ0BpamU4eXU5cm1weTMzNzczM0AxXy41YC4xXmExYy40YjUvYSNrNDBoMmRrNmFgLS1kMTZzcw%3D%3D&amp;btag=e00090000&amp;expire=1764728571&amp;l=202512011021446E702D323C03BE6BD085&amp;ply_type=2&amp;policy=2&amp;signature=ee0f89b6bbd26e582400a1b5ec73a803&amp;tk=tt_chain_token" TargetMode="External"/><Relationship Id="rId297" Type="http://schemas.openxmlformats.org/officeDocument/2006/relationships/hyperlink" Target="https://sf16-ies-music-sg.tiktokcdn.com/obj/tos-alisg-ve-2774/oMUBYBZgAjzmzh5LASirQiSPI9QEDAgMWPiVN" TargetMode="External"/><Relationship Id="rId29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295" Type="http://schemas.openxmlformats.org/officeDocument/2006/relationships/hyperlink" Target="https://www.tiktok.com/@marilialanoa/video/7277585063594773766" TargetMode="External"/><Relationship Id="rId294" Type="http://schemas.openxmlformats.org/officeDocument/2006/relationships/hyperlink" Target="https://v16-webapp-prime.tiktok.com/video/tos/useast2a/tos-useast2a-ve-0068c004/oYXZfcAygePAkEETRSfeqQzdfeY8LUYWh8BaWD/?a=1988&amp;bti=ODszNWYuMDE6&amp;ch=0&amp;cr=3&amp;dr=0&amp;lr=all&amp;cd=0%7C0%7C0%7C&amp;cv=1&amp;br=942&amp;bt=471&amp;cs=0&amp;ds=6&amp;ft=-Csk_mrMPD12N7Dh5d-UxII2hY6e3wv252cAp&amp;mime_type=video_mp4&amp;qs=5&amp;rc=aGVkNzw0aWg1NTtlOzpmaUBpM2Rsd2g6ZmZsbTMzNzczM0A0NTBgNjU2X14xMy01YjAtYSNnZnMwcjQwbXNgLS1kMTZzcw%3D%3D&amp;btag=e00090000&amp;expire=1764728592&amp;l=2025120110210247DE29902DF1415935A0&amp;ply_type=2&amp;policy=2&amp;signature=f9124d1d826fc49ef88c7c3ab3409512&amp;tk=tt_chain_token" TargetMode="External"/><Relationship Id="rId299" Type="http://schemas.openxmlformats.org/officeDocument/2006/relationships/hyperlink" Target="https://v16-webapp-prime.tiktok.com/video/tos/useast2a/tos-useast2a-ve-0068c001/owrGfADUfltBYFRaoIncTQJEQIxQBDTEFN5JE0/?a=1988&amp;bti=ODszNWYuMDE6&amp;ch=0&amp;cr=3&amp;dr=0&amp;lr=all&amp;cd=0%7C0%7C0%7C&amp;cv=1&amp;br=1382&amp;bt=691&amp;cs=0&amp;ds=3&amp;ft=-Csk_mrMPD12NyDh5d-UxO72hY6e3wv257cAp&amp;mime_type=video_mp4&amp;qs=0&amp;rc=aTs3ZzM7ZTozOjU4NzlkOkBpam1vM3Y5cnE8NDMzNzczM0AuMmAuMzM1NWAxMjBfMmFgYSNzaGFmMmQ0NjVhLS1kMTZzcw%3D%3D&amp;btag=e00090000&amp;expire=1764728525&amp;l=20251201102104F69A53E45B65A94E5B1C&amp;ply_type=2&amp;policy=2&amp;signature=2fd373373d0a4ab5b9410e91245dc17a&amp;tk=tt_chain_token" TargetMode="External"/><Relationship Id="rId298" Type="http://schemas.openxmlformats.org/officeDocument/2006/relationships/hyperlink" Target="https://p77-sg.tiktokcdn.com/aweme/720x720/tos-alisg-v-2774/oUG8AAGLIKPebIIr4eMBrqUMeeVeAAi7ABVAL2.jpeg" TargetMode="External"/><Relationship Id="rId27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270" Type="http://schemas.openxmlformats.org/officeDocument/2006/relationships/hyperlink" Target="https://www.tiktok.com/@conflitomundi/video/7575224237473041684" TargetMode="External"/><Relationship Id="rId269" Type="http://schemas.openxmlformats.org/officeDocument/2006/relationships/hyperlink" Target="https://v16-webapp-prime.tiktok.com/video/tos/alisg/tos-alisg-pve-0037c001/owBKA1QyOii5IMwDCESUhViYEzgPSaY8A2BYa/?a=1988&amp;bti=ODszNWYuMDE6&amp;ch=0&amp;cr=3&amp;dr=0&amp;lr=all&amp;cd=0%7C0%7C0%7C&amp;cv=1&amp;br=1542&amp;bt=771&amp;cs=0&amp;ds=3&amp;ft=-Csk_mrMPD12NNBh5d-UxIS5hY6e3wv25ocAp&amp;mime_type=video_mp4&amp;qs=0&amp;rc=aTU1ZDdkaWU7NGdpZjdlNkBpM2Y8dm05cmQ8NzMzODczNEAuMTJgNF5gX2AxYzY0Yi0wYSNsXmhkMmQ0aGRhLS1kMS1zcw%3D%3D&amp;btag=e00088000&amp;expire=1764728544&amp;l=20251201102153319CD8E1EA373154CB8C&amp;ply_type=2&amp;policy=2&amp;signature=8b1fec156e73f6cb6a5ce80a6c462850&amp;tk=tt_chain_token" TargetMode="External"/><Relationship Id="rId264" Type="http://schemas.openxmlformats.org/officeDocument/2006/relationships/hyperlink" Target="https://v16-webapp-prime.tiktok.com/video/tos/useast2a/tos-useast2a-ve-0068c001/ok15IJb5WDAx3TZs7NFqBRoQ2EfQUBtrEYf0sE/?a=1988&amp;bti=ODszNWYuMDE6&amp;ch=0&amp;cr=3&amp;dr=0&amp;lr=all&amp;cd=0%7C0%7C0%7C&amp;cv=1&amp;br=2822&amp;bt=1411&amp;cs=0&amp;ds=3&amp;ft=-Csk_mrMPD12NzDh5d-UxKyFaY6e3wv257cAp&amp;mime_type=video_mp4&amp;qs=0&amp;rc=NDs4OmZkOzo5OmQ5N2c8ZEBpam5rZG85cm9nNTMzNzczM0A2LWA2YDBiXl4xYjVfMDU2YSNhcmFiMmRrcGphLS1kMTZzcw%3D%3D&amp;btag=e00090000&amp;expire=1764728650&amp;l=20251201102139650E38823033055E6EEC&amp;ply_type=2&amp;policy=2&amp;signature=eb987caf48282aaf11179fae6f2f159d&amp;tk=tt_chain_token" TargetMode="External"/><Relationship Id="rId263"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262" Type="http://schemas.openxmlformats.org/officeDocument/2006/relationships/hyperlink" Target="https://v16-webapp-prime.tiktok.com/video/tos/useast2a/tos-useast2a-v-27dcd7/oQBrC3ZrmFCA1UNAEoEDguffEApdQ7uBBJsq2J/?a=1988&amp;bti=ODszNWYuMDE6&amp;ch=0&amp;cr=0&amp;dr=0&amp;er=0&amp;lr=default&amp;cd=0%7C0%7C0%7C0&amp;br=250&amp;bt=125&amp;ds=5&amp;ft=GNDpcInz7ThbzKvPXq8Zmo&amp;mime_type=audio_mpeg&amp;qs=13&amp;rc=amZ3O2o5cnRnNTMzNzU8M0BpamZ3O2o5cnRnNTMzNzU8M0BzajNhMmRrcWphLS1kMTZzYSNzajNhMmRrcWphLS1kMTZzcw%3D%3D&amp;btag=e00050000&amp;expire=1764559450&amp;l=20251201102139650E38823033055E6EEC&amp;ply_type=3&amp;policy=3&amp;signature=6ff227c6dd0aebdfe9c7c81611d60f02&amp;tk=7571587458748974088" TargetMode="External"/><Relationship Id="rId261"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268" Type="http://schemas.openxmlformats.org/officeDocument/2006/relationships/hyperlink" Target="https://p77-sg.tiktokcdn.com/aweme/720x720/tos-alisg-v-2774/ogICIADAzhKAFfGSRLAyeMtOkaeavIAAg9oqCH.jpeg" TargetMode="External"/><Relationship Id="rId267" Type="http://schemas.openxmlformats.org/officeDocument/2006/relationships/hyperlink" Target="https://sf16-ies-music-sg.tiktokcdn.com/obj/tos-alisg-ve-2774/osDtpndkVFGYCBQsEopnZGgqqEQDfBuDY4dVQf" TargetMode="External"/><Relationship Id="rId266" Type="http://schemas.openxmlformats.org/officeDocument/2006/relationships/hyperlink" Target="https://p77-sign-va.tiktokcdn.com/tos-maliva-avt-0068/48c4a6308415faf95e160b62087a6ad8~tplv-tiktokx-cropcenter:100:100.jpeg?dr=14579&amp;refresh_token=a60f4dce&amp;x-expires=1764727200&amp;x-signature=kTpV0NQaRyfTAcHd1GOQLlVC7Bo%3D&amp;t=4d5b0474&amp;ps=13740610&amp;shp=a5d48078&amp;shcp=81f88b70&amp;idc=my" TargetMode="External"/><Relationship Id="rId265" Type="http://schemas.openxmlformats.org/officeDocument/2006/relationships/hyperlink" Target="https://www.tiktok.com/@psi.walace/video/7542648377733844230" TargetMode="External"/><Relationship Id="rId260" Type="http://schemas.openxmlformats.org/officeDocument/2006/relationships/hyperlink" Target="https://www.tiktok.com/@liberdade.mentall/video/7569029488961506567" TargetMode="External"/><Relationship Id="rId259" Type="http://schemas.openxmlformats.org/officeDocument/2006/relationships/hyperlink" Target="https://v16-webapp-prime.tiktok.com/video/tos/alisg/tos-alisg-pve-0037/o4kJkVgEpMQdCMJpAZgIVMgFHfIxYfCUBDmBgt/?a=1988&amp;bti=ODszNWYuMDE6&amp;ch=0&amp;cr=3&amp;dr=0&amp;lr=all&amp;cd=0%7C0%7C0%7C&amp;cv=1&amp;br=1076&amp;bt=538&amp;cs=0&amp;ds=3&amp;ft=-Csk_mrMPD12NWDh5d-Uxvt2hY6e3wv251cAp&amp;mime_type=video_mp4&amp;qs=0&amp;rc=N2lmODs7ODY5O2dnM2U4N0BpamhtZmw5cjY8NzMzODgzNEAtXmE2YjEuXzExMTExMDA2YSNtYS0zMmQ0ZDJhLS1kLzFzcw%3D%3D&amp;btag=e00090000&amp;expire=1764728597&amp;l=20251201102141EAAE30DD17435761F356&amp;ply_type=2&amp;policy=2&amp;signature=fb6472b5fc26cbcf9a2b57b27a41bc28&amp;tk=tt_chain_token" TargetMode="External"/><Relationship Id="rId258"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253"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252" Type="http://schemas.openxmlformats.org/officeDocument/2006/relationships/hyperlink" Target="https://v16-webapp-prime.tiktok.com/video/tos/useast2a/tos-useast2a-v-27dcd7/16794874abc04847b6efe93806f531f1/?a=1988&amp;bti=ODszNWYuMDE6&amp;ch=0&amp;cr=0&amp;dr=0&amp;er=0&amp;lr=default&amp;cd=0%7C0%7C0%7C0&amp;br=250&amp;bt=125&amp;ds=5&amp;ft=GNDpcInz7ThbzKvPXq8Zmo&amp;mime_type=audio_mpeg&amp;qs=13&amp;rc=ajpwcDw6Zjk7bDMzNzU8M0BpajpwcDw6Zjk7bDMzNzU8M0Brai1ncjRnZS9gLS1kMTZzYSNrai1ncjRnZS9gLS1kMTZzcw%3D%3D&amp;btag=e00050000&amp;expire=1764559448&amp;l=20251201102139650E38823033055E6EEC&amp;ply_type=3&amp;policy=3&amp;signature=c6af100f32c7676010e30e699e5a0905&amp;tk=7571587458748974088" TargetMode="External"/><Relationship Id="rId251"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250" Type="http://schemas.openxmlformats.org/officeDocument/2006/relationships/hyperlink" Target="https://www.tiktok.com/@psi.walace/video/7530401479438486789" TargetMode="External"/><Relationship Id="rId257" Type="http://schemas.openxmlformats.org/officeDocument/2006/relationships/hyperlink" Target="https://v16-webapp-prime.tiktok.com/video/tos/alisg/tos-alisg-v-27dcd7/oECBQEXKhJpMfB8BfcDp6IC8QCmJEhFgdp3U6u/?a=1988&amp;bti=ODszNWYuMDE6&amp;ch=0&amp;cr=0&amp;dr=0&amp;er=0&amp;lr=default&amp;cd=0%7C0%7C0%7C0&amp;br=250&amp;bt=125&amp;ft=GNDpcInz7ThJzKvPXq8Zmo&amp;mime_type=audio_mpeg&amp;qs=6&amp;rc=MzdlNGY0ZWY2Mzk0N2lkaUBpM3F5dXk5cmo8NzMzODU8NEBgLTIyYDQvNi4xNV9eMzIyYSNxaGoxMmRrZDJhLS1kMS1zcw%3D%3D&amp;btag=e00090000&amp;expire=1764559397&amp;l=20251201102141EAAE30DD17435761F356&amp;ply_type=3&amp;policy=3&amp;signature=f60e6eaca7ca765ae4402e9ee01890b3&amp;tk=7571587458748974088" TargetMode="External"/><Relationship Id="rId256"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255" Type="http://schemas.openxmlformats.org/officeDocument/2006/relationships/hyperlink" Target="https://www.tiktok.com/@lorenatdahta/video/7243064239751957766" TargetMode="External"/><Relationship Id="rId254" Type="http://schemas.openxmlformats.org/officeDocument/2006/relationships/hyperlink" Target="https://v16-webapp-prime.tiktok.com/video/tos/maliva/tos-maliva-ve-0068c801-us/oQPtkfO4AMUIRzGVUUigU3QHi6hCQyZkoQAEIx/?a=1988&amp;bti=ODszNWYuMDE6&amp;ch=0&amp;cr=3&amp;dr=0&amp;lr=all&amp;cd=0%7C0%7C0%7C&amp;cv=1&amp;br=1678&amp;bt=839&amp;cs=0&amp;ds=3&amp;ft=-Csk_mrMPD12NzDh5d-UxKyFaY6e3wv257cAp&amp;mime_type=video_mp4&amp;qs=0&amp;rc=N2VkOjdnNGg1Omg6O2hkOUBpM293djk6ZmQ7bDMzNzczM0BfYzVgX2JjX14xXjUtYjViYSNeNTVvcjRfYi9gLS1kMTZzcw%3D%3D&amp;btag=e00090000&amp;expire=1764728648&amp;l=20251201102139650E38823033055E6EEC&amp;ply_type=2&amp;policy=2&amp;signature=6748ffc083f91adce903a42d66afe443&amp;tk=tt_chain_token" TargetMode="External"/><Relationship Id="rId293" Type="http://schemas.openxmlformats.org/officeDocument/2006/relationships/hyperlink" Target="https://p16-sign-va.tiktokcdn.com/tos-maliva-avt-0068/7326721801726689286~tplv-tiktokx-cropcenter:1080:1080.jpeg?dr=14579&amp;refresh_token=8b79aa3c&amp;x-expires=1764727200&amp;x-signature=VrBJHGoDFJzu9%2Bryii%2BwwZ4utTA%3D&amp;t=4d5b0474&amp;ps=13740610&amp;shp=a5d48078&amp;shcp=81f88b70&amp;idc=my" TargetMode="External"/><Relationship Id="rId292" Type="http://schemas.openxmlformats.org/officeDocument/2006/relationships/hyperlink" Target="https://v16-webapp-prime.tiktok.com/video/tos/useast2a/tos-useast2a-v-27dcd7/osHD8L1RIrCoSmfCKfcnbCET0XEeAAygAq4JI2/?a=1988&amp;bti=ODszNWYuMDE6&amp;ch=0&amp;cr=0&amp;dr=0&amp;er=0&amp;lr=default&amp;cd=0%7C0%7C0%7C0&amp;br=250&amp;bt=125&amp;ds=5&amp;ft=GNDpcInz7ThHzKvPXq8Zmo&amp;mime_type=audio_mpeg&amp;qs=13&amp;rc=MzhzeDQ6ZjhsbTMzNzU8M0BpMzhzeDQ6ZjhsbTMzNzU8M0AuaW9ecjRvbnNgLS1kMTZzYSMuaW9ecjRvbnNgLS1kMTZzcw%3D%3D&amp;btag=e00050000&amp;expire=1764559392&amp;l=2025120110210247DE29902DF1415935A0&amp;ply_type=3&amp;policy=3&amp;signature=69326b6cce26fdfb383cd728a02f3e72&amp;tk=7571587458748974088" TargetMode="External"/><Relationship Id="rId291" Type="http://schemas.openxmlformats.org/officeDocument/2006/relationships/hyperlink" Target="https://p77-sign-va.tiktokcdn.com/tos-maliva-avt-0068/7326721801726689286~tplv-tiktokx-cropcenter:100:100.jpeg?dr=14579&amp;refresh_token=18cf4625&amp;x-expires=1764727200&amp;x-signature=E2%2BsoVa20ph%2FBbSVTqD55EX0I3s%3D&amp;t=4d5b0474&amp;ps=13740610&amp;shp=a5d48078&amp;shcp=81f88b70&amp;idc=my" TargetMode="External"/><Relationship Id="rId290" Type="http://schemas.openxmlformats.org/officeDocument/2006/relationships/hyperlink" Target="https://www.tiktok.com/@meu.mundotdah/video/7443539900613283127" TargetMode="External"/><Relationship Id="rId286" Type="http://schemas.openxmlformats.org/officeDocument/2006/relationships/hyperlink" Target="https://p77-sign-va.tiktokcdn.com/tos-maliva-avt-0068/38f87d0ccea25144d85cc3d0f2f08234~tplv-tiktokx-cropcenter:100:100.jpeg?dr=14579&amp;refresh_token=19f7542f&amp;x-expires=1764727200&amp;x-signature=KsG3dIJ1GzQz5m8rTS4nbhBunUU%3D&amp;t=4d5b0474&amp;ps=13740610&amp;shp=a5d48078&amp;shcp=81f88b70&amp;idc=my" TargetMode="External"/><Relationship Id="rId285" Type="http://schemas.openxmlformats.org/officeDocument/2006/relationships/hyperlink" Target="https://www.tiktok.com/@liberdade.mentall/video/7485173096727530758" TargetMode="External"/><Relationship Id="rId284" Type="http://schemas.openxmlformats.org/officeDocument/2006/relationships/hyperlink" Target="https://v16-webapp-prime.tiktok.com/video/tos/useast2a/tos-useast2a-ve-0068c003/ositWGvzeA29gkEQiwFC7IrAkwgvE5iJC5YoIB/?a=1988&amp;bti=ODszNWYuMDE6&amp;ch=0&amp;cr=3&amp;dr=0&amp;lr=all&amp;cd=0%7C0%7C0%7C&amp;cv=1&amp;br=1318&amp;bt=659&amp;cs=0&amp;ds=3&amp;ft=-Csk_mrMPD12NBZh5d-UxSc2hY6e3wv252cAp&amp;mime_type=video_mp4&amp;qs=0&amp;rc=Z2U8ZWlkN2U5ZGdoOGdkaEBpMzdla2o5cjdkeTMzNzczM0AxYi4vNTUxNV4xMDI0MC0vYSNgb2BwMmRrbmRgLS1kMTZzcw%3D%3D&amp;btag=e00090000&amp;expire=1764728687&amp;l=2025120110233096978CEC0666EFF2D3F0&amp;ply_type=2&amp;policy=2&amp;signature=50656ee205051c73f30cb41273862b27&amp;tk=tt_chain_token" TargetMode="External"/><Relationship Id="rId283"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289" Type="http://schemas.openxmlformats.org/officeDocument/2006/relationships/hyperlink" Target="https://v16-webapp-prime.tiktok.com/video/tos/maliva/tos-maliva-v-85c255-us/o8fAIYIupwPGyBRAq4AbEO6UoQiHgzCmppBkQi/?a=1988&amp;bti=ODszNWYuMDE6&amp;ch=0&amp;cr=3&amp;dr=0&amp;lr=all&amp;cd=0%7C0%7C0%7C&amp;cv=1&amp;br=1396&amp;bt=698&amp;cs=0&amp;ds=3&amp;ft=-Csk_mrMPD12N0dh5d-UxPO2hY6e3wv252cAp&amp;mime_type=video_mp4&amp;qs=0&amp;rc=OTk6NGU7PGRlMzVmZjNoZ0BpamRkN2o5cjpmdzQzNzM2M0AzLTJjL2EuXjExYDYvYzUyYSNoZ2NrMmRzNTNgLS1kLTZzcw%3D%3D&amp;btag=e000b8000&amp;expire=1764728429&amp;l=20251201102014E2CB5F4C19000C61E683&amp;ply_type=2&amp;policy=2&amp;signature=1ab90dec41a57470d0e3b9f6a532c972&amp;tk=tt_chain_token" TargetMode="External"/><Relationship Id="rId288" Type="http://schemas.openxmlformats.org/officeDocument/2006/relationships/hyperlink" Target="https://p16-sign-va.tiktokcdn.com/tos-maliva-avt-0068/38f87d0ccea25144d85cc3d0f2f08234~tplv-tiktokx-cropcenter:1080:1080.jpeg?dr=14579&amp;refresh_token=00421b9a&amp;x-expires=1764727200&amp;x-signature=qwBbJcA3SIeTnxjVSyO68OoLBuE%3D&amp;t=4d5b0474&amp;ps=13740610&amp;shp=a5d48078&amp;shcp=81f88b70&amp;idc=my" TargetMode="External"/><Relationship Id="rId287" Type="http://schemas.openxmlformats.org/officeDocument/2006/relationships/hyperlink" Target="https://v16-webapp-prime.tiktok.com/video/tos/useast2a/tos-useast2a-v-27dcd7/oseJA9ECYO6BIgIniBGL2ofGCYAemITZhGSEAC/?a=1988&amp;bti=ODszNWYuMDE6&amp;ch=0&amp;cr=0&amp;dr=0&amp;er=0&amp;lr=default&amp;cd=0%7C0%7C0%7C0&amp;br=250&amp;bt=125&amp;ds=5&amp;ft=GNDpcInz7ThIPKvPXq8Zmo&amp;mime_type=audio_mpeg&amp;qs=13&amp;rc=amk0dWs5cjxmdzMzNzU8M0Bpamk0dWs5cjxmdzMzNzU8M0BjMGhqMmQ0NTNgLS1kMTZzYSNjMGhqMmQ0NTNgLS1kMTZzcw%3D%3D&amp;btag=e00078000&amp;expire=1764559229&amp;l=20251201102014E2CB5F4C19000C61E683&amp;ply_type=3&amp;policy=3&amp;signature=5a0850f2bdbdb9aa064f4404ede56e8f&amp;tk=7571587458748974088" TargetMode="External"/><Relationship Id="rId282" Type="http://schemas.openxmlformats.org/officeDocument/2006/relationships/hyperlink" Target="https://v16-webapp-prime.tiktok.com/video/tos/useast2a/tos-useast2a-v-27dcd7/oAVUB4WJgECK3AJEeyr1gfAaQQEo1BDDnEzJAF/?a=1988&amp;bti=ODszNWYuMDE6&amp;ch=0&amp;cr=0&amp;dr=0&amp;er=0&amp;lr=default&amp;cd=0%7C0%7C0%7C0&amp;br=250&amp;bt=125&amp;ds=5&amp;ft=GNDpcInz7ThFgKvPXq8Zmo&amp;mime_type=audio_mpeg&amp;qs=13&amp;rc=M3E6O245cm9keTMzNzU8M0BpM3E6O245cm9keTMzNzU8M0A1cWdhMmRrbmRgLS1kMTZzYSM1cWdhMmRrbmRgLS1kMTZzcw%3D%3D&amp;btag=e00050000&amp;expire=1764559487&amp;l=2025120110233096978CEC0666EFF2D3F0&amp;ply_type=3&amp;policy=3&amp;signature=1993f3340d43c0f852eea0d86e5b5fda&amp;tk=7571587458748974088" TargetMode="External"/><Relationship Id="rId28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280" Type="http://schemas.openxmlformats.org/officeDocument/2006/relationships/hyperlink" Target="https://www.tiktok.com/@psi.walace/video/7524464636557561093" TargetMode="External"/><Relationship Id="rId275" Type="http://schemas.openxmlformats.org/officeDocument/2006/relationships/hyperlink" Target="https://www.tiktok.com/@liberdade.mentall/video/7535613909680688390" TargetMode="External"/><Relationship Id="rId274" Type="http://schemas.openxmlformats.org/officeDocument/2006/relationships/hyperlink" Target="https://v16-webapp-prime.tiktok.com/video/tos/useast2a/tos-useast2a-pve-0068/oMJDFFryEGMQERFQoPSAI49ff6uVBaCkTIBLQS/?a=1988&amp;bti=ODszNWYuMDE6&amp;ch=0&amp;cr=3&amp;dr=0&amp;lr=all&amp;cd=0%7C0%7C0%7C&amp;cv=1&amp;br=916&amp;bt=458&amp;cs=0&amp;ds=3&amp;ft=-Csk_mrMPD12NPZh5d-UxbX2SY6e3wv25dcAp&amp;mime_type=video_mp4&amp;qs=0&amp;rc=OGc3ZjNmOGY5PDdkZGhnNUBpamw0bnE5cjl3NTMzNzgzM0AzNF42L2E1XmMxNC8xNF80YSMvMS5jMmRrcTZhLS1kLzZzcw%3D%3D&amp;btag=e00090000&amp;expire=1764728725&amp;l=20251201102342C0946798717F92EC881C&amp;ply_type=2&amp;policy=2&amp;signature=335c4b4bf605cd290de6785adb511217&amp;tk=tt_chain_token" TargetMode="External"/><Relationship Id="rId273"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272" Type="http://schemas.openxmlformats.org/officeDocument/2006/relationships/hyperlink" Target="https://v16-webapp-prime.tiktok.com/video/tos/useast2a/tos-useast2a-v-27dcd7/oAQnYgCJTwfJEPGRuLscezJgUHBozIDgS38gCf/?a=1988&amp;bti=ODszNWYuMDE6&amp;ch=0&amp;cr=0&amp;dr=0&amp;er=0&amp;lr=default&amp;cd=0%7C0%7C0%7C0&amp;br=250&amp;bt=125&amp;ft=GNDpcInz7ThngKvPXq8Zmo&amp;mime_type=audio_mpeg&amp;qs=6&amp;rc=PDM3OWc2aDM3OTU1NDVmaEBpM3N5dGo5cnh4NTMzNzU8M0AxLTUuMy8xXmIxMi0zMGMyYSNpay5hMmRjLjZhLS1kMTZzcw%3D%3D&amp;btag=e00090000&amp;expire=1764559525&amp;l=20251201102342C0946798717F92EC881C&amp;ply_type=3&amp;policy=3&amp;signature=7a22d593d8e9c0dcc204b191ea2e1549&amp;tk=7571587458748974088" TargetMode="External"/><Relationship Id="rId279" Type="http://schemas.openxmlformats.org/officeDocument/2006/relationships/hyperlink" Target="https://v16-webapp-prime.tiktok.com/video/tos/useast2a/tos-useast2a-pve-0068/o8IMQ2ghfVDIICmfRcRCVpMAQrS7YSSQfg8Xji/?a=1988&amp;bti=ODszNWYuMDE6&amp;ch=0&amp;cr=3&amp;dr=0&amp;lr=all&amp;cd=0%7C0%7C0%7C&amp;cv=1&amp;br=1112&amp;bt=556&amp;cs=0&amp;ds=6&amp;ft=-Csk_mrMPD12NWDh5d-Uxvt2hY6e3wv251cAp&amp;mime_type=video_mp4&amp;qs=5&amp;rc=ZWk1Mzg3aGg3ZWloaTgzZUBpajxleXY5cjs3NDMzNzczM0A1LzMvYzIvX2MxLl8xXzNiYSM2NnE0MmRjMWphLS1kMTZzcw%3D%3D&amp;btag=e00090000&amp;expire=1764728636&amp;l=20251201102141EAAE30DD17435761F356&amp;ply_type=2&amp;policy=2&amp;signature=4e6be3b0e82c8d3c1c3ce8e0363dbeac&amp;tk=tt_chain_token" TargetMode="External"/><Relationship Id="rId278" Type="http://schemas.openxmlformats.org/officeDocument/2006/relationships/hyperlink" Target="https://p77-sg.tiktokcdn.com/aweme/720x720/tos-alisg-v-2774/o8CZDEgpEsoAeWtxEBnAtQFAgpHQVBf148CJcS.jpeg" TargetMode="External"/><Relationship Id="rId277" Type="http://schemas.openxmlformats.org/officeDocument/2006/relationships/hyperlink" Target="https://sf16-ies-music-sg.tiktokcdn.com/obj/tos-alisg-ve-2774/oMyOHOoBzAh6qWbii1nknBIZWAFsflLwCsMz8X" TargetMode="External"/><Relationship Id="rId27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1810" Type="http://schemas.openxmlformats.org/officeDocument/2006/relationships/hyperlink" Target="https://p16-sign-va.tiktokcdn.com/musically-maliva-obj/1594805258216454~tplv-tiktokx-cropcenter:100:100.jpeg?dr=14579&amp;refresh_token=c55fc523&amp;x-expires=1764727200&amp;x-signature=37bzPBdz%2FfBXBqBlTOkX3boUhW4%3D&amp;t=4d5b0474&amp;ps=13740610&amp;shp=a5d48078&amp;shcp=81f88b70&amp;idc=my" TargetMode="External"/><Relationship Id="rId1811" Type="http://schemas.openxmlformats.org/officeDocument/2006/relationships/hyperlink" Target="https://sf16-ies-music-sg.tiktokcdn.com/obj/tos-alisg-ve-2774/826033f166d448029eefc3940921daaf" TargetMode="External"/><Relationship Id="rId1812" Type="http://schemas.openxmlformats.org/officeDocument/2006/relationships/hyperlink" Target="https://p16-sg.tiktokcdn.com/aweme/720x720/tos-alisg-v-2774/568a79982fd64d27bf506255ecb58f1e.jpeg" TargetMode="External"/><Relationship Id="rId1813" Type="http://schemas.openxmlformats.org/officeDocument/2006/relationships/hyperlink" Target="https://v16-webapp-prime.tiktok.com/video/tos/useast2a/tos-useast2a-pve-0068/oQv1zAoweSQNJEER35FfCCgr654PcMIIrJDfE5/?a=1988&amp;bti=ODszNWYuMDE6&amp;ch=0&amp;cr=3&amp;dr=0&amp;lr=all&amp;cd=0%7C0%7C0%7C&amp;cv=1&amp;br=1696&amp;bt=848&amp;cs=0&amp;ds=3&amp;ft=I~da4oKyD12Nvu.WS.IxRntNWlBF-UjNSMopiX&amp;mime_type=video_mp4&amp;qs=0&amp;rc=M2dkNDo3PDw4ZDczOTw2M0BpM3Q5ZXk5cmh4NjMzNzgzM0A2YTQuNF8uNmMxYDU0YS81YSMzZW0xMmRjYm1hLS1kLzZzcw%3D%3D&amp;btag=e00090000&amp;expire=1764728507&amp;l=20251201102018B39B5434B49F795A75FD&amp;ply_type=2&amp;policy=2&amp;signature=2de96465f0c019df49a50641b688cb13&amp;tk=tt_chain_token" TargetMode="External"/><Relationship Id="rId1814" Type="http://schemas.openxmlformats.org/officeDocument/2006/relationships/hyperlink" Target="https://www.tiktok.com/@cortes_dra.anabeatriz/video/7562642141793619212" TargetMode="External"/><Relationship Id="rId1815" Type="http://schemas.openxmlformats.org/officeDocument/2006/relationships/hyperlink" Target="https://p77-sign-va.tiktokcdn.com/tos-maliva-avt-0068/39284b1e359f5fd8e090162ef3c83664~tplv-tiktokx-cropcenter:100:100.jpeg?dr=14579&amp;refresh_token=c189da3a&amp;x-expires=1764727200&amp;x-signature=j%2BoY5xqOuMSTXillcPS%2Bd6DOqag%3D&amp;t=4d5b0474&amp;ps=13740610&amp;shp=a5d48078&amp;shcp=81f88b70&amp;idc=my" TargetMode="External"/><Relationship Id="rId1816" Type="http://schemas.openxmlformats.org/officeDocument/2006/relationships/hyperlink" Target="https://v16-webapp-prime.tiktok.com/video/tos/useast2a/tos-useast2a-v-27dcd7/oMSfEkBkBQAECCJmADWKbAnCdgCnneGiVJ9W9U/?a=1988&amp;bti=ODszNWYuMDE6&amp;ch=0&amp;cr=0&amp;dr=0&amp;er=0&amp;lr=default&amp;cd=0%7C0%7C0%7C0&amp;br=250&amp;bt=125&amp;ds=5&amp;ft=GNDpcInz7ThizKvPXq8Zmo&amp;mime_type=audio_mpeg&amp;qs=13&amp;rc=MzpxcTY6ZjtvbDMzNzU8M0BpMzpxcTY6ZjtvbDMzNzU8M0Bnb3MxcjQwZWJgLS1kMTZzYSNnb3MxcjQwZWJgLS1kMTZzcw%3D%3D&amp;btag=e00050000&amp;expire=1764559397&amp;l=20251201102147CB7160225F86D969BC26&amp;ply_type=3&amp;policy=3&amp;signature=e48bad79659a6935e59e1c9ec97cb6a1&amp;tk=7571587458748974088" TargetMode="External"/><Relationship Id="rId1817" Type="http://schemas.openxmlformats.org/officeDocument/2006/relationships/hyperlink" Target="https://p77-sign-va.tiktokcdn.com/tos-maliva-avt-0068/39284b1e359f5fd8e090162ef3c83664~tplv-tiktokx-cropcenter:1080:1080.jpeg?dr=14579&amp;refresh_token=1e15fe36&amp;x-expires=1764727200&amp;x-signature=sCZ3Py6yg%2BigZatDExBz%2FWclQCc%3D&amp;t=4d5b0474&amp;ps=13740610&amp;shp=a5d48078&amp;shcp=81f88b70&amp;idc=my" TargetMode="External"/><Relationship Id="rId1818" Type="http://schemas.openxmlformats.org/officeDocument/2006/relationships/hyperlink" Target="https://v16-webapp-prime.tiktok.com/video/tos/useast2a/tos-useast2a-pve-0068/okgmGhgDp7RzQESIEBekAq3nQfJ6KBgIbVnE9U/?a=1988&amp;bti=ODszNWYuMDE6&amp;ch=0&amp;cr=3&amp;dr=0&amp;lr=all&amp;cd=0%7C0%7C0%7C&amp;cv=1&amp;br=1870&amp;bt=935&amp;cs=0&amp;ds=3&amp;ft=-Csk_mrMPD12N3Dh5d-UxIS5hY6e3wv25ocAp&amp;mime_type=video_mp4&amp;qs=0&amp;rc=M2hpZ2lkN2Y6ODo8OzNoaUBpamo6aWQ6ZjRvbDMzNzczM0A2MmNiLi8uNjYxMjYwMmNhYSNjcWM1cjRnZGJgLS1kMTZzcw%3D%3D&amp;btag=e00090000&amp;expire=1764728597&amp;l=20251201102147CB7160225F86D969BC26&amp;ply_type=2&amp;policy=2&amp;signature=d31aac4aac6e630b5b63b35987a7ec25&amp;tk=tt_chain_token" TargetMode="External"/><Relationship Id="rId1819" Type="http://schemas.openxmlformats.org/officeDocument/2006/relationships/hyperlink" Target="https://www.tiktok.com/@marizacristhiane/video/7250048266501426438" TargetMode="External"/><Relationship Id="rId1800"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801" Type="http://schemas.openxmlformats.org/officeDocument/2006/relationships/hyperlink" Target="https://v16-webapp-prime.tiktok.com/video/tos/useast2a/tos-useast2a-v-27dcd7/oQ2MEafnAiJ04p45BAzCEWfIJOkQ6BDUAPhWtg/?a=1988&amp;bti=ODszNWYuMDE6&amp;ch=0&amp;cr=0&amp;dr=0&amp;er=0&amp;lr=default&amp;cd=0%7C0%7C0%7C0&amp;br=250&amp;bt=125&amp;ds=5&amp;ft=GNDpcInz7ThrzKvPXq8Zmo&amp;mime_type=audio_mpeg&amp;qs=13&amp;rc=MzxyOzs6ZnR4bTMzNzU8M0BpMzxyOzs6ZnR4bTMzNzU8M0BhbWY0cjRfanBgLS1kMTZzYSNhbWY0cjRfanBgLS1kMTZzcw%3D%3D&amp;btag=e00050000&amp;expire=1764559337&amp;l=20251201102050B730D50024D84153D9E5&amp;ply_type=3&amp;policy=3&amp;signature=52079cae811151ca98009edfa018c006&amp;tk=7571587458748974088" TargetMode="External"/><Relationship Id="rId1802" Type="http://schemas.openxmlformats.org/officeDocument/2006/relationships/hyperlink" Target="https://p77-sign-sg.tiktokcdn.com/tos-alisg-avt-0068/a922d44f129753f3f4657ae1aab09386~tplv-tiktokx-cropcenter:1080:1080.jpeg?dr=14579&amp;refresh_token=2c5396d3&amp;x-expires=1764727200&amp;x-signature=UQQdtyMLjhg42RtimEy1TOiZgok%3D&amp;t=4d5b0474&amp;ps=13740610&amp;shp=a5d48078&amp;shcp=81f88b70&amp;idc=my" TargetMode="External"/><Relationship Id="rId1803" Type="http://schemas.openxmlformats.org/officeDocument/2006/relationships/hyperlink" Target="https://v16-webapp-prime.tiktok.com/video/tos/useast2a/tos-useast2a-ve-0068c002/osLI3V7oCn68zSA5Bfe3goEDjABtQB0bILCJ4e/?a=1988&amp;bti=ODszNWYuMDE6&amp;ch=0&amp;cr=3&amp;dr=0&amp;lr=all&amp;cd=0%7C0%7C0%7C&amp;cv=1&amp;br=2252&amp;bt=1126&amp;cs=0&amp;ds=3&amp;ft=-Csk_mrMPD12NTDh5d-UxHX2hY6e3wv25McAp&amp;mime_type=video_mp4&amp;qs=0&amp;rc=ZTQ4NmZmZmdmaDQ4OTs5NkBpanc5dzM6Zmd4bTMzNzczM0A1NmAtYGBeXl8xLjMyLi1fYSNzLTBmcjQwaHBgLS1kMTZzcw%3D%3D&amp;btag=e00090000&amp;expire=1764728537&amp;l=20251201102050B730D50024D84153D9E5&amp;ply_type=2&amp;policy=2&amp;signature=77632d06161e4bfcfc9ba5647d98bbeb&amp;tk=tt_chain_token" TargetMode="External"/><Relationship Id="rId1804" Type="http://schemas.openxmlformats.org/officeDocument/2006/relationships/hyperlink" Target="https://www.tiktok.com/@psi.jonathanorlandi/video/7276105452415601925" TargetMode="External"/><Relationship Id="rId1805" Type="http://schemas.openxmlformats.org/officeDocument/2006/relationships/hyperlink" Target="https://p19-common-sign-useastred.tiktokcdn-eu.com/tos-useast2a-avt-0068-euttp/c486c9b56ee8861f0e3870731296f611~tplv-tiktokx-cropcenter:100:100.jpeg?dr=14579&amp;refresh_token=25812bb7&amp;x-expires=1764727200&amp;x-signature=EVglQCN9BZIQvnrfJUpBtynTucI%3D&amp;t=4d5b0474&amp;ps=13740610&amp;shp=a5d48078&amp;shcp=81f88b70&amp;idc=my" TargetMode="External"/><Relationship Id="rId1806" Type="http://schemas.openxmlformats.org/officeDocument/2006/relationships/hyperlink" Target="https://v16-webapp-prime.tiktok.com/video/tos/no1a/tos-no1a-v-2370-no/os4TC0IORAI9emImohU3qbAQGeEfLLAt7DAP1Q/?a=1988&amp;bti=ODszNWYuMDE6&amp;ch=0&amp;cr=0&amp;dr=0&amp;er=0&amp;lr=default&amp;cd=0%7C0%7C0%7C0&amp;br=250&amp;bt=125&amp;ds=5&amp;ft=GNDpcInz7ThqpKvPXq8Zmo&amp;mime_type=audio_mpeg&amp;qs=13&amp;rc=M3VrNWo5cjl0eTMzbzU8NUBpM3VrNWo5cjl0eTMzbzU8NUBjcS9lMmRzaWhgLS1kMTFzYSNjcS9lMmRzaWhgLS1kMTFzcw%3D%3D&amp;btag=e00048000&amp;expire=1764559572&amp;l=202512011025322E6C790BBAEC294DA202&amp;ply_type=3&amp;policy=3&amp;signature=466718508baca5c307b767f9a95d9092&amp;tk=7571587458748974088" TargetMode="External"/><Relationship Id="rId1807" Type="http://schemas.openxmlformats.org/officeDocument/2006/relationships/hyperlink" Target="https://p19-common-sign-useastred.tiktokcdn-eu.com/tos-useast2a-avt-0068-euttp/c486c9b56ee8861f0e3870731296f611~tplv-tiktokx-cropcenter:1080:1080.jpeg?dr=14579&amp;refresh_token=65eecdc6&amp;x-expires=1764727200&amp;x-signature=Sc%2F6rJAjq7dCLGFi5g4m4W1FMAM%3D&amp;t=4d5b0474&amp;ps=13740610&amp;shp=a5d48078&amp;shcp=81f88b70&amp;idc=my" TargetMode="External"/><Relationship Id="rId1808" Type="http://schemas.openxmlformats.org/officeDocument/2006/relationships/hyperlink" Target="https://v16-webapp-prime.tiktok.com/video/tos/no1a/tos-no1a-ve-0068c001-no/okCzCzmAADqiCziIUREQSOAyyqwvrg3p0PeIrB/?a=1988&amp;bti=ODszNWYuMDE6&amp;ch=0&amp;cr=3&amp;dr=0&amp;lr=all&amp;cd=0%7C0%7C0%7C&amp;cv=1&amp;br=1142&amp;bt=571&amp;cs=0&amp;ds=3&amp;ft=-Csk_mrMPD12NUgh5d-UxIS5hY6e3wv25ycAp&amp;mime_type=video_mp4&amp;qs=0&amp;rc=Ojc7aTQzOTk5OWRmNTc8NUBpams7ZnE5cjN0eTMzbzczNUBgMy0yLjAxXy4xMjAzNTAyYSNpM3ItMmRraWhgLS1kMTFzcw%3D%3D&amp;btag=e00088000&amp;expire=1764728772&amp;l=202512011025322E6C790BBAEC294DA202&amp;ply_type=2&amp;policy=2&amp;signature=0fdc7aab7a5955b52d31a649440904ef&amp;tk=tt_chain_token" TargetMode="External"/><Relationship Id="rId1809" Type="http://schemas.openxmlformats.org/officeDocument/2006/relationships/hyperlink" Target="https://www.tiktok.com/@mireiaferrerbueno/video/7487703407097154838" TargetMode="External"/><Relationship Id="rId1820" Type="http://schemas.openxmlformats.org/officeDocument/2006/relationships/hyperlink" Target="https://p16-sign-va.tiktokcdn.com/tos-maliva-avt-0068/7dbc97f66a70a5f185159bb96a8d7982~tplv-tiktokx-cropcenter:100:100.jpeg?dr=14579&amp;refresh_token=d9cef22a&amp;x-expires=1764727200&amp;x-signature=nipAwS3MuqxNpni2ZoWKumXqQ0k%3D&amp;t=4d5b0474&amp;ps=13740610&amp;shp=a5d48078&amp;shcp=81f88b70&amp;idc=my" TargetMode="External"/><Relationship Id="rId1821" Type="http://schemas.openxmlformats.org/officeDocument/2006/relationships/hyperlink" Target="https://v16-webapp-prime.tiktok.com/video/tos/useast2a/tos-useast2a-v-27dcd7/13e2ad8c1cec410988e5d220fd0087a5/?a=1988&amp;bti=ODszNWYuMDE6&amp;ch=0&amp;cr=0&amp;dr=0&amp;er=0&amp;lr=default&amp;cd=0%7C0%7C0%7C0&amp;br=250&amp;bt=125&amp;ds=5&amp;ft=GNDpcInz7ThazKvPXq8Zmo&amp;mime_type=audio_mpeg&amp;qs=13&amp;rc=amc7Ojw6ZnBvajMzNzU8M0Bpamc7Ojw6ZnBvajMzNzU8M0BsbmJmcjQwZXJgLS1kMTZzYSNsbmJmcjQwZXJgLS1kMTZzcw%3D%3D&amp;btag=e00050000&amp;expire=1764559380&amp;l=2025120110213521203C48224A5C66F6F4&amp;ply_type=3&amp;policy=3&amp;signature=6a888905a72624879c95dcc3256e3d92&amp;tk=7571587458748974088" TargetMode="External"/><Relationship Id="rId1822" Type="http://schemas.openxmlformats.org/officeDocument/2006/relationships/hyperlink" Target="https://p77-sign-va.tiktokcdn.com/tos-maliva-avt-0068/7dbc97f66a70a5f185159bb96a8d7982~tplv-tiktokx-cropcenter:1080:1080.jpeg?dr=14579&amp;refresh_token=be36db7f&amp;x-expires=1764727200&amp;x-signature=uEXJwDQl2k1wMCTjgJmseyPt6iE%3D&amp;t=4d5b0474&amp;ps=13740610&amp;shp=a5d48078&amp;shcp=81f88b70&amp;idc=my" TargetMode="External"/><Relationship Id="rId1823" Type="http://schemas.openxmlformats.org/officeDocument/2006/relationships/hyperlink" Target="https://v16-webapp-prime.tiktok.com/video/tos/maliva/tos-maliva-ve-0068c801-us/owz9VkkiEAoH7IhmONIWCXHgsxqVqoWjQyAEfy/?a=1988&amp;bti=ODszNWYuMDE6&amp;ch=0&amp;cr=3&amp;dr=0&amp;lr=all&amp;cd=0%7C0%7C0%7C&amp;cv=1&amp;br=844&amp;bt=422&amp;cs=0&amp;ds=3&amp;ft=-Csk_mrMPD12N8Dh5d-UxSc2hY6e3wv252cAp&amp;mime_type=video_mp4&amp;qs=0&amp;rc=PDY0ZGc5PGdnOGY0ZDY0OUBpanBoOzo6ZmtvajMzNzczM0BgMDAyMWAvX18xNC0yYl8uYSNeZHNtcjQwZXJgLS1kMTZzcw%3D%3D&amp;btag=e00090000&amp;expire=1764728580&amp;l=2025120110213521203C48224A5C66F6F4&amp;ply_type=2&amp;policy=2&amp;signature=9db13447bfae126e570da62758bf5176&amp;tk=tt_chain_token" TargetMode="External"/><Relationship Id="rId1824" Type="http://schemas.openxmlformats.org/officeDocument/2006/relationships/hyperlink" Target="https://www.tiktok.com/@sobrevivi2019oficialdid/video/7223027035826916613" TargetMode="External"/><Relationship Id="rId1825" Type="http://schemas.openxmlformats.org/officeDocument/2006/relationships/drawing" Target="../drawings/drawing2.xml"/><Relationship Id="rId1455" Type="http://schemas.openxmlformats.org/officeDocument/2006/relationships/hyperlink" Target="https://www.tiktok.com/@karen_abreuu/video/7428337289136229637" TargetMode="External"/><Relationship Id="rId1456" Type="http://schemas.openxmlformats.org/officeDocument/2006/relationships/hyperlink" Target="https://p77-sign-va.tiktokcdn.com/tos-maliva-avt-0068/a2a86b413d25e338b9c04c8b4db06e84~tplv-tiktokx-cropcenter:100:100.jpeg?dr=14579&amp;refresh_token=69cf3cd9&amp;x-expires=1764727200&amp;x-signature=cySNJWr58%2FyyodUQRJVyns8VCIo%3D&amp;t=4d5b0474&amp;ps=13740610&amp;shp=a5d48078&amp;shcp=81f88b70&amp;idc=my" TargetMode="External"/><Relationship Id="rId1457" Type="http://schemas.openxmlformats.org/officeDocument/2006/relationships/hyperlink" Target="https://v16-webapp-prime.tiktok.com/video/tos/useast2a/tos-useast2a-v-27dcd7/566643804e9846d3931c17a4075f64d4/?a=1988&amp;bti=ODszNWYuMDE6&amp;ch=0&amp;cr=0&amp;dr=0&amp;er=0&amp;lr=default&amp;cd=0%7C0%7C0%7C0&amp;br=248&amp;bt=124&amp;ds=5&amp;ft=GNDpcInz7ThqpKvPXq8Zmo&amp;mime_type=audio_mp4&amp;qs=13&amp;rc=M3MzdWU6Zm95ZDMzNzU8M0BpM3MzdWU6Zm95ZDMzNzU8M0BfaGtkcjQwaGBgLS1kMTZzYSNfaGtkcjQwaGBgLS1kMTZzcw%3D%3D&amp;btag=e00050000&amp;expire=1764559629&amp;l=202512011025322E6C790BBAEC294DA202&amp;ply_type=3&amp;policy=3&amp;signature=3564f89ec28008d39421c3efe471a1ce&amp;tk=7571587458748974088" TargetMode="External"/><Relationship Id="rId1458" Type="http://schemas.openxmlformats.org/officeDocument/2006/relationships/hyperlink" Target="https://p77-sign-va.tiktokcdn.com/tos-maliva-avt-0068/7337092642779430918~tplv-tiktokx-cropcenter:1080:1080.jpeg?dr=14579&amp;refresh_token=07c90e11&amp;x-expires=1764727200&amp;x-signature=GFh0Cr3DD88rmaWIQUl4rLx2%2BkU%3D&amp;t=4d5b0474&amp;ps=13740610&amp;shp=a5d48078&amp;shcp=81f88b70&amp;idc=my" TargetMode="External"/><Relationship Id="rId1459" Type="http://schemas.openxmlformats.org/officeDocument/2006/relationships/hyperlink" Target="https://v16-webapp-prime.tiktok.com/video/tos/useast2a/tos-useast2a-ve-0068c001-euttp/o468SDVEubQZ4HcmApgIRxIFCf2eqxEPDDqBQS/?a=1988&amp;bti=ODszNWYuMDE6&amp;ch=0&amp;cr=3&amp;dr=0&amp;lr=all&amp;cd=0%7C0%7C0%7C&amp;cv=1&amp;br=1344&amp;bt=672&amp;cs=0&amp;ds=3&amp;ft=-Csk_mrMPD12NUgh5d-UxIS5hY6e3wv25ycAp&amp;mime_type=video_mp4&amp;qs=0&amp;rc=ZGc7M2g4NWgzOzw5OzQ2OEBpamZyPHc5cnBodTMzZjczM0AwLl8vMy02Xi4xMmJgLzE2YSNuZjBeMmRzXmVgLS1kMWNzcw%3D%3D&amp;btag=e00088000&amp;expire=1764728772&amp;l=202512011025322E6C790BBAEC294DA202&amp;ply_type=2&amp;policy=2&amp;signature=126c478e0b08190bf9a1a01706ad2109&amp;tk=tt_chain_token" TargetMode="External"/><Relationship Id="rId629" Type="http://schemas.openxmlformats.org/officeDocument/2006/relationships/hyperlink" Target="https://v16-webapp-prime.tiktok.com/video/tos/useast2a/tos-useast2a-v-27dcd7/oYKH8OQwfCIl4VGCADJnxvBQCEBJFUAr14AIex/?a=1988&amp;bti=ODszNWYuMDE6&amp;ch=0&amp;cr=0&amp;dr=0&amp;er=0&amp;lr=default&amp;cd=0%7C0%7C0%7C0&amp;br=250&amp;bt=125&amp;ds=5&amp;ft=GNDpcInz7ThRPKvPXq8Zmo&amp;mime_type=audio_mpeg&amp;qs=13&amp;rc=MzpvaHI5cnlyeTMzNzU8M0BpMzpvaHI5cnlyeTMzNzU8M0AxXzFxMmQ0Xi5gLS1kMTZzYSMxXzFxMmQ0Xi5gLS1kMTZzcw%3D%3D&amp;btag=e00050000&amp;expire=1764559275&amp;l=202512011020161DC26370CAB01566B4BC&amp;ply_type=3&amp;policy=3&amp;signature=51cd954370e6c695a65db6d1710d74c2&amp;tk=7571587458748974088" TargetMode="External"/><Relationship Id="rId624" Type="http://schemas.openxmlformats.org/officeDocument/2006/relationships/hyperlink" Target="https://p77-sign-va.tiktokcdn.com/tos-maliva-avt-0068/920786d91705026732cfd97a63eec925~tplv-tiktokx-cropcenter:100:100.jpeg?dr=14579&amp;refresh_token=c1cd668f&amp;x-expires=1764727200&amp;x-signature=GXJ78fKfzYRHtpWrvkv1faPmUgU%3D&amp;t=4d5b0474&amp;ps=13740610&amp;shp=a5d48078&amp;shcp=81f88b70&amp;idc=my" TargetMode="External"/><Relationship Id="rId623" Type="http://schemas.openxmlformats.org/officeDocument/2006/relationships/hyperlink" Target="https://www.tiktok.com/@pisicopop/video/7350334687363009797" TargetMode="External"/><Relationship Id="rId622" Type="http://schemas.openxmlformats.org/officeDocument/2006/relationships/hyperlink" Target="https://p77-sg.tiktokcdn.com/aweme/720x720/tos-alisg-v-2774/47ccb712fc744e03b97c5b232ff279cc.jpeg" TargetMode="External"/><Relationship Id="rId621" Type="http://schemas.openxmlformats.org/officeDocument/2006/relationships/hyperlink" Target="https://sf16-ies-music-sg.tiktokcdn.com/obj/tos-alisg-ve-2774/36c45fbf26c943c0ab9627251afd960b" TargetMode="External"/><Relationship Id="rId628" Type="http://schemas.openxmlformats.org/officeDocument/2006/relationships/hyperlink" Target="https://p16-sign-va.tiktokcdn.com/tos-maliva-avt-0068/54df30458f3a66aed8bbb7fbd484cf07~tplv-tiktokx-cropcenter:100:100.jpeg?dr=14579&amp;refresh_token=546c9662&amp;x-expires=1764727200&amp;x-signature=7h2nDJpHmgN1WqFTkllYwFICopw%3D&amp;t=4d5b0474&amp;ps=13740610&amp;shp=a5d48078&amp;shcp=81f88b70&amp;idc=my" TargetMode="External"/><Relationship Id="rId627" Type="http://schemas.openxmlformats.org/officeDocument/2006/relationships/hyperlink" Target="https://www.tiktok.com/@neurodivertidosbr/video/7538999632303557893" TargetMode="External"/><Relationship Id="rId626" Type="http://schemas.openxmlformats.org/officeDocument/2006/relationships/hyperlink" Target="https://p77-sign-va.tiktokcdn.com/tos-maliva-avt-0068/920786d91705026732cfd97a63eec925~tplv-tiktokx-cropcenter:1080:1080.jpeg?dr=14579&amp;refresh_token=3ec7241c&amp;x-expires=1764727200&amp;x-signature=chK5ydWlqwVUYvNAPBwODg3h6ZE%3D&amp;t=4d5b0474&amp;ps=13740610&amp;shp=a5d48078&amp;shcp=81f88b70&amp;idc=my" TargetMode="External"/><Relationship Id="rId625" Type="http://schemas.openxmlformats.org/officeDocument/2006/relationships/hyperlink" Target="https://v16-webapp-prime.tiktok.com/video/tos/useast2a/tos-useast2a-v-27dcd7/osIfIACAT6zPEwDRRFEAfsdsOh3ocEAgSTeFC7/?a=1988&amp;bti=ODszNWYuMDE6&amp;ch=0&amp;cr=0&amp;dr=0&amp;er=0&amp;lr=default&amp;cd=0%7C0%7C0%7C0&amp;br=250&amp;bt=125&amp;ds=5&amp;ft=GNDpcInz7ThcFKvPXq8Zmo&amp;mime_type=audio_mpeg&amp;qs=13&amp;rc=anA5Z3U5cnF4NTMzNzU8M0BpanA5Z3U5cnF4NTMzNzU8M0AwZ2doMmQ0ZGNhLS1kMTZzYSMwZ2doMmQ0ZGNhLS1kMTZzcw%3D%3D&amp;btag=e00060000&amp;expire=1764559891&amp;l=2025120110220384643B3986DED954E961&amp;ply_type=3&amp;policy=3&amp;signature=21eb52022f19d1806bd27207d069c24e&amp;tk=7571587458748974088" TargetMode="External"/><Relationship Id="rId1450" Type="http://schemas.openxmlformats.org/officeDocument/2006/relationships/hyperlink" Target="https://www.tiktok.com/@mochileandolo/video/7482824113761897750" TargetMode="External"/><Relationship Id="rId620" Type="http://schemas.openxmlformats.org/officeDocument/2006/relationships/hyperlink" Target="https://p16-sign-va.tiktokcdn.com/tos-maliva-avt-0068/0c857903b1d71ebd63a58d7ad9b30044~tplv-tiktokx-cropcenter:100:100.jpeg?dr=14579&amp;refresh_token=c92bbeb2&amp;x-expires=1764727200&amp;x-signature=hYSdh1CelOhsN0%2BtbUykFli9sfU%3D&amp;t=4d5b0474&amp;ps=13740610&amp;shp=a5d48078&amp;shcp=81f88b70&amp;idc=my" TargetMode="External"/><Relationship Id="rId1451" Type="http://schemas.openxmlformats.org/officeDocument/2006/relationships/hyperlink" Target="https://p16-sign-va.tiktokcdn.com/tos-maliva-avt-0068/7326699641977634821~tplv-tiktokx-cropcenter:100:100.jpeg?dr=14579&amp;refresh_token=19edc2b9&amp;x-expires=1764727200&amp;x-signature=o9LZGvw4Ry8DKpSNxfCzZXt0dIc%3D&amp;t=4d5b0474&amp;ps=13740610&amp;shp=a5d48078&amp;shcp=81f88b70&amp;idc=my" TargetMode="External"/><Relationship Id="rId1452" Type="http://schemas.openxmlformats.org/officeDocument/2006/relationships/hyperlink" Target="https://v16-webapp-prime.tiktok.com/video/tos/useast2a/tos-useast2a-v-27dcd7/oEPXWCTcsJAYeEEnAFFfBBQG6wmAFiExJAD6U2/?a=1988&amp;bti=ODszNWYuMDE6&amp;ch=0&amp;cr=0&amp;dr=0&amp;er=0&amp;lr=default&amp;cd=0%7C0%7C0%7C0&amp;br=250&amp;bt=125&amp;ds=5&amp;ft=GNDpcInz7ThszKvPXq8Zmo&amp;mime_type=audio_mpeg&amp;qs=13&amp;rc=M3RzPHc5cndmdjMzNzU8M0BpM3RzPHc5cndmdjMzNzU8M0BlNHNgMmRrL19gLS1kMTZzYSNlNHNgMmRrL19gLS1kMTZzcw%3D%3D&amp;btag=e00078000&amp;expire=1764559281&amp;l=20251201102055111140D50F38376E882B&amp;ply_type=3&amp;policy=3&amp;signature=0d6808b1efef71311d294017a198c103&amp;tk=7571587458748974088" TargetMode="External"/><Relationship Id="rId1453" Type="http://schemas.openxmlformats.org/officeDocument/2006/relationships/hyperlink" Target="https://p77-sign-va.tiktokcdn.com/tos-maliva-avt-0068/7326699641977634821~tplv-tiktokx-cropcenter:1080:1080.jpeg?dr=14579&amp;refresh_token=85899b02&amp;x-expires=1764727200&amp;x-signature=lk97pRU0LhvGjoWpT5j01fvvJYA%3D&amp;t=4d5b0474&amp;ps=13740610&amp;shp=a5d48078&amp;shcp=81f88b70&amp;idc=my" TargetMode="External"/><Relationship Id="rId1454" Type="http://schemas.openxmlformats.org/officeDocument/2006/relationships/hyperlink" Target="https://v16-webapp-prime.tiktok.com/video/tos/alisg/tos-alisg-pve-0037c001/o0JijYVBiWQ6ZY4IKcPvsBBAkUEEbxVwHSBXl/?a=1988&amp;bti=ODszNWYuMDE6&amp;ch=0&amp;cr=3&amp;dr=0&amp;lr=all&amp;cd=0%7C0%7C0%7C&amp;cv=1&amp;br=376&amp;bt=188&amp;cs=0&amp;ds=6&amp;ft=-Csk_mrMPD12NbDh5d-UxPR2SY6e3wv25IcAp&amp;mime_type=video_mp4&amp;qs=5&amp;rc=ZWk6N2k0Zzs1Z2RnZWc3PEBpM2ZvcHQ5cmRmdjMzNzczM0AuMTMvNmM0Xi0xMzUuNWJjYSNgXzEwMmQ0L19gLS1kMTZzcw%3D%3D&amp;btag=e000b8000&amp;expire=1764728481&amp;l=20251201102055111140D50F38376E882B&amp;ply_type=2&amp;policy=2&amp;signature=4fe38015329f28211aede609a77a2b3f&amp;tk=tt_chain_token" TargetMode="External"/><Relationship Id="rId1444" Type="http://schemas.openxmlformats.org/officeDocument/2006/relationships/hyperlink" Target="https://p77-sg.tiktokcdn.com/aweme/720x720/tos-alisg-v-2774/o869ooAAfCBrAJDntEhHAHIgVFZe9A8AbQEIBQ.jpeg" TargetMode="External"/><Relationship Id="rId1445" Type="http://schemas.openxmlformats.org/officeDocument/2006/relationships/hyperlink" Target="https://v16-webapp-prime.tiktok.com/video/tos/useast2a/tos-useast2a-ve-0068c002/oQQzLNicILTeCBOIQJFNnCAegjLh7Se6RgjG6I/?a=1988&amp;bti=ODszNWYuMDE6&amp;ch=0&amp;cr=3&amp;dr=0&amp;lr=all&amp;cd=0%7C0%7C0%7C&amp;cv=1&amp;br=678&amp;bt=339&amp;cs=0&amp;ds=3&amp;ft=-Csk_mrMPD12NLdh5d-Uxbt2hY6e3wv25HcAp&amp;mime_type=video_mp4&amp;qs=0&amp;rc=OzY0NTZnPDRnNDo8Njo6NkBpanI2dW05cms8NDMzNzczM0A1LS1fYS01X18xYDNjMS5eYSNrLWk2MmQ0cmdhLS1kMTZzcw%3D%3D&amp;btag=e00090000&amp;expire=1764728485&amp;l=202512011020239FD63C9B4E4C976A9DFE&amp;ply_type=2&amp;policy=2&amp;signature=00931cd6d468c0426d0dd9a65a484ae9&amp;tk=tt_chain_token" TargetMode="External"/><Relationship Id="rId1446" Type="http://schemas.openxmlformats.org/officeDocument/2006/relationships/hyperlink" Target="https://www.tiktok.com/@tdahcommaisperformance/video/7522876051920325944" TargetMode="External"/><Relationship Id="rId1447" Type="http://schemas.openxmlformats.org/officeDocument/2006/relationships/hyperlink" Target="https://p16-sign-va.tiktokcdn.com/tos-maliva-avt-0068/2dd3e8f72194ae18d3a9971992b8c84b~tplv-tiktokx-cropcenter:100:100.jpeg?dr=14579&amp;refresh_token=16987736&amp;x-expires=1764727200&amp;x-signature=mYIRurUgXmKtisliyIUJNL6OAfU%3D&amp;t=4d5b0474&amp;ps=13740610&amp;shp=a5d48078&amp;shcp=81f88b70&amp;idc=my" TargetMode="External"/><Relationship Id="rId1448" Type="http://schemas.openxmlformats.org/officeDocument/2006/relationships/hyperlink" Target="https://p16-sign-sg.tiktokcdn.com/tos-alisg-v-2774/5aeba627c9474576bafeff633901d575~720x720.jpeg?lk3s=08d74b56&amp;x-expires=1764577458&amp;x-signature=BFg7DYgsYNS0eqRWM%2BPUYGALsaI%3D" TargetMode="External"/><Relationship Id="rId1449" Type="http://schemas.openxmlformats.org/officeDocument/2006/relationships/hyperlink" Target="https://v16-webapp-prime.tiktok.com/video/tos/no1a/tos-no1a-ve-0068c001-no/oYjjhsIPOIbPPYIQIfhlV6AIGeA7LLQe1DoPKE/?a=1988&amp;bti=ODszNWYuMDE6&amp;ch=0&amp;cr=3&amp;dr=0&amp;lr=all&amp;cd=0%7C0%7C0%7C&amp;cv=1&amp;br=1320&amp;bt=660&amp;cs=0&amp;ds=3&amp;ft=ytpHh9DfxxOusd.5xDKt8lcLVWOuRx_HFKK56KWH-~FCg0z7T&amp;mime_type=video_mp4&amp;qs=0&amp;rc=OGg7ZDhoaTM2O2Q2Zmc1ZUBpanh3aXI5cmY4eTMzbzczNUAwYl4xXjYvXzMxYzAuNDAwYSNlaXBfMmRrNWBgLS1kMTFzcw%3D%3D&amp;btag=e00090000&amp;expire=1764728765&amp;l=2025120110241886E934FBC7BA65F22BFF&amp;ply_type=2&amp;policy=2&amp;signature=136105d65fea899d45ed69d8f83d8935&amp;tk=tt_chain_token" TargetMode="External"/><Relationship Id="rId619" Type="http://schemas.openxmlformats.org/officeDocument/2006/relationships/hyperlink" Target="https://www.tiktok.com/@pisicopop/video/7366274678849096965" TargetMode="External"/><Relationship Id="rId618" Type="http://schemas.openxmlformats.org/officeDocument/2006/relationships/hyperlink" Target="https://p16-sign-va.tiktokcdn.com/tos-maliva-avt-0068/0c857903b1d71ebd63a58d7ad9b30044~tplv-tiktokx-cropcenter:1080:1080.jpeg?dr=14579&amp;refresh_token=07a39830&amp;x-expires=1764727200&amp;x-signature=TFgaKCzOWmWwXJveI8zr6r6VDQY%3D&amp;t=4d5b0474&amp;ps=13740610&amp;shp=a5d48078&amp;shcp=81f88b70&amp;idc=my" TargetMode="External"/><Relationship Id="rId613" Type="http://schemas.openxmlformats.org/officeDocument/2006/relationships/hyperlink" Target="https://p16-sg.tiktokcdn.com/aweme/720x720/tos-alisg-v-2774/o4A8EiGS96Y7r6BApURZj7WAA3NPCh7FAEiPY.jpeg" TargetMode="External"/><Relationship Id="rId612" Type="http://schemas.openxmlformats.org/officeDocument/2006/relationships/hyperlink" Target="https://sf16-ies-music-sg.tiktokcdn.com/obj/tos-alisg-ve-2774/o41ZIiFU2PQMMegWBQDCMt1yZClgKBbtEiEHfP" TargetMode="External"/><Relationship Id="rId611" Type="http://schemas.openxmlformats.org/officeDocument/2006/relationships/hyperlink" Target="https://p16-sign-va.tiktokcdn.com/tos-maliva-avt-0068/54df30458f3a66aed8bbb7fbd484cf07~tplv-tiktokx-cropcenter:100:100.jpeg?dr=14579&amp;refresh_token=546c9662&amp;x-expires=1764727200&amp;x-signature=7h2nDJpHmgN1WqFTkllYwFICopw%3D&amp;t=4d5b0474&amp;ps=13740610&amp;shp=a5d48078&amp;shcp=81f88b70&amp;idc=my" TargetMode="External"/><Relationship Id="rId610" Type="http://schemas.openxmlformats.org/officeDocument/2006/relationships/hyperlink" Target="https://www.tiktok.com/@claralisle/video/7393112094926753029" TargetMode="External"/><Relationship Id="rId617" Type="http://schemas.openxmlformats.org/officeDocument/2006/relationships/hyperlink" Target="https://v16-webapp-prime.tiktok.com/video/tos/useast2a/tos-useast2a-v-27dcd7/ogAgRIBHiAAAHS6nAEmxBA1Kn9xEEkAfozSSKi/?a=1988&amp;bti=ODszNWYuMDE6&amp;ch=0&amp;cr=0&amp;dr=0&amp;er=0&amp;lr=default&amp;cd=0%7C0%7C0%7C0&amp;br=250&amp;bt=125&amp;ds=5&amp;ft=GNDpcInz7Th0zKvPXq8Zmo&amp;mime_type=audio_mpeg&amp;qs=13&amp;rc=ajM6bnc5cjM3cjMzNzU8M0BpajM6bnc5cjM3cjMzNzU8M0BsXmpnMmRjZXFgLS1kMTZzYSNsXmpnMmRjZXFgLS1kMTZzcw%3D%3D&amp;btag=e00050000&amp;expire=1764559353&amp;l=2025120110213238A64472738F9C5726DD&amp;ply_type=3&amp;policy=3&amp;signature=60b59463e6ef05f1dd4ed8d4e47bfe1c&amp;tk=7571587458748974088" TargetMode="External"/><Relationship Id="rId616" Type="http://schemas.openxmlformats.org/officeDocument/2006/relationships/hyperlink" Target="https://p16-sign-va.tiktokcdn.com/tos-maliva-avt-0068/0c857903b1d71ebd63a58d7ad9b30044~tplv-tiktokx-cropcenter:100:100.jpeg?dr=14579&amp;refresh_token=c92bbeb2&amp;x-expires=1764727200&amp;x-signature=hYSdh1CelOhsN0%2BtbUykFli9sfU%3D&amp;t=4d5b0474&amp;ps=13740610&amp;shp=a5d48078&amp;shcp=81f88b70&amp;idc=my" TargetMode="External"/><Relationship Id="rId615" Type="http://schemas.openxmlformats.org/officeDocument/2006/relationships/hyperlink" Target="https://www.tiktok.com/@visaopsicologiaof/video/7465720803313667333" TargetMode="External"/><Relationship Id="rId614" Type="http://schemas.openxmlformats.org/officeDocument/2006/relationships/hyperlink" Target="https://v16-webapp-prime.tiktok.com/video/tos/useast2a/tos-useast2a-pve-0068/o4z4kKbFiAxIcAiI4gdERNUQDzCCogf6mioBi2/?a=1988&amp;bti=ODszNWYuMDE6&amp;ch=0&amp;cr=3&amp;dr=0&amp;lr=all&amp;cd=0%7C0%7C0%7C&amp;cv=1&amp;br=938&amp;bt=469&amp;cs=0&amp;ds=3&amp;ft=I~da4oKyD12NvOMWS.IxRnTNWlBF-UjNS3opiX&amp;mime_type=video_mp4&amp;qs=0&amp;rc=ZWhlOWRpZjdmNjNmO2Q3NEBpM2s8bnI5cmtzeDMzNzczM0BiNi4tLjJeNi8xYzMzM2NgYSNvbzUvMmRjL2FgLS1kMTZzcw%3D%3D&amp;btag=e00090000&amp;expire=1764728622&amp;l=20251201102235105D23322947EB5E91E0&amp;ply_type=2&amp;policy=2&amp;signature=f45fa73bc7cc2155caf702d7319362cd&amp;tk=tt_chain_token" TargetMode="External"/><Relationship Id="rId1440" Type="http://schemas.openxmlformats.org/officeDocument/2006/relationships/hyperlink" Target="https://webapp-va.tiktok.com/d701055c3b89158dc5e08b1a6803c660/692f9e97/kmoat/mps/logo/v2/r/p/v09044g40000crfoaqvog65rb8jqtak0/a571fd7de91042e1b9e062ce1a71e0eb/f4639ffe09bd0dde351bf8ffedfd7b8e/mp4/main.mp4?a=1988&amp;bti=ODszNWYuMDE6&amp;ch=0&amp;cr=3&amp;dr=0&amp;lr=all&amp;cd=0%7C0%7C0%7C&amp;cv=1&amp;br=0&amp;bt=0&amp;cs=0&amp;ds=3&amp;eid=1286&amp;ft=LrmaEoKyD12Nvb.WS.IxRnTNWlBF-UjNS3opiX&amp;mime_type=video_mp4&amp;qs=0&amp;rc=cnF8b2hsc2d3SkBwaHIxaDFybndmZTM0ZGg1Mzw0NTM8Z2c0OEBpM2R0O3U5cnRydTMzNzczM0BjRl5Nc3FePmJKYSNvYF90aHFmOiNiYjQuYDNiX2IxLmI0YzReYSNocWdfMmRzXmNgLS1kMTZzcw%3D%3D&amp;btag=e000b8000&amp;definition=720p&amp;du=26&amp;item_id=7412790904672636166&amp;l=20251201102046E8B89E886773854715A1&amp;logo_type=tiktok_m&amp;ply_type=2&amp;policy=eyJ2bSI6MiwiY2siOiJ0dF9jaGFpbl90b2tlbiJ9&amp;user_text=dicas_descontos" TargetMode="External"/><Relationship Id="rId1441" Type="http://schemas.openxmlformats.org/officeDocument/2006/relationships/hyperlink" Target="https://www.tiktok.com/@dicas_descontos/video/7412790904672636166" TargetMode="External"/><Relationship Id="rId1442" Type="http://schemas.openxmlformats.org/officeDocument/2006/relationships/hyperlink" Target="https://p77-sign-va.tiktokcdn.com/tos-maliva-avt-0068/fa233712dfcf05abd3a56a8d8aa1b5c6~tplv-tiktokx-cropcenter:100:100.jpeg?dr=14579&amp;refresh_token=788695a1&amp;x-expires=1764727200&amp;x-signature=R%2FFpmQhjr5GAJkiXK%2BX8FcCYHlI%3D&amp;t=4d5b0474&amp;ps=13740610&amp;shp=a5d48078&amp;shcp=81f88b70&amp;idc=my" TargetMode="External"/><Relationship Id="rId1443" Type="http://schemas.openxmlformats.org/officeDocument/2006/relationships/hyperlink" Target="https://sf16-ies-music-sg.tiktokcdn.com/obj/tos-alisg-ve-2774/oAFyDaNPgQl6jzfwhY28CXc2uMfY0zgAfRLGiA" TargetMode="External"/><Relationship Id="rId1477" Type="http://schemas.openxmlformats.org/officeDocument/2006/relationships/hyperlink" Target="https://v16-webapp-prime.tiktok.com/video/tos/useast2a/tos-useast2a-v-27dcd7/oE4ijKA3EREkC8AkSvyqXEeX0JAvkBLbSAioBg/?a=1988&amp;bti=ODszNWYuMDE6&amp;ch=0&amp;cr=0&amp;dr=0&amp;er=0&amp;lr=default&amp;cd=0%7C0%7C0%7C0&amp;br=250&amp;bt=125&amp;ds=5&amp;ft=GNDpcInz7ThjFKvPXq8Zmo&amp;mime_type=audio_mpeg&amp;qs=13&amp;rc=anJ5PGw5cjd1NTMzNzU8M0BpanJ5PGw5cjd1NTMzNzU8M0BlYy9pMmRrbV9hLS1kMTZzYSNlYy9pMmRrbV9hLS1kMTZzcw%3D%3D&amp;btag=e00050000&amp;expire=1764559381&amp;l=2025120110215532A809179141715F3748&amp;ply_type=3&amp;policy=3&amp;signature=5d2b3379d1ba384b3a90dc1e51f93f0e&amp;tk=7571587458748974088" TargetMode="External"/><Relationship Id="rId1478"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1479" Type="http://schemas.openxmlformats.org/officeDocument/2006/relationships/hyperlink" Target="https://v16-webapp-prime.tiktok.com/video/tos/useast2a/tos-useast2a-pve-0068/okXslQJDoBv5Ux7FEFx72AIfEBsXfl6QhREPaP/?a=1988&amp;bti=ODszNWYuMDE6&amp;ch=0&amp;cr=3&amp;dr=0&amp;lr=all&amp;cd=0%7C0%7C0%7C&amp;cv=1&amp;br=1432&amp;bt=716&amp;cs=0&amp;ds=6&amp;ft=-Csk_mrMPD12NSBh5d-Uxs12aY6e3wv252cAp&amp;mime_type=video_mp4&amp;qs=4&amp;rc=ZTtlOjM3ZmVnZjg5ODg4O0Bpam5tcnY5cjZ1NTMzNzczM0BeYC4wYjNiXmIxNTIyYy1eYSNfamFzMmRzal9hLS1kMTZzcw%3D%3D&amp;btag=e00090000&amp;expire=1764728581&amp;l=2025120110215532A809179141715F3748&amp;ply_type=2&amp;policy=2&amp;signature=ad4f941cfd6e804aa47a1a3695be82d2&amp;tk=tt_chain_token" TargetMode="External"/><Relationship Id="rId646" Type="http://schemas.openxmlformats.org/officeDocument/2006/relationships/hyperlink" Target="https://www.tiktok.com/@claralisle/video/7396075071866965253" TargetMode="External"/><Relationship Id="rId645" Type="http://schemas.openxmlformats.org/officeDocument/2006/relationships/hyperlink" Target="https://v16-webapp-prime.tiktok.com/video/tos/useast2a/tos-useast2a-ve-0068c004/oITEIBPGDEC9ekgqAZFQJ2RxhBfKmIBIEwQiEp/?a=1988&amp;bti=ODszNWYuMDE6&amp;ch=0&amp;cr=3&amp;dr=0&amp;lr=all&amp;cd=0%7C0%7C0%7C&amp;cv=1&amp;br=924&amp;bt=462&amp;cs=0&amp;ds=6&amp;ft=I~da4oKyD12Nvl.WS.IxR51NWlBF-UjNSMopiX&amp;mime_type=video_mp4&amp;qs=5&amp;rc=ZzY8OmRmZDppNjM4NTk7aEBpM2o7bmo5cmY0dDMzNzczM0BeYDVeYWAyNWExYTUvMWMxYSNzbTUuMmRjaWZgLS1kMTZzcw%3D%3D&amp;btag=e00090000&amp;expire=1764728561&amp;l=2025120110201396469B6E0854EC6377C0&amp;ply_type=2&amp;policy=2&amp;signature=656550b15a2214249c3ea6510b08cc61&amp;tk=tt_chain_token" TargetMode="External"/><Relationship Id="rId644"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643" Type="http://schemas.openxmlformats.org/officeDocument/2006/relationships/hyperlink" Target="https://v16-webapp-prime.tiktok.com/video/tos/useast2a/tos-useast2a-v-27dcd7/ogfuIhakUAgil7CEAEIAwABUQuGozzdzBKEkiC/?a=1988&amp;bti=ODszNWYuMDE6&amp;ch=0&amp;cr=0&amp;dr=0&amp;er=0&amp;lr=default&amp;cd=0%7C0%7C0%7C0&amp;br=250&amp;bt=125&amp;ds=5&amp;ft=GNDpcInz7ThVPKvPXq8Zmo&amp;mime_type=audio_mpeg&amp;qs=13&amp;rc=M2puZmo5cmc1dDMzNzU8M0BpM2puZmo5cmc1dDMzNzU8M0AuZHBrMmRjM2ZgLS1kMTZzYSMuZHBrMmRjM2ZgLS1kMTZzcw%3D%3D&amp;btag=e00050000&amp;expire=1764559361&amp;l=2025120110201396469B6E0854EC6377C0&amp;ply_type=3&amp;policy=3&amp;signature=9ec6210832b47a60a6565ccbd05fa210&amp;tk=7571587458748974088" TargetMode="External"/><Relationship Id="rId649" Type="http://schemas.openxmlformats.org/officeDocument/2006/relationships/hyperlink" Target="https://p19-common-sign-useastred.tiktokcdn-eu.com/tos-useast2a-avt-0068-euttp/aef08c932f06f3dfcbe7cd92188a70ad~tplv-tiktokx-cropcenter:1080:1080.jpeg?dr=14579&amp;refresh_token=204d10f1&amp;x-expires=1764727200&amp;x-signature=D1cda1M6tRe67ghlKiL5MXT99ik%3D&amp;t=4d5b0474&amp;ps=13740610&amp;shp=a5d48078&amp;shcp=81f88b70&amp;idc=my" TargetMode="External"/><Relationship Id="rId648" Type="http://schemas.openxmlformats.org/officeDocument/2006/relationships/hyperlink" Target="https://v16-webapp-prime.tiktok.com/video/tos/useast2a/tos-useast2a-v-2370-euttp/o0VAjGfE2gd2Mj5eZEENTbEoAYEOFcoADeAe47/?a=1988&amp;bti=ODszNWYuMDE6&amp;ch=0&amp;cr=0&amp;dr=0&amp;er=0&amp;lr=default&amp;cd=0%7C0%7C0%7C0&amp;br=250&amp;bt=125&amp;ds=5&amp;ft=GNDpcInz7ThHzKvPXq8Zmo&amp;mime_type=audio_mpeg&amp;qs=13&amp;rc=ajZrcHg5cnJ4cjMzZjU8M0BpajZrcHg5cnJ4cjMzZjU8M0BwazBgMmRzM3FgLS1kMWNzYSNwazBgMmRzM3FgLS1kMWNzcw%3D%3D&amp;btag=e00058000&amp;expire=1764559514&amp;l=2025120110210247DE29902DF1415935A0&amp;ply_type=3&amp;policy=3&amp;signature=d013249944e2add582cc43a09e520c81&amp;tk=7571587458748974088" TargetMode="External"/><Relationship Id="rId647"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1470" Type="http://schemas.openxmlformats.org/officeDocument/2006/relationships/hyperlink" Target="https://www.tiktok.com/@sonsquecuram/video/7198596524203412742" TargetMode="External"/><Relationship Id="rId1471" Type="http://schemas.openxmlformats.org/officeDocument/2006/relationships/hyperlink" Target="https://p16-sign-va.tiktokcdn.com/tos-maliva-avt-0068/e7d7b3272d64e29c478b4fcba5cf0b16~tplv-tiktokx-cropcenter:100:100.jpeg?dr=14579&amp;refresh_token=afe0bbfc&amp;x-expires=1764727200&amp;x-signature=Wz%2FvVO9cf7jrSx7w2XaNwWYLyLk%3D&amp;t=4d5b0474&amp;ps=13740610&amp;shp=a5d48078&amp;shcp=81f88b70&amp;idc=my" TargetMode="External"/><Relationship Id="rId1472" Type="http://schemas.openxmlformats.org/officeDocument/2006/relationships/hyperlink" Target="https://v16-webapp-prime.tiktok.com/video/tos/useast2a/tos-useast2a-v-27dcd7/4779244af5f0444bb5aa62f60e8d78a0/?a=1988&amp;bti=ODszNWYuMDE6&amp;ch=0&amp;cr=0&amp;dr=0&amp;er=0&amp;lr=default&amp;cd=0%7C0%7C0%7C0&amp;br=250&amp;bt=125&amp;ds=5&amp;ft=GNDpcInz7ThypKvPXq8Zmo&amp;mime_type=audio_mpeg&amp;qs=13&amp;rc=anJ1bTU6Zm03aTMzNzU8M0BpanJ1bTU6Zm03aTMzNzU8M0AvbGRmcjRvNGdgLS1kMTZzYSMvbGRmcjRvNGdgLS1kMTZzcw%3D%3D&amp;btag=e00048000&amp;expire=1764559584&amp;l=202512011025416316FEEDE598E9627C72&amp;ply_type=3&amp;policy=3&amp;signature=8405e02351c18380cb859b87cba15a37&amp;tk=7571587458748974088" TargetMode="External"/><Relationship Id="rId642" Type="http://schemas.openxmlformats.org/officeDocument/2006/relationships/hyperlink" Target="https://p16-sign-sg.tiktokcdn.com/tos-alisg-avt-0068/9832aa685b2cfe94db09e06f702f0a77~tplv-tiktokx-cropcenter:100:100.jpeg?dr=14579&amp;refresh_token=07da26e1&amp;x-expires=1764727200&amp;x-signature=Ri8nDTJDplNCkNFz41OqjVNk2dg%3D&amp;t=4d5b0474&amp;ps=13740610&amp;shp=a5d48078&amp;shcp=81f88b70&amp;idc=my" TargetMode="External"/><Relationship Id="rId1473" Type="http://schemas.openxmlformats.org/officeDocument/2006/relationships/hyperlink" Target="https://p77-sign-va.tiktokcdn.com/tos-maliva-avt-0068/e7d7b3272d64e29c478b4fcba5cf0b16~tplv-tiktokx-cropcenter:1080:1080.jpeg?dr=14579&amp;refresh_token=a1db429a&amp;x-expires=1764727200&amp;x-signature=UEPCWu5NIQTxNN%2BnPXXM70ulsYM%3D&amp;t=4d5b0474&amp;ps=13740610&amp;shp=a5d48078&amp;shcp=81f88b70&amp;idc=my" TargetMode="External"/><Relationship Id="rId641" Type="http://schemas.openxmlformats.org/officeDocument/2006/relationships/hyperlink" Target="https://www.tiktok.com/@pisicopop/video/7373691403412573445" TargetMode="External"/><Relationship Id="rId1474" Type="http://schemas.openxmlformats.org/officeDocument/2006/relationships/hyperlink" Target="https://v16-webapp-prime.tiktok.com/video/tos/maliva/tos-maliva-ve-0068c801-us/o4bhQkGJ5BBefDaIQUy3CFAgk8MQ9jTznERmDv/?a=1988&amp;bti=ODszNWYuMDE6&amp;ch=0&amp;cr=3&amp;dr=0&amp;lr=all&amp;cd=0%7C0%7C0%7C&amp;cv=1&amp;br=2234&amp;bt=1117&amp;cs=0&amp;ds=3&amp;ft=I~da4oKyD12NvU3WS.IxR-1NWlBF-UjNSCopiX&amp;mime_type=video_mp4&amp;qs=0&amp;rc=ZTQ2O2lkMzU4NDNkOTo7OEBpMzd5OTQ6ZjQ3aTMzNzczM0A2MjAtYl4zNl8xYmMtLS1gYSNhMmNjcjRnM2dgLS1kMTZzcw%3D%3D&amp;btag=e00088000&amp;expire=1764728784&amp;l=202512011025416316FEEDE598E9627C72&amp;ply_type=2&amp;policy=2&amp;signature=2186444de68e08e81fd7dfffc8931d68&amp;tk=tt_chain_token" TargetMode="External"/><Relationship Id="rId640" Type="http://schemas.openxmlformats.org/officeDocument/2006/relationships/hyperlink" Target="https://p77-sign-va.tiktokcdn.com/tos-maliva-avt-0068/0c857903b1d71ebd63a58d7ad9b30044~tplv-tiktokx-cropcenter:1080:1080.jpeg?dr=14579&amp;refresh_token=119a0f11&amp;x-expires=1764727200&amp;x-signature=HoicRW9XlcVqtFyC2Ibd4WPT48I%3D&amp;t=4d5b0474&amp;ps=13740610&amp;shp=a5d48078&amp;shcp=81f88b70&amp;idc=my" TargetMode="External"/><Relationship Id="rId1475" Type="http://schemas.openxmlformats.org/officeDocument/2006/relationships/hyperlink" Target="https://www.tiktok.com/@neurotonico/video/7198515572911443206" TargetMode="External"/><Relationship Id="rId1476"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466" Type="http://schemas.openxmlformats.org/officeDocument/2006/relationships/hyperlink" Target="https://p16-sign-va.tiktokcdn.com/tos-maliva-avt-0068/54244e479aff55039c0ec9df4c3106ec~tplv-tiktokx-cropcenter:100:100.jpeg?dr=14579&amp;refresh_token=3ee63356&amp;x-expires=1764727200&amp;x-signature=q3HtnmPM3Ivhm5SKbr%2F8SpNQv%2BE%3D&amp;t=4d5b0474&amp;ps=13740610&amp;shp=a5d48078&amp;shcp=81f88b70&amp;idc=my" TargetMode="External"/><Relationship Id="rId1467" Type="http://schemas.openxmlformats.org/officeDocument/2006/relationships/hyperlink" Target="https://sf16-ies-music-sg.tiktokcdn.com/obj/tos-alisg-ve-2774/ec28b201a97b4673ba761ff39b60fe91" TargetMode="External"/><Relationship Id="rId1468" Type="http://schemas.openxmlformats.org/officeDocument/2006/relationships/hyperlink" Target="https://p77-sg.tiktokcdn.com/aweme/720x720/tos-alisg-v-2774/604e1985ea7e4d018e3eb92ee6d522b4.jpeg" TargetMode="External"/><Relationship Id="rId1469" Type="http://schemas.openxmlformats.org/officeDocument/2006/relationships/hyperlink" Target="https://v16-webapp-prime.tiktok.com/video/tos/useast2a/tos-useast2a-ve-0068c001/ocrahQkzxAlGDL3fhE40tAIYCg1mN8YoxIUo7m/?a=1988&amp;bti=ODszNWYuMDE6&amp;ch=0&amp;cr=3&amp;dr=0&amp;lr=all&amp;cd=0%7C0%7C0%7C&amp;cv=1&amp;br=1180&amp;bt=590&amp;cs=0&amp;ds=6&amp;ft=-Csk_mrMPD12N5Dh5d-UxP12hY6e3wv25ocAp&amp;mime_type=video_mp4&amp;qs=5&amp;rc=OzZoaWQzOzg4N2Q6NzRlN0BpajZxZjk6Zm07aTMzNzczM0A2XzUtYC0yXjUxNDZiL2A0YSNpYmJgcjQwbmdgLS1kMTZzcw%3D%3D&amp;btag=e00090000&amp;expire=1764728524&amp;l=2025120110205711DA509A8B9B2F6AA181&amp;ply_type=2&amp;policy=2&amp;signature=6b52c1f1efbd217fc9484dd2c6d82427&amp;tk=tt_chain_token" TargetMode="External"/><Relationship Id="rId635"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634" Type="http://schemas.openxmlformats.org/officeDocument/2006/relationships/hyperlink" Target="https://v16-webapp-prime.tiktok.com/video/tos/useast2a/tos-useast2a-v-27dcd7/5988a7d8c769421581ce8932ae573d87/?a=1988&amp;bti=ODszNWYuMDE6&amp;ch=0&amp;cr=0&amp;dr=0&amp;er=0&amp;lr=default&amp;cd=0%7C0%7C0%7C0&amp;br=250&amp;bt=125&amp;ds=5&amp;ft=GNDpcInz7ThazKvPXq8Zmo&amp;mime_type=audio_mpeg&amp;qs=13&amp;rc=amtvdGY6ZjRxajMzNzU8M0BpamtvdGY6ZjRxajMzNzU8M0AuX3BrcjRvL25gLS1kMTZzYSMuX3BrcjRvL25gLS1kMTZzcw%3D%3D&amp;btag=e00058000&amp;expire=1764559526&amp;l=2025120110213521203C48224A5C66F6F4&amp;ply_type=3&amp;policy=3&amp;signature=33171ad127b9283739bc9d16ff3a6a2d&amp;tk=7571587458748974088" TargetMode="External"/><Relationship Id="rId633"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632" Type="http://schemas.openxmlformats.org/officeDocument/2006/relationships/hyperlink" Target="https://www.tiktok.com/@visaopsicologiaof/video/7476966422241922359" TargetMode="External"/><Relationship Id="rId639" Type="http://schemas.openxmlformats.org/officeDocument/2006/relationships/hyperlink" Target="https://v16-webapp-prime.tiktok.com/video/tos/useast2a/tos-useast2a-v-27dcd7/ooa1fdJDmBOzgm1FEqDJBCQlUBgpfVOQcJYqCL/?a=1988&amp;bti=ODszNWYuMDE6&amp;ch=0&amp;cr=0&amp;dr=0&amp;er=0&amp;lr=default&amp;cd=0%7C0%7C0%7C0&amp;br=250&amp;bt=125&amp;ft=GNDpcInz7ThkPKvPXq8Zmo&amp;mime_type=audio_mpeg&amp;qs=6&amp;rc=aTQ6NGg3Nzs7Nmg1NmdkNkBpamo0ZXM5cmw8czMzNzU8M0BfNWIvYl9gNTIxNjQzXzJjYSMzaWZtMmRzbl5gLS1kMTZzcw%3D%3D&amp;btag=e00090000&amp;expire=1764559305&amp;l=2025120110204563AE4C62401D615C8166&amp;ply_type=3&amp;policy=3&amp;signature=ee831019f2f9df55fb07a8221419395a&amp;tk=7571587458748974088" TargetMode="External"/><Relationship Id="rId638" Type="http://schemas.openxmlformats.org/officeDocument/2006/relationships/hyperlink" Target="https://p16-sign-va.tiktokcdn.com/tos-maliva-avt-0068/0c857903b1d71ebd63a58d7ad9b30044~tplv-tiktokx-cropcenter:100:100.jpeg?dr=14579&amp;refresh_token=c92bbeb2&amp;x-expires=1764727200&amp;x-signature=hYSdh1CelOhsN0%2BtbUykFli9sfU%3D&amp;t=4d5b0474&amp;ps=13740610&amp;shp=a5d48078&amp;shcp=81f88b70&amp;idc=my" TargetMode="External"/><Relationship Id="rId637" Type="http://schemas.openxmlformats.org/officeDocument/2006/relationships/hyperlink" Target="https://www.tiktok.com/@lorenatdahta/video/7220801815019851013" TargetMode="External"/><Relationship Id="rId636" Type="http://schemas.openxmlformats.org/officeDocument/2006/relationships/hyperlink" Target="https://v16-webapp-prime.tiktok.com/video/tos/maliva/tos-maliva-ve-0068c801-us/oYFsK1ghrLImGU6yA1QEIcVfuNo1iACkgz6Aou/?a=1988&amp;bti=ODszNWYuMDE6&amp;ch=0&amp;cr=3&amp;dr=0&amp;lr=all&amp;cd=0%7C0%7C0%7C&amp;cv=1&amp;br=1434&amp;bt=717&amp;cs=0&amp;ds=3&amp;ft=-Csk_mrMPD12N8Dh5d-UxSc2hY6e3wv252cAp&amp;mime_type=video_mp4&amp;qs=0&amp;rc=OWQ4ZTQ5OThpOTdlNTpkOkBpMzlsbzg6ZjhxajMzNzczM0BgYDMzMC1iNmIxMDZgNGAvYSNxcWFucjRnLW5gLS1kMTZzcw%3D%3D&amp;btag=e00098000&amp;expire=1764728726&amp;l=2025120110213521203C48224A5C66F6F4&amp;ply_type=2&amp;policy=2&amp;signature=596b1b5385212dc100619b396e3016f0&amp;tk=tt_chain_token" TargetMode="External"/><Relationship Id="rId1460" Type="http://schemas.openxmlformats.org/officeDocument/2006/relationships/hyperlink" Target="https://www.tiktok.com/@coskostas/video/7413741015166668065" TargetMode="External"/><Relationship Id="rId1461" Type="http://schemas.openxmlformats.org/officeDocument/2006/relationships/hyperlink" Target="https://p16-sign-va.tiktokcdn.com/tos-maliva-avt-0068/91bd50ddc7ab01c8dfdc4361fe4d1101~tplv-tiktokx-cropcenter:100:100.jpeg?dr=14579&amp;refresh_token=c0160065&amp;x-expires=1764727200&amp;x-signature=kB5pkSl83FBYC%2BSEQ5cveO9XoU8%3D&amp;t=4d5b0474&amp;ps=13740610&amp;shp=a5d48078&amp;shcp=81f88b70&amp;idc=my" TargetMode="External"/><Relationship Id="rId631" Type="http://schemas.openxmlformats.org/officeDocument/2006/relationships/hyperlink" Target="https://v16-webapp-prime.tiktok.com/video/tos/useast2a/tos-useast2a-pve-0068/okDfciKvAYzIbByRELhgAHagzwiC4zikoQADIs/?a=1988&amp;bti=ODszNWYuMDE6&amp;ch=0&amp;cr=3&amp;dr=0&amp;lr=all&amp;cd=0%7C0%7C0%7C&amp;cv=1&amp;br=938&amp;bt=469&amp;cs=0&amp;ds=3&amp;ft=-Csk_mrMPD12NXdh5d-Uxe42hY6e3wv25XcAp&amp;mime_type=video_mp4&amp;qs=0&amp;rc=OjQ8aDQ4NzxpO2c7NTtkZUBpams2dWw5cjNyeTMzNzczM0BgLi82MTAzXy0xMzUxXi1iYSMyMzEwMmRjXi5gLS1kMTZzcw%3D%3D&amp;btag=e00090000&amp;expire=1764728475&amp;l=202512011020161DC26370CAB01566B4BC&amp;ply_type=2&amp;policy=2&amp;signature=0fdb80faa01c46c0ea87d659bd6533f8&amp;tk=tt_chain_token" TargetMode="External"/><Relationship Id="rId1462" Type="http://schemas.openxmlformats.org/officeDocument/2006/relationships/hyperlink" Target="https://v16-webapp-prime.tiktok.com/video/tos/useast2a/tos-useast2a-v-27dcd7/oc1FgofBkE36E7zKrbgEAgHjEASBHiaAiAAWEo/?a=1988&amp;bti=ODszNWYuMDE6&amp;ch=0&amp;cr=0&amp;dr=0&amp;er=0&amp;lr=default&amp;cd=0%7C0%7C0%7C0&amp;br=250&amp;bt=125&amp;ds=5&amp;ft=GNDpcInz7ThUPKvPXq8Zmo&amp;mime_type=audio_mpeg&amp;qs=13&amp;rc=Mzo2a3E5cmU5djMzNzU8M0BpMzo2a3E5cmU5djMzNzU8M0AvamFpMmRjbi9gLS1kMTZzYSMvamFpMmRjbi9gLS1kMTZzcw%3D%3D&amp;btag=e00048000&amp;expire=1764559259&amp;l=202512011020200FFD70C70F6D756DA043&amp;ply_type=3&amp;policy=3&amp;signature=2a5566a7653dd5ab6759bf776e34e2f7&amp;tk=7571587458748974088" TargetMode="External"/><Relationship Id="rId630" Type="http://schemas.openxmlformats.org/officeDocument/2006/relationships/hyperlink" Target="https://p77-sign-va.tiktokcdn.com/tos-maliva-avt-0068/54df30458f3a66aed8bbb7fbd484cf07~tplv-tiktokx-cropcenter:1080:1080.jpeg?dr=14579&amp;refresh_token=ef051081&amp;x-expires=1764727200&amp;x-signature=r0FwSuMl1D%2BhwAPacVFIKML1lms%3D&amp;t=4d5b0474&amp;ps=13740610&amp;shp=a5d48078&amp;shcp=81f88b70&amp;idc=my" TargetMode="External"/><Relationship Id="rId1463" Type="http://schemas.openxmlformats.org/officeDocument/2006/relationships/hyperlink" Target="https://p77-sign-va.tiktokcdn.com/tos-maliva-avt-0068/91bd50ddc7ab01c8dfdc4361fe4d1101~tplv-tiktokx-cropcenter:1080:1080.jpeg?dr=14579&amp;refresh_token=d34239b4&amp;x-expires=1764727200&amp;x-signature=W4CMLXWaxjJ4OpsCjQa1YKodmqQ%3D&amp;t=4d5b0474&amp;ps=13740610&amp;shp=a5d48078&amp;shcp=81f88b70&amp;idc=my" TargetMode="External"/><Relationship Id="rId1464" Type="http://schemas.openxmlformats.org/officeDocument/2006/relationships/hyperlink" Target="https://v16-webapp-prime.tiktok.com/video/tos/useast2a/tos-useast2a-ve-0068c001/oAnEBBOJZIAGsK1IUf20IfgWYQEo3BDgnQ2R8F/?a=1988&amp;bti=ODszNWYuMDE6&amp;ch=0&amp;cr=3&amp;dr=0&amp;lr=all&amp;cd=0%7C0%7C0%7C&amp;cv=1&amp;br=2238&amp;bt=1119&amp;cs=0&amp;ds=3&amp;ft=I~da4oKyD12Nvi.WS.IxR51NWlBF-UjNSMopiX&amp;mime_type=video_mp4&amp;qs=0&amp;rc=ZDdkZzwzPDg8NDxkMzs0NkBpM3Bmc245cjY5djMzNzczM0BgLWNgM2JhNTAxNTM2NC0xYSMzaDBhMmRrbi9gLS1kMTZzcw%3D%3D&amp;btag=e00088000&amp;expire=1764728460&amp;l=202512011020200FFD70C70F6D756DA043&amp;ply_type=2&amp;policy=2&amp;signature=70247b2feb207d4a2053f5419ec1ec93&amp;tk=tt_chain_token" TargetMode="External"/><Relationship Id="rId1465" Type="http://schemas.openxmlformats.org/officeDocument/2006/relationships/hyperlink" Target="https://www.tiktok.com/@diario.do.tdah/video/7423178064366193926" TargetMode="External"/><Relationship Id="rId1411" Type="http://schemas.openxmlformats.org/officeDocument/2006/relationships/hyperlink" Target="https://p77-sg.tiktokcdn.com/aweme/720x720/tos-alisg-v-2774/oYHMADhIgAFdBaDftgrjLQoIsFZSsCeZEIpBAa.jpeg" TargetMode="External"/><Relationship Id="rId1412" Type="http://schemas.openxmlformats.org/officeDocument/2006/relationships/hyperlink" Target="https://v16-webapp-prime.tiktok.com/video/tos/maliva/tos-maliva-ve-0068c801-us/ooblQS6XpnAsefQqwH85CjJg3IngrCdfIIbt4D/?a=1988&amp;bti=ODszNWYuMDE6&amp;ch=0&amp;cr=3&amp;dr=0&amp;lr=all&amp;cd=0%7C0%7C0%7C&amp;cv=1&amp;br=1654&amp;bt=827&amp;cs=0&amp;ds=3&amp;ft=-Csk_mrMPD12NxDh5d-UxIS5hY6e3wv25ycAp&amp;mime_type=video_mp4&amp;qs=0&amp;rc=ZTk7N2Y5Z2U6ZTNkPDloZUBpam9reWg6ZnQ6bTMzNzczM0AyMV40Yi42NjQxNDQ2XjVhYSNyNHBecjRfZnJgLS1kMTZzcw%3D%3D&amp;btag=e00090000&amp;expire=1764728531&amp;l=202512011020485614ECD0EEDB8C5FDDDB&amp;ply_type=2&amp;policy=2&amp;signature=d5f8edffa2011e682574eade9124cf79&amp;tk=tt_chain_token" TargetMode="External"/><Relationship Id="rId1413" Type="http://schemas.openxmlformats.org/officeDocument/2006/relationships/hyperlink" Target="https://www.tiktok.com/@veigasaymon/video/7276825993392786694" TargetMode="External"/><Relationship Id="rId1414" Type="http://schemas.openxmlformats.org/officeDocument/2006/relationships/hyperlink" Target="https://p77-sign-va.tiktokcdn.com/tos-maliva-avt-0068/409b8f094a519052398ae01ba95bf160~tplv-tiktokx-cropcenter:100:100.jpeg?dr=14579&amp;refresh_token=ea4abb33&amp;x-expires=1764727200&amp;x-signature=ulGbqLOsmXwSKH0AbdTjKUZA%2Boo%3D&amp;t=4d5b0474&amp;ps=13740610&amp;shp=a5d48078&amp;shcp=81f88b70&amp;idc=my" TargetMode="External"/><Relationship Id="rId1415" Type="http://schemas.openxmlformats.org/officeDocument/2006/relationships/hyperlink" Target="https://sf16-ies-music-sg.tiktokcdn.com/obj/tos-alisg-ve-2774/oQLoBUI1EqqFYItCOgTIFgemZahbDBOutf4MTQ" TargetMode="External"/><Relationship Id="rId1416" Type="http://schemas.openxmlformats.org/officeDocument/2006/relationships/hyperlink" Target="https://p16-sg.tiktokcdn.com/aweme/720x720/tos-alisg-v-2774/ooO6iAFUaWsv4YIOAXrwiyAEAABiPBoZPgAnE.jpeg" TargetMode="External"/><Relationship Id="rId1417" Type="http://schemas.openxmlformats.org/officeDocument/2006/relationships/hyperlink" Target="https://v16-webapp-prime.tiktok.com/video/tos/maliva/tos-maliva-ve-0068c801-us/oQMC8afTtIzALEQAFQ0otBh8ydUPIaNgkOttoA/?a=1988&amp;bti=ODszNWYuMDE6&amp;ch=0&amp;cr=3&amp;dr=0&amp;lr=all&amp;cd=0%7C0%7C0%7C&amp;cv=1&amp;br=3360&amp;bt=1680&amp;cs=0&amp;ds=3&amp;ft=-Csk_mrMPD12Nmgh5d-UxX42hY6e3wv25bcAp&amp;mime_type=video_mp4&amp;qs=0&amp;rc=OWU0NTtlZjQzaDxnZGk1aUBpM2dxMzc6Zjh0bDMzNzczM0BfYmEtYF4tXjAxNjYyMmIwYSM1bTZycjRvMmJgLS1kMTZzcw%3D%3D&amp;btag=e00090000&amp;expire=1764728825&amp;l=20251201102553E78667D9CAE2E66994E0&amp;ply_type=2&amp;policy=2&amp;signature=7d69ea21908854d710d391efb1550b36&amp;tk=tt_chain_token" TargetMode="External"/><Relationship Id="rId1418" Type="http://schemas.openxmlformats.org/officeDocument/2006/relationships/hyperlink" Target="https://www.tiktok.com/@veigasaymon/video/7250129866052472069" TargetMode="External"/><Relationship Id="rId1419" Type="http://schemas.openxmlformats.org/officeDocument/2006/relationships/hyperlink" Target="https://p16-sign-va.tiktokcdn.com/tos-maliva-avt-0068/1671348510c61be4180b2f2fb28910e3~tplv-tiktokx-cropcenter:100:100.jpeg?dr=14579&amp;refresh_token=a1c488d2&amp;x-expires=1764727200&amp;x-signature=%2BXjFiJE%2BYgrobwxkELQi%2F%2F5WEeY%3D&amp;t=4d5b0474&amp;ps=13740610&amp;shp=a5d48078&amp;shcp=81f88b70&amp;idc=my" TargetMode="External"/><Relationship Id="rId1410" Type="http://schemas.openxmlformats.org/officeDocument/2006/relationships/hyperlink" Target="https://sf16-ies-music-sg.tiktokcdn.com/obj/tos-alisg-ve-2774/oMYPkImADMYxCQUm8JLX5ARiBLYHar16iBvWx" TargetMode="External"/><Relationship Id="rId1400" Type="http://schemas.openxmlformats.org/officeDocument/2006/relationships/hyperlink" Target="https://v16-webapp-prime.tiktok.com/video/tos/useast2a/tos-useast2a-v-27dcd7/oEMBzfQwROz1KAu9PUzg5wABiPk994CInoPiEc/?a=1988&amp;bti=ODszNWYuMDE6&amp;ch=0&amp;cr=0&amp;dr=0&amp;er=0&amp;lr=default&amp;cd=0%7C0%7C0%7C0&amp;br=250&amp;bt=125&amp;ft=GNDpcInz7ThvFKvPXq8Zmo&amp;mime_type=audio_mpeg&amp;qs=6&amp;rc=Njw8ZGk3O2VlaTpnZWQ2N0BpM3J1c2o5cm1xeTMzNzU8M0A2YjViXmNhNWIxMDFiYmFfYSNrLm1yMmQ0NHJgLS1kMTZzcw%3D%3D&amp;btag=e00090000&amp;expire=1764559452&amp;l=2025120110220104295D62D2C47867A675&amp;ply_type=3&amp;policy=3&amp;signature=5ea719011f107043ae77ef3486d345b6&amp;tk=7571587458748974088" TargetMode="External"/><Relationship Id="rId1401" Type="http://schemas.openxmlformats.org/officeDocument/2006/relationships/hyperlink" Target="https://p77-sign-va.tiktokcdn.com/tos-maliva-avt-0068/12bef02487e5a59671608efc8a1f1343~tplv-tiktokx-cropcenter:1080:1080.jpeg?dr=14579&amp;refresh_token=d4df2e38&amp;x-expires=1764727200&amp;x-signature=d2rosnjLpPd4AXu5kNtBiweMoQA%3D&amp;t=4d5b0474&amp;ps=13740610&amp;shp=a5d48078&amp;shcp=81f88b70&amp;idc=my" TargetMode="External"/><Relationship Id="rId1402" Type="http://schemas.openxmlformats.org/officeDocument/2006/relationships/hyperlink" Target="https://v16-webapp-prime.tiktok.com/video/tos/useast2a/tos-useast2a-ve-0068c004/oUp9gf60DCfPFmlI79EkXoQhfCSIAqPgwpjFHA/?a=1988&amp;bti=ODszNWYuMDE6&amp;ch=0&amp;cr=3&amp;dr=0&amp;lr=all&amp;cd=0%7C0%7C0%7C&amp;cv=1&amp;br=2596&amp;bt=1298&amp;cs=0&amp;ds=3&amp;ft=-Csk_mrMPD12NOBh5d-Uxbt2hY6e3wv25HcAp&amp;mime_type=video_mp4&amp;qs=0&amp;rc=Nmc0ZmY6PDU2aGk2Mzg0OkBpandkOXI5cnhxeTMzNzczM0A2YGIyLTYtXy8xX2M2MjYzYSNeY2YtMmRzMHJgLS1kMTZzcw%3D%3D&amp;btag=e00090000&amp;expire=1764728653&amp;l=2025120110220104295D62D2C47867A675&amp;ply_type=2&amp;policy=2&amp;signature=0d20ea162abff38764d9091758dad531&amp;tk=tt_chain_token" TargetMode="External"/><Relationship Id="rId1403" Type="http://schemas.openxmlformats.org/officeDocument/2006/relationships/hyperlink" Target="https://www.tiktok.com/@fatosocultox/video/7493272622852017413" TargetMode="External"/><Relationship Id="rId1404" Type="http://schemas.openxmlformats.org/officeDocument/2006/relationships/hyperlink" Target="https://p77-sign-va.tiktokcdn.com/tos-maliva-avt-0068/175cef6cdad041033ab3408e9f9bbb30~tplv-tiktokx-cropcenter:100:100.jpeg?dr=14579&amp;refresh_token=3d83ba20&amp;x-expires=1764727200&amp;x-signature=fQLskNg6xfGxqnj8PmgzOff1J0E%3D&amp;t=4d5b0474&amp;ps=13740610&amp;shp=a5d48078&amp;shcp=81f88b70&amp;idc=my" TargetMode="External"/><Relationship Id="rId1405" Type="http://schemas.openxmlformats.org/officeDocument/2006/relationships/hyperlink" Target="https://v16-webapp-prime.tiktok.com/video/tos/useast2a/tos-useast2a-v-27dcd7/oAcUNkAjEESYT2AB90oUrD1BKEveJOAfQCiFAJ/?a=1988&amp;bti=ODszNWYuMDE6&amp;ch=0&amp;cr=0&amp;dr=0&amp;er=0&amp;lr=default&amp;cd=0%7C0%7C0%7C0&amp;br=250&amp;bt=125&amp;ds=5&amp;ft=GNDpcInz7ThezKvPXq8Zmo&amp;mime_type=audio_mpeg&amp;qs=13&amp;rc=amwzcWw5cm93MzMzNzU8M0BpamwzcWw5cm93MzMzNzU8M0BlcGc1MmQ0M2lhLS1kMTZzYSNlcGc1MmQ0M2lhLS1kMTZzcw%3D%3D&amp;btag=e00058000&amp;expire=1764559529&amp;l=202512011021342A4EB9620CED315EA2E7&amp;ply_type=3&amp;policy=3&amp;signature=a9f843ac5f3315f853824f069e345c32&amp;tk=7571587458748974088" TargetMode="External"/><Relationship Id="rId1406" Type="http://schemas.openxmlformats.org/officeDocument/2006/relationships/hyperlink" Target="https://p16-sign-va.tiktokcdn.com/tos-maliva-avt-0068/175cef6cdad041033ab3408e9f9bbb30~tplv-tiktokx-cropcenter:1080:1080.jpeg?dr=14579&amp;refresh_token=daf0c93d&amp;x-expires=1764727200&amp;x-signature=%2BXYkRsOvsfOYxaKahKtesVIGZUo%3D&amp;t=4d5b0474&amp;ps=13740610&amp;shp=a5d48078&amp;shcp=81f88b70&amp;idc=my" TargetMode="External"/><Relationship Id="rId1407" Type="http://schemas.openxmlformats.org/officeDocument/2006/relationships/hyperlink" Target="https://v16-webapp-prime.tiktok.com/video/tos/useast2a/tos-useast2a-pve-0068/o0a6KiQSIEFehnXB90oErD3BKEvDJwVfQAqFQR/?a=1988&amp;bti=ODszNWYuMDE6&amp;ch=0&amp;cr=3&amp;dr=0&amp;lr=all&amp;cd=0%7C0%7C0%7C&amp;cv=1&amp;br=1632&amp;bt=816&amp;cs=0&amp;ds=3&amp;ft=-Csk_mrMPD12N6Dh5d-Uxq42hY6e3wv25IcAp&amp;mime_type=video_mp4&amp;qs=0&amp;rc=aWloNmU0NmZlZmdlZDQ7M0BpMzh1ams5cmh3MzMzNzczM0BgMS5fNjFfNjQxMjEwNWEvYSM2LWNeMmRrMmlhLS1kMTZzcw%3D%3D&amp;btag=e00098000&amp;expire=1764728729&amp;l=202512011021342A4EB9620CED315EA2E7&amp;ply_type=2&amp;policy=2&amp;signature=2c07fe1e423bfc89ed4bf7acb03d3434&amp;tk=tt_chain_token" TargetMode="External"/><Relationship Id="rId1408" Type="http://schemas.openxmlformats.org/officeDocument/2006/relationships/hyperlink" Target="https://www.tiktok.com/@joy.oliveirap/video/7506325510708858168" TargetMode="External"/><Relationship Id="rId1409" Type="http://schemas.openxmlformats.org/officeDocument/2006/relationships/hyperlink" Target="https://p77-sign-va.tiktokcdn.com/tos-maliva-avt-0068/409b8f094a519052398ae01ba95bf160~tplv-tiktokx-cropcenter:100:100.jpeg?dr=14579&amp;refresh_token=ea4abb33&amp;x-expires=1764727200&amp;x-signature=ulGbqLOsmXwSKH0AbdTjKUZA%2Boo%3D&amp;t=4d5b0474&amp;ps=13740610&amp;shp=a5d48078&amp;shcp=81f88b70&amp;idc=my" TargetMode="External"/><Relationship Id="rId1433" Type="http://schemas.openxmlformats.org/officeDocument/2006/relationships/hyperlink" Target="https://p77-sign-va.tiktokcdn.com/tos-maliva-avt-0068/3403ddfcebd64115e73e8071a88d6b95~tplv-tiktokx-cropcenter:100:100.jpeg?dr=14579&amp;refresh_token=41727413&amp;x-expires=1764727200&amp;x-signature=SCjVr8ho14nXLZjhdRhEh0o1ImI%3D&amp;t=4d5b0474&amp;ps=13740610&amp;shp=a5d48078&amp;shcp=81f88b70&amp;idc=my" TargetMode="External"/><Relationship Id="rId1434" Type="http://schemas.openxmlformats.org/officeDocument/2006/relationships/hyperlink" Target="https://v16-webapp-prime.tiktok.com/video/tos/useast2a/tos-useast2a-v-27dcd7/oYDAISIGAeeCVdcAEKBMonKIDALoNTEzF3CBeg/?a=1988&amp;bti=ODszNWYuMDE6&amp;ch=0&amp;cr=0&amp;dr=0&amp;er=0&amp;lr=default&amp;cd=0%7C0%7C0%7C0&amp;br=250&amp;bt=125&amp;ds=5&amp;ft=GNDpcInz7ThrzKvPXq8Zmo&amp;mime_type=audio_mpeg&amp;qs=13&amp;rc=am1ka3E5cjkzbzMzNzU8M0Bpam1ka3E5cjkzbzMzNzU8M0BmaWhjMmRzZGdgLS1kMTZzYSNmaWhjMmRzZGdgLS1kMTZzcw%3D%3D&amp;btag=e00050000&amp;expire=1764559327&amp;l=20251201102050B730D50024D84153D9E5&amp;ply_type=3&amp;policy=3&amp;signature=d573b6ec1b3bc20a8a0699785785fe38&amp;tk=7571587458748974088" TargetMode="External"/><Relationship Id="rId1435" Type="http://schemas.openxmlformats.org/officeDocument/2006/relationships/hyperlink" Target="https://p16-sign-va.tiktokcdn.com/tos-maliva-avt-0068/3403ddfcebd64115e73e8071a88d6b95~tplv-tiktokx-cropcenter:1080:1080.jpeg?dr=14579&amp;refresh_token=72236f03&amp;x-expires=1764727200&amp;x-signature=5abEor37t2LvIFB%2BmWR23y0agac%3D&amp;t=4d5b0474&amp;ps=13740610&amp;shp=a5d48078&amp;shcp=81f88b70&amp;idc=my" TargetMode="External"/><Relationship Id="rId1436" Type="http://schemas.openxmlformats.org/officeDocument/2006/relationships/hyperlink" Target="https://www.tiktok.com/@podzzera/video/7306536318371204357" TargetMode="External"/><Relationship Id="rId1437" Type="http://schemas.openxmlformats.org/officeDocument/2006/relationships/hyperlink" Target="https://p16-sign-va.tiktokcdn.com/tos-maliva-avt-0068/a3dbb624410916b410c542b581ad35e2~tplv-tiktokx-cropcenter:100:100.jpeg?dr=14579&amp;refresh_token=c04cbf27&amp;x-expires=1764727200&amp;x-signature=6O0IgH59pmnCjVgOHmfgD9P6c2g%3D&amp;t=4d5b0474&amp;ps=13740610&amp;shp=a5d48078&amp;shcp=81f88b70&amp;idc=my" TargetMode="External"/><Relationship Id="rId1438" Type="http://schemas.openxmlformats.org/officeDocument/2006/relationships/hyperlink" Target="https://sf16-ies-music-sg.tiktokcdn.com/obj/tos-alisg-ve-2774/o4BwIxBpBgSM2UZjPE5CfOxCgqRDIF3QEQhRet" TargetMode="External"/><Relationship Id="rId1439" Type="http://schemas.openxmlformats.org/officeDocument/2006/relationships/hyperlink" Target="https://p77-sg.tiktokcdn.com/aweme/720x720/tos-alisg-v-2774/osEig5E4WiFWAkUsAYABrYhIAEBdRsAagSrPA.jpeg" TargetMode="External"/><Relationship Id="rId609" Type="http://schemas.openxmlformats.org/officeDocument/2006/relationships/hyperlink" Target="https://v16-webapp-prime.tiktok.com/video/tos/useast2a/tos-useast2a-pve-0068/oMyTkIfEBjh3MAnqoiPMAwQoJiwbVzgC8xRIEZ/?a=1988&amp;bti=ODszNWYuMDE6&amp;ch=0&amp;cr=3&amp;dr=0&amp;lr=all&amp;cd=0%7C0%7C0%7C&amp;cv=1&amp;br=2854&amp;bt=1427&amp;cs=0&amp;ds=3&amp;ft=ytpHh9DfxxOusd.YtDKt8lcLVWOuRx_HFKKMNOWCuJETJDz7T&amp;mime_type=video_mp4&amp;qs=0&amp;rc=NGc4aTY0ZGg3Mzo7ZTszZ0BpamRmOWs5cnlzdDMzNzczM0A1Xi9iMTI2X2IxY2AxMmAuYSM1Z3BsMmQ0a2BgLS1kMTZzcw%3D%3D&amp;btag=e00090000&amp;expire=1764728545&amp;l=202512011020211DC26370CAB01566B5CA&amp;ply_type=2&amp;policy=2&amp;signature=5327d39f601a0497dde077019e6102f7&amp;tk=tt_chain_token" TargetMode="External"/><Relationship Id="rId608"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607" Type="http://schemas.openxmlformats.org/officeDocument/2006/relationships/hyperlink" Target="https://v16-webapp-prime.tiktok.com/video/tos/useast2a/tos-useast2a-v-27dcd7/ooYzmnAJaIkAQAFNOEZLHEGIITGAzeJ3fAeZNe/?a=1988&amp;bti=ODszNWYuMDE6&amp;ch=0&amp;cr=0&amp;dr=0&amp;er=0&amp;lr=default&amp;cd=0%7C0%7C0%7C0&amp;br=250&amp;bt=125&amp;ds=5&amp;ft=GNDpcInz7ThyPKvPXq8Zmo&amp;mime_type=audio_mpeg&amp;qs=13&amp;rc=M2Y6aW05cnVzdDMzNzU8M0BpM2Y6aW05cnVzdDMzNzU8M0Ata21iMmRzbGBgLS1kMTZzYSMta21iMmRzbGBgLS1kMTZzcw%3D%3D&amp;btag=e00050000&amp;expire=1764559345&amp;l=202512011020211DC26370CAB01566B5CA&amp;ply_type=3&amp;policy=3&amp;signature=a29eb3ae43b5fa592c99654b5816e1a6&amp;tk=7571587458748974088" TargetMode="External"/><Relationship Id="rId602" Type="http://schemas.openxmlformats.org/officeDocument/2006/relationships/hyperlink" Target="https://sf16-ies-music-sg.tiktokcdn.com/obj/tos-alisg-ve-2774/0c5d43b2a5b846d89bc774707470526c" TargetMode="External"/><Relationship Id="rId601" Type="http://schemas.openxmlformats.org/officeDocument/2006/relationships/hyperlink" Target="https://p77-sign-va.tiktokcdn.com/tos-maliva-avt-0068/da7a6883faf98893a78013cae3307500~tplv-tiktokx-cropcenter:100:100.jpeg?dr=14579&amp;refresh_token=1a372d55&amp;x-expires=1764727200&amp;x-signature=EbWT9VXQCe1CSOb3Tr6an4%2F4yYk%3D&amp;t=4d5b0474&amp;ps=13740610&amp;shp=a5d48078&amp;shcp=81f88b70&amp;idc=my" TargetMode="External"/><Relationship Id="rId600" Type="http://schemas.openxmlformats.org/officeDocument/2006/relationships/hyperlink" Target="https://www.tiktok.com/@lorenatdahta/video/7339331212869127430" TargetMode="External"/><Relationship Id="rId606" Type="http://schemas.openxmlformats.org/officeDocument/2006/relationships/hyperlink" Target="https://p16-sign-sg.tiktokcdn.com/tos-alisg-avt-0068/9832aa685b2cfe94db09e06f702f0a77~tplv-tiktokx-cropcenter:100:100.jpeg?dr=14579&amp;refresh_token=07da26e1&amp;x-expires=1764727200&amp;x-signature=Ri8nDTJDplNCkNFz41OqjVNk2dg%3D&amp;t=4d5b0474&amp;ps=13740610&amp;shp=a5d48078&amp;shcp=81f88b70&amp;idc=my" TargetMode="External"/><Relationship Id="rId605" Type="http://schemas.openxmlformats.org/officeDocument/2006/relationships/hyperlink" Target="https://www.tiktok.com/@opsiquiatrasincero/video/7567500903712836894" TargetMode="External"/><Relationship Id="rId604" Type="http://schemas.openxmlformats.org/officeDocument/2006/relationships/hyperlink" Target="https://v16-webapp-prime.tiktok.com/video/tos/maliva/tos-maliva-ve-0068c799-us/oshE4fSFdAmRDAHEQeiEA7BVKEBFIPx3pihYog/?a=1988&amp;bti=ODszNWYuMDE6&amp;ch=0&amp;cr=3&amp;dr=0&amp;lr=all&amp;cd=0%7C0%7C0%7C&amp;cv=1&amp;br=1694&amp;bt=847&amp;cs=0&amp;ds=3&amp;ft=I~da4oKyD12Nvz.WS.IxRjkNWlBF-UjNSRopiX&amp;mime_type=video_mp4&amp;qs=0&amp;rc=Zmc7PDM6OmY2MzY8NGY4NkBpMzVzOWs5cnhsNzMzaTczNEAxY2M0YjJgNl4xNC9gXmItYSNwb3MzMmRzZC9hLS1kMTJzcw%3D%3D&amp;btag=e00090000&amp;expire=1764728497&amp;l=202512011020239FD63C9B4E4C976A9E36&amp;ply_type=2&amp;policy=2&amp;signature=1fe23c811c3ff1dac1ffce2e0130453b&amp;tk=tt_chain_token" TargetMode="External"/><Relationship Id="rId603" Type="http://schemas.openxmlformats.org/officeDocument/2006/relationships/hyperlink" Target="https://p16-sg.tiktokcdn.com/aweme/720x720/tos-alisg-v-2774/47ccb712fc744e03b97c5b232ff279cc.jpeg" TargetMode="External"/><Relationship Id="rId1430" Type="http://schemas.openxmlformats.org/officeDocument/2006/relationships/hyperlink" Target="https://p16-sg.tiktokcdn.com/aweme/720x720/tos-alisg-v-2774/o0EVEAAAsiNCBNBzBiAdfP5JdU4WRiAwoGsiAl.jpeg" TargetMode="External"/><Relationship Id="rId1431" Type="http://schemas.openxmlformats.org/officeDocument/2006/relationships/hyperlink" Target="https://v16-webapp-prime.tiktok.com/video/tos/maliva/tos-maliva-ve-0068c801-us/owQ7IKCnjO8uArMMZXS08jfFehfItQKgSbzXCj/?a=1988&amp;bti=ODszNWYuMDE6&amp;ch=0&amp;cr=3&amp;dr=0&amp;lr=all&amp;cd=0%7C0%7C0%7C&amp;cv=1&amp;br=520&amp;bt=260&amp;cs=0&amp;ds=3&amp;ft=-Csk_mrMPD12NLdh5d-Uxbt2hY6e3wv25HcAp&amp;mime_type=video_mp4&amp;qs=0&amp;rc=O2U0NTo4ZmQ0OmdoZmRnN0BpanJ2N3k5cmdzczMzNzczM0AvYjVfXjQyXjMxXmM0Xi9gYSNzYV9vMmRrbGJgLS1kMTZzcw%3D%3D&amp;btag=e000b0000&amp;expire=1764728433&amp;l=202512011020239FD63C9B4E4C976A9DFE&amp;ply_type=2&amp;policy=2&amp;signature=45c3b16c944c99a53f24726dbc72e513&amp;tk=tt_chain_token" TargetMode="External"/><Relationship Id="rId1432" Type="http://schemas.openxmlformats.org/officeDocument/2006/relationships/hyperlink" Target="https://www.tiktok.com/@tdahadulto/video/7376224055265037574" TargetMode="External"/><Relationship Id="rId1422" Type="http://schemas.openxmlformats.org/officeDocument/2006/relationships/hyperlink" Target="https://v16-webapp-prime.tiktok.com/video/tos/useast2a/tos-useast2a-ve-0068c003/oUe1eZkt9OMPQgIB7hfLYIIGCgOs8Ij5sUSAgC/?a=1988&amp;bti=ODszNWYuMDE6&amp;ch=0&amp;cr=3&amp;dr=0&amp;lr=all&amp;cd=0%7C0%7C0%7C&amp;br=1546&amp;bt=773&amp;cs=0&amp;ds=3&amp;ft=-Csk_mrMPD12NbDh5d-UxPR2SY6e3wv25IcAp&amp;mime_type=video_mp4&amp;qs=0&amp;rc=ODxoZzM5ZWUzaGQ7PGQ1M0BpM2Y0M285cjl4dzMzNzczM0AwMjI2XjMtNmMxNi41NmNgYSNvc20wMmRrb3BgLS1kMTZzcw%3D%3D&amp;btag=e00090000&amp;expire=1764728535&amp;l=20251201102055111140D50F38376E882B&amp;ply_type=2&amp;policy=2&amp;signature=01ee7a8ff8c636b749b29dcb682c5f94&amp;tk=tt_chain_token" TargetMode="External"/><Relationship Id="rId1423" Type="http://schemas.openxmlformats.org/officeDocument/2006/relationships/hyperlink" Target="https://www.tiktok.com/@yiseltoledoj/video/7456252484391144710" TargetMode="External"/><Relationship Id="rId1424" Type="http://schemas.openxmlformats.org/officeDocument/2006/relationships/hyperlink" Target="https://p16-sign-va.tiktokcdn.com/tos-maliva-avt-0068/b3e6dfe8b52a56e509e3243a43a51a53~tplv-tiktokx-cropcenter:100:100.jpeg?dr=14579&amp;refresh_token=88daf728&amp;x-expires=1764727200&amp;x-signature=9XqqvcbdA2Z1Ts2g62yYqwJA%2FBU%3D&amp;t=4d5b0474&amp;ps=13740610&amp;shp=a5d48078&amp;shcp=81f88b70&amp;idc=my" TargetMode="External"/><Relationship Id="rId1425" Type="http://schemas.openxmlformats.org/officeDocument/2006/relationships/hyperlink" Target="https://v16-webapp-prime.tiktok.com/video/tos/useast2a/tos-useast2a-v-27dcd7/o8EE7DpfINioSQCCnKYDfCCTf2EFAAggAkUPIr/?a=1988&amp;bti=ODszNWYuMDE6&amp;ch=0&amp;cr=0&amp;dr=0&amp;er=0&amp;lr=default&amp;cd=0%7C0%7C0%7C0&amp;br=250&amp;bt=125&amp;ds=5&amp;ft=GNDpcInz7ThRPKvPXq8Zmo&amp;mime_type=audio_mpeg&amp;qs=13&amp;rc=am1xZ2s5cndqeDMzNzU8M0Bpam1xZ2s5cndqeDMzNzU8M0BkNmMwMmRrYy9gLS1kMTZzYSNkNmMwMmRrYy9gLS1kMTZzcw%3D%3D&amp;btag=e00078000&amp;expire=1764559231&amp;l=202512011020161DC26370CAB01566B4BC&amp;ply_type=3&amp;policy=3&amp;signature=21ef7a2dfe0c6e589aeb756989ec8b8b&amp;tk=7571587458748974088" TargetMode="External"/><Relationship Id="rId1426" Type="http://schemas.openxmlformats.org/officeDocument/2006/relationships/hyperlink" Target="https://p77-sign-va.tiktokcdn.com/tos-maliva-avt-0068/b3e6dfe8b52a56e509e3243a43a51a53~tplv-tiktokx-cropcenter:1080:1080.jpeg?dr=14579&amp;refresh_token=f2bb4303&amp;x-expires=1764727200&amp;x-signature=g%2FcjCa78GmmhynegEuOCls%2Fk0%2B0%3D&amp;t=4d5b0474&amp;ps=13740610&amp;shp=a5d48078&amp;shcp=81f88b70&amp;idc=my" TargetMode="External"/><Relationship Id="rId1427" Type="http://schemas.openxmlformats.org/officeDocument/2006/relationships/hyperlink" Target="https://www.tiktok.com/@patriciats91/video/7459377078920563974" TargetMode="External"/><Relationship Id="rId1428" Type="http://schemas.openxmlformats.org/officeDocument/2006/relationships/hyperlink" Target="https://p16-sign-va.tiktokcdn.com/tos-maliva-avt-0068/6ab08493d79690026fe801eb75b12c68~tplv-tiktokx-cropcenter:100:100.jpeg?dr=14579&amp;refresh_token=2cd1cfbb&amp;x-expires=1764727200&amp;x-signature=UGGNa5lSbTagcLz1TvVmGCPIyLI%3D&amp;t=4d5b0474&amp;ps=13740610&amp;shp=a5d48078&amp;shcp=81f88b70&amp;idc=my" TargetMode="External"/><Relationship Id="rId1429" Type="http://schemas.openxmlformats.org/officeDocument/2006/relationships/hyperlink" Target="https://sf16-ies-music-sg.tiktokcdn.com/obj/tos-alisg-ve-2774/oAct8xFbCID8upGC0VzgfeEDltMGZvoBQMTYjB" TargetMode="External"/><Relationship Id="rId1420" Type="http://schemas.openxmlformats.org/officeDocument/2006/relationships/hyperlink" Target="https://v16-webapp-prime.tiktok.com/video/tos/useast2a/tos-useast2a-v-27dcd7/oYAfPicaBiiE3BxMEV7gWGAlB5iKvzYkoAA5E1/?a=1988&amp;bti=ODszNWYuMDE6&amp;ch=0&amp;cr=0&amp;dr=0&amp;er=0&amp;lr=default&amp;cd=0%7C0%7C0%7C0&amp;br=250&amp;bt=125&amp;ds=5&amp;ft=GNDpcInz7ThszKvPXq8Zmo&amp;mime_type=audio_mpeg&amp;qs=13&amp;rc=amZwZ2s5cmV4dzMzNzU8M0BpamZwZ2s5cmV4dzMzNzU8M0BeMWAwMmRjcHBgLS1kMTZzYSNeMWAwMmRjcHBgLS1kMTZzcw%3D%3D&amp;btag=e00050000&amp;expire=1764559335&amp;l=20251201102055111140D50F38376E882B&amp;ply_type=3&amp;policy=3&amp;signature=61da6ae5705561feca6cea9f4deff688&amp;tk=7571587458748974088" TargetMode="External"/><Relationship Id="rId1421" Type="http://schemas.openxmlformats.org/officeDocument/2006/relationships/hyperlink" Target="https://p16-sign-va.tiktokcdn.com/tos-maliva-avt-0068/1671348510c61be4180b2f2fb28910e3~tplv-tiktokx-cropcenter:1080:1080.jpeg?dr=14579&amp;refresh_token=40b19cda&amp;x-expires=1764727200&amp;x-signature=OYUpPUzFNTfgeLPM6UvZHGF4hl0%3D&amp;t=4d5b0474&amp;ps=13740610&amp;shp=a5d48078&amp;shcp=81f88b70&amp;idc=my" TargetMode="External"/><Relationship Id="rId1059" Type="http://schemas.openxmlformats.org/officeDocument/2006/relationships/hyperlink" Target="https://www.tiktok.com/@vivendocomtdahoficial/video/7541151024296299832" TargetMode="External"/><Relationship Id="rId228" Type="http://schemas.openxmlformats.org/officeDocument/2006/relationships/hyperlink" Target="https://p16-sign-sg.tiktokcdn.com/tos-alisg-v-2774/1230945312bd4c8da2a75413d6267791~720x720.jpeg?lk3s=08d74b56&amp;x-expires=1764577321&amp;x-signature=DLfwRrj2TqRA7r5hztq9BqpEbzg%3D" TargetMode="External"/><Relationship Id="rId227"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226" Type="http://schemas.openxmlformats.org/officeDocument/2006/relationships/hyperlink" Target="https://www.tiktok.com/@mister.emerson/video/7103916403266292998" TargetMode="External"/><Relationship Id="rId225" Type="http://schemas.openxmlformats.org/officeDocument/2006/relationships/hyperlink" Target="https://v16-webapp-prime.tiktok.com/video/tos/maliva/tos-maliva-ve-0068c801-us/0073c46f136d41778e2d7ed0fb62c8ee/?a=1988&amp;bti=ODszNWYuMDE6&amp;ch=0&amp;cr=3&amp;dr=0&amp;lr=all&amp;cd=0%7C0%7C0%7C&amp;cv=1&amp;br=2742&amp;bt=1371&amp;cs=0&amp;ds=3&amp;ft=-Csk_mrMPD12N5Dh5d-UxP12hY6e3wv25ocAp&amp;mime_type=video_mp4&amp;qs=0&amp;rc=Z2Y6ZTg6NzNpN2Y1OjVkOUBpanl4dzM6Zmo1ZDMzNzczM0AyLzEyYjUzX18xXi1eMi8tYSMtNXNicjRvcF9gLS1kMTZzcw%3D%3D&amp;btag=e00088000&amp;expire=1764728497&amp;l=2025120110205711DA509A8B9B2F6AA181&amp;ply_type=2&amp;policy=2&amp;signature=36bcfca2393668b82094ca6055362ecc&amp;tk=tt_chain_token" TargetMode="External"/><Relationship Id="rId229" Type="http://schemas.openxmlformats.org/officeDocument/2006/relationships/hyperlink" Target="https://v16-webapp-prime.tiktok.com/video/tos/useast2a/tos-useast2a-ve-0068c001/oY9qEAtmkXUQvXISCioVI3fhZ2F6Ty5zzigKAq/?a=1988&amp;bti=ODszNWYuMDE6&amp;ch=0&amp;cr=3&amp;dr=0&amp;lr=all&amp;cd=0%7C0%7C0%7C&amp;cv=1&amp;br=596&amp;bt=298&amp;cs=0&amp;ds=3&amp;ft=-Csk_mrMPD12NOBh5d-Uxbt2hY6e3wv25HcAp&amp;mime_type=video_mp4&amp;qs=0&amp;rc=ZTdpN2UzZDU6OTZpZmlkaEBpanRxPDc6ZmtvbDMzNzczM0AvXjNiMF4wXi8xYzM0Y2A1YSNrY2ZpcjRfcXBgLS1kMTZzcw%3D%3D&amp;btag=e00090000&amp;expire=1764728667&amp;l=2025120110220104295D62D2C47867A675&amp;ply_type=2&amp;policy=2&amp;signature=e7ab5a2d9707dd9856d7f6c017884de2&amp;tk=tt_chain_token" TargetMode="External"/><Relationship Id="rId1050" Type="http://schemas.openxmlformats.org/officeDocument/2006/relationships/hyperlink" Target="https://p77-sign-va.tiktokcdn.com/tos-maliva-avt-0068/c4295bd6e74c335e5ecac643762c60ce~tplv-tiktokx-cropcenter:100:100.jpeg?dr=14579&amp;refresh_token=3138d332&amp;x-expires=1764727200&amp;x-signature=BFDbOiWByMw9vI4n9IE%2FEh9eBYQ%3D&amp;t=4d5b0474&amp;ps=13740610&amp;shp=a5d48078&amp;shcp=81f88b70&amp;idc=my" TargetMode="External"/><Relationship Id="rId220" Type="http://schemas.openxmlformats.org/officeDocument/2006/relationships/hyperlink" Target="https://webapp-sg.tiktok.com/0e007145130eadbb255e7ff0de21eb46/692f9f17/kmoat/mps/logo/v2/r/p/v09044g40000ctus347og65mt7op6pd0/3be3e841a7bf4de688f308a6c4d7c2cb/923377b09c47d2eaecf41511abe9a3cc/mp4/main.mp4?a=1988&amp;bti=ODszNWYuMDE6&amp;ch=0&amp;cr=3&amp;dr=0&amp;lr=all&amp;cd=0%7C0%7C0%7C&amp;cv=1&amp;br=0&amp;bt=0&amp;cs=0&amp;ds=3&amp;eid=1286&amp;ft=bLZkAmrMPD12N7Zh5d-UxXt2hY6e3wv25IcAp&amp;mime_type=video_mp4&amp;qs=0&amp;rc=cnF8b2hsc2d3SkBwaHIxaDFybndmZTU6Nzk7Njs5Z2k6NDs2ZUBpM3NzOnA5cjd2dzMzNzczM0BjRl5Nc3FePmJKYSNvYF90aHFmOiNgYGFgXi1jNWIxX14xYmIwYSNhM2xxMmQ0MHJgLS1kMTZzcw%3D%3D&amp;btag=e000b0000&amp;definition=720p&amp;du=9&amp;item_id=7457329509142973701&amp;l=20251201102310FC54B381C57309EF4F27&amp;logo_type=tiktok_m&amp;ply_type=2&amp;policy=eyJ2bSI6MiwiY2siOiJ0dF9jaGFpbl90b2tlbiJ9&amp;user_text=ordenio_pereira" TargetMode="External"/><Relationship Id="rId1051" Type="http://schemas.openxmlformats.org/officeDocument/2006/relationships/hyperlink" Target="https://sf16-ies-music-sg.tiktokcdn.com/obj/tos-alisg-ve-2774/osRIWqb6iiBP3MQQMsQBhemtmjyCV2zkVgvPAv" TargetMode="External"/><Relationship Id="rId1052" Type="http://schemas.openxmlformats.org/officeDocument/2006/relationships/hyperlink" Target="https://p16-sg.tiktokcdn.com/aweme/720x720/tos-alisg-v-2774/os3BiAlnrW1ADBAdEAABifFOhYLwzEBLaAgsQH.jpeg" TargetMode="External"/><Relationship Id="rId1053" Type="http://schemas.openxmlformats.org/officeDocument/2006/relationships/hyperlink" Target="https://v16-webapp-prime.tiktok.com/video/tos/alisg/tos-alisg-pve-0037c001/okQ4OV7YOaAEBiTriP5VEEPiVzzzBuaQSzvIA/?a=1988&amp;bti=ODszNWYuMDE6&amp;ch=0&amp;cr=3&amp;dr=0&amp;lr=all&amp;cd=0%7C0%7C0%7C&amp;cv=1&amp;br=1572&amp;bt=786&amp;cs=0&amp;ds=3&amp;ft=I~da4oKyD12Nvm1WS.IxR~kNglBF-UjNSEopiX&amp;mime_type=video_mp4&amp;qs=0&amp;rc=N2doOWQ4NjQzMzk7ZWZlOkBpampwbXU5cnN0NjMzODczNEBjLS42Nl8xNi4xLi1fYTQtYSNtcGY2MmQ0a21hLS1kMTFzcw%3D%3D&amp;btag=e00098000&amp;expire=1764728663&amp;l=2025120110210868B8F68F0D0B7F5CDC9D&amp;ply_type=2&amp;policy=2&amp;signature=5a1055298b3241c11b5b9c1d431673d1&amp;tk=tt_chain_token" TargetMode="External"/><Relationship Id="rId1054" Type="http://schemas.openxmlformats.org/officeDocument/2006/relationships/hyperlink" Target="https://www.tiktok.com/@nivea.savoy/video/7562577272859921671" TargetMode="External"/><Relationship Id="rId224" Type="http://schemas.openxmlformats.org/officeDocument/2006/relationships/hyperlink" Target="https://p77-sign-va.tiktokcdn.com/tos-maliva-avt-0068/dc1254c61f7c029eaaef87fbdfa88d8d~tplv-tiktokx-cropcenter:1080:1080.jpeg?dr=14579&amp;refresh_token=0f231776&amp;x-expires=1764727200&amp;x-signature=OsaVcSwZlTT9QrLvy8yw4%2FKK%2B9M%3D&amp;t=4d5b0474&amp;ps=13740610&amp;shp=a5d48078&amp;shcp=81f88b70&amp;idc=my" TargetMode="External"/><Relationship Id="rId1055" Type="http://schemas.openxmlformats.org/officeDocument/2006/relationships/hyperlink" Target="https://p16-sign-sg.tiktokcdn.com/tos-alisg-avt-0068/5f966eb2bae4fc1e800f80743e1e9be0~tplv-tiktokx-cropcenter:100:100.jpeg?dr=14579&amp;refresh_token=fce4c19b&amp;x-expires=1764727200&amp;x-signature=0uOKyDW8velp0N600B2V2LvA%2FD8%3D&amp;t=4d5b0474&amp;ps=13740610&amp;shp=a5d48078&amp;shcp=81f88b70&amp;idc=my" TargetMode="External"/><Relationship Id="rId223" Type="http://schemas.openxmlformats.org/officeDocument/2006/relationships/hyperlink" Target="https://v16-webapp-prime.tiktok.com/video/tos/useast2a/tos-useast2a-v-27dcd7/1230c652a2d54c00a8ed488892dae72e/?a=1988&amp;bti=ODszNWYuMDE6&amp;ch=0&amp;cr=0&amp;dr=0&amp;er=0&amp;lr=default&amp;cd=0%7C0%7C0%7C0&amp;br=218&amp;bt=109&amp;ds=5&amp;ft=GNDpcInz7ThvzKvPXq8Zmo&amp;mime_type=video_mp4&amp;qs=13&amp;rc=anBtaDQ6ZnA1ZDMzNzU8M0BpanBtaDQ6ZnA1ZDMzNzU8M0BocXI1cjRncF9gLS1kMTZzYSNocXI1cjRncF9gLS1kMTZzcw%3D%3D&amp;btag=e00048000&amp;expire=1764559297&amp;l=2025120110205711DA509A8B9B2F6AA181&amp;ply_type=3&amp;policy=3&amp;signature=ff3eaebd0dbee5f2e501db9190f58704&amp;tk=7571587458748974088" TargetMode="External"/><Relationship Id="rId1056" Type="http://schemas.openxmlformats.org/officeDocument/2006/relationships/hyperlink" Target="https://v16-webapp-prime.tiktok.com/video/tos/useast2a/tos-useast2a-v-27dcd7/oUjK7ioBoGAA7MyivA0EgAB4EBnaPUENe8LCGk/?a=1988&amp;bti=ODszNWYuMDE6&amp;ch=0&amp;cr=0&amp;dr=0&amp;er=0&amp;lr=default&amp;cd=0%7C0%7C0%7C0&amp;br=250&amp;bt=125&amp;ds=5&amp;ft=GNDpcInz7ThbzKvPXq8Zmo&amp;mime_type=audio_mpeg&amp;qs=13&amp;rc=MzlpcHI5cnZyNTMzNzU8M0BpMzlpcHI5cnZyNTMzNzU8M0BoMWstMmRrbWdhLS1kMTZzYSNoMWstMmRrbWdhLS1kMTZzcw%3D%3D&amp;btag=e00048000&amp;expire=1764559348&amp;l=20251201102139650E38823033055E6EEC&amp;ply_type=3&amp;policy=3&amp;signature=33274c2cfb22f8287908f7867d3ae743&amp;tk=7571587458748974088" TargetMode="External"/><Relationship Id="rId222" Type="http://schemas.openxmlformats.org/officeDocument/2006/relationships/hyperlink" Target="https://p16-sign-va.tiktokcdn.com/tos-maliva-avt-0068/dc1254c61f7c029eaaef87fbdfa88d8d~tplv-tiktokx-cropcenter:100:100.jpeg?dr=14579&amp;refresh_token=c3d6ed8f&amp;x-expires=1764727200&amp;x-signature=%2FfPg2qYnNRHeT7V%2BS3p4ALc0oGI%3D&amp;t=4d5b0474&amp;ps=13740610&amp;shp=a5d48078&amp;shcp=81f88b70&amp;idc=my" TargetMode="External"/><Relationship Id="rId1057" Type="http://schemas.openxmlformats.org/officeDocument/2006/relationships/hyperlink" Target="https://p77-sign-sg.tiktokcdn.com/tos-alisg-avt-0068/5f966eb2bae4fc1e800f80743e1e9be0~tplv-tiktokx-cropcenter:1080:1080.jpeg?dr=14579&amp;refresh_token=1967b5bc&amp;x-expires=1764727200&amp;x-signature=YgI6bn31%2Bb8O9f4FT1IZK9XyKFM%3D&amp;t=4d5b0474&amp;ps=13740610&amp;shp=a5d48078&amp;shcp=81f88b70&amp;idc=my" TargetMode="External"/><Relationship Id="rId221" Type="http://schemas.openxmlformats.org/officeDocument/2006/relationships/hyperlink" Target="https://www.tiktok.com/@ordenio_pereira/video/7457329509142973701" TargetMode="External"/><Relationship Id="rId1058" Type="http://schemas.openxmlformats.org/officeDocument/2006/relationships/hyperlink" Target="https://v16-webapp-prime.tiktok.com/video/tos/alisg/tos-alisg-ve-37c813-sg/o8fgnwaABQBENWQZpPDTJoEPpIDyyjRS4FeE6L/?a=1988&amp;bti=ODszNWYuMDE6&amp;ch=0&amp;cr=3&amp;dr=0&amp;lr=all&amp;cd=0%7C0%7C0%7C&amp;cv=1&amp;br=1078&amp;bt=539&amp;cs=0&amp;ds=3&amp;ft=-Csk_mrMPD12NzDh5d-UxKyFaY6e3wv257cAp&amp;mime_type=video_mp4&amp;qs=0&amp;rc=NTQ0ZGc7OTs1NjplPGU7OUBpMzwzPG45cjlyNTMzNzczM0A2YWEvYGMxXzExLzEtLi00YSNzamJqMmRrbWdhLS1kMTZzcw%3D%3D&amp;btag=e00088000&amp;expire=1764728548&amp;l=20251201102139650E38823033055E6EEC&amp;ply_type=2&amp;policy=2&amp;signature=5ac8c84179e24f0488fdf98272bb3a21&amp;tk=tt_chain_token" TargetMode="External"/><Relationship Id="rId1048" Type="http://schemas.openxmlformats.org/officeDocument/2006/relationships/hyperlink" Target="https://v16-webapp-prime.tiktok.com/video/tos/useast2a/tos-useast2a-ve-0068c002/ocAG5Aez3SQGSEEQccFfCCgbQvUShuIujHDnIf/?a=1988&amp;bti=ODszNWYuMDE6&amp;ch=0&amp;cr=3&amp;dr=0&amp;lr=all&amp;cd=0%7C0%7C0%7C&amp;cv=1&amp;br=1452&amp;bt=726&amp;cs=0&amp;ds=3&amp;ft=I~da4oKyD12NvaMWS.IxRYjNWlBF-UjNSkopiX&amp;mime_type=video_mp4&amp;qs=0&amp;rc=ZmVlOztmaGc0aThoNjM1PEBpM2o4am05cml1MzMzNzczM0AvNS4zXjNjXjQxMS9jMGNjYSNrcC5vMmRzbHBhLS1kMTZzcw%3D%3D&amp;btag=e00090000&amp;expire=1764728606&amp;l=2025120110220384643B3986DED954E961&amp;ply_type=2&amp;policy=2&amp;signature=3d151f5ad6181cb9aee675fefd76b61d&amp;tk=tt_chain_token" TargetMode="External"/><Relationship Id="rId1049" Type="http://schemas.openxmlformats.org/officeDocument/2006/relationships/hyperlink" Target="https://www.tiktok.com/@psi.jonathanorlandi/video/7510240853697350917" TargetMode="External"/><Relationship Id="rId217" Type="http://schemas.openxmlformats.org/officeDocument/2006/relationships/hyperlink" Target="https://p16-sign-va.tiktokcdn.com/tos-maliva-avt-0068/dbce235d5e67004c27a5c1e7f9318f60~tplv-tiktokx-cropcenter:100:100.jpeg?dr=14579&amp;refresh_token=37ab70bd&amp;x-expires=1764727200&amp;x-signature=Lv92pQ53CtyTLkTjOPF6qEklnpY%3D&amp;t=4d5b0474&amp;ps=13740610&amp;shp=a5d48078&amp;shcp=81f88b70&amp;idc=my" TargetMode="External"/><Relationship Id="rId216" Type="http://schemas.openxmlformats.org/officeDocument/2006/relationships/hyperlink" Target="https://www.tiktok.com/@analucia_silva11/video/7371137252296068358" TargetMode="External"/><Relationship Id="rId215" Type="http://schemas.openxmlformats.org/officeDocument/2006/relationships/hyperlink" Target="https://v16-webapp-prime.tiktok.com/video/tos/maliva/tos-maliva-ve-0068c801-us/oQNSJQnID8Gn4BkXQEfCA2gfbFM1YmBEj1GRNL/?a=1988&amp;bti=ODszNWYuMDE6&amp;ch=0&amp;cr=3&amp;dr=0&amp;lr=all&amp;cd=0%7C0%7C0%7C&amp;cv=1&amp;br=2272&amp;bt=1136&amp;cs=0&amp;ds=3&amp;ft=-Csk_mrMPD12NGDh5d-UxSc2hY6e3wv25DcAp&amp;mime_type=video_mp4&amp;qs=0&amp;rc=OWVmOGY1Zmc2OTU3ZmQ2ZkBpamVyOXQ5cnNyczMzNzczM0A0MV8zMTYvNjYxNjBfYGIvYSNlb2tnMmRzZzJgLS1kMTZzcw%3D%3D&amp;btag=e00090000&amp;expire=1764728600&amp;l=202512011021508D2E02B19879BA6D89C0&amp;ply_type=2&amp;policy=2&amp;signature=775a71fcb1fc430792075cf36a7cd243&amp;tk=tt_chain_token" TargetMode="External"/><Relationship Id="rId699" Type="http://schemas.openxmlformats.org/officeDocument/2006/relationships/hyperlink" Target="https://v16-webapp-prime.tiktok.com/video/tos/useast2a/tos-useast2a-ve-0068c002/ocNwPwg8eAQCb2HegGjP7mC23ICSLIFUeNJIwp/?a=1988&amp;bti=ODszNWYuMDE6&amp;ch=0&amp;cr=3&amp;dr=0&amp;lr=all&amp;cd=0%7C0%7C0%7C&amp;cv=1&amp;br=1048&amp;bt=524&amp;cs=0&amp;ds=6&amp;ft=-Csk_mrMPD12N7Dh5d-UxII2hY6e3wv252cAp&amp;mime_type=video_mp4&amp;qs=5&amp;rc=OjM5OTk7ODpnZDdmOTxkNUBpanJ0cXQ5cms5eTMzNzczM0AvM14wMDUuXy0xMy5eMS8uYSNhaGBjMmRzcXBgLS1kMTZzcw%3D%3D&amp;btag=e00090000&amp;expire=1764728533&amp;l=2025120110210247DE29902DF1415935A0&amp;ply_type=2&amp;policy=2&amp;signature=b900421d4cb0f5efba40b68cd01a42b1&amp;tk=tt_chain_token" TargetMode="External"/><Relationship Id="rId214" Type="http://schemas.openxmlformats.org/officeDocument/2006/relationships/hyperlink" Target="https://p77-sign-va.tiktokcdn.com/tos-maliva-avt-0068/a80fa2ff45cb70cc3ce5f42f79a2c129~tplv-tiktokx-cropcenter:1080:1080.jpeg?dr=14579&amp;refresh_token=8fd028f3&amp;x-expires=1764727200&amp;x-signature=8BJ8%2FpvWz5ChsgMK7mu%2Fp6oEee4%3D&amp;t=4d5b0474&amp;ps=13740610&amp;shp=a5d48078&amp;shcp=81f88b70&amp;idc=my" TargetMode="External"/><Relationship Id="rId698" Type="http://schemas.openxmlformats.org/officeDocument/2006/relationships/hyperlink" Target="https://p16-sign-va.tiktokcdn.com/tos-maliva-avt-0068/ca391b0efaba2677f1bf5fc8b151dfa6~tplv-tiktokx-cropcenter:1080:1080.jpeg?dr=14579&amp;refresh_token=3ae484d9&amp;x-expires=1764727200&amp;x-signature=6jDPQv3op7uOP7e5tkqoMOnusMU%3D&amp;t=4d5b0474&amp;ps=13740610&amp;shp=a5d48078&amp;shcp=81f88b70&amp;idc=my" TargetMode="External"/><Relationship Id="rId219" Type="http://schemas.openxmlformats.org/officeDocument/2006/relationships/hyperlink" Target="https://p77-sign-va.tiktokcdn.com/tos-maliva-avt-0068/dbce235d5e67004c27a5c1e7f9318f60~tplv-tiktokx-cropcenter:1080:1080.jpeg?dr=14579&amp;refresh_token=76a63412&amp;x-expires=1764727200&amp;x-signature=BkVkE7vcusLmGyMQ7wey2ltBTLA%3D&amp;t=4d5b0474&amp;ps=13740610&amp;shp=a5d48078&amp;shcp=81f88b70&amp;idc=my" TargetMode="External"/><Relationship Id="rId218" Type="http://schemas.openxmlformats.org/officeDocument/2006/relationships/hyperlink" Target="https://v16-webapp-prime.tiktok.com/video/tos/useast2a/tos-useast2a-v-27dcd7/o8AASawAQiEbBon9uZBQUSvBTCz3A3InliLEZ/?a=1988&amp;bti=ODszNWYuMDE6&amp;ch=0&amp;cr=0&amp;dr=0&amp;er=0&amp;lr=default&amp;cd=0%7C0%7C0%7C0&amp;br=250&amp;bt=125&amp;ds=5&amp;ft=GNDpcInz7ThLgKvPXq8Zmo&amp;mime_type=audio_mpeg&amp;qs=13&amp;rc=M2U3bm05cmh2dzMzNzU8M0BpM2U3bm05cmh2dzMzNzU8M0BhZDBnMmRrMHJgLS1kMTZzYSNhZDBnMmRrMHJgLS1kMTZzcw%3D%3D&amp;btag=e00070000&amp;expire=1764559399&amp;l=20251201102310FC54B381C57309EF4F27&amp;ply_type=3&amp;policy=3&amp;signature=ccce06d8a53bfbfa5a186c5971771b3d&amp;tk=7571587458748974088" TargetMode="External"/><Relationship Id="rId693" Type="http://schemas.openxmlformats.org/officeDocument/2006/relationships/hyperlink" Target="https://p77-sign-va.tiktokcdn.com/tos-maliva-avt-0068/b65580219dd212688aa9c5305651ee47~tplv-tiktokx-cropcenter:1080:1080.jpeg?dr=14579&amp;refresh_token=65299c8d&amp;x-expires=1764727200&amp;x-signature=fCBTj%2BixHQYZ1econVLm6Q2yBYg%3D&amp;t=4d5b0474&amp;ps=13740610&amp;shp=a5d48078&amp;shcp=81f88b70&amp;idc=my" TargetMode="External"/><Relationship Id="rId1040" Type="http://schemas.openxmlformats.org/officeDocument/2006/relationships/hyperlink" Target="https://p77-sign-va.tiktokcdn.com/tos-maliva-avt-0068/b65580219dd212688aa9c5305651ee47~tplv-tiktokx-cropcenter:100:100.jpeg?dr=14579&amp;refresh_token=15e2eec0&amp;x-expires=1764727200&amp;x-signature=S9%2BUHdJh1BBS9Rm8nEGMYLSM1%2BY%3D&amp;t=4d5b0474&amp;ps=13740610&amp;shp=a5d48078&amp;shcp=81f88b70&amp;idc=my" TargetMode="External"/><Relationship Id="rId692" Type="http://schemas.openxmlformats.org/officeDocument/2006/relationships/hyperlink" Target="https://v16-webapp-prime.tiktok.com/video/tos/alisg/tos-alisg-v-27dcd7/ogE4PPCBA9kDsl7YaatE1cAtxvATAWKiA4ViU/?a=1988&amp;bti=ODszNWYuMDE6&amp;ch=0&amp;cr=0&amp;dr=0&amp;er=0&amp;lr=default&amp;cd=0%7C0%7C0%7C0&amp;br=250&amp;bt=125&amp;ds=5&amp;ft=GNDpcInz7ThkPKvPXq8Zmo&amp;mime_type=audio_mpeg&amp;qs=13&amp;rc=M2Z5OnU5cm1vNjMzODU8NEBpM2Z5OnU5cm1vNjMzODU8NEBwZTIyMmQ0YHJhLS1kMS1zYSNwZTIyMmQ0YHJhLS1kMS1zcw%3D%3D&amp;btag=e00050000&amp;expire=1764559332&amp;l=2025120110204563AE4C62401D615C8166&amp;ply_type=3&amp;policy=3&amp;signature=bb2ad782eea6d64f1d0b79d02da847c1&amp;tk=7571587458748974088" TargetMode="External"/><Relationship Id="rId1041" Type="http://schemas.openxmlformats.org/officeDocument/2006/relationships/hyperlink" Target="https://v16-webapp-prime.tiktok.com/video/tos/alisg/tos-alisg-v-27dcd7/ocSoEf8fxAcTDWAIAS7EEnCgzDfFIm6AR50BAH/?a=1988&amp;bti=ODszNWYuMDE6&amp;ch=0&amp;cr=0&amp;dr=0&amp;er=0&amp;lr=default&amp;cd=0%7C0%7C0%7C0&amp;br=250&amp;bt=125&amp;ds=5&amp;ft=GNDpcInz7ThJzKvPXq8Zmo&amp;mime_type=audio_mpeg&amp;qs=13&amp;rc=M3Y4O3c5cjx2NjMzODU8NEBpM3Y4O3c5cjx2NjMzODU8NEBlZS5kMmRzbnNhLS1kMS1zYSNlZS5kMmRzbnNhLS1kMS1zcw%3D%3D&amp;btag=e00050000&amp;expire=1764559416&amp;l=20251201102141EAAE30DD17435761F356&amp;ply_type=3&amp;policy=3&amp;signature=3a2cfae59ee2987c73022ede25a607bd&amp;tk=7571587458748974088" TargetMode="External"/><Relationship Id="rId691" Type="http://schemas.openxmlformats.org/officeDocument/2006/relationships/hyperlink" Target="https://p77-sign-va.tiktokcdn.com/tos-maliva-avt-0068/b65580219dd212688aa9c5305651ee47~tplv-tiktokx-cropcenter:100:100.jpeg?dr=14579&amp;refresh_token=15e2eec0&amp;x-expires=1764727200&amp;x-signature=S9%2BUHdJh1BBS9Rm8nEGMYLSM1%2BY%3D&amp;t=4d5b0474&amp;ps=13740610&amp;shp=a5d48078&amp;shcp=81f88b70&amp;idc=my" TargetMode="External"/><Relationship Id="rId1042" Type="http://schemas.openxmlformats.org/officeDocument/2006/relationships/hyperlink" Target="https://p16-sign-va.tiktokcdn.com/tos-maliva-avt-0068/b65580219dd212688aa9c5305651ee47~tplv-tiktokx-cropcenter:1080:1080.jpeg?dr=14579&amp;refresh_token=3163266f&amp;x-expires=1764727200&amp;x-signature=ClKzrdbOpB%2BCrvfBAEQQWYtuWa8%3D&amp;t=4d5b0474&amp;ps=13740610&amp;shp=a5d48078&amp;shcp=81f88b70&amp;idc=my" TargetMode="External"/><Relationship Id="rId690" Type="http://schemas.openxmlformats.org/officeDocument/2006/relationships/hyperlink" Target="https://www.tiktok.com/@liberdade.mentall/video/7526191272176913669" TargetMode="External"/><Relationship Id="rId1043" Type="http://schemas.openxmlformats.org/officeDocument/2006/relationships/hyperlink" Target="https://v16-webapp-prime.tiktok.com/video/tos/alisg/tos-alisg-pve-0037c001/oAChAzsfJFXaiI8gQREDnTfwIYcWAuoXDofpZj/?a=1988&amp;bti=ODszNWYuMDE6&amp;ch=0&amp;cr=3&amp;dr=0&amp;lr=all&amp;cd=0%7C0%7C0%7C&amp;br=1892&amp;bt=946&amp;cs=0&amp;ds=3&amp;ft=-Csk_mrMPD12NWDh5d-Uxvt2hY6e3wv251cAp&amp;mime_type=video_mp4&amp;qs=0&amp;rc=ODVlNjo8ZGc7ZTxmPGY1NkBpM3BqbG05cmR2NjMzODczNEAwY2IuXjZgXzYxMzZfMC80YSNgbXJsMmRja3NhLS1kMTFzcw%3D%3D&amp;btag=e00090000&amp;expire=1764728616&amp;l=20251201102141EAAE30DD17435761F356&amp;ply_type=2&amp;policy=2&amp;signature=eeff3acda7517dd1b7d96154bd1d21ae&amp;tk=tt_chain_token" TargetMode="External"/><Relationship Id="rId213" Type="http://schemas.openxmlformats.org/officeDocument/2006/relationships/hyperlink" Target="https://v16-webapp-prime.tiktok.com/video/tos/useast2a/tos-useast2a-v-27dcd7/ooBUEkiBAkfgN88AizcLKEvEkAiJ5EBJynAuHo/?a=1988&amp;bti=ODszNWYuMDE6&amp;ch=0&amp;cr=0&amp;dr=0&amp;er=0&amp;lr=default&amp;cd=0%7C0%7C0%7C0&amp;br=250&amp;bt=125&amp;ds=5&amp;ft=GNDpcInz7ThuzKvPXq8Zmo&amp;mime_type=audio_mpeg&amp;qs=13&amp;rc=ajc7aHY5cm1yczMzNzU8M0Bpajc7aHY5cm1yczMzNzU8M0BrbmJmMmRzaDJgLS1kMTZzYSNrbmJmMmRzaDJgLS1kMTZzcw%3D%3D&amp;btag=e00050000&amp;expire=1764559400&amp;l=202512011021508D2E02B19879BA6D89C0&amp;ply_type=3&amp;policy=3&amp;signature=7729883ac5f03e2d9886d3bda91c45f7&amp;tk=7571587458748974088" TargetMode="External"/><Relationship Id="rId697" Type="http://schemas.openxmlformats.org/officeDocument/2006/relationships/hyperlink" Target="https://v16-webapp-prime.tiktok.com/video/tos/useast2a/tos-useast2a-v-27dcd7/oUPXI42oEBiHjgFBObZCfiy0eCSpNM4gTGeO5Q/?a=1988&amp;bti=ODszNWYuMDE6&amp;ch=0&amp;cr=0&amp;dr=0&amp;er=0&amp;lr=default&amp;cd=0%7C0%7C0%7C0&amp;br=250&amp;bt=125&amp;ft=GNDpcInz7ThHzKvPXq8Zmo&amp;mime_type=audio_mpeg&amp;qs=6&amp;rc=OzY4NDloaGU8NDo5Ozw5ZkBpM3B0aG45cjk5eTMzNzU8M0A0LzAuYjMzNTIxMjY0MS4yYSM0NC5kMmRzcnBgLS1kMTZzcw%3D%3D&amp;btag=e00090000&amp;expire=1764559332&amp;l=2025120110210247DE29902DF1415935A0&amp;ply_type=3&amp;policy=3&amp;signature=cac13d49752148ae20b0c330b4392cda&amp;tk=7571587458748974088" TargetMode="External"/><Relationship Id="rId1044" Type="http://schemas.openxmlformats.org/officeDocument/2006/relationships/hyperlink" Target="https://www.tiktok.com/@dulcivaldejesussantos/video/7565991392888048917" TargetMode="External"/><Relationship Id="rId212" Type="http://schemas.openxmlformats.org/officeDocument/2006/relationships/hyperlink" Target="https://p77-sign-va.tiktokcdn.com/tos-maliva-avt-0068/a80fa2ff45cb70cc3ce5f42f79a2c129~tplv-tiktokx-cropcenter:100:100.jpeg?dr=14579&amp;refresh_token=674e7030&amp;x-expires=1764727200&amp;x-signature=BN%2FWCoXcnJ9CLvNOreU0hJT02S8%3D&amp;t=4d5b0474&amp;ps=13740610&amp;shp=a5d48078&amp;shcp=81f88b70&amp;idc=my" TargetMode="External"/><Relationship Id="rId696" Type="http://schemas.openxmlformats.org/officeDocument/2006/relationships/hyperlink" Target="https://p77-sign-va.tiktokcdn.com/tos-maliva-avt-0068/ca391b0efaba2677f1bf5fc8b151dfa6~tplv-tiktokx-cropcenter:100:100.jpeg?dr=14579&amp;refresh_token=270dfdb0&amp;x-expires=1764727200&amp;x-signature=ZccR%2B8ZEaMPInv4lZEIqevcDxi8%3D&amp;t=4d5b0474&amp;ps=13740610&amp;shp=a5d48078&amp;shcp=81f88b70&amp;idc=my" TargetMode="External"/><Relationship Id="rId1045"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211" Type="http://schemas.openxmlformats.org/officeDocument/2006/relationships/hyperlink" Target="https://www.tiktok.com/@mentespansantes/video/7283518571957816582" TargetMode="External"/><Relationship Id="rId695" Type="http://schemas.openxmlformats.org/officeDocument/2006/relationships/hyperlink" Target="https://www.tiktok.com/@dulcivaldejesussantos/video/7565297789245099284" TargetMode="External"/><Relationship Id="rId1046" Type="http://schemas.openxmlformats.org/officeDocument/2006/relationships/hyperlink" Target="https://v16-webapp-prime.tiktok.com/video/tos/useast2a/tos-useast2a-v-27dcd7/ooeee3bScCCLDgsQAQoAPAEuIFigJQFSGoTmID/?a=1988&amp;bti=ODszNWYuMDE6&amp;ch=0&amp;cr=0&amp;dr=0&amp;er=0&amp;lr=default&amp;cd=0%7C0%7C0%7C0&amp;br=250&amp;bt=125&amp;ds=5&amp;ft=GNDpcInz7ThcFKvPXq8Zmo&amp;mime_type=audio_mpeg&amp;qs=13&amp;rc=ajU2b205cm11MzMzNzU8M0BpajU2b205cm11MzMzNzU8M0AyaDFsMmRjbHBhLS1kMTZzYSMyaDFsMmRjbHBhLS1kMTZzcw%3D%3D&amp;btag=e00050000&amp;expire=1764559406&amp;l=2025120110220384643B3986DED954E961&amp;ply_type=3&amp;policy=3&amp;signature=49d1a6730b1d5e980c268f79e519255f&amp;tk=7571587458748974088" TargetMode="External"/><Relationship Id="rId210" Type="http://schemas.openxmlformats.org/officeDocument/2006/relationships/hyperlink" Target="https://v16-webapp-prime.tiktok.com/video/tos/maliva/tos-maliva-ve-68c800-us/oYZBOQJnlBYSbmCeDqPEkAIwEBOUbFVQfREd4S/?a=1988&amp;bti=ODszNWYuMDE6&amp;ch=0&amp;cr=3&amp;dr=0&amp;lr=all&amp;cd=0%7C0%7C0%7C&amp;cv=1&amp;br=1790&amp;bt=895&amp;cs=0&amp;ds=3&amp;ft=-Csk_mrMPD12NOBh5d-Uxbt2hY6e3wv25HcAp&amp;mime_type=video_mp4&amp;qs=0&amp;rc=OjY2ZWhoM2k5OTNmNDVkZUBpanVyOjw6Zm43bjMzNzczM0BjNjA1XmFhNl4xMjQvNTEvYSNgMW1gcjRnLV5gLS1kMTZzcw%3D%3D&amp;btag=e000a0000&amp;expire=1764728908&amp;l=2025120110220104295D62D2C47867A675&amp;ply_type=2&amp;policy=2&amp;signature=71837e60e0bf2fa41824c4b2e6fa3ba1&amp;tk=tt_chain_token" TargetMode="External"/><Relationship Id="rId694" Type="http://schemas.openxmlformats.org/officeDocument/2006/relationships/hyperlink" Target="https://v16-webapp-prime.tiktok.com/video/tos/alisg/tos-alisg-pve-0037c001/o4lLxEPinWBFICzXAaQ9AZqvVlA9iEV1IQYvB/?a=1988&amp;bti=ODszNWYuMDE6&amp;ch=0&amp;cr=3&amp;dr=0&amp;lr=all&amp;cd=0%7C0%7C0%7C&amp;cv=1&amp;br=2242&amp;bt=1121&amp;cs=0&amp;ds=3&amp;ft=-Csk_mrMPD12Nqdh5d-UxgS5hY6e3wv25icAp&amp;mime_type=video_mp4&amp;qs=0&amp;rc=PGhoN2ZnaTRmO2dkOmQ5aEBpM2t4M205cjhvNjMzODczNEAuYi0tY2JfXl4xMmNeMTQvYSM1aWktMmRrYHJhLS1kMTFzcw%3D%3D&amp;btag=e00090000&amp;expire=1764728532&amp;l=2025120110204563AE4C62401D615C8166&amp;ply_type=2&amp;policy=2&amp;signature=78531949067c4ea1d55b6ae3225433fe&amp;tk=tt_chain_token" TargetMode="External"/><Relationship Id="rId1047"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249" Type="http://schemas.openxmlformats.org/officeDocument/2006/relationships/hyperlink" Target="https://v16-webapp-prime.tiktok.com/video/tos/useast2a/tos-useast2a-ve-0068c003/oMwgDfxbEEzJIMumBgoQFBZCQWRVA3gKUBfN8m/?a=1988&amp;bti=ODszNWYuMDE6&amp;ch=0&amp;cr=3&amp;dr=0&amp;lr=all&amp;cd=0%7C0%7C0%7C&amp;cv=1&amp;br=1560&amp;bt=780&amp;cs=0&amp;ds=3&amp;ft=-Csk_mrMPD12Nudh5d-Uxs12aY6e3wv252cAp&amp;mime_type=video_mp4&amp;qs=0&amp;rc=O2k8NztpOWZpNjxmPDM5NkBpam1zZXI5cjlvNTMzNzczM0A1X2BjYmBfNmAxXjFgLl5jYSMvLTRkMmRzbC1hLS1kMTZzcw%3D%3D&amp;btag=e00090000&amp;expire=1764728479&amp;l=202512011020068133AB7BCB086C5F4CDC&amp;ply_type=2&amp;policy=2&amp;signature=6cda969c50509ffe59a58abcae44e104&amp;tk=tt_chain_token" TargetMode="External"/><Relationship Id="rId248"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247" Type="http://schemas.openxmlformats.org/officeDocument/2006/relationships/hyperlink" Target="https://v16-webapp-prime.tiktok.com/video/tos/useast2a/tos-useast2a-v-27dcd7/oYkoGtXkBU4KKwk0Eg7AgNkOEiEZEAiBACAQfB/?a=1988&amp;bti=ODszNWYuMDE6&amp;ch=0&amp;cr=0&amp;dr=0&amp;er=0&amp;lr=default&amp;cd=0%7C0%7C0%7C0&amp;br=250&amp;bt=125&amp;ds=5&amp;ft=GNDpcInz7ThoPKvPXq8Zmo&amp;mime_type=audio_mpeg&amp;qs=13&amp;rc=amdqNGo5cmxvNTMzNzU8M0BpamdqNGo5cmxvNTMzNzU8M0Bxb2heMmRjbC1hLS1kMTZzYSNxb2heMmRjbC1hLS1kMTZzcw%3D%3D&amp;btag=e00050000&amp;expire=1764559279&amp;l=202512011020068133AB7BCB086C5F4CDC&amp;ply_type=3&amp;policy=3&amp;signature=4898ebb3bf54a281189abf4dfa8a1ee9&amp;tk=7571587458748974088" TargetMode="External"/><Relationship Id="rId1070" Type="http://schemas.openxmlformats.org/officeDocument/2006/relationships/hyperlink" Target="https://v16-webapp-prime.tiktok.com/video/tos/alisg/tos-alisg-v-27dcd7/ooAvBiLhXiAAUKUAE0iB6vfLEAkTwV8cAoK8pE/?a=1988&amp;bti=ODszNWYuMDE6&amp;ch=0&amp;cr=0&amp;dr=0&amp;er=0&amp;lr=default&amp;cd=0%7C0%7C0%7C0&amp;br=250&amp;bt=125&amp;ds=5&amp;ft=GNDpcInz7ThJzKvPXq8Zmo&amp;mime_type=audio_mpeg&amp;qs=13&amp;rc=amVsOnQ5cng7NzMzODU8NEBpamVsOnQ5cng7NzMzODU8NEAyZjReMmRjaTJhLS1kMS1zYSMyZjReMmRjaTJhLS1kMS1zcw%3D%3D&amp;btag=e00060000&amp;expire=1764559602&amp;l=20251201102141EAAE30DD17435761F356&amp;ply_type=3&amp;policy=3&amp;signature=f52d936a61594828709c0602c9d3debb&amp;tk=7571587458748974088" TargetMode="External"/><Relationship Id="rId1071" Type="http://schemas.openxmlformats.org/officeDocument/2006/relationships/hyperlink" Target="https://p77-sign-va.tiktokcdn.com/tos-maliva-avt-0068/987a16edb27b7a366cb5166e4d199e31~tplv-tiktokx-cropcenter:1080:1080.jpeg?dr=14579&amp;refresh_token=1aef6e17&amp;x-expires=1764727200&amp;x-signature=ClKO2pzK17NgLt38OrcAOuLfL0o%3D&amp;t=4d5b0474&amp;ps=13740610&amp;shp=a5d48078&amp;shcp=81f88b70&amp;idc=my" TargetMode="External"/><Relationship Id="rId1072" Type="http://schemas.openxmlformats.org/officeDocument/2006/relationships/hyperlink" Target="https://v16-webapp-prime.tiktok.com/video/tos/alisg/tos-alisg-pve-0037c001/oIKlCmAUiAH8qc9QBYcEaiiiIQVByCPdPVEBE/?a=1988&amp;bti=ODszNWYuMDE6&amp;ch=0&amp;cr=3&amp;dr=0&amp;lr=all&amp;cd=0%7C0%7C0%7C&amp;br=2014&amp;bt=1007&amp;cs=0&amp;ds=3&amp;ft=-Csk_mrMPD12NWDh5d-Uxvt2hY6e3wv251cAp&amp;mime_type=video_mp4&amp;qs=0&amp;rc=Zmk7PGU0NTtlZjM8aDppaUBpMzVvcXc5cjk7NzMzODczNEA1Mi8wLjMtNS0xLzUvY15eYSMuNjA0MmQ0YzJhLS1kMTFzcw%3D%3D&amp;btag=e000a0000&amp;expire=1764728803&amp;l=20251201102141EAAE30DD17435761F356&amp;ply_type=2&amp;policy=2&amp;signature=bc21dced6e75cfac50e4acbaefff356e&amp;tk=tt_chain_token" TargetMode="External"/><Relationship Id="rId242" Type="http://schemas.openxmlformats.org/officeDocument/2006/relationships/hyperlink" Target="https://sf16-ies-music-sg.tiktokcdn.com/obj/tos-alisg-ve-2774/fa032b0f59bd43bd9845381982779e60" TargetMode="External"/><Relationship Id="rId1073" Type="http://schemas.openxmlformats.org/officeDocument/2006/relationships/hyperlink" Target="https://www.tiktok.com/@gabriela.matsuda/video/7569014867475189010" TargetMode="External"/><Relationship Id="rId241" Type="http://schemas.openxmlformats.org/officeDocument/2006/relationships/hyperlink" Target="https://p16-sign-va.tiktokcdn.com/tos-maliva-avt-0068/a6997ba41f00721a265948498ce03461~tplv-tiktokx-cropcenter:100:100.jpeg?dr=14579&amp;refresh_token=4dff1c07&amp;x-expires=1764727200&amp;x-signature=iJgRSjfrX6lpd5Iv%2FqMlk96TGns%3D&amp;t=4d5b0474&amp;ps=13740610&amp;shp=a5d48078&amp;shcp=81f88b70&amp;idc=my" TargetMode="External"/><Relationship Id="rId1074"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240" Type="http://schemas.openxmlformats.org/officeDocument/2006/relationships/hyperlink" Target="https://www.tiktok.com/@chloemariedub/video/6995313827717991686" TargetMode="External"/><Relationship Id="rId1075" Type="http://schemas.openxmlformats.org/officeDocument/2006/relationships/hyperlink" Target="https://sf16-ies-music-sg.tiktokcdn.com/obj/tos-alisg-ve-2774/oY1Vln8kcUvWOVwiVvjSglYYBOMZAiHikrzAI" TargetMode="External"/><Relationship Id="rId1076" Type="http://schemas.openxmlformats.org/officeDocument/2006/relationships/hyperlink" Target="https://p77-sg.tiktokcdn.com/aweme/720x720/tos-alisg-v-2774/okEAIgXfP5tIV6azcfaMYAFeGAID5BADFQ6xoC.jpeg" TargetMode="External"/><Relationship Id="rId24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1077" Type="http://schemas.openxmlformats.org/officeDocument/2006/relationships/hyperlink" Target="https://v16-webapp-prime.tiktok.com/video/tos/alisg/tos-alisg-pve-0037c001/oYJQmgXwpIBWAE8eBiFEgEDMEHARp0bIQufPck/?a=1988&amp;bti=ODszNWYuMDE6&amp;ch=0&amp;cr=3&amp;dr=0&amp;lr=all&amp;cd=0%7C0%7C0%7C&amp;cv=1&amp;br=2754&amp;bt=1377&amp;cs=0&amp;ds=3&amp;ft=-Csk_mrMPD12NzDh5d-UxKyFaY6e3wv257cAp&amp;mime_type=video_mp4&amp;qs=0&amp;rc=aGc0aDczNWZnOTY6Z2Q6ZEBpMzVya2s5cjY3NzMzODczNEA1YmBiYWAxNi4xLmAyYzVhYSNgYzRfMmQ0L2NhLS1kMWBzcw%3D%3D&amp;btag=e00090000&amp;expire=1764728569&amp;l=20251201102139650E38823033055E6EEC&amp;ply_type=2&amp;policy=2&amp;signature=53d9486eb17100a98262f1b507330ec2&amp;tk=tt_chain_token" TargetMode="External"/><Relationship Id="rId245" Type="http://schemas.openxmlformats.org/officeDocument/2006/relationships/hyperlink" Target="https://www.tiktok.com/@visaopsicologia/video/7301711830014102790" TargetMode="External"/><Relationship Id="rId1078" Type="http://schemas.openxmlformats.org/officeDocument/2006/relationships/hyperlink" Target="https://www.tiktok.com/@lorenatdahta/video/7574564447080123656" TargetMode="External"/><Relationship Id="rId244" Type="http://schemas.openxmlformats.org/officeDocument/2006/relationships/hyperlink" Target="https://v16-webapp-prime.tiktok.com/video/tos/useast2a/tos-useast2a-ve-0068c004/owxJJpj4apuqtKAegeJoMyfYAgZiI4AtjtpeRe/?a=1988&amp;bti=ODszNWYuMDE6&amp;ch=0&amp;cr=3&amp;dr=0&amp;lr=all&amp;cd=0%7C0%7C0%7C&amp;cv=1&amp;br=666&amp;bt=333&amp;cs=0&amp;ds=6&amp;ft=-Csk_mrMPD12NxDh5d-UxIS5hY6e3wv25ycAp&amp;mime_type=video_mp4&amp;qs=5&amp;rc=Njs5Zzg1NGYzZGc0aTU2aUBpM2lwOnE5cnRobzMzNzczM0BiNmAyMmNiX18xL14wNTQvYSNxbmFuMmQ0NF5gLS1kMTZzcw%3D%3D&amp;btag=e00090000&amp;expire=1764728509&amp;l=202512011020485614ECD0EEDB8C5FDDDB&amp;ply_type=2&amp;policy=2&amp;signature=15646cdc1008f5cabef4f0477108a899&amp;tk=tt_chain_token" TargetMode="External"/><Relationship Id="rId1079" Type="http://schemas.openxmlformats.org/officeDocument/2006/relationships/hyperlink" Target="https://p16-sign-sg.tiktokcdn.com/tos-alisg-avt-0068/9de3b6c06f63b981075b8b85a34f31bc~tplv-tiktokx-cropcenter:100:100.jpeg?dr=14579&amp;refresh_token=1117652a&amp;x-expires=1764727200&amp;x-signature=27N2ihpqdvgqBKPc7ducQPpjKVk%3D&amp;t=4d5b0474&amp;ps=13740610&amp;shp=a5d48078&amp;shcp=81f88b70&amp;idc=my" TargetMode="External"/><Relationship Id="rId243" Type="http://schemas.openxmlformats.org/officeDocument/2006/relationships/hyperlink" Target="https://p77-sg.tiktokcdn.com/aweme/720x720/tos-alisg-v-2774/edbd178cb6ba48de855388c2538a9bda.jpeg" TargetMode="External"/><Relationship Id="rId239" Type="http://schemas.openxmlformats.org/officeDocument/2006/relationships/hyperlink" Target="https://v16-webapp-prime.tiktok.com/video/tos/maliva/tos-maliva-ve-0068c801-us/bbe3f9929f574f3a947115d723cd4e7d/?a=1988&amp;bti=ODszNWYuMDE6&amp;ch=0&amp;cr=3&amp;dr=0&amp;lr=all&amp;cd=0%7C0%7C0%7C&amp;cv=1&amp;br=2414&amp;bt=1207&amp;cs=0&amp;ds=3&amp;ft=-Csk_mrMPD12NWDh5d-Uxvt2hY6e3wv251cAp&amp;mime_type=video_mp4&amp;qs=0&amp;rc=ZTc2PDk2NzVpNDQzOmhkZUBpanZ0cWk6ZmQ4NzMzNzczM0AyMGIvMTM2NmAxMF40Xi9hYSNfay5ecjRfZF5gLS1kMTZzcw%3D%3D&amp;btag=e00090000&amp;expire=1764728598&amp;l=20251201102141EAAE30DD17435761F356&amp;ply_type=2&amp;policy=2&amp;signature=33c1d8a65a6ca5a9977f089f1a6a26d9&amp;tk=tt_chain_token" TargetMode="External"/><Relationship Id="rId238" Type="http://schemas.openxmlformats.org/officeDocument/2006/relationships/hyperlink" Target="https://p16-sign-va.tiktokcdn.com/tos-maliva-avt-0068/3b2037a41ca3ac175d2aa905cd61cf2b~tplv-tiktokx-cropcenter:1080:1080.jpeg?dr=14579&amp;refresh_token=bd5826c1&amp;x-expires=1764727200&amp;x-signature=4cHCWmr%2B9%2BHlfCKolLVG1V67YSc%3D&amp;t=4d5b0474&amp;ps=13740610&amp;shp=a5d48078&amp;shcp=81f88b70&amp;idc=my" TargetMode="External"/><Relationship Id="rId237" Type="http://schemas.openxmlformats.org/officeDocument/2006/relationships/hyperlink" Target="https://v16-webapp-prime.tiktok.com/video/tos/useast2a/tos-useast2a-v-27dcd7/3748cb0b6f084e3e9400f5e33c99d3b8/?a=1988&amp;bti=ODszNWYuMDE6&amp;ch=0&amp;cr=0&amp;dr=0&amp;er=0&amp;lr=default&amp;cd=0%7C0%7C0%7C0&amp;br=226&amp;bt=113&amp;ds=5&amp;ft=GNDpcInz7ThJzKvPXq8Zmo&amp;mime_type=video_mp4&amp;qs=13&amp;rc=amhobmk6ZnI4NzMzNzU8M0Bpamhobmk6ZnI4NzMzNzU8M0A2czJjcjRnZV5gLS1kMTZzYSM2czJjcjRnZV5gLS1kMTZzcw%3D%3D&amp;btag=e00050000&amp;expire=1764559398&amp;l=20251201102141EAAE30DD17435761F356&amp;ply_type=3&amp;policy=3&amp;signature=7c414b592173b921101c04c6943e0500&amp;tk=7571587458748974088" TargetMode="External"/><Relationship Id="rId236" Type="http://schemas.openxmlformats.org/officeDocument/2006/relationships/hyperlink" Target="https://p16-sign-va.tiktokcdn.com/tos-maliva-avt-0068/3b2037a41ca3ac175d2aa905cd61cf2b~tplv-tiktokx-cropcenter:100:100.jpeg?dr=14579&amp;refresh_token=5c44f445&amp;x-expires=1764727200&amp;x-signature=Cqmp6Z%2BXtCkoJBt7nXGxWotIhwk%3D&amp;t=4d5b0474&amp;ps=13740610&amp;shp=a5d48078&amp;shcp=81f88b70&amp;idc=my" TargetMode="External"/><Relationship Id="rId1060"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061" Type="http://schemas.openxmlformats.org/officeDocument/2006/relationships/hyperlink" Target="https://v16-webapp-prime.tiktok.com/video/tos/useast2a/tos-useast2a-v-27dcd7/o8f0LnECKABWLz7iJmixwEAOg0A5EoA1c3AkwB/?a=1988&amp;bti=ODszNWYuMDE6&amp;ch=0&amp;cr=0&amp;dr=0&amp;er=0&amp;lr=default&amp;cd=0%7C0%7C0%7C0&amp;br=250&amp;bt=125&amp;ds=5&amp;ft=GNDpcInz7ThizKvPXq8Zmo&amp;mime_type=audio_mpeg&amp;qs=13&amp;rc=M3FoaG85cnJzNTMzNzU8M0BpM3FoaG85cnJzNTMzNzU8M0BuYzZsMmRjZW1hLS1kMTZzYSNuYzZsMmRjZW1hLS1kMTZzcw%3D%3D&amp;btag=e00050000&amp;expire=1764559368&amp;l=20251201102147CB7160225F86D969BC26&amp;ply_type=3&amp;policy=3&amp;signature=0946716451e7289b7d17085ab83215f5&amp;tk=7571587458748974088" TargetMode="External"/><Relationship Id="rId231"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1062"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230" Type="http://schemas.openxmlformats.org/officeDocument/2006/relationships/hyperlink" Target="https://www.tiktok.com/@lorenatdahta/video/7257936743163301126" TargetMode="External"/><Relationship Id="rId1063" Type="http://schemas.openxmlformats.org/officeDocument/2006/relationships/hyperlink" Target="https://v16-webapp-prime.tiktok.com/video/tos/useast2a/tos-useast2a-pve-0068/oMZIjqLZAIGzRyQAFe6gefIHRzE5jAzCSISzmC/?a=1988&amp;bti=ODszNWYuMDE6&amp;ch=0&amp;cr=3&amp;dr=0&amp;lr=all&amp;cd=0%7C0%7C0%7C&amp;cv=1&amp;br=2398&amp;bt=1199&amp;cs=0&amp;ds=3&amp;ft=-Csk_mrMPD12N3Dh5d-UxIS5hY6e3wv25ocAp&amp;mime_type=video_mp4&amp;qs=0&amp;rc=Nzo0ZThpZDc2NWk2ZGY0NkBpMzM6eXY5cmRzNTMzNzczM0AvNjYuYWJeNjExMTQ2My8uYSNjMHNkMmQ0ZW1hLS1kMTZzcw%3D%3D&amp;btag=e00090000&amp;expire=1764728568&amp;l=20251201102147CB7160225F86D969BC26&amp;ply_type=2&amp;policy=2&amp;signature=f9a26aa63bc6472b8e6ab0326481bbbe&amp;tk=tt_chain_token" TargetMode="External"/><Relationship Id="rId1064" Type="http://schemas.openxmlformats.org/officeDocument/2006/relationships/hyperlink" Target="https://www.tiktok.com/@lorenatdahta/video/7544541845217365254" TargetMode="External"/><Relationship Id="rId1065" Type="http://schemas.openxmlformats.org/officeDocument/2006/relationships/hyperlink" Target="https://p16-sign-va.tiktokcdn.com/tos-maliva-avt-0068/0c857903b1d71ebd63a58d7ad9b30044~tplv-tiktokx-cropcenter:100:100.jpeg?dr=14579&amp;refresh_token=c92bbeb2&amp;x-expires=1764727200&amp;x-signature=hYSdh1CelOhsN0%2BtbUykFli9sfU%3D&amp;t=4d5b0474&amp;ps=13740610&amp;shp=a5d48078&amp;shcp=81f88b70&amp;idc=my" TargetMode="External"/><Relationship Id="rId235" Type="http://schemas.openxmlformats.org/officeDocument/2006/relationships/hyperlink" Target="https://www.tiktok.com/@psi.walace/video/7522980040758496518" TargetMode="External"/><Relationship Id="rId1066" Type="http://schemas.openxmlformats.org/officeDocument/2006/relationships/hyperlink" Target="https://v16-webapp-prime.tiktok.com/video/tos/useast2a/tos-useast2a-v-27dcd7/osElYJ7f4BwQKcUJKFZmPdFo2JqD1jQBCEnePB/?a=1988&amp;bti=ODszNWYuMDE6&amp;ch=0&amp;cr=0&amp;dr=0&amp;er=0&amp;lr=default&amp;cd=0%7C0%7C0%7C0&amp;br=250&amp;bt=125&amp;ft=GNDpcInz7ThrzKvPXq8Zmo&amp;mime_type=audio_mpeg&amp;qs=6&amp;rc=aWQ8NDpmM2Q7ZTY0Njo4M0BpanJueG05cjVyczMzNzU8M0A0YS4uLmM2NTAxL15gYjAzYSNhMWhnMmRraGdgLS1kMTZzcw%3D%3D&amp;btag=e00090000&amp;expire=1764559311&amp;l=20251201102050B730D50024D84153D9E5&amp;ply_type=3&amp;policy=3&amp;signature=e138b18d5a2305cd663467b405d1ce6f&amp;tk=7571587458748974088" TargetMode="External"/><Relationship Id="rId234" Type="http://schemas.openxmlformats.org/officeDocument/2006/relationships/hyperlink" Target="https://v16-webapp-prime.tiktok.com/video/tos/useast2a/tos-useast2a-ve-0068c001/oEQRNo8EzBvUkQRr1oIAzFEB3fD5IZgYAfKDqJ/?a=1988&amp;bti=ODszNWYuMDE6&amp;ch=0&amp;cr=3&amp;dr=0&amp;lr=all&amp;cd=0%7C0%7C0%7C&amp;cv=1&amp;br=1780&amp;bt=890&amp;cs=0&amp;ds=3&amp;ft=I~da4oKyD12Nvm1WS.IxR~kNglBF-UjNSEopiX&amp;mime_type=video_mp4&amp;qs=0&amp;rc=NTU2OjlmM2g2NTo7PDg4aEBpajdrOHQ5cmppNDMzNzczM0AtMi02Yy1gNTYxNV8vMy5hYSMvcGJkMmRzb2dhLS1kMTZzcw%3D%3D&amp;btag=e00090000&amp;expire=1764728561&amp;l=2025120110210868B8F68F0D0B7F5CDC9D&amp;ply_type=2&amp;policy=2&amp;signature=21ef7d3dcf5a89afb0156e2c8fd5cd3f&amp;tk=tt_chain_token" TargetMode="External"/><Relationship Id="rId1067" Type="http://schemas.openxmlformats.org/officeDocument/2006/relationships/hyperlink" Target="https://p77-sign-va.tiktokcdn.com/tos-maliva-avt-0068/0c857903b1d71ebd63a58d7ad9b30044~tplv-tiktokx-cropcenter:1080:1080.jpeg?dr=14579&amp;refresh_token=119a0f11&amp;x-expires=1764727200&amp;x-signature=HoicRW9XlcVqtFyC2Ibd4WPT48I%3D&amp;t=4d5b0474&amp;ps=13740610&amp;shp=a5d48078&amp;shcp=81f88b70&amp;idc=my" TargetMode="External"/><Relationship Id="rId233" Type="http://schemas.openxmlformats.org/officeDocument/2006/relationships/hyperlink" Target="https://p16-sg.tiktokcdn.com/aweme/720x720/tos-alisg-v-2774/o8CZDEgpEsoAeWtxEBnAtQFAgpHQVBf148CJcS.jpeg" TargetMode="External"/><Relationship Id="rId1068" Type="http://schemas.openxmlformats.org/officeDocument/2006/relationships/hyperlink" Target="https://www.tiktok.com/@pisicopop/video/7379018257652616454" TargetMode="External"/><Relationship Id="rId232" Type="http://schemas.openxmlformats.org/officeDocument/2006/relationships/hyperlink" Target="https://sf16-ies-music-sg.tiktokcdn.com/obj/tos-alisg-ve-2774/oMyOHOoBzAh6qWbii1nknBIZWAFsflLwCsMz8X" TargetMode="External"/><Relationship Id="rId1069" Type="http://schemas.openxmlformats.org/officeDocument/2006/relationships/hyperlink" Target="https://p16-sign-va.tiktokcdn.com/tos-maliva-avt-0068/987a16edb27b7a366cb5166e4d199e31~tplv-tiktokx-cropcenter:100:100.jpeg?dr=14579&amp;refresh_token=9d729bdd&amp;x-expires=1764727200&amp;x-signature=pPZBcjfvVVv3XrAT8Ck1hlkdOqU%3D&amp;t=4d5b0474&amp;ps=13740610&amp;shp=a5d48078&amp;shcp=81f88b70&amp;idc=my" TargetMode="External"/><Relationship Id="rId1015"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499" Type="http://schemas.openxmlformats.org/officeDocument/2006/relationships/hyperlink" Target="https://v16-webapp-prime.tiktok.com/video/tos/useast2a/tos-useast2a-pve-0068/ognEdqg1MF0sABJ8imxCRrQOYEQAfBXDIVbcde/?a=1988&amp;bti=ODszNWYuMDE6&amp;ch=0&amp;cr=3&amp;dr=0&amp;lr=all&amp;cd=0%7C0%7C0%7C&amp;cv=1&amp;br=1692&amp;bt=846&amp;cs=0&amp;ds=3&amp;ft=I~da4oKyD12Nvb.WS.IxRnTNWlBF-UjNS3opiX&amp;mime_type=video_mp4&amp;qs=0&amp;rc=ZmczOjw5OTg5ZDs1ZTk2OUBpM2U4NnI5cjM6dDMzNzczM0A1NjMuYGAxXy0xYTEyMTA2YSNvaGpnMmRrYGlgLS1kMTZzcw%3D%3D&amp;btag=e00090000&amp;expire=1764728518&amp;l=20251201102046E8B89E886773854715A1&amp;ply_type=2&amp;policy=2&amp;signature=47b21961c58f69913746b7f7195e775f&amp;tk=tt_chain_token" TargetMode="External"/><Relationship Id="rId1016" Type="http://schemas.openxmlformats.org/officeDocument/2006/relationships/hyperlink" Target="https://v16-webapp-prime.tiktok.com/video/tos/alisg/tos-alisg-v-27dcd7/okP8M8edoQugwf06OeRAXCVygYTtEVuMXDA048/?a=1988&amp;bti=ODszNWYuMDE6&amp;ch=0&amp;cr=0&amp;dr=0&amp;er=0&amp;lr=default&amp;cd=0%7C0%7C0%7C0&amp;br=250&amp;bt=125&amp;ft=GNDpcInz7ThszKvPXq8Zmo&amp;mime_type=audio_mpeg&amp;qs=6&amp;rc=ODc1NDVnOThpZ2g8Zmc4PEBpamhyc3k5cnVwNjMzODU8NEBgNV5fMDI1XjAxMDEwLWAvYSNla19lMmRrZ3BhLS1kMS1zcw%3D%3D&amp;btag=e00090000&amp;expire=1764559319&amp;l=20251201102055111140D50F38376E882B&amp;ply_type=3&amp;policy=3&amp;signature=f2df6524700f71de2beaff8c3f17dbf4&amp;tk=7571587458748974088" TargetMode="External"/><Relationship Id="rId1017"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1018" Type="http://schemas.openxmlformats.org/officeDocument/2006/relationships/hyperlink" Target="https://v16-webapp-prime.tiktok.com/video/tos/alisg/tos-alisg-pve-0037c001/owCydWA8eAQYUMPbgGjR0fCw0IDoLI42ftVIz2/?a=1988&amp;bti=ODszNWYuMDE6&amp;ch=0&amp;cr=3&amp;dr=0&amp;lr=all&amp;cd=0%7C0%7C0%7C&amp;cv=1&amp;br=2840&amp;bt=1420&amp;cs=0&amp;ds=3&amp;ft=-Csk_mrMPD12NbDh5d-UxPR2SY6e3wv25IcAp&amp;mime_type=video_mp4&amp;qs=0&amp;rc=aDU5OmczOTg3aGU4ZTw8NEBpM2U4eHc5cjZwNjMzODczNEAxLi4yY2NjX14xLmEyNDFgYSNgamRrMmRrZ3BhLS1kMTFzcw%3D%3D&amp;btag=e00090000&amp;expire=1764728519&amp;l=20251201102055111140D50F38376E882B&amp;ply_type=2&amp;policy=2&amp;signature=5b503891937b6cac82befd9214aba0bb&amp;tk=tt_chain_token" TargetMode="External"/><Relationship Id="rId1019" Type="http://schemas.openxmlformats.org/officeDocument/2006/relationships/hyperlink" Target="https://www.tiktok.com/@lorenatdahta/video/7564193336282729735" TargetMode="External"/><Relationship Id="rId668" Type="http://schemas.openxmlformats.org/officeDocument/2006/relationships/hyperlink" Target="https://p77-sign-va.tiktokcdn.com/tos-maliva-avt-0068/978c28354dd93bc4bed9362aaac99b9e~tplv-tiktokx-cropcenter:1080:1080.jpeg?dr=14579&amp;refresh_token=6252b57d&amp;x-expires=1764727200&amp;x-signature=52Oi5vTYLWwb%2BeVtDQgUgITDQS0%3D&amp;t=4d5b0474&amp;ps=13740610&amp;shp=a5d48078&amp;shcp=81f88b70&amp;idc=my" TargetMode="External"/><Relationship Id="rId667" Type="http://schemas.openxmlformats.org/officeDocument/2006/relationships/hyperlink" Target="https://v16-webapp-prime.tiktok.com/video/tos/useast2a/tos-useast2a-v-27dcd7/e66296f617484738a8aa7ae3e28953de/?a=1988&amp;bti=ODszNWYuMDE6&amp;ch=0&amp;cr=0&amp;dr=0&amp;er=0&amp;lr=default&amp;cd=0%7C0%7C0%7C0&amp;br=250&amp;bt=125&amp;ds=5&amp;ft=GNDpcInz7ThGPKvPXq8Zmo&amp;mime_type=audio_mpeg&amp;qs=13&amp;rc=ajpmZDs6ZnhoajMzNzU8M0BpajpmZDs6ZnhoajMzNzU8M0AzMjEwcjRnc15gLS1kMTZzYSMzMjEwcjRnc15gLS1kMTZzcw%3D%3D&amp;btag=e00050000&amp;expire=1764559356&amp;l=202512011020239FD63C9B4E4C976A9E36&amp;ply_type=3&amp;policy=3&amp;signature=f61ba1e00ee518ed2c2a071f462401c5&amp;tk=7571587458748974088" TargetMode="External"/><Relationship Id="rId666" Type="http://schemas.openxmlformats.org/officeDocument/2006/relationships/hyperlink" Target="https://p16-sign-va.tiktokcdn.com/tos-maliva-avt-0068/978c28354dd93bc4bed9362aaac99b9e~tplv-tiktokx-cropcenter:100:100.jpeg?dr=14579&amp;refresh_token=b5977ed5&amp;x-expires=1764727200&amp;x-signature=Sx24Uz%2FZ4yyeY0ikwSbt0R0nsso%3D&amp;t=4d5b0474&amp;ps=13740610&amp;shp=a5d48078&amp;shcp=81f88b70&amp;idc=my" TargetMode="External"/><Relationship Id="rId665" Type="http://schemas.openxmlformats.org/officeDocument/2006/relationships/hyperlink" Target="https://www.tiktok.com/@lorenatdahta/video/7218203496351370501" TargetMode="External"/><Relationship Id="rId669" Type="http://schemas.openxmlformats.org/officeDocument/2006/relationships/hyperlink" Target="https://v16-webapp-prime.tiktok.com/video/tos/alisg/tos-alisg-pve-0037c001/oEQuDroKgfTjAQC4IjIlo0ePIoC1SdbfCSgAnC/?a=1988&amp;bti=ODszNWYuMDE6&amp;ch=0&amp;cr=3&amp;dr=0&amp;lr=all&amp;cd=0%7C0%7C0%7C&amp;cv=1&amp;br=2102&amp;bt=1051&amp;cs=0&amp;ds=3&amp;ft=I~da4oKyD12Nvz.WS.IxRjkNWlBF-UjNSRopiX&amp;mime_type=video_mp4&amp;qs=0&amp;rc=ZTRnZTVkNzRkM2ZpOTYzNkBpMzw4dzw6Zm5oajMzNzczM0BeMWBeLjAuNjYxNC1eXjQ0YSMtNS1ucjQwc15gLS1kMTZzcw%3D%3D&amp;btag=e00090000&amp;expire=1764728556&amp;l=202512011020239FD63C9B4E4C976A9E36&amp;ply_type=2&amp;policy=2&amp;signature=87b0d87bc75ec5bb688357d99f901ebd&amp;tk=tt_chain_token" TargetMode="External"/><Relationship Id="rId1490" Type="http://schemas.openxmlformats.org/officeDocument/2006/relationships/hyperlink" Target="https://www.tiktok.com/@igorpsicologo/video/7511523125704658181" TargetMode="External"/><Relationship Id="rId660" Type="http://schemas.openxmlformats.org/officeDocument/2006/relationships/hyperlink" Target="https://www.tiktok.com/@lorenatdahta/video/7285110810274286853" TargetMode="External"/><Relationship Id="rId1491" Type="http://schemas.openxmlformats.org/officeDocument/2006/relationships/hyperlink" Target="https://p77-sign-va.tiktokcdn.com/tos-maliva-avt-0068/83128de402d81c535812dcbf27bbe6fc~tplv-tiktokx-cropcenter:100:100.jpeg?dr=14579&amp;refresh_token=f06c1771&amp;x-expires=1764727200&amp;x-signature=woIN6CaMKaluvAbOvHseCvA7nSw%3D&amp;t=4d5b0474&amp;ps=13740610&amp;shp=a5d48078&amp;shcp=81f88b70&amp;idc=my" TargetMode="External"/><Relationship Id="rId1492" Type="http://schemas.openxmlformats.org/officeDocument/2006/relationships/hyperlink" Target="https://v16-webapp-prime.tiktok.com/video/tos/useast2a/tos-useast2a-v-27dcd7/oMZFEzFUQ1xJCIErnAICPMFeUdBgJEfmBuAQDA/?a=1988&amp;bti=ODszNWYuMDE6&amp;ch=0&amp;cr=0&amp;dr=0&amp;er=0&amp;lr=default&amp;cd=0%7C0%7C0%7C0&amp;br=250&amp;bt=125&amp;ds=5&amp;ft=GNDpcInz7ThvgKvPXq8Zmo&amp;mime_type=audio_mpeg&amp;qs=13&amp;rc=M3E7c3I5cnA3dzMzNzU8M0BpM3E7c3I5cnA3dzMzNzU8M0AxcXBwMmRjbjVgLS1kMTZzYSMxcXBwMmRjbjVgLS1kMTZzcw%3D%3D&amp;btag=e00050000&amp;expire=1764559479&amp;l=2025120110230575DD81155F998AEAA641&amp;ply_type=3&amp;policy=3&amp;signature=0c1007795546d482b1c305cc277d0228&amp;tk=7571587458748974088" TargetMode="External"/><Relationship Id="rId1493" Type="http://schemas.openxmlformats.org/officeDocument/2006/relationships/hyperlink" Target="https://p16-sign-va.tiktokcdn.com/tos-maliva-avt-0068/83128de402d81c535812dcbf27bbe6fc~tplv-tiktokx-cropcenter:1080:1080.jpeg?dr=14579&amp;refresh_token=3613e7a8&amp;x-expires=1764727200&amp;x-signature=oPy%2FBGeSWfVn9HAFdVhviS8w%2FKM%3D&amp;t=4d5b0474&amp;ps=13740610&amp;shp=a5d48078&amp;shcp=81f88b70&amp;idc=my" TargetMode="External"/><Relationship Id="rId1010" Type="http://schemas.openxmlformats.org/officeDocument/2006/relationships/hyperlink" Target="https://p77-sign-sg.tiktokcdn.com/tos-alisg-avt-0068/a922d44f129753f3f4657ae1aab09386~tplv-tiktokx-cropcenter:100:100.jpeg?dr=14579&amp;refresh_token=4432e3b7&amp;x-expires=1764727200&amp;x-signature=eQmmyEmebq4nyd8MuxeK1qxKIB4%3D&amp;t=4d5b0474&amp;ps=13740610&amp;shp=a5d48078&amp;shcp=81f88b70&amp;idc=my" TargetMode="External"/><Relationship Id="rId1494" Type="http://schemas.openxmlformats.org/officeDocument/2006/relationships/hyperlink" Target="https://v16-webapp-prime.tiktok.com/video/tos/useast2a/tos-useast2a-ve-0068c002/ooQgIgBmRm9UANDn5F6fflnQwy7EBEQQJRExBC/?a=1988&amp;bti=ODszNWYuMDE6&amp;ch=0&amp;cr=3&amp;dr=0&amp;lr=all&amp;cd=0%7C0%7C0%7C&amp;cv=1&amp;br=1432&amp;bt=716&amp;cs=0&amp;ds=3&amp;ft=-Csk_mrMPD12N5Zh5d-Ux3t2SY6e3wv25HcAp&amp;mime_type=video_mp4&amp;qs=0&amp;rc=Z2k5PDZpOGRmNmc1O2k2NUBpM2x0ZHc5cjM3dzMzNzczM0A2Yi5hY19iXjIxYTMyXmJgYSNwZTByMmRjbTVgLS1kMTZzcw%3D%3D&amp;btag=e00090000&amp;expire=1764728679&amp;l=2025120110230575DD81155F998AEAA641&amp;ply_type=2&amp;policy=2&amp;signature=aded87e8325ee07e16c4c4d34a53bb29&amp;tk=tt_chain_token" TargetMode="External"/><Relationship Id="rId664" Type="http://schemas.openxmlformats.org/officeDocument/2006/relationships/hyperlink" Target="https://v16-webapp-prime.tiktok.com/video/tos/maliva/tos-maliva-ve-0068c801-us/o4kLkXENEUDnBCXEIHYsnBAyQReigJbfUQNnVD/?a=1988&amp;bti=ODszNWYuMDE6&amp;ch=0&amp;cr=3&amp;dr=0&amp;lr=all&amp;cd=0%7C0%7C0%7C&amp;cv=1&amp;br=1712&amp;bt=856&amp;cs=0&amp;ds=3&amp;ft=-Csk_mrMPD12NTDh5d-UxHX2hY6e3wv25McAp&amp;mime_type=video_mp4&amp;qs=0&amp;rc=ZWVpNGc1M2lpM2Y7ZGhlNEBpajdueWU6Zms2ajMzNzczM0AuY2M2LzBiXl8xNmEtYTBeYSNnMW1pcjRvXmpgLS1kMTZzcw%3D%3D&amp;btag=e00098000&amp;expire=1764728683&amp;l=20251201102050B730D50024D84153D9E5&amp;ply_type=2&amp;policy=2&amp;signature=de5083c5c3cd03578577c70c86ce4b23&amp;tk=tt_chain_token" TargetMode="External"/><Relationship Id="rId1011" Type="http://schemas.openxmlformats.org/officeDocument/2006/relationships/hyperlink" Target="https://v16-webapp-prime.tiktok.com/video/tos/alisg/tos-alisg-v-27dcd7/oQTVfCDJQrkBYFJep7I71QQUgIplBnFMBs0aEN/?a=1988&amp;bti=ODszNWYuMDE6&amp;ch=0&amp;cr=0&amp;dr=0&amp;er=0&amp;lr=default&amp;cd=0%7C0%7C0%7C0&amp;br=250&amp;bt=125&amp;ft=GNDpcInz7ThzgKvPXq8Zmo&amp;mime_type=audio_mpeg&amp;qs=6&amp;rc=Nmg1NGc7ZDhlOWVpZGY7OkBpMztydnQ5cnh0NzMzODU8NEA1YWJhXmBiNjAxLTReMS0zYSM1bnNiMmRzbmZhLS1kMS1zcw%3D%3D&amp;btag=e00090000&amp;expire=1764559531&amp;l=2025120110233960BDF2AFAD3CC4F063FC&amp;ply_type=3&amp;policy=3&amp;signature=6d3b96ab2cd513711ca7e84310be0324&amp;tk=7571587458748974088" TargetMode="External"/><Relationship Id="rId1495" Type="http://schemas.openxmlformats.org/officeDocument/2006/relationships/hyperlink" Target="https://www.tiktok.com/@eu_autista/video/7444535173762338103" TargetMode="External"/><Relationship Id="rId663"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1012" Type="http://schemas.openxmlformats.org/officeDocument/2006/relationships/hyperlink" Target="https://p77-sign-sg.tiktokcdn.com/tos-alisg-avt-0068/a922d44f129753f3f4657ae1aab09386~tplv-tiktokx-cropcenter:1080:1080.jpeg?dr=14579&amp;refresh_token=2c5396d3&amp;x-expires=1764727200&amp;x-signature=UQQdtyMLjhg42RtimEy1TOiZgok%3D&amp;t=4d5b0474&amp;ps=13740610&amp;shp=a5d48078&amp;shcp=81f88b70&amp;idc=my" TargetMode="External"/><Relationship Id="rId1496" Type="http://schemas.openxmlformats.org/officeDocument/2006/relationships/hyperlink" Target="https://p16-sign-va.tiktokcdn.com/tos-maliva-avt-0068/c4ddbb322ecc8a7326a8b416b0b1fbd7~tplv-tiktokx-cropcenter:100:100.jpeg?dr=14579&amp;refresh_token=48e48259&amp;x-expires=1764727200&amp;x-signature=TC1fNtu3SzVg85wp6AXg%2F8GiZ8I%3D&amp;t=4d5b0474&amp;ps=13740610&amp;shp=a5d48078&amp;shcp=81f88b70&amp;idc=my" TargetMode="External"/><Relationship Id="rId662" Type="http://schemas.openxmlformats.org/officeDocument/2006/relationships/hyperlink" Target="https://v16-webapp-prime.tiktok.com/video/tos/useast2a/tos-useast2a-v-27dcd7/cc825b6ba694462eb70e509f11a29747/?a=1988&amp;bti=ODszNWYuMDE6&amp;ch=0&amp;cr=0&amp;dr=0&amp;er=0&amp;lr=default&amp;cd=0%7C0%7C0%7C0&amp;br=250&amp;bt=125&amp;ds=5&amp;ft=GNDpcInz7ThrzKvPXq8Zmo&amp;mime_type=audio_mpeg&amp;qs=13&amp;rc=anVubDU6Znc2ajMzNzU8M0BpanVubDU6Znc2ajMzNzU8M0BwMS1ncjQwX2pgLS1kMTZzYSNwMS1ncjQwX2pgLS1kMTZzcw%3D%3D&amp;btag=e00058000&amp;expire=1764559483&amp;l=20251201102050B730D50024D84153D9E5&amp;ply_type=3&amp;policy=3&amp;signature=638738515d39b9569f6f982e195c7aa6&amp;tk=7571587458748974088" TargetMode="External"/><Relationship Id="rId1013" Type="http://schemas.openxmlformats.org/officeDocument/2006/relationships/hyperlink" Target="https://v16-webapp-prime.tiktok.com/video/tos/alisg/tos-alisg-pve-0037c001/okQBJyBAoa1DxywaQLNRvWf1EeBFl2EpgIzEkF/?a=1988&amp;bti=ODszNWYuMDE6&amp;ch=0&amp;cr=3&amp;dr=0&amp;lr=all&amp;cd=0%7C0%7C0%7C&amp;cv=1&amp;br=1652&amp;bt=826&amp;cs=0&amp;ds=3&amp;ft=-Csk_mrMPD12NDZh5d-UxSI5SY6e3wv25NcAp&amp;mime_type=video_mp4&amp;qs=0&amp;rc=OmQ7ZjU2aDQ7ZzY7O2RkNkBpanhlanI5cm90NzMzODczNEBjMzNhNjNhNmIxY19iX2FfYSNtMTRgMmRrbmZhLS1kMS1zcw%3D%3D&amp;btag=e00090000&amp;expire=1764728731&amp;l=2025120110233960BDF2AFAD3CC4F063FC&amp;ply_type=2&amp;policy=2&amp;signature=1b0fbd2a00eefc3967be7e1e64bb49ff&amp;tk=tt_chain_token" TargetMode="External"/><Relationship Id="rId1497" Type="http://schemas.openxmlformats.org/officeDocument/2006/relationships/hyperlink" Target="https://v16-webapp-prime.tiktok.com/video/tos/useast2a/tos-useast2a-v-27dcd7/oIMBERPoEGI2fgAARVVCeL4f8CSKbEALTqoAWA/?a=1988&amp;bti=ODszNWYuMDE6&amp;ch=0&amp;cr=0&amp;dr=0&amp;er=0&amp;lr=default&amp;cd=0%7C0%7C0%7C0&amp;br=250&amp;bt=125&amp;ds=5&amp;ft=GNDpcInz7ThuPKvPXq8Zmo&amp;mime_type=audio_mpeg&amp;qs=13&amp;rc=amk0cnk5cjZvczMzNzU8M0Bpamk0cnk5cjZvczMzNzU8M0A1ci1mMmRjYzVgLS1kMTZzYSM1ci1mMmRjYzVgLS1kMTZzcw%3D%3D&amp;btag=e00078000&amp;expire=1764559265&amp;l=20251201102046E8B89E886773854715A1&amp;ply_type=3&amp;policy=3&amp;signature=3bc481c7ddee7b4a9ecd134952805d91&amp;tk=7571587458748974088" TargetMode="External"/><Relationship Id="rId661"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1014" Type="http://schemas.openxmlformats.org/officeDocument/2006/relationships/hyperlink" Target="https://www.tiktok.com/@psi.jonathanorlandi/video/7576652631871851797" TargetMode="External"/><Relationship Id="rId1498" Type="http://schemas.openxmlformats.org/officeDocument/2006/relationships/hyperlink" Target="https://p16-sign-sg.tiktokcdn.com/tos-alisg-avt-0068/2f66c95536f2e768e547d169d6d36ba4~tplv-tiktokx-cropcenter:1080:1080.jpeg?dr=14579&amp;refresh_token=9418c805&amp;x-expires=1764727200&amp;x-signature=%2F5flqi%2FEZLZjrEHvOoFTFFrQnx0%3D&amp;t=4d5b0474&amp;ps=13740610&amp;shp=a5d48078&amp;shcp=81f88b70&amp;idc=my" TargetMode="External"/><Relationship Id="rId1004" Type="http://schemas.openxmlformats.org/officeDocument/2006/relationships/hyperlink" Target="https://www.tiktok.com/@altashabilidades.sd/video/7540685593357946168" TargetMode="External"/><Relationship Id="rId1488"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1005" Type="http://schemas.openxmlformats.org/officeDocument/2006/relationships/hyperlink" Target="https://p16-sign-va.tiktokcdn.com/tos-maliva-avt-0068/653ecd097a40a9bcfe371c2a0424bd79~tplv-tiktokx-cropcenter:100:100.jpeg?dr=14579&amp;refresh_token=deb0d938&amp;x-expires=1764727200&amp;x-signature=PaaFBZ19COzP%2BkjU%2BfWQZw2RPYY%3D&amp;t=4d5b0474&amp;ps=13740610&amp;shp=a5d48078&amp;shcp=81f88b70&amp;idc=my" TargetMode="External"/><Relationship Id="rId1489" Type="http://schemas.openxmlformats.org/officeDocument/2006/relationships/hyperlink" Target="https://v16-webapp-prime.tiktok.com/video/tos/useast2a/tos-useast2a-ve-0068c004/oI4gJIRHeJgAwU1SviIaELfRGFtG1AKklQeBae/?a=1988&amp;bti=ODszNWYuMDE6&amp;ch=0&amp;cr=3&amp;dr=0&amp;lr=all&amp;cd=0%7C0%7C0%7C&amp;cv=1&amp;br=2122&amp;bt=1061&amp;cs=0&amp;ds=3&amp;ft=I~da4oKyD12NvaMWS.IxRYjNWlBF-UjNSkopiX&amp;mime_type=video_mp4&amp;qs=0&amp;rc=aWk0ZWQ0NDk8Mzg3NDU7O0BpM2k4cGw5cmo3MzMzNzczM0A0YTJfMGMxXjAxNWIyYDIuYSNgYXNiMmRzZnNhLS1kMTZzcw%3D%3D&amp;btag=e00090000&amp;expire=1764728592&amp;l=2025120110220384643B3986DED954E961&amp;ply_type=2&amp;policy=2&amp;signature=7a52c25075e808e3a08f236b925895ad&amp;tk=tt_chain_token" TargetMode="External"/><Relationship Id="rId1006" Type="http://schemas.openxmlformats.org/officeDocument/2006/relationships/hyperlink" Target="https://v16-webapp-prime.tiktok.com/video/tos/useast2a/tos-useast2a-v-27dcd7/o4AtFf06BmqEdzAbEuugzlAFAqhKhyqkoAAIEt/?a=1988&amp;bti=ODszNWYuMDE6&amp;ch=0&amp;cr=0&amp;dr=0&amp;er=0&amp;lr=default&amp;cd=0%7C0%7C0%7C0&amp;br=250&amp;bt=125&amp;ds=5&amp;ft=GNDpcInz7ThjFKvPXq8Zmo&amp;mime_type=audio_mpeg&amp;qs=13&amp;rc=M3VwdTM6ZnNlbjMzNzU8M0BpM3VwdTM6ZnNlbjMzNzU8M0BraDVmcjRvaDFgLS1kMTZzYSNraDVmcjRvaDFgLS1kMTZzcw%3D%3D&amp;btag=e00050000&amp;expire=1764559388&amp;l=2025120110215532A809179141715F3748&amp;ply_type=3&amp;policy=3&amp;signature=eb544653d2efabcdd7243aee5526f7a8&amp;tk=7571587458748974088" TargetMode="External"/><Relationship Id="rId1007" Type="http://schemas.openxmlformats.org/officeDocument/2006/relationships/hyperlink" Target="https://p77-sign-va.tiktokcdn.com/tos-maliva-avt-0068/653ecd097a40a9bcfe371c2a0424bd79~tplv-tiktokx-cropcenter:1080:1080.jpeg?dr=14579&amp;refresh_token=7546a200&amp;x-expires=1764727200&amp;x-signature=bDPLNM0mI5ZLGkxnEZSeYcIv4bc%3D&amp;t=4d5b0474&amp;ps=13740610&amp;shp=a5d48078&amp;shcp=81f88b70&amp;idc=my" TargetMode="External"/><Relationship Id="rId1008" Type="http://schemas.openxmlformats.org/officeDocument/2006/relationships/hyperlink" Target="https://v16-webapp-prime.tiktok.com/video/tos/alisg/tos-alisg-pve-0037c001/oIyQkovqUAlIFAfIMg3EAQaQIhCSoUNjPy0zh8/?a=1988&amp;bti=ODszNWYuMDE6&amp;ch=0&amp;cr=3&amp;dr=0&amp;lr=all&amp;cd=0%7C0%7C0%7C&amp;cv=1&amp;br=1762&amp;bt=881&amp;cs=0&amp;ds=3&amp;ft=-Csk_mrMPD12NSBh5d-Uxs12aY6e3wv252cAp&amp;mime_type=video_mp4&amp;qs=0&amp;rc=ZTwzNDVmOzNkNTc8Ojs1NEBpMzhlM2Y6ZmRlbjMzNzczM0BfNS4yYDQyX14xY18tXzIwYSNyYy9pcjQwZjFgLS1kMTZzcw%3D%3D&amp;btag=e00090000&amp;expire=1764728588&amp;l=2025120110215532A809179141715F3748&amp;ply_type=2&amp;policy=2&amp;signature=451efd082f040652694c1fb4ec010ac7&amp;tk=tt_chain_token" TargetMode="External"/><Relationship Id="rId1009" Type="http://schemas.openxmlformats.org/officeDocument/2006/relationships/hyperlink" Target="https://www.tiktok.com/@psicologiaemcortes/video/7280273691005455622" TargetMode="External"/><Relationship Id="rId657" Type="http://schemas.openxmlformats.org/officeDocument/2006/relationships/hyperlink" Target="https://v16-webapp-prime.tiktok.com/video/tos/useast2a/tos-useast2a-v-27dcd7/ooyAEZ9KBzhivoAA16HANfcETgkCkE02EPjqJA/?a=1988&amp;bti=ODszNWYuMDE6&amp;ch=0&amp;cr=0&amp;dr=0&amp;er=0&amp;lr=default&amp;cd=0%7C0%7C0%7C0&amp;br=250&amp;bt=125&amp;ds=5&amp;ft=GNDpcInz7Th0zKvPXq8Zmo&amp;mime_type=audio_mpeg&amp;qs=13&amp;rc=andkZzc6Zmx4bjMzNzU8M0BpandkZzc6Zmx4bjMzNzU8M0BuczJvcjQwZ2BgLS1kMTZzYSNuczJvcjQwZ2BgLS1kMTZzcw%3D%3D&amp;btag=e00050000&amp;expire=1764559439&amp;l=2025120110213238A64472738F9C5726DD&amp;ply_type=3&amp;policy=3&amp;signature=16dbeb7cd0132f71145883c2fbdaef3b&amp;tk=7571587458748974088" TargetMode="External"/><Relationship Id="rId656"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655" Type="http://schemas.openxmlformats.org/officeDocument/2006/relationships/hyperlink" Target="https://www.tiktok.com/@pisicopop/video/7372576486915575045" TargetMode="External"/><Relationship Id="rId654" Type="http://schemas.openxmlformats.org/officeDocument/2006/relationships/hyperlink" Target="https://p77-sign-va.tiktokcdn.com/tos-maliva-avt-0068/0c857903b1d71ebd63a58d7ad9b30044~tplv-tiktokx-cropcenter:1080:1080.jpeg?dr=14579&amp;refresh_token=119a0f11&amp;x-expires=1764727200&amp;x-signature=HoicRW9XlcVqtFyC2Ibd4WPT48I%3D&amp;t=4d5b0474&amp;ps=13740610&amp;shp=a5d48078&amp;shcp=81f88b70&amp;idc=my" TargetMode="External"/><Relationship Id="rId659" Type="http://schemas.openxmlformats.org/officeDocument/2006/relationships/hyperlink" Target="https://v16-webapp-prime.tiktok.com/video/tos/useast2a/tos-useast2a-ve-0068c001/oAeCjl1bQzrKeCAZQh9Ij0OngD5ISPgPDjMeIi/?a=1988&amp;bti=ODszNWYuMDE6&amp;ch=0&amp;cr=3&amp;dr=0&amp;lr=all&amp;cd=0%7C0%7C0%7C&amp;cv=1&amp;br=1992&amp;bt=996&amp;cs=0&amp;ds=3&amp;ft=-Csk_mrMPD12NsDh5d-UxSc2hY6e3wv25DcAp&amp;mime_type=video_mp4&amp;qs=0&amp;rc=M2Y1Njo5OmRnNTNmNTc1OUBpMzo6c2Y6Znd4bjMzNzczM0AtYV8uNjY1NTMxMS01My8wYSMvMnJkcjRfZGBgLS1kMTZzcw%3D%3D&amp;btag=e00090000&amp;expire=1764728639&amp;l=2025120110213238A64472738F9C5726DD&amp;ply_type=2&amp;policy=2&amp;signature=680d59dcd16a1d7a123af91b10f3b4ed&amp;tk=tt_chain_token" TargetMode="External"/><Relationship Id="rId658"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480" Type="http://schemas.openxmlformats.org/officeDocument/2006/relationships/hyperlink" Target="https://www.tiktok.com/@igorpsicologo/video/7536699752629488952" TargetMode="External"/><Relationship Id="rId1481" Type="http://schemas.openxmlformats.org/officeDocument/2006/relationships/hyperlink" Target="https://p77-sign-va.tiktokcdn.com/tos-maliva-avt-0068/431bee7578e519987635a70e5b8f7fb3~tplv-tiktokx-cropcenter:100:100.jpeg?dr=14579&amp;refresh_token=22fe3023&amp;x-expires=1764727200&amp;x-signature=B%2BqycUlboPCsE%2BhHasWfyav%2Ft%2Bo%3D&amp;t=4d5b0474&amp;ps=13740610&amp;shp=a5d48078&amp;shcp=81f88b70&amp;idc=my" TargetMode="External"/><Relationship Id="rId1482" Type="http://schemas.openxmlformats.org/officeDocument/2006/relationships/hyperlink" Target="https://v16-webapp-prime.tiktok.com/video/tos/useast2a/tos-useast2a-v-27dcd7/owTQQSDAAIoAFCCNmJfBJWPjpzveRaUWCEBOKI/?a=1988&amp;bti=ODszNWYuMDE6&amp;ch=0&amp;cr=0&amp;dr=0&amp;er=0&amp;lr=default&amp;cd=0%7C0%7C0%7C0&amp;br=250&amp;bt=125&amp;ds=5&amp;ft=GNDpcInz7ThAzKvPXq8Zmo&amp;mime_type=audio_mpeg&amp;qs=13&amp;rc=anFmbHM5cm10NDMzNzU8M0BpanFmbHM5cm10NDMzNzU8M0BnLy5pMmRzMzFhLS1kMTZzYSNnLy5pMmRzMzFhLS1kMTZzcw%3D%3D&amp;btag=e00050000&amp;expire=1764559372&amp;l=202512011021380CC83080A64AA152B5B8&amp;ply_type=3&amp;policy=3&amp;signature=58f845f64c59efd26c090d1dfb865982&amp;tk=7571587458748974088" TargetMode="External"/><Relationship Id="rId1483" Type="http://schemas.openxmlformats.org/officeDocument/2006/relationships/hyperlink" Target="https://p77-sign-va.tiktokcdn.com/tos-maliva-avt-0068/431bee7578e519987635a70e5b8f7fb3~tplv-tiktokx-cropcenter:1080:1080.jpeg?dr=14579&amp;refresh_token=4553ee2b&amp;x-expires=1764727200&amp;x-signature=8pmd4P8yOCuhzXXpaXJUy9t6ZBw%3D&amp;t=4d5b0474&amp;ps=13740610&amp;shp=a5d48078&amp;shcp=81f88b70&amp;idc=my" TargetMode="External"/><Relationship Id="rId653" Type="http://schemas.openxmlformats.org/officeDocument/2006/relationships/hyperlink" Target="https://v16-webapp-prime.tiktok.com/video/tos/useast2a/tos-useast2a-v-27dcd7/oAFdFB5mUCWfBPKQE6BKhJqBJsQfM5HAU29QID/?a=1988&amp;bti=ODszNWYuMDE6&amp;ch=0&amp;cr=0&amp;dr=0&amp;er=0&amp;lr=default&amp;cd=0%7C0%7C0%7C0&amp;br=250&amp;bt=125&amp;ft=GNDpcInz7ThuPKvPXq8Zmo&amp;mime_type=audio_mpeg&amp;qs=6&amp;rc=Z2hpZzZlNTQ5ZDMzNTg5OUBpamlpanc5cmxkczMzNzU8M0AvYzIxMy1jNjUxYzZgNmIwYSNycjFhMmRrYjVgLS1kMTZzcw%3D%3D&amp;btag=e00090000&amp;expire=1764559312&amp;l=20251201102046E8B89E886773854715A1&amp;ply_type=3&amp;policy=3&amp;signature=fc393b1b13be8608db637c69f03f75f0&amp;tk=7571587458748974088" TargetMode="External"/><Relationship Id="rId1000" Type="http://schemas.openxmlformats.org/officeDocument/2006/relationships/hyperlink" Target="http://altashabilidades.sd" TargetMode="External"/><Relationship Id="rId1484" Type="http://schemas.openxmlformats.org/officeDocument/2006/relationships/hyperlink" Target="https://v16-webapp-prime.tiktok.com/video/tos/useast2a/tos-useast2a-ve-0068c003/oYIihUExEijtQnSFAuQmwUXJxrBDXIHaJEBPJ/?a=1988&amp;bti=ODszNWYuMDE6&amp;ch=0&amp;cr=3&amp;dr=0&amp;lr=all&amp;cd=0%7C0%7C0%7C&amp;cv=1&amp;br=2002&amp;bt=1001&amp;cs=0&amp;ds=3&amp;ft=-Csk_mrMPD12NaDh5d-Uxq42hY6e3wv25IcAp&amp;mime_type=video_mp4&amp;qs=0&amp;rc=ZmY0NGVnZjxlOWVlNGg0O0BpajszOGs5cmd0NDMzNzczM0AtMDZgMTA1NjUxNjA2LWNfYSNnZnJeMmQ0MDFhLS1kMTZzcw%3D%3D&amp;btag=e00090000&amp;expire=1764728572&amp;l=202512011021380CC83080A64AA152B5B8&amp;ply_type=2&amp;policy=2&amp;signature=84f15329020625ddce60939d6b5d0b7a&amp;tk=tt_chain_token" TargetMode="External"/><Relationship Id="rId652" Type="http://schemas.openxmlformats.org/officeDocument/2006/relationships/hyperlink" Target="https://p16-sign-va.tiktokcdn.com/tos-maliva-avt-0068/0c857903b1d71ebd63a58d7ad9b30044~tplv-tiktokx-cropcenter:100:100.jpeg?dr=14579&amp;refresh_token=c92bbeb2&amp;x-expires=1764727200&amp;x-signature=hYSdh1CelOhsN0%2BtbUykFli9sfU%3D&amp;t=4d5b0474&amp;ps=13740610&amp;shp=a5d48078&amp;shcp=81f88b70&amp;idc=my" TargetMode="External"/><Relationship Id="rId1001" Type="http://schemas.openxmlformats.org/officeDocument/2006/relationships/hyperlink" Target="https://p16-sign-sg.tiktokcdn.com/tos-alisg-avt-0068/64a1df84a6ae152984bbd52bdbf71799~tplv-tiktokx-cropcenter:100:100.jpeg?dr=14579&amp;refresh_token=1903b5e1&amp;x-expires=1764727200&amp;x-signature=cRgVb9U2t47wBK1iQ3nMxTenrm0%3D&amp;t=4d5b0474&amp;ps=13740610&amp;shp=a5d48078&amp;shcp=81f88b70&amp;idc=my" TargetMode="External"/><Relationship Id="rId1485" Type="http://schemas.openxmlformats.org/officeDocument/2006/relationships/hyperlink" Target="https://www.tiktok.com/@mr.tdahzinho/video/7514716968394493190" TargetMode="External"/><Relationship Id="rId651" Type="http://schemas.openxmlformats.org/officeDocument/2006/relationships/hyperlink" Target="https://www.tiktok.com/@liberdade.mentall/video/7527044595285380358" TargetMode="External"/><Relationship Id="rId1002" Type="http://schemas.openxmlformats.org/officeDocument/2006/relationships/hyperlink" Target="https://sf16-ies-music-sg.tiktokcdn.com/obj/tos-alisg-ve-2774/5cd3b219beed473dbeff43b537e0bc4d" TargetMode="External"/><Relationship Id="rId1486"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650" Type="http://schemas.openxmlformats.org/officeDocument/2006/relationships/hyperlink" Target="https://v16-webapp-prime.tiktok.com/video/tos/useast2a/tos-useast2a-pve-0068/o0BDIsM0Q51GFEQViB4bS5ASilavzZU9uiHEE/?a=1988&amp;bti=ODszNWYuMDE6&amp;ch=0&amp;cr=3&amp;dr=0&amp;lr=all&amp;cd=0%7C0%7C0%7C&amp;cv=1&amp;br=740&amp;bt=370&amp;cs=0&amp;ds=3&amp;ft=-Csk_mrMPD12N7Dh5d-UxII2hY6e3wv252cAp&amp;mime_type=video_mp4&amp;qs=0&amp;rc=ZDw8Ojg1aTQ5aWg1Zmk5NUBpamxuNHM5cnNwNDMzNzczM0AvNWNeNF8yXmMxYGExYDZfYSMubGtwMmRrcG5hLS1kMTZzcw%3D%3D&amp;btag=e00090000&amp;expire=1764728566&amp;l=2025120110210247DE29902DF1415935A0&amp;ply_type=2&amp;policy=2&amp;signature=dec6703de220ecbcd71fb13ccaae4dee&amp;tk=tt_chain_token" TargetMode="External"/><Relationship Id="rId1003" Type="http://schemas.openxmlformats.org/officeDocument/2006/relationships/hyperlink" Target="https://p16-sg.tiktokcdn.com/aweme/720x720/tos-alisg-v-2774/66a26eccfd91446180f958f436900c7f.jpeg" TargetMode="External"/><Relationship Id="rId1487" Type="http://schemas.openxmlformats.org/officeDocument/2006/relationships/hyperlink" Target="https://v16-webapp-prime.tiktok.com/video/tos/useast2a/tos-useast2a-v-27dcd7/ocqPDfvKUETJIoS3FAoQFBteItJkCAj4BBpARc/?a=1988&amp;bti=ODszNWYuMDE6&amp;ch=0&amp;cr=0&amp;dr=0&amp;er=0&amp;lr=default&amp;cd=0%7C0%7C0%7C0&amp;br=250&amp;bt=125&amp;ds=5&amp;ft=GNDpcInz7ThcFKvPXq8Zmo&amp;mime_type=audio_mpeg&amp;qs=13&amp;rc=M3U2Z3E5cjU3MzMzNzU8M0BpM3U2Z3E5cjU3MzMzNzU8M0ByMGllMmRraXNhLS1kMTZzYSNyMGllMmRraXNhLS1kMTZzcw%3D%3D&amp;btag=e00050000&amp;expire=1764559392&amp;l=2025120110220384643B3986DED954E961&amp;ply_type=3&amp;policy=3&amp;signature=5cc0138e749b0b7f7915ecf289f9a315&amp;tk=7571587458748974088" TargetMode="External"/><Relationship Id="rId1037" Type="http://schemas.openxmlformats.org/officeDocument/2006/relationships/hyperlink" Target="https://p77-sign-va.tiktokcdn.com/tos-maliva-avt-0068/fc1698d10dca32b79684fcca308c78cc~tplv-tiktokx-cropcenter:1080:1080.jpeg?dr=14579&amp;refresh_token=7a5c72ca&amp;x-expires=1764727200&amp;x-signature=mdrR35uP4icWi14xzo7Dz99gj6M%3D&amp;t=4d5b0474&amp;ps=13740610&amp;shp=a5d48078&amp;shcp=81f88b70&amp;idc=my" TargetMode="External"/><Relationship Id="rId1038" Type="http://schemas.openxmlformats.org/officeDocument/2006/relationships/hyperlink" Target="https://v16-webapp-prime.tiktok.com/video/tos/alisg/tos-alisg-pve-0037c001/o4RCOkAIEFDAgQeFfTFjZkAe2WVGGRgIQMjEfJ/?a=1988&amp;bti=ODszNWYuMDE6&amp;ch=0&amp;cr=3&amp;dr=0&amp;lr=all&amp;cd=0%7C0%7C0%7C&amp;cv=1&amp;br=1406&amp;bt=703&amp;cs=0&amp;ds=3&amp;ft=-Csk_mrMPD12NaDh5d-Uxq42hY6e3wv25IcAp&amp;mime_type=video_mp4&amp;qs=0&amp;rc=ZjY3ZDNoZDtoaGZlOjllaEBpajU7ZnU5cjRpNzMzODczNEA1XjAtY2E2XjAxMi5hMDFgYSMwNmIyMmRjc2RhLS1kMTFzcw%3D%3D&amp;btag=e00090000&amp;expire=1764728626&amp;l=202512011021380CC83080A64AA152B5B8&amp;ply_type=2&amp;policy=2&amp;signature=9213409e8d5eb8789bd74793b9e964d9&amp;tk=tt_chain_token" TargetMode="External"/><Relationship Id="rId1039" Type="http://schemas.openxmlformats.org/officeDocument/2006/relationships/hyperlink" Target="https://www.tiktok.com/@neurodivergenciaeopapo/video/7575336968486128903" TargetMode="External"/><Relationship Id="rId206" Type="http://schemas.openxmlformats.org/officeDocument/2006/relationships/hyperlink" Target="https://www.tiktok.com/@jeanalessandrob/video/7511453738578513157" TargetMode="External"/><Relationship Id="rId205" Type="http://schemas.openxmlformats.org/officeDocument/2006/relationships/hyperlink" Target="https://v16-webapp-prime.tiktok.com/video/tos/useast2a/tos-useast2a-ve-0068c001/oMOotlt0gAThgVODQQFAPCJDBfa4V3gEBCBJeI/?a=1988&amp;bti=ODszNWYuMDE6&amp;ch=0&amp;cr=3&amp;dr=0&amp;lr=all&amp;cd=0%7C0%7C0%7C&amp;cv=1&amp;br=2924&amp;bt=1462&amp;cs=0&amp;ds=3&amp;ft=-Csk_mrMPD12NNBh5d-UxIS5hY6e3wv25ocAp&amp;mime_type=video_mp4&amp;qs=0&amp;rc=PDc1NDY1NTZnNTYzNWU4NUBpM3Y7bWo5cmozMzMzNzgzM0A0LV9iMzIzNjExMzVgYi5jYSMtaV9nMmRjanNhLS1kLzZzcw%3D%3D&amp;btag=e00090000&amp;expire=1764728604&amp;l=20251201102153319CD8E1EA373154CB8C&amp;ply_type=2&amp;policy=2&amp;signature=88142d3f3eedae909ab8a78fcb100480&amp;tk=tt_chain_token" TargetMode="External"/><Relationship Id="rId689" Type="http://schemas.openxmlformats.org/officeDocument/2006/relationships/hyperlink" Target="https://v16-webapp-prime.tiktok.com/video/tos/useast2a/tos-useast2a-ve-0068c001/o44CgOakZEATOJOjnmjJyfQdHoiz4ABx0INIki/?a=1988&amp;bti=ODszNWYuMDE6&amp;ch=0&amp;cr=3&amp;dr=0&amp;lr=all&amp;cd=0%7C0%7C0%7C&amp;cv=1&amp;br=866&amp;bt=433&amp;cs=0&amp;ds=3&amp;ft=-Csk_mrMPD12N7Dh5d-UxII2hY6e3wv252cAp&amp;mime_type=video_mp4&amp;qs=0&amp;rc=aTw7ZTNmPDk5aTNmNTxmN0BpamhwO205cmc5NDMzNzczM0BeYDBiLjNhX2MxL15fYy4yYSMwYm1wMmRjNm1hLS1kMTZzcw%3D%3D&amp;btag=e00098000&amp;expire=1764728644&amp;l=2025120110210247DE29902DF1415935A0&amp;ply_type=2&amp;policy=2&amp;signature=eaf9721adf8035cd7d873cbd58f723e5&amp;tk=tt_chain_token" TargetMode="External"/><Relationship Id="rId204" Type="http://schemas.openxmlformats.org/officeDocument/2006/relationships/hyperlink" Target="https://p16-sign-va.tiktokcdn.com/tos-maliva-avt-0068/8bc5cafa0969c1cbad00f88541c52e3c~tplv-tiktokx-cropcenter:1080:1080.jpeg?dr=14579&amp;refresh_token=65a4956d&amp;x-expires=1764727200&amp;x-signature=J8DQ4WQMnuaQS%2FPsCwuvxwwEXik%3D&amp;t=4d5b0474&amp;ps=13740610&amp;shp=a5d48078&amp;shcp=81f88b70&amp;idc=my" TargetMode="External"/><Relationship Id="rId688" Type="http://schemas.openxmlformats.org/officeDocument/2006/relationships/hyperlink" Target="https://p19-common-sign-useastred.tiktokcdn-eu.com/tos-useast2a-avt-0068-euttp/aef08c932f06f3dfcbe7cd92188a70ad~tplv-tiktokx-cropcenter:1080:1080.jpeg?dr=14579&amp;refresh_token=204d10f1&amp;x-expires=1764727200&amp;x-signature=D1cda1M6tRe67ghlKiL5MXT99ik%3D&amp;t=4d5b0474&amp;ps=13740610&amp;shp=a5d48078&amp;shcp=81f88b70&amp;idc=my" TargetMode="External"/><Relationship Id="rId203" Type="http://schemas.openxmlformats.org/officeDocument/2006/relationships/hyperlink" Target="https://v16-webapp-prime.tiktok.com/video/tos/useast2a/tos-useast2a-v-27dcd7/ogZOwebIBbQCfC3gJOgYmCiL0exWXMQkFGeEA8/?a=1988&amp;bti=ODszNWYuMDE6&amp;ch=0&amp;cr=0&amp;dr=0&amp;er=0&amp;lr=default&amp;cd=0%7C0%7C0%7C0&amp;br=250&amp;bt=125&amp;ft=GNDpcInz7ThhFKvPXq8Zmo&amp;mime_type=audio_mpeg&amp;qs=6&amp;rc=ODs6ZjVmNjc4aTs6NWloZEBpajNodHA5cnUzMzMzNzU8M0AwNl8zNjYxNl4xLmBiLTIxYSNrcjE2MmRjanNhLS1kMTZzcw%3D%3D&amp;btag=e00090000&amp;expire=1764559404&amp;l=20251201102153319CD8E1EA373154CB8C&amp;ply_type=3&amp;policy=3&amp;signature=7072c3b911e5e1e65ab16e17704680d4&amp;tk=7571587458748974088" TargetMode="External"/><Relationship Id="rId687" Type="http://schemas.openxmlformats.org/officeDocument/2006/relationships/hyperlink" Target="https://v16-webapp-prime.tiktok.com/video/tos/useast2a/tos-useast2a-v-2370-euttp/o0VAjGfE2gd2Mj5eZEENTbEoAYEOFcoADeAe47/?a=1988&amp;bti=ODszNWYuMDE6&amp;ch=0&amp;cr=0&amp;dr=0&amp;er=0&amp;lr=default&amp;cd=0%7C0%7C0%7C0&amp;br=250&amp;bt=125&amp;ds=5&amp;ft=GNDpcInz7ThHzKvPXq8Zmo&amp;mime_type=audio_mpeg&amp;qs=13&amp;rc=ajZrcHg5cnJ4cjMzZjU8M0BpajZrcHg5cnJ4cjMzZjU8M0BwazBgMmRzM3FgLS1kMWNzYSNwazBgMmRzM3FgLS1kMWNzcw%3D%3D&amp;btag=e00058000&amp;expire=1764559514&amp;l=2025120110210247DE29902DF1415935A0&amp;ply_type=3&amp;policy=3&amp;signature=d013249944e2add582cc43a09e520c81&amp;tk=7571587458748974088" TargetMode="External"/><Relationship Id="rId209" Type="http://schemas.openxmlformats.org/officeDocument/2006/relationships/hyperlink" Target="https://p16-sign-va.tiktokcdn.com/tos-maliva-avt-0068/73f2b4a7adfba0e0a1105f8d8f9eea8a~tplv-tiktokx-cropcenter:1080:1080.jpeg?dr=14579&amp;refresh_token=74c68151&amp;x-expires=1764727200&amp;x-signature=%2FsXDbyB0zNGX04wG7r%2BOA9vk5Bw%3D&amp;t=4d5b0474&amp;ps=13740610&amp;shp=a5d48078&amp;shcp=81f88b70&amp;idc=my" TargetMode="External"/><Relationship Id="rId208" Type="http://schemas.openxmlformats.org/officeDocument/2006/relationships/hyperlink" Target="https://v16-webapp-prime.tiktok.com/video/tos/useast2a/tos-useast2a-v-27dcd7/o0RqbAkUJQECrJ7b6BQA1FnlAeA8DBvEBQeGBF/?a=1988&amp;bti=ODszNWYuMDE6&amp;ch=0&amp;cr=0&amp;dr=0&amp;er=0&amp;lr=default&amp;cd=0%7C0%7C0%7C0&amp;br=250&amp;bt=125&amp;ds=5&amp;ft=GNDpcInz7ThvFKvPXq8Zmo&amp;mime_type=audio_mpeg&amp;qs=13&amp;rc=Mzk4bWg6ZmU3bjMzNzU8M0BpMzk4bWg6ZmU3bjMzNzU8M0BsaV5kcjRvMF5gLS1kMTZzYSNsaV5kcjRvMF5gLS1kMTZzcw%3D%3D&amp;btag=e00060000&amp;expire=1764559707&amp;l=2025120110220104295D62D2C47867A675&amp;ply_type=3&amp;policy=3&amp;signature=4fd27a92b7a82bf9c1f4dffc2fa9e2b5&amp;tk=7571587458748974088" TargetMode="External"/><Relationship Id="rId207" Type="http://schemas.openxmlformats.org/officeDocument/2006/relationships/hyperlink" Target="https://p16-sign-va.tiktokcdn.com/tos-maliva-avt-0068/73f2b4a7adfba0e0a1105f8d8f9eea8a~tplv-tiktokx-cropcenter:100:100.jpeg?dr=14579&amp;refresh_token=40d0faef&amp;x-expires=1764727200&amp;x-signature=ic8pKClhxDWPnvq04ziMsoLcUGc%3D&amp;t=4d5b0474&amp;ps=13740610&amp;shp=a5d48078&amp;shcp=81f88b70&amp;idc=my" TargetMode="External"/><Relationship Id="rId682" Type="http://schemas.openxmlformats.org/officeDocument/2006/relationships/hyperlink" Target="https://v16-webapp-prime.tiktok.com/video/tos/useast2a/tos-useast2a-v-27dcd7/och3VgQNfCEtjCAAABJnZSBd4iBJiUA35fAE99/?a=1988&amp;bti=ODszNWYuMDE6&amp;ch=0&amp;cr=0&amp;dr=0&amp;er=0&amp;lr=default&amp;cd=0%7C0%7C0%7C0&amp;br=250&amp;bt=125&amp;ds=5&amp;ft=GNDpcInz7Th8zKvPXq8Zmo&amp;mime_type=audio_mpeg&amp;qs=13&amp;rc=ajM6cHc5cmR4djMzNzU8M0BpajM6cHc5cmR4djMzNzU8M0BiY2BwMmRzL29gLS1kMTZzYSNiY2BwMmRzL29gLS1kMTZzcw%3D%3D&amp;btag=e00050000&amp;expire=1764559308&amp;l=202512011020485614ECD0EEDB8C5FDDDB&amp;ply_type=3&amp;policy=3&amp;signature=a1d5477d026c456672126aeb3e6d4814&amp;tk=7571587458748974088" TargetMode="External"/><Relationship Id="rId681"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030" Type="http://schemas.openxmlformats.org/officeDocument/2006/relationships/hyperlink" Target="https://p77-sign-va.tiktokcdn.com/tos-maliva-avt-0068/889071946a8680cf43388c6e7048691b~tplv-tiktokx-cropcenter:100:100.jpeg?dr=14579&amp;refresh_token=3ab7503a&amp;x-expires=1764727200&amp;x-signature=GBbwjiAo5Wv%2FsOCvpc7ZIOmpk5I%3D&amp;t=4d5b0474&amp;ps=13740610&amp;shp=a5d48078&amp;shcp=81f88b70&amp;idc=my" TargetMode="External"/><Relationship Id="rId680" Type="http://schemas.openxmlformats.org/officeDocument/2006/relationships/hyperlink" Target="https://www.tiktok.com/@drdanieltales/video/7395685186454686981" TargetMode="External"/><Relationship Id="rId1031" Type="http://schemas.openxmlformats.org/officeDocument/2006/relationships/hyperlink" Target="https://sf16-ies-music-sg.tiktokcdn.com/obj/tos-alisg-ve-2774/o0ET0OQDnB1f4NEFE1qtoCIBtBDmf5ngOZMPn2" TargetMode="External"/><Relationship Id="rId1032" Type="http://schemas.openxmlformats.org/officeDocument/2006/relationships/hyperlink" Target="https://p16-sg.tiktokcdn.com/aweme/720x720/tos-alisg-v-2774/oUDtWjvj4BUAjAA0NDAxPQEAirPiaEOOUYEDP.jpeg" TargetMode="External"/><Relationship Id="rId202" Type="http://schemas.openxmlformats.org/officeDocument/2006/relationships/hyperlink" Target="https://p16-sign-va.tiktokcdn.com/tos-maliva-avt-0068/8bc5cafa0969c1cbad00f88541c52e3c~tplv-tiktokx-cropcenter:100:100.jpeg?dr=14579&amp;refresh_token=bbe3f750&amp;x-expires=1764727200&amp;x-signature=1k1yFcNBSg6VKoWlvU2oeDHu6jc%3D&amp;t=4d5b0474&amp;ps=13740610&amp;shp=a5d48078&amp;shcp=81f88b70&amp;idc=my" TargetMode="External"/><Relationship Id="rId686"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1033" Type="http://schemas.openxmlformats.org/officeDocument/2006/relationships/hyperlink" Target="https://v16-webapp-prime.tiktok.com/video/tos/alisg/tos-alisg-pve-0037c001/owYEiKajB7A1o1Y7R6VTEQiEBJSPrUsIBhsmA/?a=1988&amp;bti=ODszNWYuMDE6&amp;ch=0&amp;cr=3&amp;dr=0&amp;lr=all&amp;cd=0%7C0%7C0%7C&amp;cv=1&amp;br=1092&amp;bt=546&amp;cs=0&amp;ds=3&amp;ft=-Csk_mrMPD12NXdh5d-Uxe42hY6e3wv25XcAp&amp;mime_type=video_mp4&amp;qs=0&amp;rc=NDhlZmg8aTM2Mzo7aGU1NkBpMzxoaHU5cmw5NzMzODczNEBiL2FeXl9gNi4xYmNgYTVjYSMvam5eMmQ0ZGBhLS1kMTFzcw%3D%3D&amp;btag=e000b8000&amp;expire=1764728433&amp;l=202512011020161DC26370CAB01566B4BC&amp;ply_type=2&amp;policy=2&amp;signature=5567ecb6b7880772e1a154cb9a047110&amp;tk=tt_chain_token" TargetMode="External"/><Relationship Id="rId201" Type="http://schemas.openxmlformats.org/officeDocument/2006/relationships/hyperlink" Target="https://www.tiktok.com/@metropolesoficial/video/7441743466159230263" TargetMode="External"/><Relationship Id="rId685" Type="http://schemas.openxmlformats.org/officeDocument/2006/relationships/hyperlink" Target="https://www.tiktok.com/@lorenatdahta/video/7437660820085034295" TargetMode="External"/><Relationship Id="rId1034" Type="http://schemas.openxmlformats.org/officeDocument/2006/relationships/hyperlink" Target="https://www.tiktok.com/@isaquecampos21/video/7572917537868991762" TargetMode="External"/><Relationship Id="rId200" Type="http://schemas.openxmlformats.org/officeDocument/2006/relationships/hyperlink" Target="https://v16-webapp-prime.tiktok.com/video/tos/useast2a/tos-useast2a-ve-0068c002/oMJRDfqBEEWJElYJTQnQFBfGIvRmAouuFB8JcR/?a=1988&amp;bti=ODszNWYuMDE6&amp;ch=0&amp;cr=3&amp;dr=0&amp;lr=all&amp;cd=0%7C0%7C0%7C&amp;cv=1&amp;br=1794&amp;bt=897&amp;cs=0&amp;ds=3&amp;ft=I~da4oKyD12Nvl.WS.IxR51NWlBF-UjNSMopiX&amp;mime_type=video_mp4&amp;qs=0&amp;rc=OzM0PGY2PDg4OzUzZjRlM0BpMzxseW85cmo5dzMzNzczM0BjNWExXzYtXzQxXzIzMGAuYSNrcG8xMmRjMTBgLS1kMTZzcw%3D%3D&amp;btag=e00090000&amp;expire=1764728501&amp;l=2025120110201396469B6E0854EC6377C0&amp;ply_type=2&amp;policy=2&amp;signature=268ecbe3c91d6ce0b25ad8b695e8b658&amp;tk=tt_chain_token" TargetMode="External"/><Relationship Id="rId684" Type="http://schemas.openxmlformats.org/officeDocument/2006/relationships/hyperlink" Target="https://v16-webapp-prime.tiktok.com/video/tos/alisg/tos-alisg-pve-0037c001/ocNYQYCOCgaInAjUJEPWfgRAfU4DbFjEeSRn0I/?a=1988&amp;bti=ODszNWYuMDE6&amp;ch=0&amp;cr=3&amp;dr=0&amp;lr=all&amp;cd=0%7C0%7C0%7C&amp;cv=1&amp;br=1200&amp;bt=600&amp;cs=0&amp;ds=3&amp;ft=-Csk_mrMPD12NxDh5d-UxIS5hY6e3wv25ycAp&amp;mime_type=video_mp4&amp;qs=0&amp;rc=NDUzODtnOzU2ZDs7ZGQ2NEBpMzs7ZWs5cjh4djMzNzczM0BfYy42YDEuNTIxLi1gMi8yYSNpZTBnMmQ0L29gLS1kMTZzcw%3D%3D&amp;btag=e00090000&amp;expire=1764728508&amp;l=202512011020485614ECD0EEDB8C5FDDDB&amp;ply_type=2&amp;policy=2&amp;signature=bcea9a85b23c5a110139880c0747f1fa&amp;tk=tt_chain_token" TargetMode="External"/><Relationship Id="rId1035" Type="http://schemas.openxmlformats.org/officeDocument/2006/relationships/hyperlink" Target="https://p16-sign-va.tiktokcdn.com/tos-maliva-avt-0068/fc1698d10dca32b79684fcca308c78cc~tplv-tiktokx-cropcenter:100:100.jpeg?dr=14579&amp;refresh_token=866fa9ea&amp;x-expires=1764727200&amp;x-signature=qpjl1%2Bt4vMIEwTmJJ5wdX%2FC1yLE%3D&amp;t=4d5b0474&amp;ps=13740610&amp;shp=a5d48078&amp;shcp=81f88b70&amp;idc=my" TargetMode="External"/><Relationship Id="rId683"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036" Type="http://schemas.openxmlformats.org/officeDocument/2006/relationships/hyperlink" Target="https://v16-webapp-prime.tiktok.com/video/tos/alisg/tos-alisg-v-27dcd7/okaIK9hCRUMDAElAW0iA07iBVEQBzm79YvdBS/?a=1988&amp;bti=ODszNWYuMDE6&amp;ch=0&amp;cr=0&amp;dr=0&amp;er=0&amp;lr=default&amp;cd=0%7C0%7C0%7C0&amp;br=250&amp;bt=125&amp;ft=GNDpcInz7ThAzKvPXq8Zmo&amp;mime_type=audio_mpeg&amp;qs=6&amp;rc=O2dlNGlmN2VnNWQ8NTs3N0Bpam5yeXU5cjdqNzMzODU8NEA2NDU1YmIyNmIxYDUzYjZeYSNtNF5xMmRrL2RhLS1kMS1zcw%3D%3D&amp;btag=e00090000&amp;expire=1764559426&amp;l=202512011021380CC83080A64AA152B5B8&amp;ply_type=3&amp;policy=3&amp;signature=be55417e6be8f6718621404cf6607243&amp;tk=7571587458748974088" TargetMode="External"/><Relationship Id="rId1026" Type="http://schemas.openxmlformats.org/officeDocument/2006/relationships/hyperlink" Target="https://v16-webapp-prime.tiktok.com/video/tos/alisg/tos-alisg-v-27dcd7/o8BUJAACCoKUwjAE2AiioAVabZEwPnRAXlY8C/?a=1988&amp;bti=ODszNWYuMDE6&amp;ch=0&amp;cr=0&amp;dr=0&amp;er=0&amp;lr=default&amp;cd=0%7C0%7C0%7C0&amp;br=250&amp;bt=125&amp;ds=5&amp;ft=GNDpcInz7Th4zKvPXq8Zmo&amp;mime_type=audio_mpeg&amp;qs=13&amp;rc=ajw0eWo5cjZqNzMzODU8NEBpajw0eWo5cjZqNzMzODU8NEBfZjJnMmQ0aV5hLS1kMS1zYSNfZjJnMmQ0aV5hLS1kMS1zcw%3D%3D&amp;btag=e00050000&amp;expire=1764559353&amp;l=20251201102104F69A53E45B65A94E5B1C&amp;ply_type=3&amp;policy=3&amp;signature=2d835503174c66b8dbe24b76b49f6a62&amp;tk=7571587458748974088" TargetMode="External"/><Relationship Id="rId1027" Type="http://schemas.openxmlformats.org/officeDocument/2006/relationships/hyperlink" Target="https://p16-sign-va.tiktokcdn.com/tos-maliva-avt-0068/cc4c7490dee638829f007d6b41ea9da8~tplv-tiktokx-cropcenter:1080:1080.jpeg?dr=14579&amp;refresh_token=e9486c41&amp;x-expires=1764727200&amp;x-signature=gYS1b5PglLxiCauOugy2oVsJIZY%3D&amp;t=4d5b0474&amp;ps=13740610&amp;shp=a5d48078&amp;shcp=81f88b70&amp;idc=my" TargetMode="External"/><Relationship Id="rId1028" Type="http://schemas.openxmlformats.org/officeDocument/2006/relationships/hyperlink" Target="https://v16-webapp-prime.tiktok.com/video/tos/alisg/tos-alisg-pve-0037c001/o8fSCoiqiAAixOFIQEA9xMA9HWUwp0xHBCIVi0/?a=1988&amp;bti=ODszNWYuMDE6&amp;ch=0&amp;cr=3&amp;dr=0&amp;lr=all&amp;cd=0%7C0%7C0%7C&amp;cv=1&amp;br=2382&amp;bt=1191&amp;cs=0&amp;ds=3&amp;ft=-Csk_mrMPD12NyDh5d-UxO72hY6e3wv257cAp&amp;mime_type=video_mp4&amp;qs=0&amp;rc=N2ZoN2c2Ojc7Mzs8NTtoNkBpajo3NGs5cmtqNzMzODczNEBjXy40MTU0X2ExYi01L2JhYSMvLXJfMmRjaF5hLS1kMTFzcw%3D%3D&amp;btag=e00090000&amp;expire=1764728553&amp;l=20251201102104F69A53E45B65A94E5B1C&amp;ply_type=2&amp;policy=2&amp;signature=109c0ae007f1ccf8887fb347cb37c9f1&amp;tk=tt_chain_token" TargetMode="External"/><Relationship Id="rId1029" Type="http://schemas.openxmlformats.org/officeDocument/2006/relationships/hyperlink" Target="https://www.tiktok.com/@patriciacandidopsi/video/7571969889716604178" TargetMode="External"/><Relationship Id="rId679" Type="http://schemas.openxmlformats.org/officeDocument/2006/relationships/hyperlink" Target="https://v16-webapp-prime.tiktok.com/video/tos/useast2a/tos-useast2a-ve-0068c001/ocyexgSDNCwvFZ9FEGtX3AQ5ICpifR2gAjIJem/?a=1988&amp;bti=ODszNWYuMDE6&amp;ch=0&amp;cr=3&amp;dr=0&amp;lr=all&amp;cd=0%7C0%7C0%7C&amp;cv=1&amp;br=776&amp;bt=388&amp;cs=0&amp;ds=6&amp;ft=-Csk_mrMPD12N7Dh5d-UxII2hY6e3wv252cAp&amp;mime_type=video_mp4&amp;qs=5&amp;rc=ODQzNmllaGQ3ZzM4ZTQ8OEBpajVtO3E5cjxldDMzNzczM0A0MS1jLjM1Xi4xLTYtMl9gYSNwcS9yMmRrc2VgLS1kMTZzcw%3D%3D&amp;btag=e00090000&amp;expire=1764728533&amp;l=2025120110210247DE29902DF1415935A0&amp;ply_type=2&amp;policy=2&amp;signature=00e4768b33f4bd45f260f73ea700d4dd&amp;tk=tt_chain_token" TargetMode="External"/><Relationship Id="rId678" Type="http://schemas.openxmlformats.org/officeDocument/2006/relationships/hyperlink" Target="https://p77-sign-va.tiktokcdn.com/tos-maliva-avt-0068/351617397cb25a2a8754aa256e7690b2~tplv-tiktokx-cropcenter:1080:1080.jpeg?dr=14579&amp;refresh_token=a00df101&amp;x-expires=1764727200&amp;x-signature=nl6LcutM2NFiUL717hwHtVzY21w%3D&amp;t=4d5b0474&amp;ps=13740610&amp;shp=a5d48078&amp;shcp=81f88b70&amp;idc=my" TargetMode="External"/><Relationship Id="rId677" Type="http://schemas.openxmlformats.org/officeDocument/2006/relationships/hyperlink" Target="https://v16-webapp-prime.tiktok.com/video/tos/useast2a/tos-useast2a-v-27dcd7/osJBCFBeA7PfF4oGRmH7CIJFXAIUIA6vDsg8EQ/?a=1988&amp;bti=ODszNWYuMDE6&amp;ch=0&amp;cr=0&amp;dr=0&amp;er=0&amp;lr=default&amp;cd=0%7C0%7C0%7C0&amp;br=250&amp;bt=125&amp;ds=5&amp;ft=GNDpcInz7ThHzKvPXq8Zmo&amp;mime_type=audio_mpeg&amp;qs=13&amp;rc=M3h5cXY5cjZmdDMzNzU8M0BpM3h5cXY5cjZmdDMzNzU8M0AvbmIuMmRzLmVgLS1kMTZzYSMvbmIuMmRzLmVgLS1kMTZzcw%3D%3D&amp;btag=e00050000&amp;expire=1764559332&amp;l=2025120110210247DE29902DF1415935A0&amp;ply_type=3&amp;policy=3&amp;signature=36ca2a204dd42eec124d210dcfe85c37&amp;tk=7571587458748974088" TargetMode="External"/><Relationship Id="rId676" Type="http://schemas.openxmlformats.org/officeDocument/2006/relationships/hyperlink" Target="https://p16-sign-va.tiktokcdn.com/tos-maliva-avt-0068/351617397cb25a2a8754aa256e7690b2~tplv-tiktokx-cropcenter:100:100.jpeg?dr=14579&amp;refresh_token=aee6df8a&amp;x-expires=1764727200&amp;x-signature=yw2519Sp51sjirOA0%2BlTRbjdXgQ%3D&amp;t=4d5b0474&amp;ps=13740610&amp;shp=a5d48078&amp;shcp=81f88b70&amp;idc=my" TargetMode="External"/><Relationship Id="rId671"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670" Type="http://schemas.openxmlformats.org/officeDocument/2006/relationships/hyperlink" Target="https://www.tiktok.com/@dr.guilhermemachado/video/7211652717209570566" TargetMode="External"/><Relationship Id="rId1020" Type="http://schemas.openxmlformats.org/officeDocument/2006/relationships/hyperlink" Target="https://p16-sign-va.tiktokcdn.com/tos-maliva-avt-0068/549101d95ad159a019e42ecc970db1ce~tplv-tiktokx-cropcenter:100:100.jpeg?dr=14579&amp;refresh_token=f3ce4c09&amp;x-expires=1764727200&amp;x-signature=nZQwIDGyaI7Htfu4kk8n%2BP8jKvU%3D&amp;t=4d5b0474&amp;ps=13740610&amp;shp=a5d48078&amp;shcp=81f88b70&amp;idc=my" TargetMode="External"/><Relationship Id="rId1021" Type="http://schemas.openxmlformats.org/officeDocument/2006/relationships/hyperlink" Target="https://sf16-ies-music-sg.tiktokcdn.com/obj/tos-alisg-ve-2774/ocf1I8madAemM8NxAJeQKvFAbGWXg2WtbMfwYt" TargetMode="External"/><Relationship Id="rId675" Type="http://schemas.openxmlformats.org/officeDocument/2006/relationships/hyperlink" Target="https://www.tiktok.com/@liberdade.mentall/video/7524478649664277816" TargetMode="External"/><Relationship Id="rId1022" Type="http://schemas.openxmlformats.org/officeDocument/2006/relationships/hyperlink" Target="https://p77-sg.tiktokcdn.com/aweme/720x720/tos-alisg-v-2774/ocAGNfbcAbmtIt51LmKNeQQGaAPAWAUF4ze0e5.jpeg" TargetMode="External"/><Relationship Id="rId674" Type="http://schemas.openxmlformats.org/officeDocument/2006/relationships/hyperlink" Target="https://v16-webapp-prime.tiktok.com/video/tos/useast2a/tos-useast2a-ve-0068c001/oc8ksrFACQCQNfgFNZMeSQEZ2IIK6UrAKWeEZi/?a=1988&amp;bti=ODszNWYuMDE6&amp;ch=0&amp;cr=3&amp;dr=0&amp;lr=all&amp;cd=0%7C0%7C0%7C&amp;cv=1&amp;br=1562&amp;bt=781&amp;cs=0&amp;ds=3&amp;ft=-Csk_mrMPD12NsDh5d-UxSc2hY6e3wv25DcAp&amp;mime_type=video_mp4&amp;qs=0&amp;rc=Zmc5NjRkPDZlNWc0aTZnZUBpM3lsZWs5cmo4NDMzNzgzM0AtYWE2YWMyXjUxLV5iNl8tYSNjYy9oMmRrL2phLS1kLzZzcw%3D%3D&amp;btag=e00090000&amp;expire=1764728579&amp;l=2025120110213238A64472738F9C5726DD&amp;ply_type=2&amp;policy=2&amp;signature=33ae12acb080664441e11f0b385549e9&amp;tk=tt_chain_token" TargetMode="External"/><Relationship Id="rId1023" Type="http://schemas.openxmlformats.org/officeDocument/2006/relationships/hyperlink" Target="https://v16-webapp-prime.tiktok.com/video/tos/alisg/tos-alisg-ve-37c813-sg/oUolJy66EBjItAFR8BYEUagQEuEvQSfivU1DEf/?a=1988&amp;bti=ODszNWYuMDE6&amp;ch=0&amp;cr=3&amp;dr=0&amp;lr=all&amp;cd=0%7C0%7C0%7C&amp;cv=1&amp;br=1070&amp;bt=535&amp;cs=0&amp;ds=3&amp;ft=-Csk_mrMPD12N6Dh5d-Uxq42hY6e3wv25IcAp&amp;mime_type=video_mp4&amp;qs=0&amp;rc=aDo6Zjw5aTQ2OTw2ZzpkNkBpamt4bHg5cjRnNTMzNzczM0AvMTMyNl8xNS0xL2JgNF5hYSNzbGZiMmQ0XnFhLS1kMTZzcw%3D%3D&amp;btag=e00090000&amp;expire=1764728565&amp;l=202512011021342A4EB9620CED315EA2E7&amp;ply_type=2&amp;policy=2&amp;signature=7caa8e7b6f9cf26d18a12d60eca732e1&amp;tk=tt_chain_token" TargetMode="External"/><Relationship Id="rId673"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1024" Type="http://schemas.openxmlformats.org/officeDocument/2006/relationships/hyperlink" Target="https://www.tiktok.com/@desejos.sabios/video/7546578895546404101" TargetMode="External"/><Relationship Id="rId672" Type="http://schemas.openxmlformats.org/officeDocument/2006/relationships/hyperlink" Target="https://v16-webapp-prime.tiktok.com/video/tos/useast2a/tos-useast2a-v-27dcd7/ogOsD4QbfCIm2GJJQDJorYBaUEBJFUUeyFBMCs/?a=1988&amp;bti=ODszNWYuMDE6&amp;ch=0&amp;cr=0&amp;dr=0&amp;er=0&amp;lr=default&amp;cd=0%7C0%7C0%7C0&amp;br=250&amp;bt=125&amp;ft=GNDpcInz7Th0zKvPXq8Zmo&amp;mime_type=audio_mpeg&amp;qs=6&amp;rc=ODs2ZThpZzs6Zzs1NWc4OEBpM3J3b3A5cjM4NDMzNzU8M0AzXjVjLWAxXzUxLy5fL2FfYSNhcWBgMmRzMGphLS1kMTZzcw%3D%3D&amp;btag=e00090000&amp;expire=1764559379&amp;l=2025120110213238A64472738F9C5726DD&amp;ply_type=3&amp;policy=3&amp;signature=9ba5ff5c828ea9b509f77bab517a44da&amp;tk=7571587458748974088" TargetMode="External"/><Relationship Id="rId1025" Type="http://schemas.openxmlformats.org/officeDocument/2006/relationships/hyperlink" Target="https://p16-sign-va.tiktokcdn.com/tos-maliva-avt-0068/cc4c7490dee638829f007d6b41ea9da8~tplv-tiktokx-cropcenter:100:100.jpeg?dr=14579&amp;refresh_token=5e1bd039&amp;x-expires=1764727200&amp;x-signature=owZfee0ZpHWOOQS9b98vJ%2BPG%2FSA%3D&amp;t=4d5b0474&amp;ps=13740610&amp;shp=a5d48078&amp;shcp=81f88b70&amp;idc=my" TargetMode="External"/><Relationship Id="rId190" Type="http://schemas.openxmlformats.org/officeDocument/2006/relationships/hyperlink" Target="https://v16-webapp-prime.tiktok.com/video/tos/useast2a/tos-useast2a-ve-0068c004/oEcJEAPUCCCHyYBI2IAgife5s5nKTpwPfdrjSJ/?a=1988&amp;bti=ODszNWYuMDE6&amp;ch=0&amp;cr=3&amp;dr=0&amp;lr=all&amp;cd=0%7C0%7C0%7C&amp;cv=1&amp;br=1488&amp;bt=744&amp;cs=0&amp;ds=3&amp;ft=I~da4oKyD12NvaMWS.IxRYjNWlBF-UjNSkopiX&amp;mime_type=video_mp4&amp;qs=0&amp;rc=Ozk6Mzk5NDw2NWY7M2ZmO0BpajlwcDs6ZnN2bDMzNzczM0A1MDRhMjJeXl4xYTEwLWIzYSMvMnAzcjRfZzFgLS1kMTZzcw%3D%3D&amp;btag=e00090000&amp;expire=1764728594&amp;l=2025120110220384643B3986DED954E961&amp;ply_type=2&amp;policy=2&amp;signature=dbb1ba85cc929c77b9a4ab22677847a2&amp;tk=tt_chain_token" TargetMode="External"/><Relationship Id="rId194" Type="http://schemas.openxmlformats.org/officeDocument/2006/relationships/hyperlink" Target="https://p77-sign-va.tiktokcdn.com/tos-maliva-avt-0068/59f709c3491b2ea558121494582c7315~tplv-tiktokx-cropcenter:1080:1080.jpeg?dr=14579&amp;refresh_token=ec32b0c6&amp;x-expires=1764727200&amp;x-signature=XgMJPvcSiFGTVWTgmNbjp2y15TQ%3D&amp;t=4d5b0474&amp;ps=13740610&amp;shp=a5d48078&amp;shcp=81f88b70&amp;idc=my" TargetMode="External"/><Relationship Id="rId193" Type="http://schemas.openxmlformats.org/officeDocument/2006/relationships/hyperlink" Target="https://v16-webapp-prime.tiktok.com/video/tos/useast2a/tos-useast2a-v-27dcd7/owyyTLAesGbQoHYqCEIARe88rRqgfWIMAVSCUh/?a=1988&amp;bti=ODszNWYuMDE6&amp;ch=0&amp;cr=0&amp;dr=0&amp;er=0&amp;lr=default&amp;cd=0%7C0%7C0%7C0&amp;br=250&amp;bt=125&amp;ds=5&amp;ft=GNDpcInz7Th6zKvPXq8Zmo&amp;mime_type=audio_mpeg&amp;qs=13&amp;rc=Mzs1bXE5cjhqcTMzNzU8M0BpMzs1bXE5cjhqcTMzNzU8M0BpaWFrMmRjc2BgLS1kMTZzYSNpaWFrMmRjc2BgLS1kMTZzcw%3D%3D&amp;btag=e00050000&amp;expire=1764559444&amp;l=202512011021446E702D323C03BE6BD085&amp;ply_type=3&amp;policy=3&amp;signature=e1063302ae0371b1527987dc36b31206&amp;tk=7571587458748974088" TargetMode="External"/><Relationship Id="rId192" Type="http://schemas.openxmlformats.org/officeDocument/2006/relationships/hyperlink" Target="https://p77-sign-va.tiktokcdn.com/tos-maliva-avt-0068/59f709c3491b2ea558121494582c7315~tplv-tiktokx-cropcenter:100:100.jpeg?dr=14579&amp;refresh_token=c8d18d23&amp;x-expires=1764727200&amp;x-signature=eqX2Jr6zVOlaiPwKSESzqD2GqHM%3D&amp;t=4d5b0474&amp;ps=13740610&amp;shp=a5d48078&amp;shcp=81f88b70&amp;idc=my" TargetMode="External"/><Relationship Id="rId191" Type="http://schemas.openxmlformats.org/officeDocument/2006/relationships/hyperlink" Target="https://www.tiktok.com/@drajupsiquiatra/video/7244543496407780614" TargetMode="External"/><Relationship Id="rId187" Type="http://schemas.openxmlformats.org/officeDocument/2006/relationships/hyperlink" Target="https://p77-sign-va.tiktokcdn.com/tos-maliva-avt-0068/18e50a227eb34ef7736cd251f9b31829~tplv-tiktokx-cropcenter:100:100.jpeg?dr=14579&amp;refresh_token=66fee008&amp;x-expires=1764727200&amp;x-signature=yY41pOKRYTUnDQ0sgpwE4sgreN4%3D&amp;t=4d5b0474&amp;ps=13740610&amp;shp=a5d48078&amp;shcp=81f88b70&amp;idc=my" TargetMode="External"/><Relationship Id="rId186" Type="http://schemas.openxmlformats.org/officeDocument/2006/relationships/hyperlink" Target="https://www.tiktok.com/@tdahdescomplicado/video/7228393702429969669" TargetMode="External"/><Relationship Id="rId185" Type="http://schemas.openxmlformats.org/officeDocument/2006/relationships/hyperlink" Target="https://webapp-va.tiktok.com/fcbec602da18f3292f3057d8390604c1/692f9fb3/kmoat/mps/logo/v3/r/p/v09044g40000ch86jijc77u1bkce8gbg/613ae3029b6441b28d504346f6a857ec/a333cd6af2cbc1ed927c4801092701dc/mp4/main.mp4?a=1988&amp;bti=ODszNWYuMDE6&amp;ch=0&amp;cr=3&amp;dr=0&amp;lr=all&amp;cd=0%7C0%7C0%7C&amp;cv=1&amp;br=0&amp;bt=0&amp;cs=0&amp;ds=3&amp;ft=bLZkJmrMPD12Nfgh5d-UxIX5bY6e3wv25McAp&amp;mime_type=video_mp4&amp;qs=0&amp;rc=cnF8b2hsc2d3SkBwaHIxaDFybndmZjo7OTk2M2c1NDdlNTZkNEBpampobjQ6Zmw5azMzNzczM0BjRl5Nc3FePmJKYSNvYF90aHFmOiNiMl5jMTEyNV8xMzYtYjAzYSNfNWBfcjRnZzVgLS1kMTZzcw%3D%3D&amp;btag=e000b8000&amp;definition=720p&amp;du=17&amp;item_id=7228393702429969669&amp;l=20251201102538FD2B0CCA7A49266A013E&amp;logo_type=tiktok_creator&amp;ply_type=2&amp;policy=eyJ2bSI6MiwiY2siOiJ0dF9jaGFpbl90b2tlbiJ9&amp;sign_params=item_id%2Cuser_text&amp;user_text=tdahdescomplicado" TargetMode="External"/><Relationship Id="rId184" Type="http://schemas.openxmlformats.org/officeDocument/2006/relationships/hyperlink" Target="https://p77-sign-va.tiktokcdn.com/tos-maliva-avt-0068/9c7e33a443eac8b62c597b69b16902e0~tplv-tiktokx-cropcenter:1080:1080.jpeg?dr=14579&amp;refresh_token=e9c61db9&amp;x-expires=1764727200&amp;x-signature=%2B9ee08jMrygBa78IbwjBrh9znMM%3D&amp;t=4d5b0474&amp;ps=13740610&amp;shp=a5d48078&amp;shcp=81f88b70&amp;idc=my" TargetMode="External"/><Relationship Id="rId189" Type="http://schemas.openxmlformats.org/officeDocument/2006/relationships/hyperlink" Target="https://p16-sign-va.tiktokcdn.com/tos-maliva-avt-0068/18e50a227eb34ef7736cd251f9b31829~tplv-tiktokx-cropcenter:1080:1080.jpeg?dr=14579&amp;refresh_token=a1b333ae&amp;x-expires=1764727200&amp;x-signature=NDJBoXFxsoNYNVxGL9%2FgMEtn95Y%3D&amp;t=4d5b0474&amp;ps=13740610&amp;shp=a5d48078&amp;shcp=81f88b70&amp;idc=my" TargetMode="External"/><Relationship Id="rId188" Type="http://schemas.openxmlformats.org/officeDocument/2006/relationships/hyperlink" Target="https://v16-webapp-prime.tiktok.com/video/tos/useast2a/tos-useast2a-v-27dcd7/7597f5f2ec77499c85f9104d7a9d625d/?a=1988&amp;bti=ODszNWYuMDE6&amp;ch=0&amp;cr=0&amp;dr=0&amp;er=0&amp;lr=default&amp;cd=0%7C0%7C0%7C0&amp;br=250&amp;bt=125&amp;ds=5&amp;ft=GNDpcInz7ThcFKvPXq8Zmo&amp;mime_type=audio_mpeg&amp;qs=13&amp;rc=ajNtb2Q6ZnZ2bDMzNzU8M0BpajNtb2Q6ZnZ2bDMzNzU8M0BsYWIvcjRvZzFgLS1kMTZzYSNsYWIvcjRvZzFgLS1kMTZzcw%3D%3D&amp;btag=e00050000&amp;expire=1764559394&amp;l=2025120110220384643B3986DED954E961&amp;ply_type=3&amp;policy=3&amp;signature=843c98194caa63ab86163d5aa86552a0&amp;tk=7571587458748974088" TargetMode="External"/><Relationship Id="rId183" Type="http://schemas.openxmlformats.org/officeDocument/2006/relationships/hyperlink" Target="https://v16-webapp-prime.tiktok.com/video/tos/useast2a/tos-useast2a-v-27dcd7/241696df412a4c90a46554ddf8e82fc0/?a=1988&amp;bti=ODszNWYuMDE6&amp;ch=0&amp;cr=0&amp;dr=0&amp;er=0&amp;lr=default&amp;cd=0%7C0%7C0%7C0&amp;br=250&amp;bt=125&amp;ds=5&amp;ft=GNDpcInz7ThmpKvPXq8Zmo&amp;mime_type=audio_mpeg&amp;qs=13&amp;rc=anluazw6Zm05azMzNzU8M0Bpanluazw6Zm05azMzNzU8M0BkZl5zcjRvZzVgLS1kMTZzYSNkZl5zcjRvZzVgLS1kMTZzcw%3D%3D&amp;btag=e00078000&amp;expire=1764559555&amp;l=20251201102538FD2B0CCA7A49266A013E&amp;ply_type=3&amp;policy=3&amp;signature=a2cd382bbe4da208900ec3df20d4408c&amp;tk=7571587458748974088" TargetMode="External"/><Relationship Id="rId182" Type="http://schemas.openxmlformats.org/officeDocument/2006/relationships/hyperlink" Target="https://p16-sign-va.tiktokcdn.com/tos-maliva-avt-0068/9c7e33a443eac8b62c597b69b16902e0~tplv-tiktokx-cropcenter:100:100.jpeg?dr=14579&amp;refresh_token=bd39b3f6&amp;x-expires=1764727200&amp;x-signature=PuL%2BDruBfVXtzTd%2B22mjh%2BIuA3s%3D&amp;t=4d5b0474&amp;ps=13740610&amp;shp=a5d48078&amp;shcp=81f88b70&amp;idc=my" TargetMode="External"/><Relationship Id="rId181" Type="http://schemas.openxmlformats.org/officeDocument/2006/relationships/hyperlink" Target="https://www.tiktok.com/@gmrlopes/video/7456957972246187270" TargetMode="External"/><Relationship Id="rId180" Type="http://schemas.openxmlformats.org/officeDocument/2006/relationships/hyperlink" Target="https://v16-webapp-prime.tiktok.com/video/tos/useast2a/tos-useast2a-ve-0068c002/ogRjBigRImOQ2dI9EC8GdSiDCf8XbCfG1WA4en/?a=1988&amp;bti=ODszNWYuMDE6&amp;ch=0&amp;cr=3&amp;dr=0&amp;lr=all&amp;cd=0%7C0%7C0%7C&amp;cv=1&amp;br=840&amp;bt=420&amp;cs=0&amp;ds=6&amp;ft=-Csk_mrMPD12NxDh5d-UxIS5hY6e3wv25ycAp&amp;mime_type=video_mp4&amp;qs=5&amp;rc=Zjc8Njo0NDk5aDdpNDk1OUBpM3c6M285cm05dzMzNzczM0BhNmJjXjNhXzIxNWEtYGNiYSNyYGZnMmRzcnJgLS1kMTZzcw%3D%3D&amp;btag=e00090000&amp;expire=1764728508&amp;l=202512011020485614ECD0EEDB8C5FDDDB&amp;ply_type=2&amp;policy=2&amp;signature=c215576616dc0a47cd11e3e5ac3cfab2&amp;tk=tt_chain_token" TargetMode="External"/><Relationship Id="rId176" Type="http://schemas.openxmlformats.org/officeDocument/2006/relationships/hyperlink" Target="https://www.tiktok.com/@mundopsi13/video/7288700501900659974" TargetMode="External"/><Relationship Id="rId175" Type="http://schemas.openxmlformats.org/officeDocument/2006/relationships/hyperlink" Target="https://v16-webapp-prime.tiktok.com/video/tos/alisg/tos-alisg-ve-37c813-sg/okANRqiolQJ3EPBfXBJ8JJkDIFngyYADJQbfFz/?a=1988&amp;bti=ODszNWYuMDE6&amp;ch=0&amp;cr=3&amp;dr=0&amp;lr=all&amp;cd=0%7C0%7C0%7C&amp;br=1562&amp;bt=781&amp;cs=0&amp;ds=3&amp;ft=-Csk_mrMPD12NVDh5d-UxIS5hY6e3wv25ocAp&amp;mime_type=video_mp4&amp;qs=0&amp;rc=Nzc2aWQ3NWhlMzRmODdnZkBpajNkcGk6ZjVkbjMzNzczM0BiMmExNi8uNTMxLzZgNWIvYSM1MGBwcjRfZmdgLS1kMTZzcw%3D%3D&amp;btag=e00098000&amp;expire=1764728794&amp;l=202512011021446E702D323C03BE6BD085&amp;ply_type=2&amp;policy=2&amp;signature=24760f45cb7984e78ffba1ff973b1bd1&amp;tk=tt_chain_token" TargetMode="External"/><Relationship Id="rId174" Type="http://schemas.openxmlformats.org/officeDocument/2006/relationships/hyperlink" Target="https://p77-sign-va.tiktokcdn.com/tos-maliva-avt-0068/8ca82cc9ed150d573b3fc912a90379f5~tplv-tiktokx-cropcenter:1080:1080.jpeg?dr=14579&amp;refresh_token=06eb3934&amp;x-expires=1764727200&amp;x-signature=J8CTfrFvo6hbJtXjmhg4zxXusRE%3D&amp;t=4d5b0474&amp;ps=13740610&amp;shp=a5d48078&amp;shcp=81f88b70&amp;idc=my" TargetMode="External"/><Relationship Id="rId173" Type="http://schemas.openxmlformats.org/officeDocument/2006/relationships/hyperlink" Target="https://v16-webapp-prime.tiktok.com/video/tos/useast2a/tos-useast2a-v-27dcd7/o0BAAlqBhfqDUteJX1EAXqCJGqQbhKGmAAJEon/?a=1988&amp;bti=ODszNWYuMDE6&amp;ch=0&amp;cr=0&amp;dr=0&amp;er=0&amp;lr=default&amp;cd=0%7C0%7C0%7C0&amp;br=250&amp;bt=125&amp;ds=5&amp;ft=GNDpcInz7Th6zKvPXq8Zmo&amp;mime_type=audio_mpeg&amp;qs=13&amp;rc=am9nOzY6ZjVkbjMzNzU8M0Bpam9nOzY6ZjVkbjMzNzU8M0Bkcy01cjRnaWdgLS1kMTZzYSNkcy01cjRnaWdgLS1kMTZzcw%3D%3D&amp;btag=e00058000&amp;expire=1764559594&amp;l=202512011021446E702D323C03BE6BD085&amp;ply_type=3&amp;policy=3&amp;signature=7e2109b6605e55da2a5332479afc635f&amp;tk=7571587458748974088" TargetMode="External"/><Relationship Id="rId179" Type="http://schemas.openxmlformats.org/officeDocument/2006/relationships/hyperlink" Target="https://p16-sg.tiktokcdn.com/aweme/720x720/tos-alisg-v-2774/ogBpC8CNfFBA8tHAImEDtmfGIA5Ogk6IBQo3AZ.jpeg" TargetMode="External"/><Relationship Id="rId178" Type="http://schemas.openxmlformats.org/officeDocument/2006/relationships/hyperlink" Target="https://sf16-ies-music-sg.tiktokcdn.com/obj/tos-alisg-ve-2774/f8d01e4cfcae4e30829388665c48738d" TargetMode="External"/><Relationship Id="rId177" Type="http://schemas.openxmlformats.org/officeDocument/2006/relationships/hyperlink" Target="https://p16-sign-va.tiktokcdn.com/tos-maliva-avt-0068/537c2e54e34424e435f89ef9f03582d2~tplv-tiktokx-cropcenter:100:100.jpeg?dr=14579&amp;refresh_token=c6e5e817&amp;x-expires=1764727200&amp;x-signature=YchBPKj1yfdclj%2F4S%2B9aeBY%2BktA%3D&amp;t=4d5b0474&amp;ps=13740610&amp;shp=a5d48078&amp;shcp=81f88b70&amp;idc=my" TargetMode="External"/><Relationship Id="rId198" Type="http://schemas.openxmlformats.org/officeDocument/2006/relationships/hyperlink" Target="https://v16-webapp-prime.tiktok.com/video/tos/useast2a/tos-useast2a-v-27dcd7/oUB9GkfEAIDzziAKtPxABlkkioEgYE9oEgBAtP/?a=1988&amp;bti=ODszNWYuMDE6&amp;ch=0&amp;cr=0&amp;dr=0&amp;er=0&amp;lr=default&amp;cd=0%7C0%7C0%7C0&amp;br=250&amp;bt=125&amp;ds=5&amp;ft=GNDpcInz7ThVPKvPXq8Zmo&amp;mime_type=audio_mpeg&amp;qs=13&amp;rc=MzY1eWs5cmw5dzMzNzU8M0BpMzY1eWs5cmw5dzMzNzU8M0BmLTZyMmRzMTBgLS1kMTZzYSNmLTZyMmRzMTBgLS1kMTZzcw%3D%3D&amp;btag=e00050000&amp;expire=1764559301&amp;l=2025120110201396469B6E0854EC6377C0&amp;ply_type=3&amp;policy=3&amp;signature=4f13622307674c65bd563b31e9481ed6&amp;tk=7571587458748974088" TargetMode="External"/><Relationship Id="rId197" Type="http://schemas.openxmlformats.org/officeDocument/2006/relationships/hyperlink" Target="https://p16-sign-va.tiktokcdn.com/tos-maliva-avt-0068/9cd5e3d299591426ac369cf36bfc8ebb~tplv-tiktokx-cropcenter:100:100.jpeg?dr=14579&amp;refresh_token=7589de6e&amp;x-expires=1764727200&amp;x-signature=n6we%2BBUztjacsuXAEQXMNCYFO%2Fo%3D&amp;t=4d5b0474&amp;ps=13740610&amp;shp=a5d48078&amp;shcp=81f88b70&amp;idc=my" TargetMode="External"/><Relationship Id="rId196" Type="http://schemas.openxmlformats.org/officeDocument/2006/relationships/hyperlink" Target="https://www.tiktok.com/@stehprestess/video/7338914146458684677" TargetMode="External"/><Relationship Id="rId195" Type="http://schemas.openxmlformats.org/officeDocument/2006/relationships/hyperlink" Target="https://v16-webapp-prime.tiktok.com/video/tos/alisg/tos-alisg-pve-0037c001/oIR67QY6DIJauO46AHFgJxRmxBfeliBQENQsE2/?a=1988&amp;bti=ODszNWYuMDE6&amp;ch=0&amp;cr=3&amp;dr=0&amp;lr=all&amp;cd=0%7C0%7C0%7C&amp;cv=1&amp;br=1950&amp;bt=975&amp;cs=0&amp;ds=3&amp;ft=-Csk_mrMPD12NVDh5d-UxIS5hY6e3wv25ocAp&amp;mime_type=video_mp4&amp;qs=0&amp;rc=aTg0Nzg2Z2Y0Nmc7OWVmM0BpanJub3Y5cjxqcTMzNzczM0BeMC0vY2EzXzIxYDYvLjMvYSNvNGdiMmRrcWBgLS1kMTZzcw%3D%3D&amp;btag=e00090000&amp;expire=1764728644&amp;l=202512011021446E702D323C03BE6BD085&amp;ply_type=2&amp;policy=2&amp;signature=1ccc5826c23f3226b5964cc098f8a293&amp;tk=tt_chain_token" TargetMode="External"/><Relationship Id="rId199" Type="http://schemas.openxmlformats.org/officeDocument/2006/relationships/hyperlink" Target="https://p77-sign-va.tiktokcdn.com/tos-maliva-avt-0068/9cd5e3d299591426ac369cf36bfc8ebb~tplv-tiktokx-cropcenter:1080:1080.jpeg?dr=14579&amp;refresh_token=c2bde914&amp;x-expires=1764727200&amp;x-signature=WCnWY5nPY2J2k9HtTGAKibF8rBg%3D&amp;t=4d5b0474&amp;ps=13740610&amp;shp=a5d48078&amp;shcp=81f88b70&amp;idc=my" TargetMode="External"/><Relationship Id="rId150" Type="http://schemas.openxmlformats.org/officeDocument/2006/relationships/hyperlink" Target="https://v16-webapp-prime.tiktok.com/video/tos/useast2a/tos-useast2a-ve-0068c002/ocAgQOBPAR0EfAlB1PB4sIPukZCIiHioxJ2C7y/?a=1988&amp;bti=ODszNWYuMDE6&amp;ch=0&amp;cr=3&amp;dr=0&amp;lr=all&amp;cd=0%7C0%7C0%7C&amp;cv=1&amp;br=1230&amp;bt=615&amp;cs=0&amp;ds=3&amp;ft=-Csk_mrMPD12Nudh5d-Uxs12aY6e3wv252cAp&amp;mime_type=video_mp4&amp;qs=0&amp;rc=Ojw0ZTw6ODRmZ2Y4NjtpO0BpajR0dm85cjpqNjMzNzczM0AvMy1iNV9iXi0xMTFgYjJjYSNxbGo1MmRzNDRhLS1kMTZzcw%3D%3D&amp;btag=e000b8000&amp;expire=1764728430&amp;l=202512011020068133AB7BCB086C5F4CDC&amp;ply_type=2&amp;policy=2&amp;signature=7507e12f02cabe321bc90f4a7c389e74&amp;tk=tt_chain_token" TargetMode="External"/><Relationship Id="rId149" Type="http://schemas.openxmlformats.org/officeDocument/2006/relationships/hyperlink" Target="https://p16-sign-va.tiktokcdn.com/tos-maliva-avt-0068/9391b64494c1f12bb276ce4437f45ed2~tplv-tiktokx-cropcenter:1080:1080.jpeg?dr=14579&amp;refresh_token=2347a0e9&amp;x-expires=1764727200&amp;x-signature=OwDNcpBx1xsMX9SKIiq2uMz3vvw%3D&amp;t=4d5b0474&amp;ps=13740610&amp;shp=a5d48078&amp;shcp=81f88b70&amp;idc=my" TargetMode="External"/><Relationship Id="rId148" Type="http://schemas.openxmlformats.org/officeDocument/2006/relationships/hyperlink" Target="https://v16-webapp-prime.tiktok.com/video/tos/useast2a/tos-useast2a-v-27dcd7/oMOM0DuixUpSalgA7bAh85qAEQRqPECDABviA/?a=1988&amp;bti=ODszNWYuMDE6&amp;ch=0&amp;cr=0&amp;dr=0&amp;er=0&amp;lr=default&amp;cd=0%7C0%7C0%7C0&amp;br=250&amp;bt=125&amp;ds=5&amp;ft=GNDpcInz7ThoPKvPXq8Zmo&amp;mime_type=audio_mpeg&amp;qs=13&amp;rc=anM2OW45cmhqNjMzNzU8M0BpanM2OW45cmhqNjMzNzU8M0BkMHBpMmRrNDRhLS1kMTZzYSNkMHBpMmRrNDRhLS1kMTZzcw%3D%3D&amp;btag=e00078000&amp;expire=1764559230&amp;l=202512011020068133AB7BCB086C5F4CDC&amp;ply_type=3&amp;policy=3&amp;signature=7855e264a3a4121a31416a772663b869&amp;tk=7571587458748974088" TargetMode="External"/><Relationship Id="rId1090" Type="http://schemas.openxmlformats.org/officeDocument/2006/relationships/hyperlink" Target="https://p77-sign-sg.tiktokcdn.com/tos-alisg-v-2774/oI3aPeADVFvKFCgAwOldzsAAgEIwfDrDI2eB3g~720x720.jpeg?lk3s=08d74b56&amp;x-expires=1764577256&amp;x-signature=h129zDsYQ7oEsolVXmkzfdYriqo%3D" TargetMode="External"/><Relationship Id="rId1091" Type="http://schemas.openxmlformats.org/officeDocument/2006/relationships/hyperlink" Target="https://v16-webapp-prime.tiktok.com/video/tos/maliva/tos-maliva-ve-0068c801-us/oA8KCT7MEeRFmryAfg8Q0EzkjdHdDCgrIfbIaS/?a=1988&amp;bti=ODszNWYuMDE6&amp;ch=0&amp;cr=3&amp;dr=0&amp;lr=all&amp;cd=0%7C0%7C0%7C&amp;cv=1&amp;br=2250&amp;bt=1125&amp;cs=0&amp;ds=3&amp;ft=-Csk_mrMPD12NbDh5d-UxPR2SY6e3wv25IcAp&amp;mime_type=video_mp4&amp;qs=0&amp;rc=NGk5PDNlZjpnOzM3OjQzNUBpM2d1cm85cml4bzMzNzczM0AxMjFhYTFgXzExY2EyMzY0YSMuM3FwMmRrNGhgLS1kMTZzcw%3D%3D&amp;btag=e00088000&amp;expire=1764728501&amp;l=20251201102055111140D50F38376E882B&amp;ply_type=2&amp;policy=2&amp;signature=ac585aa9253bdca8199183095b2fd203&amp;tk=tt_chain_token" TargetMode="External"/><Relationship Id="rId1092" Type="http://schemas.openxmlformats.org/officeDocument/2006/relationships/hyperlink" Target="https://www.tiktok.com/@autoamorecuidad/video/7307623084649909509" TargetMode="External"/><Relationship Id="rId1093"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094" Type="http://schemas.openxmlformats.org/officeDocument/2006/relationships/hyperlink" Target="https://sf16-ies-music-sg.tiktokcdn.com/obj/tos-alisg-ve-2774/ocvYYweBAOAioswj87BGozMvjI1NJRsICiAWIu" TargetMode="External"/><Relationship Id="rId143" Type="http://schemas.openxmlformats.org/officeDocument/2006/relationships/hyperlink" Target="https://v16-webapp-prime.tiktok.com/video/tos/useast2a/tos-useast2a-v-27dcd7/4fb18f6ddca44b33b365c1a851456c14/?a=1988&amp;bti=ODszNWYuMDE6&amp;ch=0&amp;cr=0&amp;dr=0&amp;er=0&amp;lr=default&amp;cd=0%7C0%7C0%7C0&amp;br=252&amp;bt=126&amp;ds=5&amp;ft=GNDpcInz7Th0zKvPXq8Zmo&amp;mime_type=video_mp4&amp;qs=13&amp;rc=ajNkc2Y6ZnJlPDMzNzU8M0BpajNkc2Y6ZnJlPDMzNzU8M0BvMDZkcjQwYWdgLS1kMTZzYSNvMDZkcjQwYWdgLS1kMTZzcw%3D%3D&amp;btag=e00048000&amp;expire=1764559351&amp;l=2025120110213238A64472738F9C5726DD&amp;ply_type=3&amp;policy=3&amp;signature=f37b196747e7251396db4ede807dfe5e&amp;tk=7571587458748974088" TargetMode="External"/><Relationship Id="rId1095" Type="http://schemas.openxmlformats.org/officeDocument/2006/relationships/hyperlink" Target="https://p77-sg.tiktokcdn.com/aweme/720x720/tos-alisg-v-2774/o8BA2tUQFsPa14gNzMmCDWc09EI8IAFfAHAffD.jpeg" TargetMode="External"/><Relationship Id="rId142" Type="http://schemas.openxmlformats.org/officeDocument/2006/relationships/hyperlink" Target="https://p16-sign-va.tiktokcdn.com/tos-maliva-avt-0068/41d2e0effe06cb8a5f52e9f24371109a~tplv-tiktokx-cropcenter:100:100.jpeg?dr=14579&amp;refresh_token=3ac713bf&amp;x-expires=1764727200&amp;x-signature=%2FIaUGu3GYq6ra9DjsC1Z29IOufA%3D&amp;t=4d5b0474&amp;ps=13740610&amp;shp=a5d48078&amp;shcp=81f88b70&amp;idc=my" TargetMode="External"/><Relationship Id="rId1096" Type="http://schemas.openxmlformats.org/officeDocument/2006/relationships/hyperlink" Target="https://v16-webapp-prime.tiktok.com/video/tos/useast2a/tos-useast2a-ve-0068c004/oIkGQGt7IlfARLLAdaPAVeOe5e8GEZRWYgFVni/?a=1988&amp;bti=ODszNWYuMDE6&amp;ch=0&amp;cr=3&amp;dr=0&amp;lr=all&amp;cd=0%7C0%7C0%7C&amp;cv=1&amp;br=654&amp;bt=327&amp;cs=0&amp;ds=6&amp;ft=-Csk_mrMPD12NzDh5d-UxKyFaY6e3wv257cAp&amp;mime_type=video_mp4&amp;qs=5&amp;rc=NjNpZTNmZWY5OzRoZTk8ZUBpMzZvOXk5cm02dzMzNzczM0AwY2AwLWEuXi8xMmAyX18vYSNuZWI0MmQ0a19gLS1kMTZzcw%3D%3D&amp;btag=e00088000&amp;expire=1764728543&amp;l=20251201102139650E38823033055E6EEC&amp;ply_type=2&amp;policy=2&amp;signature=0eb9a911a77e7164dfb099f12982b852&amp;tk=tt_chain_token" TargetMode="External"/><Relationship Id="rId141" Type="http://schemas.openxmlformats.org/officeDocument/2006/relationships/hyperlink" Target="https://www.tiktok.com/@ivanparceiro/video/7241312531732630789" TargetMode="External"/><Relationship Id="rId1097" Type="http://schemas.openxmlformats.org/officeDocument/2006/relationships/hyperlink" Target="https://www.tiktok.com/@lorenatdahta/video/7446205287914048774" TargetMode="External"/><Relationship Id="rId140" Type="http://schemas.openxmlformats.org/officeDocument/2006/relationships/hyperlink" Target="https://v16-webapp-prime.tiktok.com/video/tos/useast2a/tos-useast2a-ve-0068c002/okixDOrfg9CjAQf3IIILrm8nIHCeSkbTCwganU/?a=1988&amp;bti=ODszNWYuMDE6&amp;ch=0&amp;cr=3&amp;dr=0&amp;lr=all&amp;cd=0%7C0%7C0%7C&amp;cv=1&amp;br=1316&amp;bt=658&amp;cs=0&amp;ds=3&amp;ft=I~da4oKyD12NvaMWS.IxRYjNWlBF-UjNSkopiX&amp;mime_type=video_mp4&amp;qs=0&amp;rc=NTM1NmY6aTRnNGY8OzZkOUBpanJ4dDM6ZnI3azMzNzczM0AyX2EwXy9gX14xYjUzLl8uYSMzNGtlcjRncnNgLS1kMTZzcw%3D%3D&amp;btag=e00088000&amp;expire=1764728575&amp;l=2025120110220384643B3986DED954E961&amp;ply_type=2&amp;policy=2&amp;signature=071c87ee5fe4f0e67dcc9da32b295dff&amp;tk=tt_chain_token" TargetMode="External"/><Relationship Id="rId1098" Type="http://schemas.openxmlformats.org/officeDocument/2006/relationships/hyperlink" Target="https://p77-sign-va.tiktokcdn.com/tos-maliva-avt-0068/ab9e8e2664fe95dc4ce1070394adf3ea~tplv-tiktokx-cropcenter:100:100.jpeg?dr=14579&amp;refresh_token=f5e511b7&amp;x-expires=1764727200&amp;x-signature=LO8BO%2FmgUf3skhEup8fIvsK8io4%3D&amp;t=4d5b0474&amp;ps=13740610&amp;shp=a5d48078&amp;shcp=81f88b70&amp;idc=my" TargetMode="External"/><Relationship Id="rId147" Type="http://schemas.openxmlformats.org/officeDocument/2006/relationships/hyperlink" Target="https://p16-sign-va.tiktokcdn.com/tos-maliva-avt-0068/9391b64494c1f12bb276ce4437f45ed2~tplv-tiktokx-cropcenter:100:100.jpeg?dr=14579&amp;refresh_token=b0ee7d27&amp;x-expires=1764727200&amp;x-signature=sJdPc7mtE766Le3E3Ft1oIBwWVI%3D&amp;t=4d5b0474&amp;ps=13740610&amp;shp=a5d48078&amp;shcp=81f88b70&amp;idc=my" TargetMode="External"/><Relationship Id="rId1099" Type="http://schemas.openxmlformats.org/officeDocument/2006/relationships/hyperlink" Target="https://v16-webapp-prime.tiktok.com/video/tos/useast2a/tos-useast2a-v-27dcd7/o0CUxN82oQnpjaAC3UAQbGDHkoQOJs8BJAejeB/?a=1988&amp;bti=ODszNWYuMDE6&amp;ch=0&amp;cr=0&amp;dr=0&amp;er=0&amp;lr=default&amp;cd=0%7C0%7C0%7C0&amp;br=250&amp;bt=125&amp;ds=5&amp;ft=GNDpcInz7ThCPKvPXq8Zmo&amp;mime_type=audio_mpeg&amp;qs=13&amp;rc=anR2djk6ZnI2bTMzNzU8M0BpanR2djk6ZnI2bTMzNzU8M0AvbGFkcjRvb2FgLS1kMTZzYSMvbGFkcjRvb2FgLS1kMTZzcw%3D%3D&amp;btag=e00050000&amp;expire=1764559361&amp;l=20251201102042908EBE054CA4706238E0&amp;ply_type=3&amp;policy=3&amp;signature=7ceb142b1da9e338d41024a71392bba7&amp;tk=7571587458748974088" TargetMode="External"/><Relationship Id="rId146" Type="http://schemas.openxmlformats.org/officeDocument/2006/relationships/hyperlink" Target="https://www.tiktok.com/@cansei.deserotario/video/7090555724526308614" TargetMode="External"/><Relationship Id="rId145" Type="http://schemas.openxmlformats.org/officeDocument/2006/relationships/hyperlink" Target="https://v16-webapp-prime.tiktok.com/video/tos/maliva/tos-maliva-ve-0068c801-us/e71ae534a176491a8f1765724382d18e/?a=1988&amp;bti=ODszNWYuMDE6&amp;ch=0&amp;cr=3&amp;dr=0&amp;lr=all&amp;cd=0%7C0%7C0%7C&amp;cv=1&amp;br=1504&amp;bt=752&amp;cs=0&amp;ds=3&amp;ft=-Csk_mrMPD12NsDh5d-UxSc2hY6e3wv25DcAp&amp;mime_type=video_mp4&amp;qs=0&amp;rc=NDllOmU5ODwzNmYzaGQ1ZkBpM3c7Nzs6ZndlPDMzNzczM0BiYy02LmFeXzMxMl41XzQxYSNkXl9ecjQwXmdgLS1kMTZzcw%3D%3D&amp;btag=e00088000&amp;expire=1764728551&amp;l=2025120110213238A64472738F9C5726DD&amp;ply_type=2&amp;policy=2&amp;signature=855f8135c59e3d77d9b5c6b2ad848ab7&amp;tk=tt_chain_token" TargetMode="External"/><Relationship Id="rId144" Type="http://schemas.openxmlformats.org/officeDocument/2006/relationships/hyperlink" Target="https://p16-sign-va.tiktokcdn.com/tos-maliva-avt-0068/41d2e0effe06cb8a5f52e9f24371109a~tplv-tiktokx-cropcenter:1080:1080.jpeg?dr=14579&amp;refresh_token=93079f94&amp;x-expires=1764727200&amp;x-signature=qeemBLhm3h8TY3XE7egTczdqfE8%3D&amp;t=4d5b0474&amp;ps=13740610&amp;shp=a5d48078&amp;shcp=81f88b70&amp;idc=my" TargetMode="External"/><Relationship Id="rId139" Type="http://schemas.openxmlformats.org/officeDocument/2006/relationships/hyperlink" Target="https://p77-sign-va.tiktokcdn.com/tos-maliva-avt-0068/ebc42eb348fcf29a09bcbf1c40faef80~tplv-tiktokx-cropcenter:1080:1080.jpeg?dr=14579&amp;refresh_token=6dfdbf14&amp;x-expires=1764727200&amp;x-signature=9GiXHj2gH90WU1WzIHcDPGSE%2F%2FI%3D&amp;t=4d5b0474&amp;ps=13740610&amp;shp=a5d48078&amp;shcp=81f88b70&amp;idc=my" TargetMode="External"/><Relationship Id="rId138" Type="http://schemas.openxmlformats.org/officeDocument/2006/relationships/hyperlink" Target="https://v16-webapp-prime.tiktok.com/video/tos/useast2a/tos-useast2a-v-27dcd7/72b971116150422884bc226cedd60d30/?a=1988&amp;bti=ODszNWYuMDE6&amp;ch=0&amp;cr=0&amp;dr=0&amp;er=0&amp;lr=default&amp;cd=0%7C0%7C0%7C0&amp;br=250&amp;bt=125&amp;ds=5&amp;ft=GNDpcInz7ThcFKvPXq8Zmo&amp;mime_type=audio_mpeg&amp;qs=13&amp;rc=anMzNTk6Zjt1azMzNzU8M0BpanMzNTk6Zjt1azMzNzU8M0A2Mi1gcjQwaG1gLS1kMTZzYSM2Mi1gcjQwaG1gLS1kMTZzcw%3D%3D&amp;btag=e00048000&amp;expire=1764559378&amp;l=2025120110220384643B3986DED954E961&amp;ply_type=3&amp;policy=3&amp;signature=cb486e1a0012f98c078145d01e268c85&amp;tk=7571587458748974088" TargetMode="External"/><Relationship Id="rId137" Type="http://schemas.openxmlformats.org/officeDocument/2006/relationships/hyperlink" Target="https://p16-sign-va.tiktokcdn.com/tos-maliva-avt-0068/23f741bbff26d84d055bb979a49b53c0~tplv-tiktokx-cropcenter:100:100.jpeg?dr=14579&amp;refresh_token=14519383&amp;x-expires=1764727200&amp;x-signature=e8jpsU0dfCg%2BEtvdYXI1gf%2BhRKg%3D&amp;t=4d5b0474&amp;ps=13740610&amp;shp=a5d48078&amp;shcp=81f88b70&amp;idc=my" TargetMode="External"/><Relationship Id="rId1080" Type="http://schemas.openxmlformats.org/officeDocument/2006/relationships/hyperlink" Target="https://v16-webapp-prime.tiktok.com/video/tos/alisg/tos-alisg-v-27dcd7/oIADCFMSWA0pPqfBATkmECmoHfeIIgA8AS1WdQ/?a=1988&amp;bti=ODszNWYuMDE6&amp;ch=0&amp;cr=0&amp;dr=0&amp;er=0&amp;lr=default&amp;cd=0%7C0%7C0%7C0&amp;br=250&amp;bt=125&amp;ds=5&amp;ft=GNDpcInz7Th4zKvPXq8Zmo&amp;mime_type=audio_mpeg&amp;qs=13&amp;rc=anR3d3E5cm90NzMzODU8NEBpanR3d3E5cm90NzMzODU8NEA2M2FsMmQ0ZGNhLS1kMS1zYSM2M2FsMmQ0ZGNhLS1kMS1zcw%3D%3D&amp;btag=e00050000&amp;expire=1764559361&amp;l=20251201102104F69A53E45B65A94E5B1C&amp;ply_type=3&amp;policy=3&amp;signature=322ccbef651a77a14cd90d20e42c86c5&amp;tk=7571587458748974088" TargetMode="External"/><Relationship Id="rId1081" Type="http://schemas.openxmlformats.org/officeDocument/2006/relationships/hyperlink" Target="https://p16-sign-sg.tiktokcdn.com/tos-alisg-avt-0068/9de3b6c06f63b981075b8b85a34f31bc~tplv-tiktokx-cropcenter:1080:1080.jpeg?dr=14579&amp;refresh_token=6ba82b50&amp;x-expires=1764727200&amp;x-signature=xd4Dfu2j7EVAVe%2FuLbY6G4JHSvE%3D&amp;t=4d5b0474&amp;ps=13740610&amp;shp=a5d48078&amp;shcp=81f88b70&amp;idc=my" TargetMode="External"/><Relationship Id="rId1082" Type="http://schemas.openxmlformats.org/officeDocument/2006/relationships/hyperlink" Target="https://v16-webapp-prime.tiktok.com/video/tos/alisg/tos-alisg-pve-0037c001/oYABgGifT2pIfBFWmoD6KQKOcHqREhFgGPREy3/?a=1988&amp;bti=ODszNWYuMDE6&amp;ch=0&amp;cr=3&amp;dr=0&amp;lr=all&amp;cd=0%7C0%7C0%7C&amp;br=1860&amp;bt=930&amp;cs=0&amp;ds=3&amp;ft=-Csk_mrMPD12NyDh5d-UxO72hY6e3wv257cAp&amp;mime_type=video_mp4&amp;qs=0&amp;rc=NmlkaDtoZWZoMzc5NzpoPEBpams1cG05cmx0NzMzODczNEAwYzFjYWBhXi0xYy9eYzU0YSNgXnFhMmRrZGNhLS1kMWBzcw%3D%3D&amp;btag=e00090000&amp;expire=1764728561&amp;l=20251201102104F69A53E45B65A94E5B1C&amp;ply_type=2&amp;policy=2&amp;signature=fc2ec9d89b360682d67eb9a50047c42c&amp;tk=tt_chain_token" TargetMode="External"/><Relationship Id="rId1083" Type="http://schemas.openxmlformats.org/officeDocument/2006/relationships/hyperlink" Target="https://www.tiktok.com/@tdah132/video/7574958125221022984" TargetMode="External"/><Relationship Id="rId132" Type="http://schemas.openxmlformats.org/officeDocument/2006/relationships/hyperlink" Target="https://p77-sign-va.tiktokcdn.com/tos-maliva-avt-0068/93c84bb435ea3c051171fc4e9f92e331~tplv-tiktokx-cropcenter:100:100.jpeg?dr=14579&amp;refresh_token=c00650f5&amp;x-expires=1764727200&amp;x-signature=o5LMETAB05niyTOa8DH0BuJ1m8Q%3D&amp;t=4d5b0474&amp;ps=13740610&amp;shp=a5d48078&amp;shcp=81f88b70&amp;idc=my" TargetMode="External"/><Relationship Id="rId1084" Type="http://schemas.openxmlformats.org/officeDocument/2006/relationships/hyperlink" Target="https://p16-sign-va.tiktokcdn.com/tos-maliva-avt-0068/377405ce9a41275b9b6f008b78c94af6~tplv-tiktokx-cropcenter:100:100.jpeg?dr=14579&amp;refresh_token=e1181eb7&amp;x-expires=1764727200&amp;x-signature=eBjtaAUFkyZw6nb458rcdAEGz1A%3D&amp;t=4d5b0474&amp;ps=13740610&amp;shp=a5d48078&amp;shcp=81f88b70&amp;idc=my" TargetMode="External"/><Relationship Id="rId131" Type="http://schemas.openxmlformats.org/officeDocument/2006/relationships/hyperlink" Target="https://www.tiktok.com/@mirianester159/video/7244929574306401542" TargetMode="External"/><Relationship Id="rId1085" Type="http://schemas.openxmlformats.org/officeDocument/2006/relationships/hyperlink" Target="https://v16-webapp-prime.tiktok.com/video/tos/alisg/tos-alisg-v-27dcd7/oIAUMTBQ4AE4Mi2dRiIm2YlExCDGnAAA0iAPa/?a=1988&amp;bti=ODszNWYuMDE6&amp;ch=0&amp;cr=0&amp;dr=0&amp;er=0&amp;lr=default&amp;cd=0%7C0%7C0%7C0&amp;br=250&amp;bt=125&amp;ds=5&amp;ft=GNDpcInz7ThazKvPXq8Zmo&amp;mime_type=audio_mpeg&amp;qs=13&amp;rc=MzVmc3A5cmtqNzMzODU8NEBpMzVmc3A5cmtqNzMzODU8NEBwZWZnMmQ0bWJhLS1kMS1zYSNwZWZnMmQ0bWJhLS1kMS1zcw%3D%3D&amp;btag=e00050000&amp;expire=1764559403&amp;l=2025120110213521203C48224A5C66F6F4&amp;ply_type=3&amp;policy=3&amp;signature=bab3e48d41acffa731fda62ee53f482a&amp;tk=7571587458748974088" TargetMode="External"/><Relationship Id="rId130" Type="http://schemas.openxmlformats.org/officeDocument/2006/relationships/hyperlink" Target="https://v16-webapp-prime.tiktok.com/video/tos/maliva/tos-maliva-ve-0068c801-us/octLQyaph1GZAfgKcQkINogKI9TRAAzLCUSNIi/?a=1988&amp;bti=ODszNWYuMDE6&amp;ch=0&amp;cr=3&amp;dr=0&amp;lr=all&amp;cd=0%7C0%7C0%7C&amp;cv=1&amp;br=1746&amp;bt=873&amp;cs=0&amp;ds=3&amp;ft=-Csk_mrMPD12NxDh5d-UxIS5hY6e3wv25ycAp&amp;mime_type=video_mp4&amp;qs=0&amp;rc=PGQ3aWRkNmQ8aGQ6ZjQ7aEBpMzVvcGU6ZnhsbDMzNzczM0A0NmFhXy8tNWMxNjYxLTIyYSMtbWlocjRnZDJgLS1kMTZzcw%3D%3D&amp;btag=e00098000&amp;expire=1764728628&amp;l=202512011020485614ECD0EEDB8C5FDDDB&amp;ply_type=2&amp;policy=2&amp;signature=ff68fe4b6d5181537cdca0f06d8b32b5&amp;tk=tt_chain_token" TargetMode="External"/><Relationship Id="rId1086" Type="http://schemas.openxmlformats.org/officeDocument/2006/relationships/hyperlink" Target="https://p77-sign-va.tiktokcdn.com/tos-maliva-avt-0068/377405ce9a41275b9b6f008b78c94af6~tplv-tiktokx-cropcenter:1080:1080.jpeg?dr=14579&amp;refresh_token=2a84a248&amp;x-expires=1764727200&amp;x-signature=GtmknxaCPihzqrKM8rGSJE%2FTrQA%3D&amp;t=4d5b0474&amp;ps=13740610&amp;shp=a5d48078&amp;shcp=81f88b70&amp;idc=my" TargetMode="External"/><Relationship Id="rId1087" Type="http://schemas.openxmlformats.org/officeDocument/2006/relationships/hyperlink" Target="https://v16-webapp-prime.tiktok.com/video/tos/alisg/tos-alisg-pve-0037c001/o0gIEihCEFAcAHQgERuDpTeiQsDQwtpdRBufBO/?a=1988&amp;bti=ODszNWYuMDE6&amp;ch=0&amp;cr=3&amp;dr=0&amp;lr=all&amp;cd=0%7C0%7C0%7C&amp;cv=1&amp;br=2526&amp;bt=1263&amp;cs=0&amp;ds=3&amp;ft=-Csk_mrMPD12N8Dh5d-UxSc2hY6e3wv252cAp&amp;mime_type=video_mp4&amp;qs=0&amp;rc=NDY3ZGUzOGVnZzxnaTo0NUBpM2Z0OHA5cjdqNzMzODczNUAyNGMvLl5fXzAxMjYtMTE2YSMuMm9rMmRzbGJhLS1kMTZzcw%3D%3D&amp;btag=e00090000&amp;expire=1764728603&amp;l=2025120110213521203C48224A5C66F6F4&amp;ply_type=2&amp;policy=2&amp;signature=e0cdae7fb6b4e7ad1eeb27ba85d18aa7&amp;tk=tt_chain_token" TargetMode="External"/><Relationship Id="rId136" Type="http://schemas.openxmlformats.org/officeDocument/2006/relationships/hyperlink" Target="https://www.tiktok.com/@lucianauchoapsi/video/7555957323055795512" TargetMode="External"/><Relationship Id="rId1088" Type="http://schemas.openxmlformats.org/officeDocument/2006/relationships/hyperlink" Target="https://www.tiktok.com/@terapiadafe/video/7574224144422751508" TargetMode="External"/><Relationship Id="rId135" Type="http://schemas.openxmlformats.org/officeDocument/2006/relationships/hyperlink" Target="https://v16-webapp-prime.tiktok.com/video/tos/alisg/tos-alisg-ve-37c813-sg/o8ycIhOP0IkECbg6TAbiXHNiErBQRlASSofDRY/?a=1988&amp;bti=ODszNWYuMDE6&amp;ch=0&amp;cr=3&amp;dr=0&amp;lr=all&amp;cd=0%7C0%7C0%7C&amp;cv=1&amp;br=942&amp;bt=471&amp;cs=0&amp;ds=3&amp;ft=-Csk_mrMPD12NOBh5d-Uxbt2hY6e3wv25HcAp&amp;mime_type=video_mp4&amp;qs=0&amp;rc=NzY5ZDozaDhlO2g1aDU3NkBpM2xncHQ5cjw1NjMzNzczM0A0Yi9eNi4vNTMxMDIwX2FhYSM0MjI1MmRjYWJhLS1kMTZzcw%3D%3D&amp;btag=e00090000&amp;expire=1764728598&amp;l=2025120110220104295D62D2C47867A675&amp;ply_type=2&amp;policy=2&amp;signature=e9651cdad315055937b7b4bfffcd221c&amp;tk=tt_chain_token" TargetMode="External"/><Relationship Id="rId1089" Type="http://schemas.openxmlformats.org/officeDocument/2006/relationships/hyperlink" Target="https://p16-sign-va.tiktokcdn.com/tos-maliva-avt-0068/e629821e4067bea00509a0c98dfdea72~tplv-tiktokx-cropcenter:100:100.jpeg?dr=14579&amp;refresh_token=70aeae54&amp;x-expires=1764727200&amp;x-signature=HgUDq8YtzMrHdhWJ7Xp%2FB0pbWQE%3D&amp;t=4d5b0474&amp;ps=13740610&amp;shp=a5d48078&amp;shcp=81f88b70&amp;idc=my" TargetMode="External"/><Relationship Id="rId134" Type="http://schemas.openxmlformats.org/officeDocument/2006/relationships/hyperlink" Target="https://p77-sign-va.tiktokcdn.com/tos-maliva-avt-0068/93c84bb435ea3c051171fc4e9f92e331~tplv-tiktokx-cropcenter:1080:1080.jpeg?dr=14579&amp;refresh_token=8568f22f&amp;x-expires=1764727200&amp;x-signature=2v%2F0KZbZ0ly%2Bk9xFl8aZcQe%2FZLE%3D&amp;t=4d5b0474&amp;ps=13740610&amp;shp=a5d48078&amp;shcp=81f88b70&amp;idc=my" TargetMode="External"/><Relationship Id="rId133" Type="http://schemas.openxmlformats.org/officeDocument/2006/relationships/hyperlink" Target="https://v16-webapp-prime.tiktok.com/video/tos/useast2a/tos-useast2a-v-27dcd7/ocJU5EFDQvABvchFfAoJBACeE8cPz3ESCxHDuJ/?a=1988&amp;bti=ODszNWYuMDE6&amp;ch=0&amp;cr=0&amp;dr=0&amp;er=0&amp;lr=default&amp;cd=0%7C0%7C0%7C0&amp;br=250&amp;bt=125&amp;ds=5&amp;ft=GNDpcInz7ThvFKvPXq8Zmo&amp;mime_type=audio_mpeg&amp;qs=13&amp;rc=aml4Nng5cmY1NjMzNzU8M0Bpaml4Nng5cmY1NjMzNzU8M0AvMHFyMmRjYmJhLS1kMTZzYSMvMHFyMmRjYmJhLS1kMTZzcw%3D%3D&amp;btag=e00050000&amp;expire=1764559397&amp;l=2025120110220104295D62D2C47867A675&amp;ply_type=3&amp;policy=3&amp;signature=eda595a908e755489b42d1dca6365d6b&amp;tk=7571587458748974088" TargetMode="External"/><Relationship Id="rId172" Type="http://schemas.openxmlformats.org/officeDocument/2006/relationships/hyperlink" Target="https://p16-sign-va.tiktokcdn.com/tos-maliva-avt-0068/8ca82cc9ed150d573b3fc912a90379f5~tplv-tiktokx-cropcenter:100:100.jpeg?dr=14579&amp;refresh_token=0a7e5af5&amp;x-expires=1764727200&amp;x-signature=g354jgEFhHctmdNhejG7YDkkQQQ%3D&amp;t=4d5b0474&amp;ps=13740610&amp;shp=a5d48078&amp;shcp=81f88b70&amp;idc=my" TargetMode="External"/><Relationship Id="rId171" Type="http://schemas.openxmlformats.org/officeDocument/2006/relationships/hyperlink" Target="https://www.tiktok.com/@ismaeldeoliveira.neuro/video/7573246381477874952" TargetMode="External"/><Relationship Id="rId170" Type="http://schemas.openxmlformats.org/officeDocument/2006/relationships/hyperlink" Target="https://v16-webapp-prime.tiktok.com/video/tos/alisg/tos-alisg-pve-0037c001/osfRIEMUL4U8YNmZaOBVEvkkgQF7BpAZGfDUME/?a=1988&amp;bti=ODszNWYuMDE6&amp;ch=0&amp;cr=3&amp;dr=0&amp;lr=all&amp;cd=0%7C0%7C0%7C&amp;cv=1&amp;br=2240&amp;bt=1120&amp;cs=0&amp;ds=3&amp;ft=-Csk_mrMPD12N3Dh5d-UxIS5hY6e3wv25ocAp&amp;mime_type=video_mp4&amp;qs=0&amp;rc=Mzs7Mzg7NDdlaTNkOjYzM0BpanQ8N3Y5cjhzNzMzODczNEAtMi5hMl5fXl8xMV8uMGEwYSMycm4yMmQ0M2BhLS1kMTFzcw%3D%3D&amp;btag=e00090000&amp;expire=1764728604&amp;l=20251201102147CB7160225F86D969BC26&amp;ply_type=2&amp;policy=2&amp;signature=d9196cbb200507c061983831bc2c5312&amp;tk=tt_chain_token" TargetMode="External"/><Relationship Id="rId165" Type="http://schemas.openxmlformats.org/officeDocument/2006/relationships/hyperlink" Target="https://v16-webapp-prime.tiktok.com/video/tos/alisg/tos-alisg-pve-0037c001/oE0FUIXEDoJRRBFLgEfgAqQu4FEgMpBEvzeRCV/?a=1988&amp;bti=ODszNWYuMDE6&amp;ch=0&amp;cr=3&amp;dr=0&amp;lr=all&amp;cd=0%7C0%7C0%7C&amp;cv=1&amp;br=2470&amp;bt=1235&amp;cs=0&amp;ds=3&amp;ft=-Csk_mrMPD12N6Dh5d-Uxq42hY6e3wv25IcAp&amp;mime_type=video_mp4&amp;qs=0&amp;rc=aDpmNjs4NTs3NTk3N2U4O0BpMzhrN3M5cm9rNzMzODczNEA0MV5hMTZeNl8xYzEtXzA0YSNzbC9lMmRzNV5hLS1kMTFzcw%3D%3D&amp;btag=e00090000&amp;expire=1764728579&amp;l=202512011021342A4EB9620CED315EA2E7&amp;ply_type=2&amp;policy=2&amp;signature=8daf5167cb10a31d02e70329f8381dc4&amp;tk=tt_chain_token" TargetMode="External"/><Relationship Id="rId164" Type="http://schemas.openxmlformats.org/officeDocument/2006/relationships/hyperlink" Target="https://p77-sign-va.tiktokcdn.com/tos-maliva-avt-0068/e7618effcb364411813cb45b790bc17d~tplv-tiktokx-cropcenter:1080:1080.jpeg?dr=14579&amp;refresh_token=1e0fcc8d&amp;x-expires=1764727200&amp;x-signature=f5vguwuDPxsjJujUByuOMWr8LjY%3D&amp;t=4d5b0474&amp;ps=13740610&amp;shp=a5d48078&amp;shcp=81f88b70&amp;idc=my" TargetMode="External"/><Relationship Id="rId163" Type="http://schemas.openxmlformats.org/officeDocument/2006/relationships/hyperlink" Target="https://v16-webapp-prime.tiktok.com/video/tos/alisg/tos-alisg-v-27dcd7/oQPAoiWElAAViXAnRVCgAaYF8wAREAAUkBoU4/?a=1988&amp;bti=ODszNWYuMDE6&amp;ch=0&amp;cr=0&amp;dr=0&amp;er=0&amp;lr=default&amp;cd=0%7C0%7C0%7C0&amp;br=250&amp;bt=125&amp;ds=5&amp;ft=GNDpcInz7ThezKvPXq8Zmo&amp;mime_type=audio_mpeg&amp;qs=13&amp;rc=am81eWo5cjNrNzMzODU8NEBpam81eWo5cjNrNzMzODU8NEA1NTJnMmQ0YF5hLS1kMS1zYSM1NTJnMmQ0YF5hLS1kMS1zcw%3D%3D&amp;btag=e00050000&amp;expire=1764559379&amp;l=202512011021342A4EB9620CED315EA2E7&amp;ply_type=3&amp;policy=3&amp;signature=a90d4cef5e8e97369ad4896e87d96d4b&amp;tk=7571587458748974088" TargetMode="External"/><Relationship Id="rId162" Type="http://schemas.openxmlformats.org/officeDocument/2006/relationships/hyperlink" Target="https://p16-sign-va.tiktokcdn.com/tos-maliva-avt-0068/e7618effcb364411813cb45b790bc17d~tplv-tiktokx-cropcenter:100:100.jpeg?dr=14579&amp;refresh_token=3cdfdb61&amp;x-expires=1764727200&amp;x-signature=GJX5OiGnqD7ibOH2CiyYxfYrsLY%3D&amp;t=4d5b0474&amp;ps=13740610&amp;shp=a5d48078&amp;shcp=81f88b70&amp;idc=my" TargetMode="External"/><Relationship Id="rId169" Type="http://schemas.openxmlformats.org/officeDocument/2006/relationships/hyperlink" Target="https://p77-sg.tiktokcdn.com/aweme/720x720/tos-alisg-v-2774/568a79982fd64d27bf506255ecb58f1e.jpeg" TargetMode="External"/><Relationship Id="rId168" Type="http://schemas.openxmlformats.org/officeDocument/2006/relationships/hyperlink" Target="https://sf16-ies-music-sg.tiktokcdn.com/obj/tos-alisg-ve-2774/826033f166d448029eefc3940921daaf" TargetMode="External"/><Relationship Id="rId167" Type="http://schemas.openxmlformats.org/officeDocument/2006/relationships/hyperlink" Target="https://p16-sign-va.tiktokcdn.com/tos-maliva-avt-0068/e7618effcb364411813cb45b790bc17d~tplv-tiktokx-cropcenter:100:100.jpeg?dr=14579&amp;refresh_token=3cdfdb61&amp;x-expires=1764727200&amp;x-signature=GJX5OiGnqD7ibOH2CiyYxfYrsLY%3D&amp;t=4d5b0474&amp;ps=13740610&amp;shp=a5d48078&amp;shcp=81f88b70&amp;idc=my" TargetMode="External"/><Relationship Id="rId166" Type="http://schemas.openxmlformats.org/officeDocument/2006/relationships/hyperlink" Target="https://www.tiktok.com/@ismaeldeoliveira.neuro/video/7571982346174401799" TargetMode="External"/><Relationship Id="rId161" Type="http://schemas.openxmlformats.org/officeDocument/2006/relationships/hyperlink" Target="https://www.tiktok.com/@eu_autista/video/7434901965995314488" TargetMode="External"/><Relationship Id="rId160" Type="http://schemas.openxmlformats.org/officeDocument/2006/relationships/hyperlink" Target="https://v16-webapp-prime.tiktok.com/video/tos/useast2a/tos-useast2a-pve-0068/oMOujCh2OISCIXCfFCXL5ccIEBGQfYAvRgevAF/?a=1988&amp;bti=ODszNWYuMDE6&amp;ch=0&amp;cr=3&amp;dr=0&amp;lr=all&amp;cd=0%7C0%7C0%7C&amp;cv=1&amp;br=544&amp;bt=272&amp;cs=0&amp;ds=6&amp;ft=-Csk_mrMPD12NnZh5d-UxHv2hY6e3wv25DcAp&amp;mime_type=video_mp4&amp;qs=5&amp;rc=NDNmPDY1ZmY5aTw6OmlpN0Bpamg5a3k5cjU0djMzNzczM0A0Li4xLS9iNTQxNWBfYy9iYSNkcjVzMmQ0NGtgLS1kMTZzcw%3D%3D&amp;btag=e00090000&amp;expire=1764728687&amp;l=202512011023356697B490C7BD5AE9D72E&amp;ply_type=2&amp;policy=2&amp;signature=bd92f1e3842720e7700a9cd0b42c433d&amp;tk=tt_chain_token" TargetMode="External"/><Relationship Id="rId159" Type="http://schemas.openxmlformats.org/officeDocument/2006/relationships/hyperlink" Target="https://p77-sign-va.tiktokcdn.com/tos-maliva-avt-0068/83128de402d81c535812dcbf27bbe6fc~tplv-tiktokx-cropcenter:1080:1080.jpeg?dr=14579&amp;refresh_token=80fcd9c2&amp;x-expires=1764727200&amp;x-signature=OQb%2FCj5j2LIVd68Ck9zt1gDiEew%3D&amp;t=4d5b0474&amp;ps=13740610&amp;shp=a5d48078&amp;shcp=81f88b70&amp;idc=my" TargetMode="External"/><Relationship Id="rId154" Type="http://schemas.openxmlformats.org/officeDocument/2006/relationships/hyperlink" Target="https://p77-sign-va.tiktokcdn.com/tos-maliva-avt-0068/0fb17d655c9941cc7d7260156b5d573f~tplv-tiktokx-cropcenter:1080:1080.jpeg?dr=14579&amp;refresh_token=84b9a4e6&amp;x-expires=1764727200&amp;x-signature=urWC5Uf%2FarBgdO0iiyn2zd2Q%2FfQ%3D&amp;t=4d5b0474&amp;ps=13740610&amp;shp=a5d48078&amp;shcp=81f88b70&amp;idc=my" TargetMode="External"/><Relationship Id="rId153" Type="http://schemas.openxmlformats.org/officeDocument/2006/relationships/hyperlink" Target="https://v16-webapp-prime.tiktok.com/video/tos/useast2a/tos-useast2a-v-27dcd7/o40uSAJDoBek7rgFEAAX1CIHUBSSf6OQxJI6Hj/?a=1988&amp;bti=ODszNWYuMDE6&amp;ch=0&amp;cr=0&amp;dr=0&amp;er=0&amp;lr=default&amp;cd=0%7C0%7C0%7C0&amp;br=250&amp;bt=125&amp;ds=5&amp;ft=GNDpcInz7ThjFKvPXq8Zmo&amp;mime_type=audio_mpeg&amp;qs=13&amp;rc=M3c4eGw5cjtxNjMzNzU8M0BpM3c4eGw5cjtxNjMzNzU8M0BxLTIuMmRza2hhLS1kMTZzYSNxLTIuMmRza2hhLS1kMTZzcw%3D%3D&amp;btag=e00058000&amp;expire=1764559523&amp;l=2025120110215532A809179141715F3748&amp;ply_type=3&amp;policy=3&amp;signature=08b481789c3e38bb55617ed3859b40a6&amp;tk=7571587458748974088" TargetMode="External"/><Relationship Id="rId152" Type="http://schemas.openxmlformats.org/officeDocument/2006/relationships/hyperlink" Target="https://p16-sign-va.tiktokcdn.com/tos-maliva-avt-0068/0fb17d655c9941cc7d7260156b5d573f~tplv-tiktokx-cropcenter:100:100.jpeg?dr=14579&amp;refresh_token=69a13ef9&amp;x-expires=1764727200&amp;x-signature=MQhrRkmVJvwJb9YxjnMN3D09VyA%3D&amp;t=4d5b0474&amp;ps=13740610&amp;shp=a5d48078&amp;shcp=81f88b70&amp;idc=my" TargetMode="External"/><Relationship Id="rId151" Type="http://schemas.openxmlformats.org/officeDocument/2006/relationships/hyperlink" Target="https://www.tiktok.com/@caminhandoecortando/video/7552259161241832716" TargetMode="External"/><Relationship Id="rId158" Type="http://schemas.openxmlformats.org/officeDocument/2006/relationships/hyperlink" Target="https://v16-webapp-prime.tiktok.com/video/tos/useast2a/tos-useast2a-v-27dcd7/o4LgAAlOXEf5CvBAIBZCCTUCSM4eQeFAog8gQG/?a=1988&amp;bti=ODszNWYuMDE6&amp;ch=0&amp;cr=0&amp;dr=0&amp;er=0&amp;lr=default&amp;cd=0%7C0%7C0%7C0&amp;br=250&amp;bt=125&amp;ds=5&amp;ft=GNDpcInz7ThGgKvPXq8Zmo&amp;mime_type=audio_mpeg&amp;qs=13&amp;rc=anU4NGo5cjM0djMzNzU8M0BpanU4NGo5cjM0djMzNzU8M0BzcGZgMmQ0NWtgLS1kMTZzYSNzcGZgMmQ0NWtgLS1kMTZzcw%3D%3D&amp;btag=e00050000&amp;expire=1764559487&amp;l=202512011023356697B490C7BD5AE9D72E&amp;ply_type=3&amp;policy=3&amp;signature=5677b0c651137aaddc7fdd2f6fd63b2a&amp;tk=7571587458748974088" TargetMode="External"/><Relationship Id="rId157" Type="http://schemas.openxmlformats.org/officeDocument/2006/relationships/hyperlink" Target="https://p16-sign-va.tiktokcdn.com/tos-maliva-avt-0068/83128de402d81c535812dcbf27bbe6fc~tplv-tiktokx-cropcenter:100:100.jpeg?dr=14579&amp;refresh_token=66c897dd&amp;x-expires=1764727200&amp;x-signature=XaaoH0Wtgxs4PZOKjoPKjBCZRm4%3D&amp;t=4d5b0474&amp;ps=13740610&amp;shp=a5d48078&amp;shcp=81f88b70&amp;idc=my" TargetMode="External"/><Relationship Id="rId156" Type="http://schemas.openxmlformats.org/officeDocument/2006/relationships/hyperlink" Target="https://www.tiktok.com/@thiagojatoba_/video/7559709300189334796" TargetMode="External"/><Relationship Id="rId155" Type="http://schemas.openxmlformats.org/officeDocument/2006/relationships/hyperlink" Target="https://v16-webapp-prime.tiktok.com/video/tos/useast2a/tos-useast2a-pve-0068/oc5C7vR7gfjXQxVIWuAPwQIMSgvS01fCuv89Ae/?a=1988&amp;bti=ODszNWYuMDE6&amp;ch=0&amp;cr=3&amp;dr=0&amp;lr=all&amp;cd=0%7C0%7C0%7C&amp;cv=1&amp;br=2278&amp;bt=1139&amp;cs=0&amp;ds=3&amp;ft=-Csk_mrMPD12NSBh5d-Uxs12aY6e3wv252cAp&amp;mime_type=video_mp4&amp;qs=0&amp;rc=MzY0NjtmOTs7MzhlZjxlNEBpamV1cXE5cnhxNjMzNzczM0AyMGMyNGM2Ni0xMmNfLy1iYSNvc2tmMmQ0X2hhLS1kMTZzcw%3D%3D&amp;btag=e00098000&amp;expire=1764728723&amp;l=2025120110215532A809179141715F3748&amp;ply_type=2&amp;policy=2&amp;signature=bfe43981e7a6bab015ce03bad5299eea&amp;tk=tt_chain_token" TargetMode="External"/><Relationship Id="rId1510" Type="http://schemas.openxmlformats.org/officeDocument/2006/relationships/hyperlink" Target="https://www.tiktok.com/@mr.tdahzinho/video/7503334976495062278" TargetMode="External"/><Relationship Id="rId1511" Type="http://schemas.openxmlformats.org/officeDocument/2006/relationships/hyperlink" Target="https://p77-sign-va.tiktokcdn.com/tos-maliva-avt-0068/0cb45cf7466f595eb7489f64464112ee~tplv-tiktokx-cropcenter:100:100.jpeg?dr=14579&amp;refresh_token=c7f6828f&amp;x-expires=1764727200&amp;x-signature=NFLBLnj10RL%2FWBK0t17XmQP5KUI%3D&amp;t=4d5b0474&amp;ps=13740610&amp;shp=a5d48078&amp;shcp=81f88b70&amp;idc=my" TargetMode="External"/><Relationship Id="rId1512" Type="http://schemas.openxmlformats.org/officeDocument/2006/relationships/hyperlink" Target="https://sf16-ies-music-sg.tiktokcdn.com/obj/tos-alisg-ve-2774/oQPMCodrI3vLR5fF2AiQaKXIz3gYGDd0ae8Yeg" TargetMode="External"/><Relationship Id="rId1513" Type="http://schemas.openxmlformats.org/officeDocument/2006/relationships/hyperlink" Target="https://p77-sg.tiktokcdn.com/aweme/720x720/tos-alisg-v-2774/oM2CAM3ICAXPDPl8aAnoegMvfBzeaFIOQI2CAJ.jpeg" TargetMode="External"/><Relationship Id="rId1514" Type="http://schemas.openxmlformats.org/officeDocument/2006/relationships/hyperlink" Target="https://v16-webapp-prime.tiktok.com/video/tos/alisg/tos-alisg-ve-37c813-sg/oMEKIJXfXAmQ7OERqeBodgFdgrrDj4QBAOpwKB/?a=1988&amp;bti=ODszNWYuMDE6&amp;ch=0&amp;cr=3&amp;dr=0&amp;lr=all&amp;cd=0%7C0%7C0%7C&amp;cv=1&amp;br=1708&amp;bt=854&amp;cs=0&amp;ds=3&amp;ft=-Csk_mrMPD12N8Dh5d-UxSc2hY6e3wv252cAp&amp;mime_type=video_mp4&amp;qs=0&amp;rc=ZmY0ZWg3OzY6NTdmNWQ2PEBpM21wZm45cnRxMzMzNzczM0BfMF5eLTZfNTQxYTM1MWMwYSM1YmNrMmRrYi9hLS1kMTZzcw%3D%3D&amp;btag=e00088000&amp;expire=1764728547&amp;l=2025120110213521203C48224A5C66F6F4&amp;ply_type=2&amp;policy=2&amp;signature=08547f991ca57d2165a2e0b666f73dff&amp;tk=tt_chain_token" TargetMode="External"/><Relationship Id="rId1515" Type="http://schemas.openxmlformats.org/officeDocument/2006/relationships/hyperlink" Target="https://www.tiktok.com/@coringafrasesia/video/7495529064619429126" TargetMode="External"/><Relationship Id="rId1516"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1517" Type="http://schemas.openxmlformats.org/officeDocument/2006/relationships/hyperlink" Target="https://v16-webapp-prime.tiktok.com/video/tos/useast2a/tos-useast2a-v-27dcd7/ocRPCEVQzEUTAASB0TA1yAviB3FcZlNViTSC3/?a=1988&amp;bti=ODszNWYuMDE6&amp;ch=0&amp;cr=0&amp;dr=0&amp;er=0&amp;lr=default&amp;cd=0%7C0%7C0%7C0&amp;br=250&amp;bt=125&amp;ds=5&amp;ft=GNDpcInz7ThuzKvPXq8Zmo&amp;mime_type=audio_mpeg&amp;qs=13&amp;rc=M21vam45cm9tdzMzNzU8M0BpM21vam45cm9tdzMzNzU8M0BtMWRtMmQ0Xm9gLS1kMTZzYSNtMWRtMmQ0Xm9gLS1kMTZzcw%3D%3D&amp;btag=e00050000&amp;expire=1764559370&amp;l=202512011021508D2E02B19879BA6D89C0&amp;ply_type=3&amp;policy=3&amp;signature=a251bb2331260a7b7babf84668582787&amp;tk=7571587458748974088" TargetMode="External"/><Relationship Id="rId1518"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1519" Type="http://schemas.openxmlformats.org/officeDocument/2006/relationships/hyperlink" Target="https://v16-webapp-prime.tiktok.com/video/tos/useast2a/tos-useast2a-pve-0068/oA0HCcoAUcEB3BQmJGzkjEi4SZia3V37IN0Qv/?a=1988&amp;bti=ODszNWYuMDE6&amp;ch=0&amp;cr=3&amp;dr=0&amp;lr=all&amp;cd=0%7C0%7C0%7C&amp;cv=1&amp;br=1870&amp;bt=935&amp;cs=0&amp;ds=3&amp;ft=-Csk_mrMPD12NGDh5d-UxSc2hY6e3wv25DcAp&amp;mime_type=video_mp4&amp;qs=0&amp;rc=ZTRpOGk3NDo3PDpoNWU1N0Bpajd3OHI5cjttdzMzNzczM0BhMDA2LTVjNjMxXy5eYjIzYSMwbWJuMmRrNG9gLS1kMTZzcw%3D%3D&amp;btag=e00090000&amp;expire=1764728570&amp;l=202512011021508D2E02B19879BA6D89C0&amp;ply_type=2&amp;policy=2&amp;signature=f8a8b3bf8921cef04c6f86909f54d8ce&amp;tk=tt_chain_token" TargetMode="External"/><Relationship Id="rId1500" Type="http://schemas.openxmlformats.org/officeDocument/2006/relationships/hyperlink" Target="https://www.tiktok.com/@luizaapsicologa/video/7397855879304842501" TargetMode="External"/><Relationship Id="rId1501"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502" Type="http://schemas.openxmlformats.org/officeDocument/2006/relationships/hyperlink" Target="https://v16-webapp-prime.tiktok.com/video/tos/useast2a/tos-useast2a-v-27dcd7/o0LrCy2pcBiQzAA7zrAQPpEAil9iZE3vSUDDb/?a=1988&amp;bti=ODszNWYuMDE6&amp;ch=0&amp;cr=0&amp;dr=0&amp;er=0&amp;lr=default&amp;cd=0%7C0%7C0%7C0&amp;br=250&amp;bt=125&amp;ds=5&amp;ft=GNDpcInz7ThcFKvPXq8Zmo&amp;mime_type=audio_mpeg&amp;qs=13&amp;rc=MzxpcHU5cmlneTMzNzU8M0BpMzxpcHU5cmlneTMzNzU8M0BlMnFpMmQ0bTVgLS1kMTZzYSNlMnFpMmQ0bTVgLS1kMTZzcw%3D%3D&amp;btag=e00050000&amp;expire=1764559390&amp;l=2025120110220384643B3986DED954E961&amp;ply_type=3&amp;policy=3&amp;signature=50cb2115e884b033a2deed3ff9476c4b&amp;tk=7571587458748974088" TargetMode="External"/><Relationship Id="rId1503"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1504" Type="http://schemas.openxmlformats.org/officeDocument/2006/relationships/hyperlink" Target="https://v16-webapp-prime.tiktok.com/video/tos/useast2a/tos-useast2a-ve-0068c002/o4RjaSPAbL8aBDEhGCgQBoLefiACNgeSIuIDZl/?a=1988&amp;bti=ODszNWYuMDE6&amp;ch=0&amp;cr=3&amp;dr=0&amp;lr=all&amp;cd=0%7C0%7C0%7C&amp;cv=1&amp;br=2094&amp;bt=1047&amp;cs=0&amp;ds=3&amp;ft=I~da4oKyD12NvaMWS.IxRYjNWlBF-UjNSkopiX&amp;mime_type=video_mp4&amp;qs=0&amp;rc=MzllNDhlaGUzM2U4Z2k6N0BpajNnPG45cmpneTMzNzczM0A0MTYwXzU0Nl8xMmMwLV5iYSM1NWZnMmRjajVgLS1kMTZzcw%3D%3D&amp;btag=e00090000&amp;expire=1764728590&amp;l=2025120110220384643B3986DED954E961&amp;ply_type=2&amp;policy=2&amp;signature=307b50dce8f5d5ed9c93fba14c2834b3&amp;tk=tt_chain_token" TargetMode="External"/><Relationship Id="rId1505" Type="http://schemas.openxmlformats.org/officeDocument/2006/relationships/hyperlink" Target="https://www.tiktok.com/@igorpsicologo/video/7480721645401869573" TargetMode="External"/><Relationship Id="rId1506" Type="http://schemas.openxmlformats.org/officeDocument/2006/relationships/hyperlink" Target="https://p77-sign-va.tiktokcdn.com/tos-maliva-avt-0068/431bee7578e519987635a70e5b8f7fb3~tplv-tiktokx-cropcenter:100:100.jpeg?dr=14579&amp;refresh_token=22fe3023&amp;x-expires=1764727200&amp;x-signature=B%2BqycUlboPCsE%2BhHasWfyav%2Ft%2Bo%3D&amp;t=4d5b0474&amp;ps=13740610&amp;shp=a5d48078&amp;shcp=81f88b70&amp;idc=my" TargetMode="External"/><Relationship Id="rId1507" Type="http://schemas.openxmlformats.org/officeDocument/2006/relationships/hyperlink" Target="https://v16-webapp-prime.tiktok.com/video/tos/useast2a/tos-useast2a-v-27dcd7/okFE3tScgBMEPkOhUQiAomEiEB3MAx5fKAA0AJ/?a=1988&amp;bti=ODszNWYuMDE6&amp;ch=0&amp;cr=0&amp;dr=0&amp;er=0&amp;lr=default&amp;cd=0%7C0%7C0%7C0&amp;br=250&amp;bt=125&amp;ds=5&amp;ft=GNDpcInz7ThszKvPXq8Zmo&amp;mime_type=audio_mpeg&amp;qs=13&amp;rc=M2x2cXE5cnZtMzMzNzU8M0BpM2x2cXE5cnZtMzMzNzU8M0A1cC4vMmRzM2RhLS1kMTZzYSM1cC4vMmRzM2RhLS1kMTZzcw%3D%3D&amp;btag=e00048000&amp;expire=1764559298&amp;l=20251201102055111140D50F38376E882B&amp;ply_type=3&amp;policy=3&amp;signature=8d8054ad7401c4d0bf5c57c81c3679e0&amp;tk=7571587458748974088" TargetMode="External"/><Relationship Id="rId1508" Type="http://schemas.openxmlformats.org/officeDocument/2006/relationships/hyperlink" Target="https://p77-sign-va.tiktokcdn.com/tos-maliva-avt-0068/431bee7578e519987635a70e5b8f7fb3~tplv-tiktokx-cropcenter:1080:1080.jpeg?dr=14579&amp;refresh_token=4553ee2b&amp;x-expires=1764727200&amp;x-signature=8pmd4P8yOCuhzXXpaXJUy9t6ZBw%3D&amp;t=4d5b0474&amp;ps=13740610&amp;shp=a5d48078&amp;shcp=81f88b70&amp;idc=my" TargetMode="External"/><Relationship Id="rId1509" Type="http://schemas.openxmlformats.org/officeDocument/2006/relationships/hyperlink" Target="https://v16-webapp-prime.tiktok.com/video/tos/useast2a/tos-useast2a-ve-0068c001/o0hK4YAuiQzQE44CBUhYa2MiIQSB4O6tPSE8E/?a=1988&amp;bti=ODszNWYuMDE6&amp;ch=0&amp;cr=3&amp;dr=0&amp;lr=all&amp;cd=0%7C0%7C0%7C&amp;cv=1&amp;br=4240&amp;bt=2120&amp;cs=0&amp;ds=3&amp;ft=-Csk_mrMPD12NbDh5d-UxPR2SY6e3wv25IcAp&amp;mime_type=video_mp4&amp;qs=0&amp;rc=OWZoZ2k8aGVnaWc4MzZpOkBpM3BwaHI5cnJtMzMzNzczM0BjLjVgYy9gXzQxLTQyLTReYSNwcTJxMmQ0M2RhLS1kMTZzcw%3D%3D&amp;btag=e00088000&amp;expire=1764728498&amp;l=20251201102055111140D50F38376E882B&amp;ply_type=2&amp;policy=2&amp;signature=175e7ebefeac42172d2d58c7618b0f2c&amp;tk=tt_chain_token" TargetMode="External"/><Relationship Id="rId1576"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1577" Type="http://schemas.openxmlformats.org/officeDocument/2006/relationships/hyperlink" Target="https://v16-webapp-prime.tiktok.com/video/tos/useast2a/tos-useast2a-v-27dcd7/okaAlrFB3uBPiIpEAkd8RQ1ICp5EAviUWSqiA/?a=1988&amp;bti=ODszNWYuMDE6&amp;ch=0&amp;cr=0&amp;dr=0&amp;er=0&amp;lr=default&amp;cd=0%7C0%7C0%7C0&amp;br=250&amp;bt=125&amp;ds=5&amp;ft=GNDpcInz7ThJzKvPXq8Zmo&amp;mime_type=audio_mpeg&amp;qs=13&amp;rc=M2Q5ZW85cjV4NDMzNzU8M0BpM2Q5ZW85cjV4NDMzNzU8M0AxZ2ZyMmRrNmJhLS1kMTZzYSMxZ2ZyMmRrNmJhLS1kMTZzcw%3D%3D&amp;btag=e00050000&amp;expire=1764559367&amp;l=20251201102141EAAE30DD17435761F356&amp;ply_type=3&amp;policy=3&amp;signature=d6e58770d8385f68e8aaa082b4ceb075&amp;tk=7571587458748974088" TargetMode="External"/><Relationship Id="rId1578"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1579" Type="http://schemas.openxmlformats.org/officeDocument/2006/relationships/hyperlink" Target="https://v16-webapp-prime.tiktok.com/video/tos/useast2a/tos-useast2a-pve-0068/ocRSIFQBQU0IdAPiG9PaiRFECjqJUmo35BE3S/?a=1988&amp;bti=ODszNWYuMDE6&amp;ch=0&amp;cr=3&amp;dr=0&amp;lr=all&amp;cd=0%7C0%7C0%7C&amp;cv=1&amp;br=2048&amp;bt=1024&amp;cs=0&amp;ds=3&amp;ft=-Csk_mrMPD12NWDh5d-Uxvt2hY6e3wv251cAp&amp;mime_type=video_mp4&amp;qs=0&amp;rc=M2llNjg1aDdpOjg1aTNnM0Bpajt0d245cjV4NDMzNzczM0BfMjJeYmE2Ni4xLzI1Ml9fYSM1aWwvMmQ0M2JhLS1kMTZzcw%3D%3D&amp;btag=e00090000&amp;expire=1764728567&amp;l=20251201102141EAAE30DD17435761F356&amp;ply_type=2&amp;policy=2&amp;signature=93adf4454894ed7d34341e5d21bd13fc&amp;tk=tt_chain_token" TargetMode="External"/><Relationship Id="rId509" Type="http://schemas.openxmlformats.org/officeDocument/2006/relationships/hyperlink" Target="https://v16-webapp-prime.tiktok.com/video/tos/alisg/tos-alisg-pve-0037c001/oc6avKuB0A72ZuyiiwsH4AIKCAmgfkMwlIEXIg/?a=1988&amp;bti=ODszNWYuMDE6&amp;ch=0&amp;cr=3&amp;dr=0&amp;lr=all&amp;cd=0%7C0%7C0%7C&amp;cv=1&amp;br=724&amp;bt=362&amp;cs=0&amp;ds=3&amp;ft=-Csk_mrMPD12NxDh5d-UxIS5hY6e3wv25ycAp&amp;mime_type=video_mp4&amp;qs=0&amp;rc=cnF8b2hsc2d3SkBwaHIxaDFybndmaDk3M2c8ODg0ZjhmMztpZ0BpM3N1PHA5cmpoNzMzODczNEBjRl5Nc3FePmJKYSNvYF90aHFmOiM0MmA0X2A1XjYxMGNeMWAtYSNxMWAyMmRjbmRhLS1kMWBzcw%3D%3D&amp;btag=e000b8000&amp;expire=1764728463&amp;l=202512011020485614ECD0EEDB8C5FDDDB&amp;ply_type=2&amp;policy=2&amp;signature=1ec9282eba6c7232375dae0d8c683a60&amp;tk=tt_chain_token" TargetMode="External"/><Relationship Id="rId508"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503" Type="http://schemas.openxmlformats.org/officeDocument/2006/relationships/hyperlink" Target="https://p16-sign-va.tiktokcdn.com/tos-maliva-avt-0068/bf3e85492ef0c591e6c4fb283a3a3dc7~tplv-tiktokx-cropcenter:1080:1080.jpeg?dr=14579&amp;refresh_token=fa92752e&amp;x-expires=1764727200&amp;x-signature=6w8AzE%2Fdkup5kK8qlDMebmC05mU%3D&amp;t=4d5b0474&amp;ps=13740610&amp;shp=a5d48078&amp;shcp=81f88b70&amp;idc=my" TargetMode="External"/><Relationship Id="rId987" Type="http://schemas.openxmlformats.org/officeDocument/2006/relationships/hyperlink" Target="https://p16-sign-va.tiktokcdn.com/tos-maliva-avt-0068/05b6935a4b121ee474ae6fc121633920~tplv-tiktokx-cropcenter:1080:1080.jpeg?dr=14579&amp;refresh_token=7570fd58&amp;x-expires=1764727200&amp;x-signature=9MB4i7Hk1ber7JIG2vjg0os7x0I%3D&amp;t=4d5b0474&amp;ps=13740610&amp;shp=a5d48078&amp;shcp=81f88b70&amp;idc=my" TargetMode="External"/><Relationship Id="rId502" Type="http://schemas.openxmlformats.org/officeDocument/2006/relationships/hyperlink" Target="https://v16-webapp-prime.tiktok.com/video/tos/maliva/tos-maliva-v-27dcd7c799-us/c333cd205a4f40e8b744be4828d93770/?a=1988&amp;bti=ODszNWYuMDE6&amp;ch=0&amp;cr=0&amp;dr=0&amp;er=0&amp;lr=default&amp;cd=0%7C0%7C0%7C0&amp;br=198&amp;bt=99&amp;ds=5&amp;ft=GNDpcInz7ThvzKvPXq8Zmo&amp;mime_type=audio_mp4&amp;qs=13&amp;rc=anB5djw6Zm81OzMzZzU8NEBpanB5djw6Zm81OzMzZzU8NEBrMmJvcjQwcDVgLS1kMS9zYSNrMmJvcjQwcDVgLS1kMS9zcw%3D%3D&amp;btag=e00070000&amp;expire=1764559268&amp;l=2025120110205711DA509A8B9B2F6AA181&amp;ply_type=3&amp;policy=3&amp;signature=a1d0c4bd5d4fc5ac4f4567c4d62f117c&amp;tk=7571587458748974088" TargetMode="External"/><Relationship Id="rId986" Type="http://schemas.openxmlformats.org/officeDocument/2006/relationships/hyperlink" Target="https://v16-webapp-prime.tiktok.com/video/tos/alisg/tos-alisg-v-27dcd7/o0XuPFeUEM3Ig89sV1fwmA6CJxq4oDQVBOWDBR/?a=1988&amp;bti=ODszNWYuMDE6&amp;ch=0&amp;cr=0&amp;dr=0&amp;er=0&amp;lr=default&amp;cd=0%7C0%7C0%7C0&amp;br=250&amp;bt=125&amp;ft=GNDpcInz7ThvFKvPXq8Zmo&amp;mime_type=audio_mpeg&amp;qs=6&amp;rc=OTk1OTxkMzdnNWRlZzs7aEBpM2lwZHE5cmhvNjMzODU8NEAxNDIvYTYwNjAxMzRgMi8zYSNnbGZjMmRrbG5hLS1kMS1zcw%3D%3D&amp;btag=e00088000&amp;expire=1764559378&amp;l=2025120110220104295D62D2C47867A675&amp;ply_type=3&amp;policy=3&amp;signature=b1fe4789f0e6ddf66c1eb509229df0e3&amp;tk=7571587458748974088" TargetMode="External"/><Relationship Id="rId501"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985" Type="http://schemas.openxmlformats.org/officeDocument/2006/relationships/hyperlink" Target="https://p77-sign-va.tiktokcdn.com/tos-maliva-avt-0068/05b6935a4b121ee474ae6fc121633920~tplv-tiktokx-cropcenter:100:100.jpeg?dr=14579&amp;refresh_token=7310f36e&amp;x-expires=1764727200&amp;x-signature=YpOVlwUu6ArdrVQTsNlRHvEE6Y0%3D&amp;t=4d5b0474&amp;ps=13740610&amp;shp=a5d48078&amp;shcp=81f88b70&amp;idc=my" TargetMode="External"/><Relationship Id="rId500" Type="http://schemas.openxmlformats.org/officeDocument/2006/relationships/hyperlink" Target="https://www.tiktok.com/@liberdade.mentall/video/7568640345265802514" TargetMode="External"/><Relationship Id="rId984" Type="http://schemas.openxmlformats.org/officeDocument/2006/relationships/hyperlink" Target="https://www.tiktok.com/@terapiadafe/video/7569398945332464916" TargetMode="External"/><Relationship Id="rId507" Type="http://schemas.openxmlformats.org/officeDocument/2006/relationships/hyperlink" Target="https://v16-webapp-prime.tiktok.com/video/tos/alisg/tos-alisg-v-27dcd7/oUALB79kFiAATKHAE0iByXfNEAEbwaPyAog48E/?a=1988&amp;bti=ODszNWYuMDE6&amp;ch=0&amp;cr=0&amp;dr=0&amp;er=0&amp;lr=default&amp;cd=0%7C0%7C0%7C0&amp;br=250&amp;bt=125&amp;ds=5&amp;ft=GNDpcInz7Th8zKvPXq8Zmo&amp;mime_type=audio_mpeg&amp;qs=13&amp;rc=and5dmw5cnZoNzMzODU8NEBpand5dmw5cnZoNzMzODU8NEAzbWU2MmRjbmRhLS1kMS1zYSMzbWU2MmRjbmRhLS1kMS1zcw%3D%3D&amp;btag=e00078000&amp;expire=1764559263&amp;l=202512011020485614ECD0EEDB8C5FDDDB&amp;ply_type=3&amp;policy=3&amp;signature=3658848dc1255d8c2239c652eab40bb3&amp;tk=7571587458748974088" TargetMode="External"/><Relationship Id="rId506"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505" Type="http://schemas.openxmlformats.org/officeDocument/2006/relationships/hyperlink" Target="https://www.tiktok.com/@psi.walace/video/7519918185961753861" TargetMode="External"/><Relationship Id="rId989" Type="http://schemas.openxmlformats.org/officeDocument/2006/relationships/hyperlink" Target="https://www.tiktok.com/@so_mente/video/7563052439243328786" TargetMode="External"/><Relationship Id="rId504" Type="http://schemas.openxmlformats.org/officeDocument/2006/relationships/hyperlink" Target="https://v16-webapp-prime.tiktok.com/video/tos/useast2a/tos-useast2a-pve-0068/okokJXcibBTIBAFReBbEmRxMAXEFQrfd42MDEY/?a=1988&amp;bti=ODszNWYuMDE6&amp;ch=0&amp;cr=3&amp;dr=0&amp;lr=all&amp;cd=0%7C0%7C0%7C&amp;cv=1&amp;br=1134&amp;bt=567&amp;cs=0&amp;ds=3&amp;ft=-Csk_mrMPD12N5Dh5d-UxP12hY6e3wv25ocAp&amp;mime_type=video_mp4&amp;qs=0&amp;rc=M2ZoOzloNTVkOjk3NmlnM0BpM21vPHg5cjk0NDMzNzczM0AxMjEtNTFfNTAxNTViX18wYSNgamRlMmRzb2JhLS1kMTZzcw%3D%3D&amp;btag=e000b0000&amp;expire=1764728467&amp;l=2025120110205711DA509A8B9B2F6AA181&amp;ply_type=2&amp;policy=2&amp;signature=6c6fd7ca7b29c68e729c115b2d783d99&amp;tk=tt_chain_token" TargetMode="External"/><Relationship Id="rId988" Type="http://schemas.openxmlformats.org/officeDocument/2006/relationships/hyperlink" Target="https://v16-webapp-prime.tiktok.com/video/tos/alisg/tos-alisg-pve-0037c001/owlWBbA68AAUoWffAMjRGaCxNQDoWITlsryien/?a=1988&amp;bti=ODszNWYuMDE6&amp;ch=0&amp;cr=3&amp;dr=0&amp;lr=all&amp;cd=0%7C0%7C0%7C&amp;cv=1&amp;br=1796&amp;bt=898&amp;cs=0&amp;ds=3&amp;ft=-Csk_mrMPD12NOBh5d-Uxbt2hY6e3wv25HcAp&amp;mime_type=video_mp4&amp;qs=0&amp;rc=NTllZDc2OTg2NTlkNGhkaUBpM2Vscm45cmpvNjMzODczNEBgLi9iNV8vNi8xMDAyMTZjYSNjbTNyMmQ0aW5hLS1kMTFzcw%3D%3D&amp;btag=e00088000&amp;expire=1764728579&amp;l=2025120110220104295D62D2C47867A675&amp;ply_type=2&amp;policy=2&amp;signature=f15b6e11b1c94228cccc41e3c70002e5&amp;tk=tt_chain_token" TargetMode="External"/><Relationship Id="rId1570" Type="http://schemas.openxmlformats.org/officeDocument/2006/relationships/hyperlink" Target="https://www.tiktok.com/@psi.jonathanorlandi/video/7496516856061185286" TargetMode="External"/><Relationship Id="rId1571"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983" Type="http://schemas.openxmlformats.org/officeDocument/2006/relationships/hyperlink" Target="https://v16-webapp-prime.tiktok.com/video/tos/alisg/tos-alisg-pve-0037c001/oEICLSaIMD8PPAjeqiEAEFEDe6DqMFQlGfIXFS/?a=1988&amp;bti=ODszNWYuMDE6&amp;ch=0&amp;cr=3&amp;dr=0&amp;lr=all&amp;cd=0%7C0%7C0%7C&amp;cv=1&amp;br=2350&amp;bt=1175&amp;cs=0&amp;ds=3&amp;ft=-Csk_mrMPD12NyDh5d-UxO72hY6e3wv257cAp&amp;mime_type=video_mp4&amp;qs=0&amp;rc=NTNmZjU4OTVkOmU6ZjtkaEBpM2Y8cW85cjh4NzMzODczNUAtNTFfMTU2NS8xNWA1Y19gYSMxaGguMmRzYzJhLS1kMTZzcw%3D%3D&amp;btag=e00090000&amp;expire=1764728568&amp;l=20251201102104F69A53E45B65A94E5B1C&amp;ply_type=2&amp;policy=2&amp;signature=0b03c3d23d3e46470a02c16195c7ca44&amp;tk=tt_chain_token" TargetMode="External"/><Relationship Id="rId1572" Type="http://schemas.openxmlformats.org/officeDocument/2006/relationships/hyperlink" Target="https://v16-webapp-prime.tiktok.com/video/tos/useast2a/tos-useast2a-v-27dcd7/ocW2YADeeSxfKRJAQ26iFMLJIm68IfUAhekAIM/?a=1988&amp;bti=ODszNWYuMDE6&amp;ch=0&amp;cr=0&amp;dr=0&amp;er=0&amp;lr=default&amp;cd=0%7C0%7C0%7C0&amp;br=250&amp;bt=125&amp;ds=5&amp;ft=GNDpcInz7ThcFKvPXq8Zmo&amp;mime_type=audio_mpeg&amp;qs=13&amp;rc=MztudXA5cmtreDMzNzU8M0BpMztudXA5cmtreDMzNzU8M0Btc2hvMmQ0YXJgLS1kMTZzYSNtc2hvMmQ0YXJgLS1kMTZzcw%3D%3D&amp;btag=e00050000&amp;expire=1764559393&amp;l=2025120110220384643B3986DED954E961&amp;ply_type=3&amp;policy=3&amp;signature=5ce901299ac097f32804d6f23905817c&amp;tk=7571587458748974088" TargetMode="External"/><Relationship Id="rId982" Type="http://schemas.openxmlformats.org/officeDocument/2006/relationships/hyperlink" Target="https://p77-sign-va.tiktokcdn.com/tos-maliva-avt-0068/377405ce9a41275b9b6f008b78c94af6~tplv-tiktokx-cropcenter:1080:1080.jpeg?dr=14579&amp;refresh_token=2a84a248&amp;x-expires=1764727200&amp;x-signature=GtmknxaCPihzqrKM8rGSJE%2FTrQA%3D&amp;t=4d5b0474&amp;ps=13740610&amp;shp=a5d48078&amp;shcp=81f88b70&amp;idc=my" TargetMode="External"/><Relationship Id="rId1573"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981" Type="http://schemas.openxmlformats.org/officeDocument/2006/relationships/hyperlink" Target="https://v16-webapp-prime.tiktok.com/video/tos/alisg/tos-alisg-v-27dcd7/oonAB9fBQEyjJOpU868yACjfLBECNiQAiAAkEg/?a=1988&amp;bti=ODszNWYuMDE6&amp;ch=0&amp;cr=0&amp;dr=0&amp;er=0&amp;lr=default&amp;cd=0%7C0%7C0%7C0&amp;br=250&amp;bt=125&amp;ds=5&amp;ft=GNDpcInz7Th4zKvPXq8Zmo&amp;mime_type=audio_mpeg&amp;qs=13&amp;rc=MzZuM2w5cmx4NzMzODU8NEBpMzZuM2w5cmx4NzMzODU8NEBtcTRyMmRjZDJhLS1kMS1zYSNtcTRyMmRjZDJhLS1kMS1zcw%3D%3D&amp;btag=e00050000&amp;expire=1764559368&amp;l=20251201102104F69A53E45B65A94E5B1C&amp;ply_type=3&amp;policy=3&amp;signature=559a925e419c081249056b3078ebfa9d&amp;tk=7571587458748974088" TargetMode="External"/><Relationship Id="rId1574" Type="http://schemas.openxmlformats.org/officeDocument/2006/relationships/hyperlink" Target="https://v16-webapp-prime.tiktok.com/video/tos/useast2a/tos-useast2a-pve-0068/owtMGIABgXeA1aiGRJ6ecILwXesfJKeibFAkLx/?a=1988&amp;bti=ODszNWYuMDE6&amp;ch=0&amp;cr=3&amp;dr=0&amp;lr=all&amp;cd=0%7C0%7C0%7C&amp;cv=1&amp;br=2888&amp;bt=1444&amp;cs=0&amp;ds=3&amp;ft=I~da4oKyD12NvaMWS.IxRYjNWlBF-UjNSkopiX&amp;mime_type=video_mp4&amp;qs=0&amp;rc=MzQzODw7OTRnODQ6aDVpPEBpanE0d3A5cnhreDMzNzczM0AyM14tYTBfXzIxMGFgLl8zYSMybmJuMmQ0L3JgLS1kMTZzcw%3D%3D&amp;btag=e00090000&amp;expire=1764728593&amp;l=2025120110220384643B3986DED954E961&amp;ply_type=2&amp;policy=2&amp;signature=78cb301855e8bdc609e12bd847ef405d&amp;tk=tt_chain_token" TargetMode="External"/><Relationship Id="rId980" Type="http://schemas.openxmlformats.org/officeDocument/2006/relationships/hyperlink" Target="https://p16-sign-va.tiktokcdn.com/tos-maliva-avt-0068/377405ce9a41275b9b6f008b78c94af6~tplv-tiktokx-cropcenter:100:100.jpeg?dr=14579&amp;refresh_token=e1181eb7&amp;x-expires=1764727200&amp;x-signature=eBjtaAUFkyZw6nb458rcdAEGz1A%3D&amp;t=4d5b0474&amp;ps=13740610&amp;shp=a5d48078&amp;shcp=81f88b70&amp;idc=my" TargetMode="External"/><Relationship Id="rId1575" Type="http://schemas.openxmlformats.org/officeDocument/2006/relationships/hyperlink" Target="https://www.tiktok.com/@igorpsicologo/video/7475150776483024134" TargetMode="External"/><Relationship Id="rId1565" Type="http://schemas.openxmlformats.org/officeDocument/2006/relationships/hyperlink" Target="https://www.tiktok.com/@psi.jonathanorlandi/video/7489441695633820934" TargetMode="External"/><Relationship Id="rId1566"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567" Type="http://schemas.openxmlformats.org/officeDocument/2006/relationships/hyperlink" Target="https://v16-webapp-prime.tiktok.com/video/tos/useast2a/tos-useast2a-v-27dcd7/ooAAPIAkR5oCy0SeVrEkBFCUJBmD8QpJFIfAnx/?a=1988&amp;bti=ODszNWYuMDE6&amp;ch=0&amp;cr=0&amp;dr=0&amp;er=0&amp;lr=default&amp;cd=0%7C0%7C0%7C0&amp;br=250&amp;bt=125&amp;ds=5&amp;ft=GNDpcInz7ThIPKvPXq8Zmo&amp;mime_type=audio_mpeg&amp;qs=13&amp;rc=anJlNXY5cnNpMzMzNzU8M0BpanJlNXY5cnNpMzMzNzU8M0BwNGhzMmQ0aDFhLS1kMTZzYSNwNGhzMmQ0aDFhLS1kMTZzcw%3D%3D&amp;btag=e00078000&amp;expire=1764559237&amp;l=20251201102014E2CB5F4C19000C61E683&amp;ply_type=3&amp;policy=3&amp;signature=1d5a1cc05d76f6240c9bfebb94ee473e&amp;tk=7571587458748974088" TargetMode="External"/><Relationship Id="rId1568" Type="http://schemas.openxmlformats.org/officeDocument/2006/relationships/hyperlink" Target="https://p77-sign-sg.tiktokcdn.com/tos-alisg-avt-0068/a922d44f129753f3f4657ae1aab09386~tplv-tiktokx-cropcenter:1080:1080.jpeg?dr=14579&amp;refresh_token=2c5396d3&amp;x-expires=1764727200&amp;x-signature=UQQdtyMLjhg42RtimEy1TOiZgok%3D&amp;t=4d5b0474&amp;ps=13740610&amp;shp=a5d48078&amp;shcp=81f88b70&amp;idc=my" TargetMode="External"/><Relationship Id="rId1569" Type="http://schemas.openxmlformats.org/officeDocument/2006/relationships/hyperlink" Target="https://v16-webapp-prime.tiktok.com/video/tos/useast2a/tos-useast2a-ve-0068c002/o4fIIC06O3XGAIQclGAJEP7RoQi8g0AHBpBkdi/?a=1988&amp;bti=ODszNWYuMDE6&amp;ch=0&amp;cr=3&amp;dr=0&amp;lr=all&amp;cd=0%7C0%7C0%7C&amp;cv=1&amp;br=5254&amp;bt=2627&amp;cs=0&amp;ds=3&amp;ft=-Csk_mrMPD12N0dh5d-UxPO2hY6e3wv252cAp&amp;mime_type=video_mp4&amp;qs=0&amp;rc=NzlmNDs1aWdmPDhlNDs7OkBpMzhoN3E5cmVpMzMzNzczM0AuLl8tYWEzNi0xLS8vYi4vYSM0ZzRxMmRzaDFhLS1kMTZzcw%3D%3D&amp;btag=e000b8000&amp;expire=1764728437&amp;l=20251201102014E2CB5F4C19000C61E683&amp;ply_type=2&amp;policy=2&amp;signature=9a177d05c83be6dd4891ad647d2aeb6a&amp;tk=tt_chain_token" TargetMode="External"/><Relationship Id="rId976" Type="http://schemas.openxmlformats.org/officeDocument/2006/relationships/hyperlink" Target="https://sf16-ies-music-sg.tiktokcdn.com/obj/tos-alisg-ve-2774/589d64300f6d457b8c06bfa71720c9fb" TargetMode="External"/><Relationship Id="rId975" Type="http://schemas.openxmlformats.org/officeDocument/2006/relationships/hyperlink" Target="https://p16-sign-va.tiktokcdn.com/tos-maliva-avt-0068/58ad5483f2c8e529250b55f297cc7b9e~tplv-tiktokx-cropcenter:100:100.jpeg?dr=14579&amp;refresh_token=06c188ec&amp;x-expires=1764727200&amp;x-signature=3YRwrC85%2FK30rYPZoyMkEOmmT%2Bw%3D&amp;t=4d5b0474&amp;ps=13740610&amp;shp=a5d48078&amp;shcp=81f88b70&amp;idc=my" TargetMode="External"/><Relationship Id="rId974" Type="http://schemas.openxmlformats.org/officeDocument/2006/relationships/hyperlink" Target="https://www.tiktok.com/@labirintodamente6/video/7568559455319772437" TargetMode="External"/><Relationship Id="rId973" Type="http://schemas.openxmlformats.org/officeDocument/2006/relationships/hyperlink" Target="https://v16-webapp-prime.tiktok.com/video/tos/alisg/tos-alisg-pve-0037c001/oE6Dz7gaQEBUbbKBOepERD8BCIyncDBfgA7FwR/?a=1988&amp;bti=ODszNWYuMDE6&amp;ch=0&amp;cr=3&amp;dr=0&amp;lr=all&amp;cd=0%7C0%7C0%7C&amp;cv=1&amp;br=1680&amp;bt=840&amp;cs=0&amp;ds=3&amp;ft=-Csk_mrMPD12NGDh5d-UxSc2hY6e3wv25DcAp&amp;mime_type=video_mp4&amp;qs=0&amp;rc=Ozw7ODM4Mzs3PGUzODpmNkBpajM7dnc5cmpoNzMzODczNEAzLTZhYS81NS4xLzRiMi5gYSNqMHFyMmRzbTFhLS1kMWBzcw%3D%3D&amp;btag=e00088000&amp;expire=1764728558&amp;l=202512011021508D2E02B19879BA6D89C0&amp;ply_type=2&amp;policy=2&amp;signature=45cf953b896e148700dd73ce8f7304c3&amp;tk=tt_chain_token" TargetMode="External"/><Relationship Id="rId979" Type="http://schemas.openxmlformats.org/officeDocument/2006/relationships/hyperlink" Target="https://www.tiktok.com/@movimentoabasr/video/7527772123864059192" TargetMode="External"/><Relationship Id="rId978" Type="http://schemas.openxmlformats.org/officeDocument/2006/relationships/hyperlink" Target="https://v16-webapp-prime.tiktok.com/video/tos/useast2a/tos-useast2a-ve-0068c004/o4BDi5MSBIqgi2EEECcyHaUiUQgPBAPPw4QXj/?a=1988&amp;bti=ODszNWYuMDE6&amp;ch=0&amp;cr=3&amp;dr=0&amp;lr=all&amp;cd=0%7C0%7C0%7C&amp;cv=1&amp;br=2182&amp;bt=1091&amp;cs=0&amp;ds=3&amp;ft=-Csk_mrMPD12NLdh5d-Uxbt2hY6e3wv25HcAp&amp;mime_type=video_mp4&amp;qs=0&amp;rc=MzM2MzU8aTVmOjo3Z2U8ZUBpM3ZnOGw5cmozNDMzNzczM0AxMl42YWM0XmIxX2NgLi8uYSNkYi1vMmQ0NnBhLS1kMTZzcw%3D%3D&amp;btag=e000b8000&amp;expire=1764728439&amp;l=202512011020239FD63C9B4E4C976A9DFE&amp;ply_type=2&amp;policy=2&amp;signature=decf9f408894ae22003968974125d317&amp;tk=tt_chain_token" TargetMode="External"/><Relationship Id="rId977" Type="http://schemas.openxmlformats.org/officeDocument/2006/relationships/hyperlink" Target="https://p77-sg.tiktokcdn.com/aweme/720x720/tos-alisg-v-2774/86844c2005f8444cb93c14fd3e976899.jpeg" TargetMode="External"/><Relationship Id="rId1560" Type="http://schemas.openxmlformats.org/officeDocument/2006/relationships/hyperlink" Target="https://www.tiktok.com/@igorpsicologo/video/7469210932044958981" TargetMode="External"/><Relationship Id="rId972" Type="http://schemas.openxmlformats.org/officeDocument/2006/relationships/hyperlink" Target="https://p77-sign-va.tiktokcdn.com/tos-maliva-avt-0068/3f2851fddee89c918e3a69c28ed31a70~tplv-tiktokx-cropcenter:1080:1080.jpeg?dr=14579&amp;refresh_token=f623d513&amp;x-expires=1764727200&amp;x-signature=nKHYDFB8jvbVcxDkElN9g0xpAD0%3D&amp;t=4d5b0474&amp;ps=13740610&amp;shp=a5d48078&amp;shcp=81f88b70&amp;idc=my" TargetMode="External"/><Relationship Id="rId1561"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971" Type="http://schemas.openxmlformats.org/officeDocument/2006/relationships/hyperlink" Target="https://v16-webapp-prime.tiktok.com/video/tos/alisg/tos-alisg-v-27dcd7/okMKnfHIGwnEBKAEAkziBkAo7AhiEyyN0yZNAA/?a=1988&amp;bti=ODszNWYuMDE6&amp;ch=0&amp;cr=0&amp;dr=0&amp;er=0&amp;lr=default&amp;cd=0%7C0%7C0%7C0&amp;br=250&amp;bt=125&amp;ds=5&amp;ft=GNDpcInz7ThuzKvPXq8Zmo&amp;mime_type=audio_mpeg&amp;qs=13&amp;rc=amxqbW05cmxoNzMzODU8NEBpamxqbW05cmxoNzMzODU8NEBnYWAzMmRjbTFhLS1kMS1zYSNnYWAzMmRjbTFhLS1kMS1zcw%3D%3D&amp;btag=e00048000&amp;expire=1764559358&amp;l=202512011021508D2E02B19879BA6D89C0&amp;ply_type=3&amp;policy=3&amp;signature=b2eee56c5400dd97a4b6b3ee77dec3cb&amp;tk=7571587458748974088" TargetMode="External"/><Relationship Id="rId1562" Type="http://schemas.openxmlformats.org/officeDocument/2006/relationships/hyperlink" Target="https://v16-webapp-prime.tiktok.com/video/tos/useast2a/tos-useast2a-v-27dcd7/okD3SEpEGb486C19gIe5ERAAOLVfAPCo26fTHv/?a=1988&amp;bti=ODszNWYuMDE6&amp;ch=0&amp;cr=0&amp;dr=0&amp;er=0&amp;lr=default&amp;cd=0%7C0%7C0%7C0&amp;br=250&amp;bt=125&amp;ds=5&amp;ft=GNDpcInz7ThCPKvPXq8Zmo&amp;mime_type=audio_mpeg&amp;qs=13&amp;rc=anhwcXg5cjh3eTMzNzU8M0BpanhwcXg5cjh3eTMzNzU8M0BzYnFmMmQ0Y2tgLS1kMTZzYSNzYnFmMmQ0Y2tgLS1kMTZzcw%3D%3D&amp;btag=e00050000&amp;expire=1764559325&amp;l=20251201102042908EBE054CA4706238E0&amp;ply_type=3&amp;policy=3&amp;signature=b3e1e21273baad79a9ee4fa71e57ab02&amp;tk=7571587458748974088" TargetMode="External"/><Relationship Id="rId970" Type="http://schemas.openxmlformats.org/officeDocument/2006/relationships/hyperlink" Target="https://p16-sign-va.tiktokcdn.com/tos-maliva-avt-0068/3f2851fddee89c918e3a69c28ed31a70~tplv-tiktokx-cropcenter:100:100.jpeg?dr=14579&amp;refresh_token=763130af&amp;x-expires=1764727200&amp;x-signature=Wo9TYjsJM5w7W9EuQ%2BLJLOtH%2BbQ%3D&amp;t=4d5b0474&amp;ps=13740610&amp;shp=a5d48078&amp;shcp=81f88b70&amp;idc=my" TargetMode="External"/><Relationship Id="rId1563"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1564" Type="http://schemas.openxmlformats.org/officeDocument/2006/relationships/hyperlink" Target="https://v16-webapp-prime.tiktok.com/video/tos/useast2a/tos-useast2a-ve-0068c001/ogACg9bkdEAfQIIrZN2XvvQZVoizPABzzIXIoi/?a=1988&amp;bti=ODszNWYuMDE6&amp;ch=0&amp;cr=3&amp;dr=0&amp;lr=all&amp;cd=0%7C0%7C0%7C&amp;cv=1&amp;br=1712&amp;bt=856&amp;cs=0&amp;ds=3&amp;ft=-Csk_mrMPD12NKdh5d-Uxs12aY6e3wv252cAp&amp;mime_type=video_mp4&amp;qs=0&amp;rc=ODs5NzdlOjgzNzc2NWk3M0Bpamp3dG05cnV3eTMzNzczM0AzYy8xYC4vXzExLWNgXi00YSNeZm40MmRrYmtgLS1kMTZzcw%3D%3D&amp;btag=e00090000&amp;expire=1764728525&amp;l=20251201102042908EBE054CA4706238E0&amp;ply_type=2&amp;policy=2&amp;signature=d9c48c802abf3cefe0b8f3c2e6966e56&amp;tk=tt_chain_token" TargetMode="External"/><Relationship Id="rId1114" Type="http://schemas.openxmlformats.org/officeDocument/2006/relationships/hyperlink" Target="https://v16-webapp-prime.tiktok.com/video/tos/useast2a/tos-useast2a-v-27dcd7/o0LhHA6QmISJfkheUGIAAfGjAGKLIFxeEAPP4F/?a=1988&amp;bti=ODszNWYuMDE6&amp;ch=0&amp;cr=0&amp;dr=0&amp;er=0&amp;lr=default&amp;cd=0%7C0%7C0%7C0&amp;br=250&amp;bt=125&amp;ds=5&amp;ft=GNDpcInz7ThCPKvPXq8Zmo&amp;mime_type=audio_mpeg&amp;qs=13&amp;rc=ajZ5O285cnh5NjMzNzU8M0BpajZ5O285cnh5NjMzNzU8M0BmLi4vMmQ0MC9hLS1kMTZzYSNmLi4vMmQ0MC9hLS1kMTZzcw%3D%3D&amp;btag=e00078000&amp;expire=1764559269&amp;l=20251201102042908EBE054CA4706238E0&amp;ply_type=3&amp;policy=3&amp;signature=87a61ce81538486e041a27a5403ab8ee&amp;tk=7571587458748974088" TargetMode="External"/><Relationship Id="rId1598"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1115" Type="http://schemas.openxmlformats.org/officeDocument/2006/relationships/hyperlink" Target="https://p77-sign-va.tiktokcdn.com/tos-maliva-avt-0068/f488e580713d9848d16e85f5a3bd0012~tplv-tiktokx-cropcenter:1080:1080.jpeg?dr=14579&amp;refresh_token=949f9b58&amp;x-expires=1764727200&amp;x-signature=ifhJ1ibrRGI%2BKMoKDeVM%2BVuw7Q4%3D&amp;t=4d5b0474&amp;ps=13740610&amp;shp=a5d48078&amp;shcp=81f88b70&amp;idc=my" TargetMode="External"/><Relationship Id="rId1599" Type="http://schemas.openxmlformats.org/officeDocument/2006/relationships/hyperlink" Target="https://v16-webapp-prime.tiktok.com/video/tos/useast2a/tos-useast2a-ve-0068c002/o083WffRMQeHQgQgzP0WrIsMCtKaaIjo5NSAgC/?a=1988&amp;bti=ODszNWYuMDE6&amp;ch=0&amp;cr=3&amp;dr=0&amp;lr=all&amp;cd=0%7C0%7C0%7C&amp;cv=1&amp;br=1186&amp;bt=593&amp;cs=0&amp;ds=3&amp;ft=-Csk_mrMPD12NKdh5d-Uxs12aY6e3wv252cAp&amp;mime_type=video_mp4&amp;qs=0&amp;rc=PDQzaWdnNTs7Z2Y4ODg5Z0BpamlpcWs5cmg5MzMzNzczM0BgYDFjXzA2XmMxY2A0YDJeYSNqbnBqMmRzYm5hLS1kMTZzcw%3D%3D&amp;btag=e00090000&amp;expire=1764728514&amp;l=20251201102042908EBE054CA4706238E0&amp;ply_type=2&amp;policy=2&amp;signature=2db0e58c17dd4d417c1d64ca5b9fc782&amp;tk=tt_chain_token" TargetMode="External"/><Relationship Id="rId1116" Type="http://schemas.openxmlformats.org/officeDocument/2006/relationships/hyperlink" Target="https://v16-webapp-prime.tiktok.com/video/tos/useast2a/tos-useast2a-ve-0068c001/oQCMGeggjgkIRDFTnEFLNeFIRmGA39A0NAeveg/?a=1988&amp;bti=ODszNWYuMDE6&amp;ch=0&amp;cr=3&amp;dr=0&amp;lr=all&amp;cd=0%7C0%7C0%7C&amp;cv=1&amp;br=1230&amp;bt=615&amp;cs=0&amp;ds=3&amp;ft=-Csk_mrMPD12NKdh5d-Uxs12aY6e3wv252cAp&amp;mime_type=video_mp4&amp;qs=0&amp;rc=Nzg4NWlmZTU2OmhlM2YzN0BpMzM5eG45cjx5NjMzNzczM0BgYWEtXjAzXzAxMDQtMl9jYSNobi5yMmRrLi9hLS1kMTZzcw%3D%3D&amp;btag=e000b8000&amp;expire=1764728469&amp;l=20251201102042908EBE054CA4706238E0&amp;ply_type=2&amp;policy=2&amp;signature=63f3cb5db4bdbdda815d706b8a665acc&amp;tk=tt_chain_token" TargetMode="External"/><Relationship Id="rId1117" Type="http://schemas.openxmlformats.org/officeDocument/2006/relationships/hyperlink" Target="https://www.tiktok.com/@noticiafofoca/video/7549706345751121208" TargetMode="External"/><Relationship Id="rId1118" Type="http://schemas.openxmlformats.org/officeDocument/2006/relationships/hyperlink" Target="https://p77-sign-va.tiktokcdn.com/tos-maliva-avt-0068/cc4c7490dee638829f007d6b41ea9da8~tplv-tiktokx-cropcenter:100:100.jpeg?dr=14579&amp;refresh_token=38e35d93&amp;x-expires=1764727200&amp;x-signature=9McZxljYZO0IWIwvtfYwLnj4vts%3D&amp;t=4d5b0474&amp;ps=13740610&amp;shp=a5d48078&amp;shcp=81f88b70&amp;idc=my" TargetMode="External"/><Relationship Id="rId1119" Type="http://schemas.openxmlformats.org/officeDocument/2006/relationships/hyperlink" Target="https://v16-webapp-prime.tiktok.com/video/tos/alisg/tos-alisg-v-27dcd7/osCI4fwYQTIQA9oF3jLGeGgm2DJLAAfAAfjkQh/?a=1988&amp;bti=ODszNWYuMDE6&amp;ch=0&amp;cr=0&amp;dr=0&amp;er=0&amp;lr=default&amp;cd=0%7C0%7C0%7C0&amp;br=250&amp;bt=125&amp;ds=5&amp;ft=GNDpcInz7ThgzKvPXq8Zmo&amp;mime_type=audio_mpeg&amp;qs=13&amp;rc=M2dyaGw5cmppNzMzODU8NEBpM2dyaGw5cmppNzMzODU8NEBwbDAvMmRjcWhhLS1kMS1zYSNwbDAvMmRjcWhhLS1kMS1zcw%3D%3D&amp;btag=e00050000&amp;expire=1764559350&amp;l=2025120110210868B8F68F0D0B7F5CDC9D&amp;ply_type=3&amp;policy=3&amp;signature=fe9468aa4dc925558cc25d9fd285f501&amp;tk=7571587458748974088" TargetMode="External"/><Relationship Id="rId525" Type="http://schemas.openxmlformats.org/officeDocument/2006/relationships/hyperlink" Target="https://www.tiktok.com/@psi.walace/video/7561947142995053845" TargetMode="External"/><Relationship Id="rId524" Type="http://schemas.openxmlformats.org/officeDocument/2006/relationships/hyperlink" Target="https://v16-webapp-prime.tiktok.com/video/tos/alisg/tos-alisg-pve-0037c001/osVNEPxiRczf5XTsbgQLPEPeIA9oY9BzwyxBiB/?a=1988&amp;bti=ODszNWYuMDE6&amp;ch=0&amp;cr=3&amp;dr=0&amp;lr=all&amp;cd=0%7C0%7C0%7C&amp;br=1750&amp;bt=875&amp;cs=0&amp;ds=3&amp;ft=-Csk_mrMPD12N3Dh5d-UxIS5hY6e3wv25ocAp&amp;mime_type=video_mp4&amp;qs=0&amp;rc=ZGc5NzZmaDdkN2Y6ZjdpNkBpM2c2dnc5cnNwNjMzODczNEAtYTNjNGA0Xl8xNmJhYmBfYSNqZm9yMmRja2xhLS1kMWBzcw%3D%3D&amp;btag=e00090000&amp;expire=1764728650&amp;l=20251201102147CB7160225F86D969BC26&amp;ply_type=2&amp;policy=2&amp;signature=7317757e101f3afb89036bbea67047ff&amp;tk=tt_chain_token" TargetMode="External"/><Relationship Id="rId523" Type="http://schemas.openxmlformats.org/officeDocument/2006/relationships/hyperlink" Target="https://p77-sign-va.tiktokcdn.com/tos-maliva-avt-0068/1b1ab6d65ae96fbe11db1ee88f115e37~tplv-tiktokx-cropcenter:1080:1080.jpeg?dr=14579&amp;refresh_token=ca2a94f7&amp;x-expires=1764727200&amp;x-signature=jwFMT3YXWkpr9die%2B7bIz0fGYmQ%3D&amp;t=4d5b0474&amp;ps=13740610&amp;shp=a5d48078&amp;shcp=81f88b70&amp;idc=my" TargetMode="External"/><Relationship Id="rId522" Type="http://schemas.openxmlformats.org/officeDocument/2006/relationships/hyperlink" Target="https://v16-webapp-prime.tiktok.com/video/tos/alisg/tos-alisg-v-27dcd7/oEDlPBAA7AiAwE2ZChAm6ALRaxEPwYuuFbiUg/?a=1988&amp;bti=ODszNWYuMDE6&amp;ch=0&amp;cr=0&amp;dr=0&amp;er=0&amp;lr=default&amp;cd=0%7C0%7C0%7C0&amp;br=250&amp;bt=125&amp;ds=5&amp;ft=GNDpcInz7ThizKvPXq8Zmo&amp;mime_type=audio_mpeg&amp;qs=13&amp;rc=ams2OXA5cnRwNjMzODU8NEBpams2OXA5cnRwNjMzODU8NEBxLTVkMmQ0cWxhLS1kMS1zYSNxLTVkMmQ0cWxhLS1kMS1zcw%3D%3D&amp;btag=e00050000&amp;expire=1764559450&amp;l=20251201102147CB7160225F86D969BC26&amp;ply_type=3&amp;policy=3&amp;signature=09973dc86e9b5b6cd82545b29fe4a550&amp;tk=7571587458748974088" TargetMode="External"/><Relationship Id="rId529" Type="http://schemas.openxmlformats.org/officeDocument/2006/relationships/hyperlink" Target="https://v16-webapp-prime.tiktok.com/video/tos/useast2a/tos-useast2a-ve-0068c004/oMP4I5H4g02rAIQyQLEdfELiEqCwSIeRC5QeG7/?a=1988&amp;bti=ODszNWYuMDE6&amp;ch=0&amp;cr=3&amp;dr=0&amp;lr=all&amp;cd=0%7C0%7C0%7C&amp;cv=1&amp;br=1704&amp;bt=852&amp;cs=0&amp;ds=3&amp;ft=I~da4oKyD12Nvm1WS.IxR~kNglBF-UjNSEopiX&amp;mime_type=video_mp4&amp;qs=0&amp;rc=Mzo0aTs1Omg7NDUzZjw3aEBpM3Y0Onc5cjQ3NDMzNzgzM0AvMDRjNjE0XjIxMjNiYzZiYSNzXnFrMmRzYWxhLS1kLzZzcw%3D%3D&amp;btag=e00090000&amp;expire=1764728582&amp;l=2025120110210868B8F68F0D0B7F5CDC9D&amp;ply_type=2&amp;policy=2&amp;signature=82a941ab92104d52e6a131a2f4282329&amp;tk=tt_chain_token" TargetMode="External"/><Relationship Id="rId528"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527" Type="http://schemas.openxmlformats.org/officeDocument/2006/relationships/hyperlink" Target="https://v16-webapp-prime.tiktok.com/video/tos/useast2a/tos-useast2a-v-27dcd7/oEkBiBpvi9iQMxio0pqBsRCfdO6EAIKOwIg8Z2/?a=1988&amp;bti=ODszNWYuMDE6&amp;ch=0&amp;cr=0&amp;dr=0&amp;er=0&amp;lr=default&amp;cd=0%7C0%7C0%7C0&amp;br=250&amp;bt=125&amp;ft=GNDpcInz7ThgzKvPXq8Zmo&amp;mime_type=audio_mpeg&amp;qs=6&amp;rc=OWRlZDpkMztnOjU8ZzVoZEBpM2RtcHQ5cjc3NDMzNzU8M0AuX182LV4zXl4xXzYuYS0zYSNlYWFiMmRjYmxhLS1kMTZzcw%3D%3D&amp;btag=e00090000&amp;expire=1764559382&amp;l=2025120110210868B8F68F0D0B7F5CDC9D&amp;ply_type=3&amp;policy=3&amp;signature=14ccdb7c613715527d4f8fd31939964b&amp;tk=7571587458748974088" TargetMode="External"/><Relationship Id="rId526"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1590" Type="http://schemas.openxmlformats.org/officeDocument/2006/relationships/hyperlink" Target="https://www.tiktok.com/@psi.lailagm/video/7370861490351377670" TargetMode="External"/><Relationship Id="rId1591"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592" Type="http://schemas.openxmlformats.org/officeDocument/2006/relationships/hyperlink" Target="https://v16-webapp-prime.tiktok.com/video/tos/useast2a/tos-useast2a-v-27dcd7/ocIrEOJLQPoJCEa8nAEAthFzUZBuJgfABMAfDA/?a=1988&amp;bti=ODszNWYuMDE6&amp;ch=0&amp;cr=0&amp;dr=0&amp;er=0&amp;lr=default&amp;cd=0%7C0%7C0%7C0&amp;br=250&amp;bt=125&amp;ds=5&amp;ft=GNDpcInz7ThezKvPXq8Zmo&amp;mime_type=audio_mpeg&amp;qs=13&amp;rc=ajlub245cmwzdjMzNzU8M0Bpajlub245cmwzdjMzNzU8M0BjbWkwMmQ0NGtgLS1kMTZzYSNjbWkwMmQ0NGtgLS1kMTZzcw%3D%3D&amp;btag=e00050000&amp;expire=1764559365&amp;l=202512011021342A4EB9620CED315EA2E7&amp;ply_type=3&amp;policy=3&amp;signature=ca865f833895ce5ef481fb7aae09442c&amp;tk=7571587458748974088" TargetMode="External"/><Relationship Id="rId1593"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521"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1110" Type="http://schemas.openxmlformats.org/officeDocument/2006/relationships/hyperlink" Target="https://p16-sign-va.tiktokcdn.com/musically-maliva-obj/1594805258216454~tplv-tiktokx-cropcenter:1080:1080.jpeg?dr=14579&amp;refresh_token=f5edf6cd&amp;x-expires=1764727200&amp;x-signature=3MINR5vCDc%2FHbbcZDrSUtk6WobA%3D&amp;t=4d5b0474&amp;ps=13740610&amp;shp=a5d48078&amp;shcp=81f88b70&amp;idc=my" TargetMode="External"/><Relationship Id="rId1594" Type="http://schemas.openxmlformats.org/officeDocument/2006/relationships/hyperlink" Target="https://v16-webapp-prime.tiktok.com/video/tos/useast2a/tos-useast2a-ve-0068c001/ocZdQSQMMd8CdfegBOAcIRsI7QWbfjAXE5COog/?a=1988&amp;bti=ODszNWYuMDE6&amp;ch=0&amp;cr=3&amp;dr=0&amp;lr=all&amp;cd=0%7C0%7C0%7C&amp;cv=1&amp;br=1872&amp;bt=936&amp;cs=0&amp;ds=3&amp;ft=-Csk_mrMPD12N6Dh5d-Uxq42hY6e3wv25IcAp&amp;mime_type=video_mp4&amp;qs=0&amp;rc=aDszZjdmPGY4OWQ1NzYzPEBpMzs7cXE5cmkzdjMzNzczM0BeNjAuYGMwXzExXjAzLWMyYSNvcXBvMmQ0NGtgLS1kMTZzcw%3D%3D&amp;btag=e00090000&amp;expire=1764728565&amp;l=202512011021342A4EB9620CED315EA2E7&amp;ply_type=2&amp;policy=2&amp;signature=8d24d258227ed9d792ccf43d1118d721&amp;tk=tt_chain_token" TargetMode="External"/><Relationship Id="rId520" Type="http://schemas.openxmlformats.org/officeDocument/2006/relationships/hyperlink" Target="https://www.tiktok.com/@meu.mundotdah/video/7449795601916562694" TargetMode="External"/><Relationship Id="rId1111" Type="http://schemas.openxmlformats.org/officeDocument/2006/relationships/hyperlink" Target="https://v16-webapp-prime.tiktok.com/video/tos/useast2a/tos-useast2a-ve-0068c004/oUeRDfvIIEiSEwXXlQQgFCGjIOjmADYecCOFDt/?a=1988&amp;bti=ODszNWYuMDE6&amp;ch=0&amp;cr=3&amp;dr=0&amp;lr=all&amp;cd=0%7C0%7C0%7C&amp;cv=1&amp;br=1398&amp;bt=699&amp;cs=0&amp;ds=3&amp;ft=-Csk_mrMPD12Npgh5d-UxHv2hY6e3wv25zcAp&amp;mime_type=video_mp4&amp;qs=0&amp;rc=ZzZpaWY6M2g5Z2U7NjQ0OkBpM2U5O3E5cjVtMzMzNzczM0AyMjIwNC81XjMxMDQ0M2BfYSNzbGxtMmQ0Y2VhLS1kMTZzcw%3D%3D&amp;btag=e00088000&amp;expire=1764728799&amp;l=20251201102539CAF3A90CC54B38500588&amp;ply_type=2&amp;policy=2&amp;signature=83d5e2695e9e0fc8cb66dccb872aa252&amp;tk=tt_chain_token" TargetMode="External"/><Relationship Id="rId1595" Type="http://schemas.openxmlformats.org/officeDocument/2006/relationships/hyperlink" Target="https://www.tiktok.com/@psi.jonathanorlandi/video/7434884122780175671" TargetMode="External"/><Relationship Id="rId1112" Type="http://schemas.openxmlformats.org/officeDocument/2006/relationships/hyperlink" Target="https://www.tiktok.com/@tdah.descompricad/video/7503903079079709957" TargetMode="External"/><Relationship Id="rId1596"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113" Type="http://schemas.openxmlformats.org/officeDocument/2006/relationships/hyperlink" Target="https://p16-sign-va.tiktokcdn.com/tos-maliva-avt-0068/f488e580713d9848d16e85f5a3bd0012~tplv-tiktokx-cropcenter:100:100.jpeg?dr=14579&amp;refresh_token=adc91509&amp;x-expires=1764727200&amp;x-signature=5OqFC7jLA0MFIkSyoxaR9uCnqG4%3D&amp;t=4d5b0474&amp;ps=13740610&amp;shp=a5d48078&amp;shcp=81f88b70&amp;idc=my" TargetMode="External"/><Relationship Id="rId1597" Type="http://schemas.openxmlformats.org/officeDocument/2006/relationships/hyperlink" Target="https://v16-webapp-prime.tiktok.com/video/tos/useast2a/tos-useast2a-v-27dcd7/oEQrpmEgt0ozfLAbxEpGeAgQkcFeJLeLsYCTIZ/?a=1988&amp;bti=ODszNWYuMDE6&amp;ch=0&amp;cr=0&amp;dr=0&amp;er=0&amp;lr=default&amp;cd=0%7C0%7C0%7C0&amp;br=250&amp;bt=125&amp;ft=GNDpcInz7ThCPKvPXq8Zmo&amp;mime_type=audio_mpeg&amp;qs=6&amp;rc=Z2k8NDg3NzpmZGlmNzU5OEBpM2hybHY5cnM5MzMzNzU8M0BhMDFeMjM2XzIxL2M2Ll5jYSMuLWJjMmRjY25hLS1kMTZzcw%3D%3D&amp;btag=e00090000&amp;expire=1764559314&amp;l=20251201102042908EBE054CA4706238E0&amp;ply_type=3&amp;policy=3&amp;signature=c3fc193aaff97c8446165c8a5cf0e94f&amp;tk=7571587458748974088" TargetMode="External"/><Relationship Id="rId1103" Type="http://schemas.openxmlformats.org/officeDocument/2006/relationships/hyperlink" Target="https://p16-sign-sg.tiktokcdn.com/tos-alisg-avt-0068/9de3b6c06f63b981075b8b85a34f31bc~tplv-tiktokx-cropcenter:100:100.jpeg?dr=14579&amp;refresh_token=1117652a&amp;x-expires=1764727200&amp;x-signature=27N2ihpqdvgqBKPc7ducQPpjKVk%3D&amp;t=4d5b0474&amp;ps=13740610&amp;shp=a5d48078&amp;shcp=81f88b70&amp;idc=my" TargetMode="External"/><Relationship Id="rId1587" Type="http://schemas.openxmlformats.org/officeDocument/2006/relationships/hyperlink" Target="https://v16-webapp-prime.tiktok.com/video/tos/useast2a/tos-useast2a-v-27dcd7/o8IoKFMRRCWzCoDQMf5Y5SKgEsjxKl8BfpeET4/?a=1988&amp;bti=ODszNWYuMDE6&amp;ch=0&amp;cr=0&amp;dr=0&amp;er=0&amp;lr=default&amp;cd=0%7C0%7C0%7C0&amp;br=250&amp;bt=125&amp;ft=GNDpcInz7ThfpKvPXq8Zmo&amp;mime_type=audio_mpeg&amp;qs=6&amp;rc=NjxoNzNpaDo3ZjpmZDk5Z0BpM21raHg5cjM7czMzNzU8M0AvNDYuL2JgNmIxLWNiMjU0YSMyczMxMmRjczJgLS1kMTZzcw%3D%3D&amp;btag=e00088000&amp;expire=1764559601&amp;l=202512011025596D30CB3112238F5D274D&amp;ply_type=3&amp;policy=3&amp;signature=72de67e61340dc25b178121459d6b20a&amp;tk=7571587458748974088" TargetMode="External"/><Relationship Id="rId1104" Type="http://schemas.openxmlformats.org/officeDocument/2006/relationships/hyperlink" Target="https://v16-webapp-prime.tiktok.com/video/tos/alisg/tos-alisg-v-27dcd7/oUAMUEImASNTIfehLSSAAIIGeA9AeA1Kg9esEu/?a=1988&amp;bti=ODszNWYuMDE6&amp;ch=0&amp;cr=0&amp;dr=0&amp;er=0&amp;lr=default&amp;cd=0%7C0%7C0%7C0&amp;br=250&amp;bt=125&amp;ds=5&amp;ft=GNDpcInz7ThHzKvPXq8Zmo&amp;mime_type=audio_mpeg&amp;qs=13&amp;rc=Mzw8bnU5cm03NzMzODU8NEBpMzw8bnU5cm03NzMzODU8NEBsaW1rMmRzZGNhLS1kMS1zYSNsaW1rMmRzZGNhLS1kMS1zcw%3D%3D&amp;btag=e00050000&amp;expire=1764559332&amp;l=2025120110210247DE29902DF1415935A0&amp;ply_type=3&amp;policy=3&amp;signature=c0f4f85af9a546dfa805e2eee9789acd&amp;tk=7571587458748974088" TargetMode="External"/><Relationship Id="rId1588" Type="http://schemas.openxmlformats.org/officeDocument/2006/relationships/hyperlink" Target="https://p77-sign-va.tiktokcdn.com/tos-maliva-avt-0068/c5939448c652ddc96fdc2087d1e87d6e~tplv-tiktokx-cropcenter:1080:1080.jpeg?dr=14579&amp;refresh_token=b6bdd0ee&amp;x-expires=1764727200&amp;x-signature=onjShNMWxXZensh%2FjR2RrwjPyYc%3D&amp;t=4d5b0474&amp;ps=13740610&amp;shp=a5d48078&amp;shcp=81f88b70&amp;idc=my" TargetMode="External"/><Relationship Id="rId1105" Type="http://schemas.openxmlformats.org/officeDocument/2006/relationships/hyperlink" Target="https://p16-sign-sg.tiktokcdn.com/tos-alisg-avt-0068/9de3b6c06f63b981075b8b85a34f31bc~tplv-tiktokx-cropcenter:1080:1080.jpeg?dr=14579&amp;refresh_token=6ba82b50&amp;x-expires=1764727200&amp;x-signature=xd4Dfu2j7EVAVe%2FuLbY6G4JHSvE%3D&amp;t=4d5b0474&amp;ps=13740610&amp;shp=a5d48078&amp;shcp=81f88b70&amp;idc=my" TargetMode="External"/><Relationship Id="rId1589" Type="http://schemas.openxmlformats.org/officeDocument/2006/relationships/hyperlink" Target="https://v16-webapp-prime.tiktok.com/video/tos/useast2a/tos-useast2a-ve-0068c001/oAABigAiAIJ1NIQolDCJ9MEUgQjABfIAk59zKK/?a=1988&amp;bti=ODszNWYuMDE6&amp;ch=0&amp;cr=3&amp;dr=0&amp;lr=all&amp;cd=0%7C0%7C0%7C&amp;cv=1&amp;br=442&amp;bt=221&amp;cs=0&amp;ds=6&amp;ft=-Csk_mrMPD12NAgh5d-UxbS5hY6e3wv25McAp&amp;mime_type=video_mp4&amp;qs=5&amp;rc=OjQ1ZDg4NTs1OjM2NWQ2M0BpM3czbG85cjM7czMzNzczM0AuNmBeXi42XmIxLWEvNDAuYSM1LmRmMmRjYDJgLS1kMTZzcw%3D%3D&amp;btag=e00088000&amp;expire=1764728802&amp;l=202512011025596D30CB3112238F5D274D&amp;ply_type=2&amp;policy=2&amp;signature=e676758a5541e0ac29d89e5c65a62c9d&amp;tk=tt_chain_token" TargetMode="External"/><Relationship Id="rId1106" Type="http://schemas.openxmlformats.org/officeDocument/2006/relationships/hyperlink" Target="https://v16-webapp-prime.tiktok.com/video/tos/alisg/tos-alisg-pve-0037c001/ogS1Q4Y3lGAFSyNkSILVDjSgII1AfCnPI9eseI/?a=1988&amp;bti=ODszNWYuMDE6&amp;ch=0&amp;cr=3&amp;dr=0&amp;lr=all&amp;cd=0%7C0%7C0%7C&amp;br=1534&amp;bt=767&amp;cs=0&amp;ds=3&amp;ft=-Csk_mrMPD12N7Dh5d-UxII2hY6e3wv252cAp&amp;mime_type=video_mp4&amp;qs=0&amp;rc=ODo0ZjVmZTs2OjY6ZDdlZ0BpM3l3eW85cmY3NzMzODczNEBjYjMxY2IwXzIxNTMvNTFhYSNqbjJiMmRrYWNhLS1kMWBzcw%3D%3D&amp;btag=e00090000&amp;expire=1764728534&amp;l=2025120110210247DE29902DF1415935A0&amp;ply_type=2&amp;policy=2&amp;signature=cf6766d9193270dab915c2dee7eba5d8&amp;tk=tt_chain_token" TargetMode="External"/><Relationship Id="rId1107" Type="http://schemas.openxmlformats.org/officeDocument/2006/relationships/hyperlink" Target="https://www.tiktok.com/@tdah132/video/7574571038747544840" TargetMode="External"/><Relationship Id="rId1108" Type="http://schemas.openxmlformats.org/officeDocument/2006/relationships/hyperlink" Target="https://p77-sign-va.tiktokcdn.com/musically-maliva-obj/1594805258216454~tplv-tiktokx-cropcenter:100:100.jpeg?dr=14579&amp;refresh_token=d09b48c5&amp;x-expires=1764727200&amp;x-signature=KItbjMZYyDHeoHOZszyQ%2Fj4tKxE%3D&amp;t=4d5b0474&amp;ps=13740610&amp;shp=a5d48078&amp;shcp=81f88b70&amp;idc=my" TargetMode="External"/><Relationship Id="rId1109" Type="http://schemas.openxmlformats.org/officeDocument/2006/relationships/hyperlink" Target="https://v16-webapp-prime.tiktok.com/video/tos/useast2a/tos-useast2a-v-27dcd7/oglxvABSOELSiCEC4Aw6CaUiDAMABACvIjQoK/?a=1988&amp;bti=ODszNWYuMDE6&amp;ch=0&amp;cr=0&amp;dr=0&amp;er=0&amp;lr=default&amp;cd=0%7C0%7C0%7C0&amp;br=250&amp;bt=125&amp;ds=5&amp;ft=GNDpcInz7ThUpKvPXq8Zmo&amp;mime_type=audio_mpeg&amp;qs=13&amp;rc=M2o5M3Q5cjttMzMzNzU8M0BpM2o5M3Q5cjttMzMzNzU8M0A2ZXIuMmRrZGVhLS1kMTZzYSM2ZXIuMmRrZGVhLS1kMTZzcw%3D%3D&amp;btag=e00048000&amp;expire=1764559599&amp;l=20251201102539CAF3A90CC54B38500588&amp;ply_type=3&amp;policy=3&amp;signature=fddcd60ab3b1fb24bff9ead2416e9baf&amp;tk=7571587458748974088" TargetMode="External"/><Relationship Id="rId519" Type="http://schemas.openxmlformats.org/officeDocument/2006/relationships/hyperlink" Target="https://v16-webapp-prime.tiktok.com/video/tos/maliva/tos-maliva-v-85c255-us/o8JBYNcExvsDRleFQE3BUif2wNBFjEEnQIYEXm/?a=1988&amp;bti=ODszNWYuMDE6&amp;ch=0&amp;cr=3&amp;dr=0&amp;lr=all&amp;cd=0%7C0%7C0%7C&amp;br=1542&amp;bt=771&amp;cs=0&amp;ds=3&amp;ft=-Csk_mrMPD12N0dh5d-UxPO2hY6e3wv252cAp&amp;mime_type=video_mp4&amp;qs=0&amp;rc=NDVoNjs4OGloOTtpOzw2OkBpM2drcXg5cjtpdzQzNzM2M0BeNF8wNDQtXzAxNGM2Ly00YSNgYjJmMmRrb2VgLS1kLTZzcw%3D%3D&amp;btag=e00088000&amp;expire=1764728466&amp;l=20251201102014E2CB5F4C19000C61E683&amp;ply_type=2&amp;policy=2&amp;signature=3414f062152ccc19a39f1e0512b19e73&amp;tk=tt_chain_token" TargetMode="External"/><Relationship Id="rId514" Type="http://schemas.openxmlformats.org/officeDocument/2006/relationships/hyperlink" Target="https://v16-webapp-prime.tiktok.com/video/tos/maliva/tos-maliva-v-85c255-us/oo77N7QbIiBPLOBgQBzYSBwAqEklkbxfoCwitA/?a=1988&amp;bti=ODszNWYuMDE6&amp;ch=0&amp;cr=3&amp;dr=0&amp;lr=all&amp;cd=0%7C0%7C0%7C&amp;cv=1&amp;br=2458&amp;bt=1229&amp;cs=0&amp;ds=3&amp;ft=-Csk_mrMPD12NLdh5d-Uxbt2hY6e3wv25HcAp&amp;mime_type=video_mp4&amp;qs=0&amp;rc=cnF8b2hsc2d3SkBwaHIxaDFybndmOzllNDtnPDg2ZGZnOzk2ZEBpajR3PHU5cnczdzQzNzM2M0BjRl5Nc3FePmJKYSNvYF90aHFmOiM2NTYtLTAyX2ExMzEyMDYtYSNhajZsMmRzYTZgLS1kLTZzcw%3D%3D&amp;btag=e000b0000&amp;expire=1764728434&amp;l=202512011020239FD63C9B4E4C976A9DFE&amp;ply_type=2&amp;policy=2&amp;signature=e8479c0f33fd86522a330da9b778d8e1&amp;tk=tt_chain_token" TargetMode="External"/><Relationship Id="rId998" Type="http://schemas.openxmlformats.org/officeDocument/2006/relationships/hyperlink" Target="https://v16-webapp-prime.tiktok.com/video/tos/useast2a/tos-useast2a-ve-0068c004/oUfmK7RmEvD3kfpELnF2KQ8rBoNQIQB95ZgJ4A/?a=1988&amp;bti=ODszNWYuMDE6&amp;ch=0&amp;cr=3&amp;dr=0&amp;lr=all&amp;cd=0%7C0%7C0%7C&amp;cv=1&amp;br=1716&amp;bt=858&amp;cs=0&amp;ds=3&amp;ft=-Csk_mrMPD12NzDh5d-UxKyFaY6e3wv257cAp&amp;mime_type=video_mp4&amp;qs=0&amp;rc=ZTRoaWZnNzQ1PDQ8ZWllZEBpM2Y8NXg5cjVzdTMzNzczM0BfYmA2YTJiNV4xLWFhLzYvYSNuby9yMmRrb2NgLS1kMTZzcw%3D%3D&amp;btag=e00090000&amp;expire=1764728566&amp;l=20251201102139650E38823033055E6EEC&amp;ply_type=2&amp;policy=2&amp;signature=7b7a7883733a570f63aaa0fd06f78b69&amp;tk=tt_chain_token" TargetMode="External"/><Relationship Id="rId513" Type="http://schemas.openxmlformats.org/officeDocument/2006/relationships/hyperlink" Target="https://p16-sign-va.tiktokcdn.com/tos-maliva-avt-0068/38f87d0ccea25144d85cc3d0f2f08234~tplv-tiktokx-cropcenter:1080:1080.jpeg?dr=14579&amp;refresh_token=00421b9a&amp;x-expires=1764727200&amp;x-signature=qwBbJcA3SIeTnxjVSyO68OoLBuE%3D&amp;t=4d5b0474&amp;ps=13740610&amp;shp=a5d48078&amp;shcp=81f88b70&amp;idc=my" TargetMode="External"/><Relationship Id="rId997" Type="http://schemas.openxmlformats.org/officeDocument/2006/relationships/hyperlink" Target="https://p77-sg.tiktokcdn.com/aweme/720x720/tos-alisg-v-2774/o87RxCrEaQAVLEElAMFfBBgSKoZAEeEiZADxtV.jpeg" TargetMode="External"/><Relationship Id="rId512" Type="http://schemas.openxmlformats.org/officeDocument/2006/relationships/hyperlink" Target="https://v16-webapp-prime.tiktok.com/video/tos/useast2a/tos-useast2a-v-27dcd7/oUFQRGofQe0QkpSE5IeM8FMmvfJWAABAAShdQZ/?a=1988&amp;bti=ODszNWYuMDE6&amp;ch=0&amp;cr=0&amp;dr=0&amp;er=0&amp;lr=default&amp;cd=0%7C0%7C0%7C0&amp;br=250&amp;bt=125&amp;ds=5&amp;ft=GNDpcInz7ThdPKvPXq8Zmo&amp;mime_type=audio_mpeg&amp;qs=13&amp;rc=amhrc3A5cnkzdzMzNzU8M0Bpamhrc3A5cnkzdzMzNzU8M0A2aGZnMmRzYTZgLS1kMTZzYSM2aGZnMmRzYTZgLS1kMTZzcw%3D%3D&amp;btag=e00070000&amp;expire=1764559234&amp;l=202512011020239FD63C9B4E4C976A9DFE&amp;ply_type=3&amp;policy=3&amp;signature=3e14435773381d97dca03f4d25f4bd33&amp;tk=7571587458748974088" TargetMode="External"/><Relationship Id="rId996" Type="http://schemas.openxmlformats.org/officeDocument/2006/relationships/hyperlink" Target="https://sf16-ies-music-sg.tiktokcdn.com/obj/tos-alisg-ve-2774/okb1iABidIR10sOwhgWmiCMN9boOBfdAoTbywx" TargetMode="External"/><Relationship Id="rId511" Type="http://schemas.openxmlformats.org/officeDocument/2006/relationships/hyperlink" Target="https://p16-sign-va.tiktokcdn.com/tos-maliva-avt-0068/38f87d0ccea25144d85cc3d0f2f08234~tplv-tiktokx-cropcenter:100:100.jpeg?dr=14579&amp;refresh_token=5c27644b&amp;x-expires=1764727200&amp;x-signature=Y3W7ZNk3QcWIa%2BlbpiN4v36RV3o%3D&amp;t=4d5b0474&amp;ps=13740610&amp;shp=a5d48078&amp;shcp=81f88b70&amp;idc=my" TargetMode="External"/><Relationship Id="rId995"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518" Type="http://schemas.openxmlformats.org/officeDocument/2006/relationships/hyperlink" Target="https://p16-sign-va.tiktokcdn.com/tos-maliva-avt-0068/38f87d0ccea25144d85cc3d0f2f08234~tplv-tiktokx-cropcenter:1080:1080.jpeg?dr=14579&amp;refresh_token=00421b9a&amp;x-expires=1764727200&amp;x-signature=qwBbJcA3SIeTnxjVSyO68OoLBuE%3D&amp;t=4d5b0474&amp;ps=13740610&amp;shp=a5d48078&amp;shcp=81f88b70&amp;idc=my" TargetMode="External"/><Relationship Id="rId517" Type="http://schemas.openxmlformats.org/officeDocument/2006/relationships/hyperlink" Target="https://v16-webapp-prime.tiktok.com/video/tos/useast2a/tos-useast2a-v-27dcd7/osVnYADAIBBEAD6GfUCQImAFFvFpd8Y2aYoJJf/?a=1988&amp;bti=ODszNWYuMDE6&amp;ch=0&amp;cr=0&amp;dr=0&amp;er=0&amp;lr=default&amp;cd=0%7C0%7C0%7C0&amp;br=250&amp;bt=125&amp;ds=5&amp;ft=GNDpcInz7ThIPKvPXq8Zmo&amp;mime_type=audio_mpeg&amp;qs=13&amp;rc=M2ZkNXc5cmRpdzMzNzU8M0BpM2ZkNXc5cmRpdzMzNzU8M0BjLWheMmRjb2VgLS1kMTZzYSNjLWheMmRjb2VgLS1kMTZzcw%3D%3D&amp;btag=e00048000&amp;expire=1764559266&amp;l=20251201102014E2CB5F4C19000C61E683&amp;ply_type=3&amp;policy=3&amp;signature=4cf2a9aa318a1432df3cc54a85b59f9d&amp;tk=7571587458748974088" TargetMode="External"/><Relationship Id="rId516" Type="http://schemas.openxmlformats.org/officeDocument/2006/relationships/hyperlink" Target="https://p77-sign-va.tiktokcdn.com/tos-maliva-avt-0068/38f87d0ccea25144d85cc3d0f2f08234~tplv-tiktokx-cropcenter:100:100.jpeg?dr=14579&amp;refresh_token=19f7542f&amp;x-expires=1764727200&amp;x-signature=KsG3dIJ1GzQz5m8rTS4nbhBunUU%3D&amp;t=4d5b0474&amp;ps=13740610&amp;shp=a5d48078&amp;shcp=81f88b70&amp;idc=my" TargetMode="External"/><Relationship Id="rId515" Type="http://schemas.openxmlformats.org/officeDocument/2006/relationships/hyperlink" Target="https://www.tiktok.com/@meu.mundotdah/video/7445020773682580792" TargetMode="External"/><Relationship Id="rId999" Type="http://schemas.openxmlformats.org/officeDocument/2006/relationships/hyperlink" Target="https://www.tiktok.com/@lorenatdahta/video/7412817886198205702" TargetMode="External"/><Relationship Id="rId990" Type="http://schemas.openxmlformats.org/officeDocument/2006/relationships/hyperlink" Target="https://p77-sign-va.tiktokcdn.com/tos-maliva-avt-0068/72466cc9d5b9a27930c91e8fb7677589~tplv-tiktokx-cropcenter:100:100.jpeg?dr=14579&amp;refresh_token=3e917014&amp;x-expires=1764727200&amp;x-signature=cr%2F%2BCAsNUopn7lel%2F5%2Bomc6IPmo%3D&amp;t=4d5b0474&amp;ps=13740610&amp;shp=a5d48078&amp;shcp=81f88b70&amp;idc=my" TargetMode="External"/><Relationship Id="rId1580" Type="http://schemas.openxmlformats.org/officeDocument/2006/relationships/hyperlink" Target="https://www.tiktok.com/@igorpsicologo/video/7520418190598409478" TargetMode="External"/><Relationship Id="rId1581"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1582" Type="http://schemas.openxmlformats.org/officeDocument/2006/relationships/hyperlink" Target="https://v16-webapp-prime.tiktok.com/video/tos/useast2a/tos-useast2a-v-27dcd7/oktOxcDMEFCKEnBK5AEJA8UABvv3fJiqmooAQf/?a=1988&amp;bti=ODszNWYuMDE6&amp;ch=0&amp;cr=0&amp;dr=0&amp;er=0&amp;lr=default&amp;cd=0%7C0%7C0%7C0&amp;br=250&amp;bt=125&amp;ds=5&amp;ft=GNDpcInz7ThoPKvPXq8Zmo&amp;mime_type=audio_mpeg&amp;qs=13&amp;rc=ank3Z3E5cjZpcjMzNzU8M0Bpank3Z3E5cjZpcjMzNzU8M0BwYi9vMmQ0MmlgLS1kMTZzYSNwYi9vMmQ0MmlgLS1kMTZzcw%3D%3D&amp;btag=e00050000&amp;expire=1764559270&amp;l=202512011020068133AB7BCB086C5F4CDC&amp;ply_type=3&amp;policy=3&amp;signature=b69571ab34c507418515afe4b288c3e2&amp;tk=7571587458748974088" TargetMode="External"/><Relationship Id="rId510" Type="http://schemas.openxmlformats.org/officeDocument/2006/relationships/hyperlink" Target="https://www.tiktok.com/@lorenatdahta/video/7575315588931734802" TargetMode="External"/><Relationship Id="rId994" Type="http://schemas.openxmlformats.org/officeDocument/2006/relationships/hyperlink" Target="https://www.tiktok.com/@brunolnunes/video/7241960772794895621" TargetMode="External"/><Relationship Id="rId1583"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993" Type="http://schemas.openxmlformats.org/officeDocument/2006/relationships/hyperlink" Target="https://v16-webapp-prime.tiktok.com/video/tos/maliva/tos-maliva-ve-0068c801-us/ogORAAztJJQnfDUkKgebBBQKLn3MzYIJRInTEj/?a=1988&amp;bti=ODszNWYuMDE6&amp;ch=0&amp;cr=3&amp;dr=0&amp;lr=all&amp;cd=0%7C0%7C0%7C&amp;cv=1&amp;br=1502&amp;bt=751&amp;cs=0&amp;ds=3&amp;ft=-Csk_mrMPD12Nqdh5d-UxgS5hY6e3wv25icAp&amp;mime_type=video_mp4&amp;qs=0&amp;rc=NmY2MzdoODY5aTQ4aDZoNUBpM2V5PDw6ZnI8bDMzNzczM0AvL2AyNF80XjUxLzQuLV8yYSNgM29mcjRvbS1gLS1kMTZzcw%3D%3D&amp;btag=e00090000&amp;expire=1764728534&amp;l=2025120110204563AE4C62401D615C8166&amp;ply_type=2&amp;policy=2&amp;signature=a2c033cafc6d98dc6551847c1b0964cf&amp;tk=tt_chain_token" TargetMode="External"/><Relationship Id="rId1100" Type="http://schemas.openxmlformats.org/officeDocument/2006/relationships/hyperlink" Target="https://p77-sign-va.tiktokcdn.com/tos-maliva-avt-0068/ab9e8e2664fe95dc4ce1070394adf3ea~tplv-tiktokx-cropcenter:1080:1080.jpeg?dr=14579&amp;refresh_token=1db0f578&amp;x-expires=1764727200&amp;x-signature=NSUorcVzNSIrIKHTNc02qrqpbmc%3D&amp;t=4d5b0474&amp;ps=13740610&amp;shp=a5d48078&amp;shcp=81f88b70&amp;idc=my" TargetMode="External"/><Relationship Id="rId1584" Type="http://schemas.openxmlformats.org/officeDocument/2006/relationships/hyperlink" Target="https://v16-webapp-prime.tiktok.com/video/tos/useast2a/tos-useast2a-ve-0068c001/oQEww5QQJuAF6EvIfNR0rKfxKBDABBNIsg3mH1/?a=1988&amp;bti=ODszNWYuMDE6&amp;ch=0&amp;cr=3&amp;dr=0&amp;lr=all&amp;cd=0%7C0%7C0%7C&amp;cv=1&amp;br=1606&amp;bt=803&amp;cs=0&amp;ds=3&amp;ft=-Csk_mrMPD12Nudh5d-Uxs12aY6e3wv252cAp&amp;mime_type=video_mp4&amp;qs=0&amp;rc=OmlnOzM0NWY7OmQzNTk1ZkBpanQ0eG85cnhpcjMzNzczM0A2LmM2MDZeXzAxYF5jYy1eYSNiYDRlMmRjLWlgLS1kMTZzcw%3D%3D&amp;btag=e00090000&amp;expire=1764728470&amp;l=202512011020068133AB7BCB086C5F4CDC&amp;ply_type=2&amp;policy=2&amp;signature=34f799f375367375c838a0b490eb1464&amp;tk=tt_chain_token" TargetMode="External"/><Relationship Id="rId992" Type="http://schemas.openxmlformats.org/officeDocument/2006/relationships/hyperlink" Target="https://p77-sign-va.tiktokcdn.com/tos-maliva-avt-0068/72466cc9d5b9a27930c91e8fb7677589~tplv-tiktokx-cropcenter:1080:1080.jpeg?dr=14579&amp;refresh_token=7bfbfafa&amp;x-expires=1764727200&amp;x-signature=Cp1VdnmySkXd%2Fim0au%2FHuuWiblQ%3D&amp;t=4d5b0474&amp;ps=13740610&amp;shp=a5d48078&amp;shcp=81f88b70&amp;idc=my" TargetMode="External"/><Relationship Id="rId1101" Type="http://schemas.openxmlformats.org/officeDocument/2006/relationships/hyperlink" Target="https://v16-webapp-prime.tiktok.com/video/tos/alisg/tos-alisg-ve-37c813-sg/o4eeQzfPZEUfrRyziocgNFSBfA7ABLmloNYAft/?a=1988&amp;bti=ODszNWYuMDE6&amp;ch=0&amp;cr=3&amp;dr=0&amp;lr=all&amp;cd=0%7C0%7C0%7C&amp;cv=1&amp;br=1346&amp;bt=673&amp;cs=0&amp;ds=3&amp;ft=-Csk_mrMPD12NKdh5d-Uxs12aY6e3wv252cAp&amp;mime_type=video_mp4&amp;qs=0&amp;rc=PDhnOzw2PDxkNzZmNWQ0Z0BpM3lsdmY6ZmU2bTMzNzczM0AuM19hLy5gXl8xYjE0YF9hYSNscmFrcjRnbGFgLS1kMTZzcw%3D%3D&amp;btag=e00090000&amp;expire=1764728561&amp;l=20251201102042908EBE054CA4706238E0&amp;ply_type=2&amp;policy=2&amp;signature=e81bdeb37a39fc386d50faaed7150004&amp;tk=tt_chain_token" TargetMode="External"/><Relationship Id="rId1585" Type="http://schemas.openxmlformats.org/officeDocument/2006/relationships/hyperlink" Target="https://www.tiktok.com/@igorpsicologo/video/7361963192874061062" TargetMode="External"/><Relationship Id="rId991" Type="http://schemas.openxmlformats.org/officeDocument/2006/relationships/hyperlink" Target="https://v16-webapp-prime.tiktok.com/video/tos/useast2a/tos-useast2a-v-27dcd7/1377a05523d9478ca0c21d1c85ac5346/?a=1988&amp;bti=ODszNWYuMDE6&amp;ch=0&amp;cr=0&amp;dr=0&amp;er=0&amp;lr=default&amp;cd=0%7C0%7C0%7C0&amp;br=250&amp;bt=125&amp;ds=5&amp;ft=GNDpcInz7ThkPKvPXq8Zmo&amp;mime_type=audio_mpeg&amp;qs=13&amp;rc=am01NWk6Znk8bDMzNzU8M0Bpam01NWk6Znk8bDMzNzU8M0BoMHNhcjRnbS1gLS1kMTZzYSNoMHNhcjRnbS1gLS1kMTZzcw%3D%3D&amp;btag=e00050000&amp;expire=1764559334&amp;l=2025120110204563AE4C62401D615C8166&amp;ply_type=3&amp;policy=3&amp;signature=423d1994cdb0a243d408c481b953a8ca&amp;tk=7571587458748974088" TargetMode="External"/><Relationship Id="rId1102" Type="http://schemas.openxmlformats.org/officeDocument/2006/relationships/hyperlink" Target="https://www.tiktok.com/@bru.cast/video/7267188704001674502" TargetMode="External"/><Relationship Id="rId1586" Type="http://schemas.openxmlformats.org/officeDocument/2006/relationships/hyperlink" Target="https://p16-sign-va.tiktokcdn.com/tos-maliva-avt-0068/c5939448c652ddc96fdc2087d1e87d6e~tplv-tiktokx-cropcenter:100:100.jpeg?dr=14579&amp;refresh_token=807112d0&amp;x-expires=1764727200&amp;x-signature=w02nfqxiONhZqnE55U4Cs6%2Btpa8%3D&amp;t=4d5b0474&amp;ps=13740610&amp;shp=a5d48078&amp;shcp=81f88b70&amp;idc=my" TargetMode="External"/><Relationship Id="rId1532" Type="http://schemas.openxmlformats.org/officeDocument/2006/relationships/hyperlink" Target="https://v16-webapp-prime.tiktok.com/video/tos/useast2a/tos-useast2a-v-27dcd7/o8hbP9IAIQSLMIXvE6MYlQefAfG0KJAIGAfexg/?a=1988&amp;bti=ODszNWYuMDE6&amp;ch=0&amp;cr=0&amp;dr=0&amp;er=0&amp;lr=default&amp;cd=0%7C0%7C0%7C0&amp;br=250&amp;bt=125&amp;ds=5&amp;ft=GNDpcInz7Th6zKvPXq8Zmo&amp;mime_type=audio_mpeg&amp;qs=13&amp;rc=M2ZwOnM5cnk4eDMzNzU8M0BpM2ZwOnM5cnk4eDMzNzU8M0AwM3FiMmRrczVgLS1kMTZzYSMwM3FiMmRrczVgLS1kMTZzcw%3D%3D&amp;btag=e00050000&amp;expire=1764559369&amp;l=202512011021446E702D323C03BE6BD085&amp;ply_type=3&amp;policy=3&amp;signature=a0eaf3ff5db78330abcbc9d9c4939d0e&amp;tk=7571587458748974088" TargetMode="External"/><Relationship Id="rId1533"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1534" Type="http://schemas.openxmlformats.org/officeDocument/2006/relationships/hyperlink" Target="https://v16-webapp-prime.tiktok.com/video/tos/useast2a/tos-useast2a-ve-0068c004/ogQSgIDQIEPDFSHm1SfCjbe0GeqxYHIsAECdXI/?a=1988&amp;bti=ODszNWYuMDE6&amp;ch=0&amp;cr=3&amp;dr=0&amp;lr=all&amp;cd=0%7C0%7C0%7C&amp;cv=1&amp;br=800&amp;bt=400&amp;cs=0&amp;ds=6&amp;ft=-Csk_mrMPD12NVDh5d-UxIS5hY6e3wv25ocAp&amp;mime_type=video_mp4&amp;qs=5&amp;rc=PDM3ZmVnZjo8OmRmOzozZkBpamRqbng5cnE2eDMzNzczM0BgMDQxMF4zNmExLjQzNi9fYSNiY2lhMmRrbTVgLS1kMTZzcw%3D%3D&amp;btag=e00090000&amp;expire=1764728569&amp;l=202512011021446E702D323C03BE6BD085&amp;ply_type=2&amp;policy=2&amp;signature=65d7525d4ad9d8a601ea2878307e8143&amp;tk=tt_chain_token" TargetMode="External"/><Relationship Id="rId1535" Type="http://schemas.openxmlformats.org/officeDocument/2006/relationships/hyperlink" Target="https://www.tiktok.com/@igorpsicologo/video/7462533208387751174" TargetMode="External"/><Relationship Id="rId1536" Type="http://schemas.openxmlformats.org/officeDocument/2006/relationships/hyperlink" Target="https://p77-sign-va.tiktokcdn.com/tos-maliva-avt-0068/442572ca019bbe9a4d50d8e7525339d6~tplv-tiktokx-cropcenter:100:100.jpeg?dr=14579&amp;refresh_token=d1ff0bc3&amp;x-expires=1764727200&amp;x-signature=UcMB%2FD%2BZHdDf8qJj4sUuhciuilE%3D&amp;t=4d5b0474&amp;ps=13740610&amp;shp=a5d48078&amp;shcp=81f88b70&amp;idc=my" TargetMode="External"/><Relationship Id="rId1537" Type="http://schemas.openxmlformats.org/officeDocument/2006/relationships/hyperlink" Target="https://v16-webapp-prime.tiktok.com/video/tos/useast2a/tos-useast2a-v-27dcd7/o8DEKALVhfBDOYAoEEFzkpQ3U9hAIGyCUgKtAF/?a=1988&amp;bti=ODszNWYuMDE6&amp;ch=0&amp;cr=0&amp;dr=0&amp;er=0&amp;lr=default&amp;cd=0%7C0%7C0%7C0&amp;br=250&amp;bt=125&amp;ds=5&amp;ft=GNDpcInz7ThGPKvPXq8Zmo&amp;mime_type=audio_mpeg&amp;qs=13&amp;rc=anc2bDk6Zm47bTMzNzU8M0Bpanc2bDk6Zm47bTMzNzU8M0BeY2YucjRvNS5gLS1kMTZzYSNeY2YucjRvNS5gLS1kMTZzcw%3D%3D&amp;btag=e00070000&amp;expire=1764559234&amp;l=202512011020239FD63C9B4E4C976A9E36&amp;ply_type=3&amp;policy=3&amp;signature=0b95aae1a60cdd08240199455fefeb72&amp;tk=7571587458748974088" TargetMode="External"/><Relationship Id="rId1538" Type="http://schemas.openxmlformats.org/officeDocument/2006/relationships/hyperlink" Target="https://p16-sign-va.tiktokcdn.com/tos-maliva-avt-0068/442572ca019bbe9a4d50d8e7525339d6~tplv-tiktokx-cropcenter:1080:1080.jpeg?dr=14579&amp;refresh_token=23c12038&amp;x-expires=1764727200&amp;x-signature=DdgPHLTkiXMu5djlVXLfGtkOKrw%3D&amp;t=4d5b0474&amp;ps=13740610&amp;shp=a5d48078&amp;shcp=81f88b70&amp;idc=my" TargetMode="External"/><Relationship Id="rId1539" Type="http://schemas.openxmlformats.org/officeDocument/2006/relationships/hyperlink" Target="https://v16-webapp-prime.tiktok.com/video/tos/maliva/tos-maliva-ve-0068c801-us/oIPMwOzmIfAIEwAYbChkXoCFgNUptIwCybd7og/?a=1988&amp;bti=ODszNWYuMDE6&amp;ch=0&amp;cr=3&amp;dr=0&amp;lr=all&amp;cd=0%7C0%7C0%7C&amp;br=212&amp;bt=106&amp;cs=0&amp;ds=3&amp;ft=I~da4oKyD12Nvz.WS.IxRjkNWlBF-UjNSRopiX&amp;mime_type=video_mp4&amp;qs=0&amp;rc=Njs6NDdnMzRpOmVkZDo7ZkBpajMzcGc6Zm07bTMzNzczM0BeMWMuNjAwNjIxNDIxNGBfYSNhbXI0cjRfNS5gLS1kMTZzcw%3D%3D&amp;btag=e000b0000&amp;expire=1764728434&amp;l=202512011020239FD63C9B4E4C976A9E36&amp;ply_type=2&amp;policy=2&amp;signature=1031cc7b756640a8687afb4cdac4df9e&amp;tk=tt_chain_token" TargetMode="External"/><Relationship Id="rId949" Type="http://schemas.openxmlformats.org/officeDocument/2006/relationships/hyperlink" Target="https://www.tiktok.com/@mr.tdahzinho/video/7572132179518426376" TargetMode="External"/><Relationship Id="rId948" Type="http://schemas.openxmlformats.org/officeDocument/2006/relationships/hyperlink" Target="https://v16-webapp-prime.tiktok.com/video/tos/alisg/tos-alisg-pve-0037c001/oojniQBSpEBVBvDVBfFEg2DzEFARTGWEI4fDcZ/?a=1988&amp;bti=ODszNWYuMDE6&amp;ch=0&amp;cr=3&amp;dr=0&amp;lr=all&amp;cd=0%7C0%7C0%7C&amp;cv=1&amp;br=1488&amp;bt=744&amp;cs=0&amp;ds=3&amp;ft=I~da4oKyD12Nvi.WS.IxR51NWlBF-UjNSMopiX&amp;mime_type=video_mp4&amp;qs=0&amp;rc=aGhmODo1PGhlOWdnZTw4Z0BpM2lmO3k5cmZzNzMzODczNEAtLjEvNF5jNTYxNGBfYC4tYSM2NGxwMmRzb15hLS1kMWBzcw%3D%3D&amp;btag=e000b8000&amp;expire=1764728434&amp;l=202512011020200FFD70C70F6D756DA043&amp;ply_type=2&amp;policy=2&amp;signature=38e9e81409d3d241e99df6c9d7358f3d&amp;tk=tt_chain_token" TargetMode="External"/><Relationship Id="rId943" Type="http://schemas.openxmlformats.org/officeDocument/2006/relationships/hyperlink" Target="https://v16-webapp-prime.tiktok.com/video/tos/alisg/tos-alisg-pve-0037c001/owvLzibEBAAZivNtrtEOsaYH77QRIJ5VvBTkK/?a=1988&amp;bti=ODszNWYuMDE6&amp;ch=0&amp;cr=3&amp;dr=0&amp;lr=all&amp;cd=0%7C0%7C0%7C&amp;cv=1&amp;br=2816&amp;bt=1408&amp;cs=0&amp;ds=3&amp;ft=-Csk_mrMPD12NGDh5d-UxSc2hY6e3wv25DcAp&amp;mime_type=video_mp4&amp;qs=0&amp;rc=aWQ2OGQ4Zzk7Zzk7ODZoPEBpamdoeHU5cmdrNzMzODczNEAvYF9eMGIwNjQxL2FfLjBfYSNpc25qMmRramBhLS1kMTFzcw%3D%3D&amp;btag=e00090000&amp;expire=1764728579&amp;l=202512011021508D2E02B19879BA6D89C0&amp;ply_type=2&amp;policy=2&amp;signature=100420986517e345c583d6b385269771&amp;tk=tt_chain_token" TargetMode="External"/><Relationship Id="rId942"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941" Type="http://schemas.openxmlformats.org/officeDocument/2006/relationships/hyperlink" Target="https://v16-webapp-prime.tiktok.com/video/tos/alisg/tos-alisg-v-27dcd7/oYAlkCvpacUI1EYRAAEAiZXg7AJyakFHABc2i/?a=1988&amp;bti=ODszNWYuMDE6&amp;ch=0&amp;cr=0&amp;dr=0&amp;er=0&amp;lr=default&amp;cd=0%7C0%7C0%7C0&amp;br=250&amp;bt=125&amp;ds=5&amp;ft=GNDpcInz7ThuzKvPXq8Zmo&amp;mime_type=audio_mpeg&amp;qs=13&amp;rc=am9oZHA5cjdrNzMzODU8NEBpam9oZHA5cjdrNzMzODU8NEBfLmNtMmRrbWBhLS1kMS1zYSNfLmNtMmRrbWBhLS1kMS1zcw%3D%3D&amp;btag=e00050000&amp;expire=1764559379&amp;l=202512011021508D2E02B19879BA6D89C0&amp;ply_type=3&amp;policy=3&amp;signature=ebc9ace69de6c2ee30968c774a22c6db&amp;tk=7571587458748974088" TargetMode="External"/><Relationship Id="rId940"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947" Type="http://schemas.openxmlformats.org/officeDocument/2006/relationships/hyperlink" Target="https://p77-sign-va.tiktokcdn.com/tos-maliva-avt-0068/431bee7578e519987635a70e5b8f7fb3~tplv-tiktokx-cropcenter:1080:1080.jpeg?dr=14579&amp;refresh_token=4553ee2b&amp;x-expires=1764727200&amp;x-signature=8pmd4P8yOCuhzXXpaXJUy9t6ZBw%3D&amp;t=4d5b0474&amp;ps=13740610&amp;shp=a5d48078&amp;shcp=81f88b70&amp;idc=my" TargetMode="External"/><Relationship Id="rId946" Type="http://schemas.openxmlformats.org/officeDocument/2006/relationships/hyperlink" Target="https://v16-webapp-prime.tiktok.com/video/tos/alisg/tos-alisg-v-27dcd7/oUDQWenrZAemGPAIANZIJfFAPGVLIgIzkMhfAA/?a=1988&amp;bti=ODszNWYuMDE6&amp;ch=0&amp;cr=0&amp;dr=0&amp;er=0&amp;lr=default&amp;cd=0%7C0%7C0%7C0&amp;br=250&amp;bt=125&amp;ds=5&amp;ft=GNDpcInz7ThUPKvPXq8Zmo&amp;mime_type=audio_mpeg&amp;qs=13&amp;rc=ajl0eHA5cjpzNzMzODU8NEBpajl0eHA5cjpzNzMzODU8NEAybWBjMmRzcF5hLS1kMS1zYSMybWBjMmRzcF5hLS1kMS1zcw%3D%3D&amp;btag=e00078000&amp;expire=1764559234&amp;l=202512011020200FFD70C70F6D756DA043&amp;ply_type=3&amp;policy=3&amp;signature=e31e07c3ca124fe258b1dc590f2af000&amp;tk=7571587458748974088" TargetMode="External"/><Relationship Id="rId945" Type="http://schemas.openxmlformats.org/officeDocument/2006/relationships/hyperlink" Target="https://p16-sign-va.tiktokcdn.com/tos-maliva-avt-0068/431bee7578e519987635a70e5b8f7fb3~tplv-tiktokx-cropcenter:100:100.jpeg?dr=14579&amp;refresh_token=959d08f3&amp;x-expires=1764727200&amp;x-signature=%2B1QrUKRmZMzu6GKca%2FU2HoPUufE%3D&amp;t=4d5b0474&amp;ps=13740610&amp;shp=a5d48078&amp;shcp=81f88b70&amp;idc=my" TargetMode="External"/><Relationship Id="rId944" Type="http://schemas.openxmlformats.org/officeDocument/2006/relationships/hyperlink" Target="https://www.tiktok.com/@igorpsicologo/video/7573115624205913351" TargetMode="External"/><Relationship Id="rId1530" Type="http://schemas.openxmlformats.org/officeDocument/2006/relationships/hyperlink" Target="https://www.tiktok.com/@.mundotdah/video/7501355204000943415" TargetMode="External"/><Relationship Id="rId1531"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521" Type="http://schemas.openxmlformats.org/officeDocument/2006/relationships/hyperlink" Target="https://p16-sign-sg.tiktokcdn.com/tos-alisg-avt-0068/305c199048748400d13f89ce936c5a5e~tplv-tiktokx-cropcenter:100:100.jpeg?dr=14579&amp;refresh_token=52fb7177&amp;x-expires=1764727200&amp;x-signature=GkCgviyUQNKQLNsruThFnzBNyTI%3D&amp;t=4d5b0474&amp;ps=13740610&amp;shp=a5d48078&amp;shcp=81f88b70&amp;idc=my" TargetMode="External"/><Relationship Id="rId1522" Type="http://schemas.openxmlformats.org/officeDocument/2006/relationships/hyperlink" Target="https://v16-webapp-prime.tiktok.com/video/tos/useast2a/tos-useast2a-v-27dcd7/727fecb6e5634484afc7d5298bff60f1/?a=1988&amp;bti=ODszNWYuMDE6&amp;ch=0&amp;cr=0&amp;dr=0&amp;er=0&amp;lr=default&amp;cd=0%7C0%7C0%7C0&amp;br=252&amp;bt=126&amp;ds=5&amp;ft=GNDpcInz7ThGPKvPXq8Zmo&amp;mime_type=video_mp4&amp;qs=13&amp;rc=M3k5bTs6ZmlkZDMzNzU8M0BpM3k5bTs6ZmlkZDMzNzU8M0BqNi5ocjRfZV9gLS1kMTZzYSNqNi5ocjRfZV9gLS1kMTZzcw%3D%3D&amp;btag=e00050000&amp;expire=1764559315&amp;l=202512011020239FD63C9B4E4C976A9E36&amp;ply_type=3&amp;policy=3&amp;signature=afef6fa6f52f63ed532924d609015643&amp;tk=7571587458748974088" TargetMode="External"/><Relationship Id="rId1523" Type="http://schemas.openxmlformats.org/officeDocument/2006/relationships/hyperlink" Target="https://p16-sign-sg.tiktokcdn.com/tos-alisg-avt-0068/305c199048748400d13f89ce936c5a5e~tplv-tiktokx-cropcenter:1080:1080.jpeg?dr=14579&amp;refresh_token=c51704c5&amp;x-expires=1764727200&amp;x-signature=62ljJs%2ByYCh5SZZk0lNGiJDC1j4%3D&amp;t=4d5b0474&amp;ps=13740610&amp;shp=a5d48078&amp;shcp=81f88b70&amp;idc=my" TargetMode="External"/><Relationship Id="rId1524" Type="http://schemas.openxmlformats.org/officeDocument/2006/relationships/hyperlink" Target="https://v16-webapp-prime.tiktok.com/video/tos/useast2a/tos-useast2a-ve-0068c004/91827cfd73944e8681a6e3e38c27a0ad/?a=1988&amp;bti=ODszNWYuMDE6&amp;ch=0&amp;cr=3&amp;dr=0&amp;lr=all&amp;cd=0%7C0%7C0%7C&amp;cv=1&amp;br=1192&amp;bt=596&amp;cs=0&amp;ds=2&amp;ft=I~da4oKyD12Nvz.WS.IxRjkNWlBF-UjNSRopiX&amp;mime_type=video_mp4&amp;qs=0&amp;rc=OmRkOTw6PDU3MzgzM2hnNkBpM3U2Ozc6ZjhkZDMzNzczM0AwLTFiNTFfNmAxYmFfM2FhYSNkby0ucjRvZV9gLS1kMTZzcw%3D%3D&amp;btag=e00090000&amp;expire=1764728515&amp;l=202512011020239FD63C9B4E4C976A9E36&amp;ply_type=2&amp;policy=2&amp;signature=3c6894fd5fd0f131bf1cd0db8b75199a&amp;tk=tt_chain_token" TargetMode="External"/><Relationship Id="rId1525" Type="http://schemas.openxmlformats.org/officeDocument/2006/relationships/hyperlink" Target="https://www.tiktok.com/@draanabeatriz11/video/7104050935223028998" TargetMode="External"/><Relationship Id="rId1526" Type="http://schemas.openxmlformats.org/officeDocument/2006/relationships/hyperlink" Target="https://p77-sign-va.tiktokcdn.com/tos-maliva-avt-0068/aaba86e723b6f2440be1acd83bede8ab~tplv-tiktokx-cropcenter:100:100.jpeg?dr=14579&amp;refresh_token=5f8b9ffe&amp;x-expires=1764727200&amp;x-signature=FsrZhcrL30O%2Bkq3kxFbjmtXRGR0%3D&amp;t=4d5b0474&amp;ps=13740610&amp;shp=a5d48078&amp;shcp=81f88b70&amp;idc=my" TargetMode="External"/><Relationship Id="rId1527" Type="http://schemas.openxmlformats.org/officeDocument/2006/relationships/hyperlink" Target="https://v16-webapp-prime.tiktok.com/video/tos/useast2a/tos-useast2a-v-27dcd7/oYsRt6olLivwJm00BzO6MKIafVKMQAgkAB0EDi/?a=1988&amp;bti=ODszNWYuMDE6&amp;ch=0&amp;cr=0&amp;dr=0&amp;er=0&amp;lr=default&amp;cd=0%7C0%7C0%7C0&amp;br=250&amp;bt=125&amp;ft=GNDpcInz7ThAzKvPXq8Zmo&amp;mime_type=audio_mpeg&amp;qs=6&amp;rc=NGg2OTczZjo3aDs7ZTw2NUBpajNpd245cnA1MzMzNzU8M0AwNC81YDReNjExNjIwMC1hYSNtaC4xMmRjaWFhLS1kMTZzcw%3D%3D&amp;btag=e00090000&amp;expire=1764559357&amp;l=202512011021380CC83080A64AA152B5B8&amp;ply_type=3&amp;policy=3&amp;signature=ec044781e2655f73b98d3f6bd2ccc185&amp;tk=7571587458748974088" TargetMode="External"/><Relationship Id="rId1528" Type="http://schemas.openxmlformats.org/officeDocument/2006/relationships/hyperlink" Target="https://p77-sign-va.tiktokcdn.com/tos-maliva-avt-0068/aaba86e723b6f2440be1acd83bede8ab~tplv-tiktokx-cropcenter:1080:1080.jpeg?dr=14579&amp;refresh_token=9460bfed&amp;x-expires=1764727200&amp;x-signature=%2BqBqjnvXU6o27nYEKHjvR8NMA8E%3D&amp;t=4d5b0474&amp;ps=13740610&amp;shp=a5d48078&amp;shcp=81f88b70&amp;idc=my" TargetMode="External"/><Relationship Id="rId1529" Type="http://schemas.openxmlformats.org/officeDocument/2006/relationships/hyperlink" Target="https://v16-webapp-prime.tiktok.com/video/tos/useast2a/tos-useast2a-pve-0068/o4CiQf8zBgM0il3CKaiKRAIuDAkE35ko1WIcUA/?a=1988&amp;bti=ODszNWYuMDE6&amp;ch=0&amp;cr=3&amp;dr=0&amp;lr=all&amp;cd=0%7C0%7C0%7C&amp;cv=1&amp;br=706&amp;bt=353&amp;cs=0&amp;ds=6&amp;ft=-Csk_mrMPD12NaDh5d-Uxq42hY6e3wv25IcAp&amp;mime_type=video_mp4&amp;qs=5&amp;rc=Nzg2ZzVlNjhlZzk1OzppZEBpanZ4dm85cjg1MzMzNzczM0AyYF8xMzAvNV4xNjYwLS5jYSNwNnJvMmRjaGFhLS1kMTZzcw%3D%3D&amp;btag=e00090000&amp;expire=1764728557&amp;l=202512011021380CC83080A64AA152B5B8&amp;ply_type=2&amp;policy=2&amp;signature=d50f9b366ca3327411e725bf56599aac&amp;tk=tt_chain_token" TargetMode="External"/><Relationship Id="rId939" Type="http://schemas.openxmlformats.org/officeDocument/2006/relationships/hyperlink" Target="https://www.tiktok.com/@crescimento.prospero/video/7267552989060107522" TargetMode="External"/><Relationship Id="rId938" Type="http://schemas.openxmlformats.org/officeDocument/2006/relationships/hyperlink" Target="https://v16-webapp-prime.tiktok.com/video/tos/alisg/tos-alisg-pve-0037c001/o4BjAiq2j8ePuE4AgkDnRfb0RbsGgiqPBQ31pR/?a=1988&amp;bti=ODszNWYuMDE6&amp;ch=0&amp;cr=3&amp;dr=0&amp;lr=all&amp;cd=0%7C0%7C0%7C&amp;cv=1&amp;br=1556&amp;bt=778&amp;cs=0&amp;ds=3&amp;ft=I~da4oKyD12Nvc0WS.IxR-1NWlBF-UjNSCopiX&amp;mime_type=video_mp4&amp;qs=0&amp;rc=ZGRnZmU4OzpmaWllOzdnZEBpanRkcjc6ZmdybTMzODczNEAuMmEzYWI2NjIxNS8vMjJiYSNqaHNhcjRfZWFgLS1kMS1zcw%3D%3D&amp;btag=e00088000&amp;expire=1764728685&amp;l=20251201102405D0C711936A3878EFA1E3&amp;ply_type=2&amp;policy=2&amp;signature=dc7f5b304bd34dc7f3815ac9de8ceafc&amp;tk=tt_chain_token" TargetMode="External"/><Relationship Id="rId937" Type="http://schemas.openxmlformats.org/officeDocument/2006/relationships/hyperlink" Target="https://p16-sg.tiktokcdn.com/aweme/720x720/tos-alisg-v-2774/ec1ace0f38ff40c2a188bf7ddc33226c.jpeg" TargetMode="External"/><Relationship Id="rId932" Type="http://schemas.openxmlformats.org/officeDocument/2006/relationships/hyperlink" Target="https://p77-sg.tiktokcdn.com/aweme/720x720/tos-alisg-v-2774/24bc933fdd7042319cfd053044351f53.jpeg" TargetMode="External"/><Relationship Id="rId931" Type="http://schemas.openxmlformats.org/officeDocument/2006/relationships/hyperlink" Target="https://sf16-ies-music-sg.tiktokcdn.com/obj/tos-alisg-ve-2774/oYQWrdRZLIrLtaeBEm2gcvDxFCfOCB81GMhvhu" TargetMode="External"/><Relationship Id="rId930" Type="http://schemas.openxmlformats.org/officeDocument/2006/relationships/hyperlink" Target="https://p16-sign-va.tiktokcdn.com/tos-maliva-avt-0068/fc1698d10dca32b79684fcca308c78cc~tplv-tiktokx-cropcenter:100:100.jpeg?dr=14579&amp;refresh_token=866fa9ea&amp;x-expires=1764727200&amp;x-signature=qpjl1%2Bt4vMIEwTmJJ5wdX%2FC1yLE%3D&amp;t=4d5b0474&amp;ps=13740610&amp;shp=a5d48078&amp;shcp=81f88b70&amp;idc=my" TargetMode="External"/><Relationship Id="rId936" Type="http://schemas.openxmlformats.org/officeDocument/2006/relationships/hyperlink" Target="https://sf16-ies-music-sg.tiktokcdn.com/obj/tos-alisg-ve-2774/o831hBCf4IuJrZOgSQtw2eUNvp3YzNOBQzkkBA" TargetMode="External"/><Relationship Id="rId935" Type="http://schemas.openxmlformats.org/officeDocument/2006/relationships/hyperlink" Target="https://p77-sign-va.tiktokcdn.com/tos-maliva-avt-0068/22f979861088a66f6a45140e21c5acd7~tplv-tiktokx-cropcenter:100:100.jpeg?dr=14579&amp;refresh_token=6e2f650b&amp;x-expires=1764727200&amp;x-signature=omSJNURzu5Sjv4hcLRsqCNlrcmQ%3D&amp;t=4d5b0474&amp;ps=13740610&amp;shp=a5d48078&amp;shcp=81f88b70&amp;idc=my" TargetMode="External"/><Relationship Id="rId934" Type="http://schemas.openxmlformats.org/officeDocument/2006/relationships/hyperlink" Target="https://www.tiktok.com/@neurodivergenciaeopapo/video/7543388280205626680" TargetMode="External"/><Relationship Id="rId933" Type="http://schemas.openxmlformats.org/officeDocument/2006/relationships/hyperlink" Target="https://v16-webapp-prime.tiktok.com/video/tos/useast2a/tos-useast2a-ve-0068c003/oMKvgSQMI48C2leBfRv9IyER9gW0fjAX5NCiLg/?a=1988&amp;bti=ODszNWYuMDE6&amp;ch=0&amp;cr=3&amp;dr=0&amp;lr=all&amp;cd=0%7C0%7C0%7C&amp;cv=1&amp;br=1634&amp;bt=817&amp;cs=0&amp;ds=3&amp;ft=-Csk_mrMPD12NSBh5d-Uxs12aY6e3wv252cAp&amp;mime_type=video_mp4&amp;qs=0&amp;rc=aDg7NTs1MzQ4ODY6ZDVpM0BpamZza245cnNxNTMzNzczM0BjY2MwLS0zXl4xYTRfMjJeYSNkb3NrMmRrb2thLS1kMTZzcw%3D%3D&amp;btag=e00098000&amp;expire=1764728756&amp;l=2025120110215532A809179141715F3748&amp;ply_type=2&amp;policy=2&amp;signature=ff00cd6c3e90e3d9b654c4cbc7b5de59&amp;tk=tt_chain_token" TargetMode="External"/><Relationship Id="rId1520" Type="http://schemas.openxmlformats.org/officeDocument/2006/relationships/hyperlink" Target="https://www.tiktok.com/@igorpsicologo/video/7455486279208160517" TargetMode="External"/><Relationship Id="rId1554" Type="http://schemas.openxmlformats.org/officeDocument/2006/relationships/hyperlink" Target="https://v16-webapp-prime.tiktok.com/video/tos/alisg/tos-alisg-pve-0037c001/oocFCWSJHgi5KLdARgcQMiyfjEFzPCgeI2iIfS/?a=1988&amp;bti=ODszNWYuMDE6&amp;ch=0&amp;cr=3&amp;dr=0&amp;lr=all&amp;cd=0%7C0%7C0%7C&amp;cv=1&amp;br=1512&amp;bt=756&amp;cs=0&amp;ds=3&amp;ft=-Csk_mrMPD12Nhgh5d-UxIS5hY6e3wv25ycAp&amp;mime_type=video_mp4&amp;qs=0&amp;rc=OTc0OGdlN2g1aWQ4NTs1NUBpamltO2k6ZjdoZDMzNzczM0AwYF5hYGItNi8xX2IxNDYyYSNsMl9qcjQwLmBgLS1kMTZzcw%3D%3D&amp;btag=e00088000&amp;expire=1764728807&amp;l=20251201102557A9EC7B53566F0E648FE4&amp;ply_type=2&amp;policy=2&amp;signature=dc469f004bea8883ffc21b47e18e36bb&amp;tk=tt_chain_token" TargetMode="External"/><Relationship Id="rId1555" Type="http://schemas.openxmlformats.org/officeDocument/2006/relationships/hyperlink" Target="https://www.tiktok.com/@maisqueteoria/video/7104675892965821701" TargetMode="External"/><Relationship Id="rId1556"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557" Type="http://schemas.openxmlformats.org/officeDocument/2006/relationships/hyperlink" Target="https://v16-webapp-prime.tiktok.com/video/tos/useast2a/tos-useast2a-v-27dcd7/okhEVfgAIbSXIQfeUfMJKP8RAHM1KJAgqAP9Cf/?a=1988&amp;bti=ODszNWYuMDE6&amp;ch=0&amp;cr=0&amp;dr=0&amp;er=0&amp;lr=default&amp;cd=0%7C0%7C0%7C0&amp;br=250&amp;bt=125&amp;ds=5&amp;ft=GNDpcInz7Th6zKvPXq8Zmo&amp;mime_type=audio_mpeg&amp;qs=13&amp;rc=ams1N3M5cnl5eDMzNzU8M0Bpams1N3M5cnl5eDMzNzU8M0AxXmU1MmRzbGdgLS1kMTZzYSMxXmU1MmRzbGdgLS1kMTZzcw%3D%3D&amp;btag=e00050000&amp;expire=1764559365&amp;l=202512011021446E702D323C03BE6BD085&amp;ply_type=3&amp;policy=3&amp;signature=a42ab18d677e7cbe6a541ea49cddb1df&amp;tk=7571587458748974088" TargetMode="External"/><Relationship Id="rId1558"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1559" Type="http://schemas.openxmlformats.org/officeDocument/2006/relationships/hyperlink" Target="https://v16-webapp-prime.tiktok.com/video/tos/useast2a/tos-useast2a-pve-0068/oQs5qgIMeJ7ifQpXQNGeeAQfiKnP8nkAbMI89L/?a=1988&amp;bti=ODszNWYuMDE6&amp;ch=0&amp;cr=3&amp;dr=0&amp;lr=all&amp;cd=0%7C0%7C0%7C&amp;cv=1&amp;br=1766&amp;bt=883&amp;cs=0&amp;ds=3&amp;ft=-Csk_mrMPD12NVDh5d-UxIS5hY6e3wv25ocAp&amp;mime_type=video_mp4&amp;qs=0&amp;rc=OTkzNWVlZDc5PDxmOTw3NkBpM3k6d3Y5cjx5eDMzNzczM0BeYzZjMzBfNTMxLl8yNTQtYSNvaGtfMmRjYmdgLS1kMTZzcw%3D%3D&amp;btag=e00090000&amp;expire=1764728565&amp;l=202512011021446E702D323C03BE6BD085&amp;ply_type=2&amp;policy=2&amp;signature=4c15e52c26ccfc8c7bd2a31d96e3b1dc&amp;tk=tt_chain_token" TargetMode="External"/><Relationship Id="rId965"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964" Type="http://schemas.openxmlformats.org/officeDocument/2006/relationships/hyperlink" Target="https://www.tiktok.com/@aprendendocomotdah/video/7544146048311168312" TargetMode="External"/><Relationship Id="rId963" Type="http://schemas.openxmlformats.org/officeDocument/2006/relationships/hyperlink" Target="https://v16-webapp-prime.tiktok.com/video/tos/useast2a/tos-useast2a-ve-0068c001/oIf0jjI6ChBWz4ti1LihRIV8gDC5EoA3RiQkHA/?a=1988&amp;bti=ODszNWYuMDE6&amp;ch=0&amp;cr=3&amp;dr=0&amp;lr=all&amp;cd=0%7C0%7C0%7C&amp;cv=1&amp;br=1260&amp;bt=630&amp;cs=0&amp;ds=3&amp;ft=I~da4oKyD12Nvu.WS.IxRntNWlBF-UjNSMopiX&amp;mime_type=video_mp4&amp;qs=0&amp;rc=ZzQ7Zjc1NzhkOzc0NDY0OEBpajVoeHE5cjs2NTMzNzczM0AuLy0tMmFfXzAxMzUuLy4wYSMuNGIwMmRzLm1hLS1kMTZzcw%3D%3D&amp;btag=e000b8000&amp;expire=1764728444&amp;l=20251201102018B39B5434B49F795A75FD&amp;ply_type=2&amp;policy=2&amp;signature=3d83bfb4c88fc325bf7a4cd8a1c5cc2d&amp;tk=tt_chain_token" TargetMode="External"/><Relationship Id="rId962" Type="http://schemas.openxmlformats.org/officeDocument/2006/relationships/hyperlink" Target="https://p16-sign-va.tiktokcdn.com/tos-maliva-avt-0068/2b7e609cb0681a46ab556279eb956133~tplv-tiktokx-cropcenter:1080:1080.jpeg?dr=14579&amp;refresh_token=da429885&amp;x-expires=1764727200&amp;x-signature=okTogq67hHHZEVAbZUGCsBTgzHM%3D&amp;t=4d5b0474&amp;ps=13740610&amp;shp=a5d48078&amp;shcp=81f88b70&amp;idc=my" TargetMode="External"/><Relationship Id="rId969" Type="http://schemas.openxmlformats.org/officeDocument/2006/relationships/hyperlink" Target="https://www.tiktok.com/@igorpsicologo/video/7570146381642403090" TargetMode="External"/><Relationship Id="rId968" Type="http://schemas.openxmlformats.org/officeDocument/2006/relationships/hyperlink" Target="https://v16-webapp-prime.tiktok.com/video/tos/alisg/tos-alisg-pve-0037c001/oIPOuOaxmyA9EYVQt6s3IYkB5iaAQBEiEIwKK/?a=1988&amp;bti=ODszNWYuMDE6&amp;ch=0&amp;cr=3&amp;dr=0&amp;lr=all&amp;cd=0%7C0%7C0%7C&amp;cv=1&amp;br=2362&amp;bt=1181&amp;cs=0&amp;ds=3&amp;ft=-Csk_mrMPD12NNBh5d-UxIS5hY6e3wv25ocAp&amp;mime_type=video_mp4&amp;qs=0&amp;rc=OjVlZDtoZjhoaDw6NTs0OUBpM2tkbHc5cmw7NzMzODczNEAzMzQ2NjAvXzQxLjFhXl9eYSNscS5vMmQ0cTRhLS1kMTFzcw%3D%3D&amp;btag=e00090000&amp;expire=1764728586&amp;l=20251201102153319CD8E1EA373154CB8C&amp;ply_type=2&amp;policy=2&amp;signature=42cfda4f6359b0750700cffd1cd51366&amp;tk=tt_chain_token" TargetMode="External"/><Relationship Id="rId967"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966" Type="http://schemas.openxmlformats.org/officeDocument/2006/relationships/hyperlink" Target="https://v16-webapp-prime.tiktok.com/video/tos/alisg/tos-alisg-v-27dcd7/owZ0hABcEAAiAAwhfKBwEXAiL0OKUWagBm5Eok/?a=1988&amp;bti=ODszNWYuMDE6&amp;ch=0&amp;cr=0&amp;dr=0&amp;er=0&amp;lr=default&amp;cd=0%7C0%7C0%7C0&amp;br=250&amp;bt=125&amp;ds=5&amp;ft=GNDpcInz7ThhFKvPXq8Zmo&amp;mime_type=audio_mpeg&amp;qs=13&amp;rc=M3RncGo5cjg8NzMzODU8NEBpM3RncGo5cjg8NzMzODU8NEBfbDZwMmRjLTRhLS1kMS1zYSNfbDZwMmRjLTRhLS1kMS1zcw%3D%3D&amp;btag=e00050000&amp;expire=1764559386&amp;l=20251201102153319CD8E1EA373154CB8C&amp;ply_type=3&amp;policy=3&amp;signature=b8fc7942dc8dc45abf53dbe1b32eabed&amp;tk=7571587458748974088" TargetMode="External"/><Relationship Id="rId961" Type="http://schemas.openxmlformats.org/officeDocument/2006/relationships/hyperlink" Target="https://v16-webapp-prime.tiktok.com/video/tos/useast2a/tos-useast2a-v-27dcd7/oAEiwFE8CiO6QSSIAMAIoUjbCHBVxiAayLlPA/?a=1988&amp;bti=ODszNWYuMDE6&amp;ch=0&amp;cr=0&amp;dr=0&amp;er=0&amp;lr=default&amp;cd=0%7C0%7C0%7C0&amp;br=250&amp;bt=125&amp;ds=5&amp;ft=GNDpcInz7ThmPKvPXq8Zmo&amp;mime_type=audio_mpeg&amp;qs=13&amp;rc=MzU0dnY5cnQ2NTMzNzU8M0BpMzU0dnY5cnQ2NTMzNzU8M0A2a2EvMmQ0Lm1hLS1kMTZzYSM2a2EvMmQ0Lm1hLS1kMTZzcw%3D%3D&amp;btag=e00078000&amp;expire=1764559244&amp;l=20251201102018B39B5434B49F795A75FD&amp;ply_type=3&amp;policy=3&amp;signature=55a5490a6fa5bc2eb7cad2f972f29c29&amp;tk=7571587458748974088" TargetMode="External"/><Relationship Id="rId1550" Type="http://schemas.openxmlformats.org/officeDocument/2006/relationships/hyperlink" Target="https://www.tiktok.com/@andreafariaterapeuta/video/7140243937662471429" TargetMode="External"/><Relationship Id="rId960" Type="http://schemas.openxmlformats.org/officeDocument/2006/relationships/hyperlink" Target="https://p77-sign-va.tiktokcdn.com/tos-maliva-avt-0068/2b7e609cb0681a46ab556279eb956133~tplv-tiktokx-cropcenter:100:100.jpeg?dr=14579&amp;refresh_token=3be7dc6f&amp;x-expires=1764727200&amp;x-signature=QwbD4OS4e5iTLU84lM%2FN7FBhTXM%3D&amp;t=4d5b0474&amp;ps=13740610&amp;shp=a5d48078&amp;shcp=81f88b70&amp;idc=my" TargetMode="External"/><Relationship Id="rId1551" Type="http://schemas.openxmlformats.org/officeDocument/2006/relationships/hyperlink" Target="https://p16-sign-va.tiktokcdn.com/tos-maliva-avt-0068/2ea74e3c41b271afb15011a8980c436a~tplv-tiktokx-cropcenter:100:100.jpeg?dr=14579&amp;refresh_token=6f0cee23&amp;x-expires=1764727200&amp;x-signature=FKalp2C71BBhEHXQ6Dow35MiCQw%3D&amp;t=4d5b0474&amp;ps=13740610&amp;shp=a5d48078&amp;shcp=81f88b70&amp;idc=my" TargetMode="External"/><Relationship Id="rId1552" Type="http://schemas.openxmlformats.org/officeDocument/2006/relationships/hyperlink" Target="https://sf16-ies-music-sg.tiktokcdn.com/obj/tos-alisg-ve-2774/o8eMWrzRa9GPhf9IfmLkhgE0DYWbwACZ5X7gcF" TargetMode="External"/><Relationship Id="rId1553" Type="http://schemas.openxmlformats.org/officeDocument/2006/relationships/hyperlink" Target="https://p77-sg.tiktokcdn.com/aweme/720x720/tos-alisg-v-2774/oIcJBBfDQI04ZEmttzOaAHH8fBICpEyAFAAHIg.jpeg" TargetMode="External"/><Relationship Id="rId1543" Type="http://schemas.openxmlformats.org/officeDocument/2006/relationships/hyperlink" Target="https://p77-sign-va.tiktokcdn.com/tos-maliva-avt-0068/e59283bc7cddea9e513758e2827eb4b6~tplv-tiktokx-cropcenter:1080:1080.jpeg?dr=14579&amp;refresh_token=2805eac0&amp;x-expires=1764727200&amp;x-signature=6X4Mpph%2FtYm%2BxcKplxBuplD%2BdEw%3D&amp;t=4d5b0474&amp;ps=13740610&amp;shp=a5d48078&amp;shcp=81f88b70&amp;idc=my" TargetMode="External"/><Relationship Id="rId1544" Type="http://schemas.openxmlformats.org/officeDocument/2006/relationships/hyperlink" Target="https://v16-webapp-prime.tiktok.com/video/tos/useast2a/tos-useast2a-pve-0068/oMAyApxpZidCdCdQIyiB5AfnErjJoH4rgkLm2I/?a=1988&amp;bti=ODszNWYuMDE6&amp;ch=0&amp;cr=3&amp;dr=0&amp;lr=all&amp;cd=0%7C0%7C0%7C&amp;cv=1&amp;br=296&amp;bt=148&amp;cs=0&amp;ds=6&amp;ft=-Csk_mrMPD12NaDh5d-Uxq42hY6e3wv25IcAp&amp;mime_type=video_mp4&amp;qs=5&amp;rc=OzU4Ozs1ZTwzNWk3aTQ8O0Bpams2dHM5cm10bzMzNzczM0AyMGAtNF4vXjUxXzQ1M2M2YSNnYXNiMmRjNDJgLS1kMTZzcw%3D%3D&amp;btag=e00090000&amp;expire=1764728646&amp;l=202512011021380CC83080A64AA152B5B8&amp;ply_type=2&amp;policy=2&amp;signature=7a627fb7c621cc09893d54889d7b0c43&amp;tk=tt_chain_token" TargetMode="External"/><Relationship Id="rId1545" Type="http://schemas.openxmlformats.org/officeDocument/2006/relationships/hyperlink" Target="https://www.tiktok.com/@tdahvibe/video/7299107856412986629" TargetMode="External"/><Relationship Id="rId1546" Type="http://schemas.openxmlformats.org/officeDocument/2006/relationships/hyperlink" Target="https://p77-sign-va.tiktokcdn.com/tos-maliva-avt-0068/dd90b452eac1183b6f88e30decb0271d~tplv-tiktokx-cropcenter:100:100.jpeg?dr=14579&amp;refresh_token=ef1d606b&amp;x-expires=1764727200&amp;x-signature=qDZtCQps4xuNCmiCzX8244xjtfA%3D&amp;t=4d5b0474&amp;ps=13740610&amp;shp=a5d48078&amp;shcp=81f88b70&amp;idc=my" TargetMode="External"/><Relationship Id="rId1547" Type="http://schemas.openxmlformats.org/officeDocument/2006/relationships/hyperlink" Target="https://v16-webapp-prime.tiktok.com/video/tos/useast2a/tos-useast2a-v-27dcd7/73a8a7e9b3034556b831a51262db1267/?a=1988&amp;bti=ODszNWYuMDE6&amp;ch=0&amp;cr=0&amp;dr=0&amp;er=0&amp;lr=default&amp;cd=0%7C0%7C0%7C0&amp;br=220&amp;bt=110&amp;ds=5&amp;ft=GNDpcInz7ThUPKvPXq8Zmo&amp;mime_type=video_mp4&amp;qs=13&amp;rc=Mzl3PGg6ZjZtZjMzNzU8M0BpMzl3PGg6ZjZtZjMzNzU8M0BkLjBocjRvcF9gLS1kMTZzYSNkLjBocjRvcF9gLS1kMTZzcw%3D%3D&amp;btag=e00048000&amp;expire=1764559259&amp;l=202512011020200FFD70C70F6D756DA043&amp;ply_type=3&amp;policy=3&amp;signature=57bd34772eefa7277b255472ad892163&amp;tk=7571587458748974088" TargetMode="External"/><Relationship Id="rId1548" Type="http://schemas.openxmlformats.org/officeDocument/2006/relationships/hyperlink" Target="https://p16-sign-va.tiktokcdn.com/tos-maliva-avt-0068/dd90b452eac1183b6f88e30decb0271d~tplv-tiktokx-cropcenter:1080:1080.jpeg?dr=14579&amp;refresh_token=c19526e7&amp;x-expires=1764727200&amp;x-signature=Imc9p6PSPGJqEsfH%2FUOBUvV9O8k%3D&amp;t=4d5b0474&amp;ps=13740610&amp;shp=a5d48078&amp;shcp=81f88b70&amp;idc=my" TargetMode="External"/><Relationship Id="rId1549" Type="http://schemas.openxmlformats.org/officeDocument/2006/relationships/hyperlink" Target="https://v16-webapp-prime.tiktok.com/video/tos/useast2a/tos-useast2a-ve-0068c002/81003f2fc33c4f189b16da61d634c5b9/?a=1988&amp;bti=ODszNWYuMDE6&amp;ch=0&amp;cr=3&amp;dr=0&amp;lr=all&amp;cd=0%7C0%7C0%7C&amp;cv=1&amp;br=992&amp;bt=496&amp;cs=0&amp;ds=6&amp;ft=I~da4oKyD12Nvi.WS.IxR51NWlBF-UjNSMopiX&amp;mime_type=video_mp4&amp;qs=5&amp;rc=ZDtmZTdoaTtnOjQ6Ozg1aUBpajQ0ZGk6ZnhtZjMzNzczM0BgLzQxM19fNWAxL2FfLy01YSMvbWNqcjRvb19gLS1kMTZzcw%3D%3D&amp;btag=e00088000&amp;expire=1764728459&amp;l=202512011020200FFD70C70F6D756DA043&amp;ply_type=2&amp;policy=2&amp;signature=70fc446abf83f46fa53d227ad6f6bb5b&amp;tk=tt_chain_token" TargetMode="External"/><Relationship Id="rId959" Type="http://schemas.openxmlformats.org/officeDocument/2006/relationships/hyperlink" Target="https://www.tiktok.com/@nivea.savoy/video/7556765741379292472" TargetMode="External"/><Relationship Id="rId954" Type="http://schemas.openxmlformats.org/officeDocument/2006/relationships/hyperlink" Target="https://www.tiktok.com/@terapiadafe/video/7561604210932911372" TargetMode="External"/><Relationship Id="rId953" Type="http://schemas.openxmlformats.org/officeDocument/2006/relationships/hyperlink" Target="https://v16-webapp-prime.tiktok.com/video/tos/useast2a/tos-useast2a-ve-0068c002/og6olfX5ZA7mgRiVQQFg83JDufQD8IDEBEB3gI/?a=1988&amp;bti=ODszNWYuMDE6&amp;ch=0&amp;cr=3&amp;dr=0&amp;lr=all&amp;cd=0%7C0%7C0%7C&amp;cv=1&amp;br=2056&amp;bt=1028&amp;cs=0&amp;ds=3&amp;ft=-Csk_mrMPD12NKdh5d-Uxs12aY6e3wv252cAp&amp;mime_type=video_mp4&amp;qs=0&amp;rc=PDM4OWQ5aGczNWg5O2U7Z0BpMzRtbG05cnU2NjMzNzczM0AxLS0xNDM0Xl4xYGEzMmIwYSNscDBiMmRrX2xhLS1kMTZzcw%3D%3D&amp;btag=e00090000&amp;expire=1764728546&amp;l=20251201102042908EBE054CA4706238E0&amp;ply_type=2&amp;policy=2&amp;signature=68e2f51b9230a9aaa7c2c78f6760e8a7&amp;tk=tt_chain_token" TargetMode="External"/><Relationship Id="rId952" Type="http://schemas.openxmlformats.org/officeDocument/2006/relationships/hyperlink" Target="https://p16-sign-va.tiktokcdn.com/tos-maliva-avt-0068/377405ce9a41275b9b6f008b78c94af6~tplv-tiktokx-cropcenter:1080:1080.jpeg?dr=14579&amp;refresh_token=39b91656&amp;x-expires=1764727200&amp;x-signature=QnL2mCErnk6hEj0yb4vObRujG8U%3D&amp;t=4d5b0474&amp;ps=13740610&amp;shp=a5d48078&amp;shcp=81f88b70&amp;idc=my" TargetMode="External"/><Relationship Id="rId951" Type="http://schemas.openxmlformats.org/officeDocument/2006/relationships/hyperlink" Target="https://v16-webapp-prime.tiktok.com/video/tos/useast2a/tos-useast2a-v-27dcd7/ogCAgFLAc8XgDboAJfxBDCUqQJE4BHAIpoevIs/?a=1988&amp;bti=ODszNWYuMDE6&amp;ch=0&amp;cr=0&amp;dr=0&amp;er=0&amp;lr=default&amp;cd=0%7C0%7C0%7C0&amp;br=250&amp;bt=125&amp;ds=5&amp;ft=GNDpcInz7ThCPKvPXq8Zmo&amp;mime_type=audio_mpeg&amp;qs=13&amp;rc=M254eG85cjM2NjMzNzU8M0BpM254eG85cjM2NjMzNzU8M0BvXzMyMmQ0YmxhLS1kMTZzYSNvXzMyMmQ0YmxhLS1kMTZzcw%3D%3D&amp;btag=e00050000&amp;expire=1764559346&amp;l=20251201102042908EBE054CA4706238E0&amp;ply_type=3&amp;policy=3&amp;signature=a40a1f92954cfee50afd8f8ba9b28e70&amp;tk=7571587458748974088" TargetMode="External"/><Relationship Id="rId958" Type="http://schemas.openxmlformats.org/officeDocument/2006/relationships/hyperlink" Target="https://v16-webapp-prime.tiktok.com/video/tos/useast2a/tos-useast2a-pve-0068/oMVRgavgN6yBCtR0bLgdIQINfG8nelA0jACveS/?a=1988&amp;bti=ODszNWYuMDE6&amp;ch=0&amp;cr=3&amp;dr=0&amp;lr=all&amp;cd=0%7C0%7C0%7C&amp;cv=1&amp;br=1598&amp;bt=799&amp;cs=0&amp;ds=3&amp;ft=I~da4oKyD12Nvb.WS.IxRnTNWlBF-UjNS3opiX&amp;mime_type=video_mp4&amp;qs=0&amp;rc=OTQ7NWVnZDc6OzhkZDU6M0Bpand0b3k5cnVqNjMzNzczM0AvLWAvNmMtNWIxLzAuMzBiYSMzXmsuMmRrX2NhLS1kMTZzcw%3D%3D&amp;btag=e00088000&amp;expire=1764728481&amp;l=20251201102046E8B89E886773854715A1&amp;ply_type=2&amp;policy=2&amp;signature=13b6a355979cb432026a76b99231bf1d&amp;tk=tt_chain_token" TargetMode="External"/><Relationship Id="rId957" Type="http://schemas.openxmlformats.org/officeDocument/2006/relationships/hyperlink" Target="https://p16-sg.tiktokcdn.com/aweme/720x720/tos-alisg-v-2774/owuAwEg3PAaAAAiyi6oEtNM3YWrZBUIoGtgIA.jpeg" TargetMode="External"/><Relationship Id="rId956" Type="http://schemas.openxmlformats.org/officeDocument/2006/relationships/hyperlink" Target="https://sf16-ies-music-sg.tiktokcdn.com/obj/tos-alisg-ve-2774/ooMFRfINDB1lF4EtGTEWaVQ4qBQYFWMg9eZz3C" TargetMode="External"/><Relationship Id="rId955" Type="http://schemas.openxmlformats.org/officeDocument/2006/relationships/hyperlink" Target="https://p77-sign-va.tiktokcdn.com/tos-maliva-avt-0068/c4295bd6e74c335e5ecac643762c60ce~tplv-tiktokx-cropcenter:100:100.jpeg?dr=14579&amp;refresh_token=3138d332&amp;x-expires=1764727200&amp;x-signature=BFDbOiWByMw9vI4n9IE%2FEh9eBYQ%3D&amp;t=4d5b0474&amp;ps=13740610&amp;shp=a5d48078&amp;shcp=81f88b70&amp;idc=my" TargetMode="External"/><Relationship Id="rId950" Type="http://schemas.openxmlformats.org/officeDocument/2006/relationships/hyperlink" Target="https://p16-sign-va.tiktokcdn.com/tos-maliva-avt-0068/377405ce9a41275b9b6f008b78c94af6~tplv-tiktokx-cropcenter:100:100.jpeg?dr=14579&amp;refresh_token=e1181eb7&amp;x-expires=1764727200&amp;x-signature=eBjtaAUFkyZw6nb458rcdAEGz1A%3D&amp;t=4d5b0474&amp;ps=13740610&amp;shp=a5d48078&amp;shcp=81f88b70&amp;idc=my" TargetMode="External"/><Relationship Id="rId1540" Type="http://schemas.openxmlformats.org/officeDocument/2006/relationships/hyperlink" Target="https://www.tiktok.com/@abcdaaprendizagem/video/7260511013303356678" TargetMode="External"/><Relationship Id="rId1541" Type="http://schemas.openxmlformats.org/officeDocument/2006/relationships/hyperlink" Target="https://p16-sign-va.tiktokcdn.com/tos-maliva-avt-0068/e59283bc7cddea9e513758e2827eb4b6~tplv-tiktokx-cropcenter:100:100.jpeg?dr=14579&amp;refresh_token=f439b687&amp;x-expires=1764727200&amp;x-signature=5JIbrQEj0dDWlYVk%2BtPrt4vjDF0%3D&amp;t=4d5b0474&amp;ps=13740610&amp;shp=a5d48078&amp;shcp=81f88b70&amp;idc=my" TargetMode="External"/><Relationship Id="rId1542" Type="http://schemas.openxmlformats.org/officeDocument/2006/relationships/hyperlink" Target="https://v16-webapp-prime.tiktok.com/video/tos/useast2a/tos-useast2a-v-27dcd7/ogfXJlAkSCWEURcABCIAosPf48jQDFIDA2JBg6/?a=1988&amp;bti=ODszNWYuMDE6&amp;ch=0&amp;cr=0&amp;dr=0&amp;er=0&amp;lr=default&amp;cd=0%7C0%7C0%7C0&amp;br=250&amp;bt=125&amp;ds=5&amp;ft=GNDpcInz7ThAzKvPXq8Zmo&amp;mime_type=audio_mpeg&amp;qs=13&amp;rc=M25zNXA5cnh0bzMzNzU8M0BpM25zNXA5cnh0bzMzNzU8M0A1am82MmQ0NDJgLS1kMTZzYSM1am82MmQ0NDJgLS1kMTZzcw%3D%3D&amp;btag=e00050000&amp;expire=1764559446&amp;l=202512011021380CC83080A64AA152B5B8&amp;ply_type=3&amp;policy=3&amp;signature=bdbff55e35d2cef8f1678c5ab8941608&amp;tk=7571587458748974088" TargetMode="External"/><Relationship Id="rId590" Type="http://schemas.openxmlformats.org/officeDocument/2006/relationships/hyperlink" Target="https://www.tiktok.com/@rafaelgrattap/video/7396274967115074822" TargetMode="External"/><Relationship Id="rId107" Type="http://schemas.openxmlformats.org/officeDocument/2006/relationships/hyperlink" Target="https://p16-sign-va.tiktokcdn.com/tos-maliva-avt-0068/e7618effcb364411813cb45b790bc17d~tplv-tiktokx-cropcenter:100:100.jpeg?dr=14579&amp;refresh_token=3cdfdb61&amp;x-expires=1764727200&amp;x-signature=GJX5OiGnqD7ibOH2CiyYxfYrsLY%3D&amp;t=4d5b0474&amp;ps=13740610&amp;shp=a5d48078&amp;shcp=81f88b70&amp;idc=my" TargetMode="External"/><Relationship Id="rId106" Type="http://schemas.openxmlformats.org/officeDocument/2006/relationships/hyperlink" Target="https://www.tiktok.com/@psicoppdanisouza/video/7457228525431508229" TargetMode="External"/><Relationship Id="rId105" Type="http://schemas.openxmlformats.org/officeDocument/2006/relationships/hyperlink" Target="https://p77-sign-va.tiktokcdn.com/tos-maliva-avt-0068/2d66d5a0d6c71b0ba1ea715df939cd92~tplv-tiktokx-cropcenter:1080:1080.jpeg?dr=14579&amp;refresh_token=66a5ad53&amp;x-expires=1764727200&amp;x-signature=TylSclyNlgfPPF6XIv1O%2Biv1UAM%3D&amp;t=4d5b0474&amp;ps=13740610&amp;shp=a5d48078&amp;shcp=81f88b70&amp;idc=my" TargetMode="External"/><Relationship Id="rId589" Type="http://schemas.openxmlformats.org/officeDocument/2006/relationships/hyperlink" Target="https://v16-webapp-prime.tiktok.com/video/tos/useast2a/tos-useast2a-ve-0068c003/o0VbZNXq8ACfAvMhIfnTBfRgZXjPbS934SQgCU/?a=1988&amp;bti=ODszNWYuMDE6&amp;ch=0&amp;cr=3&amp;dr=0&amp;lr=all&amp;cd=0%7C0%7C0%7C&amp;cv=1&amp;br=3928&amp;bt=1964&amp;cs=0&amp;ds=3&amp;ft=-Csk_mrMPD12N7Dh5d-UxII2hY6e3wv252cAp&amp;mime_type=video_mp4&amp;qs=0&amp;rc=ODxpNjY7ZWhkZjNoOjdoZUBpajhzeHU5cmZndDMzNzczM0AuYi5iNTRiNTAxNS40NjAvYSNecHJjMmQ0ZGZgLS1kMTZzcw%3D%3D&amp;btag=e00088000&amp;expire=1764728520&amp;l=2025120110210247DE29902DF1415935A0&amp;ply_type=2&amp;policy=2&amp;signature=2508667d56e1506dae13c74d9b3c3120&amp;tk=tt_chain_token" TargetMode="External"/><Relationship Id="rId104" Type="http://schemas.openxmlformats.org/officeDocument/2006/relationships/hyperlink" Target="https://v16-webapp-prime.tiktok.com/video/tos/useast2a/tos-useast2a-v-27dcd7/oozAQZ4MvC4wiA4i0lB6PQUhpOS4AkjbCVsbI/?a=1988&amp;bti=ODszNWYuMDE6&amp;ch=0&amp;cr=0&amp;dr=0&amp;er=0&amp;lr=default&amp;cd=0%7C0%7C0%7C0&amp;br=250&amp;bt=125&amp;ft=GNDpcInz7ThjFKvPXq8Zmo&amp;mime_type=audio_mpeg&amp;qs=6&amp;rc=ZGhlN2U4Ojw8N2dmaTg3ZkBpM3VvZHQ5cjQ7djMzNzU8M0BhLzMuMi0zNjExMS9eYzNjYSNwLV4tMmRrcy1gLS1kMTZzcw%3D%3D&amp;btag=e00090000&amp;expire=1764559376&amp;l=2025120110215532A809179141715F3748&amp;ply_type=3&amp;policy=3&amp;signature=18b466b03418aab4f6a1455cbda25f1f&amp;tk=7571587458748974088" TargetMode="External"/><Relationship Id="rId588" Type="http://schemas.openxmlformats.org/officeDocument/2006/relationships/hyperlink" Target="https://p16-sign-va.tiktokcdn.com/tos-maliva-avt-0068/a4433909479e5c5be1a6365400a4bf02~tplv-tiktokx-cropcenter:1080:1080.jpeg?dr=14579&amp;refresh_token=b5d2d414&amp;x-expires=1764727200&amp;x-signature=CPIi4R9Qcr0OjEqsVeHq6xKotls%3D&amp;t=4d5b0474&amp;ps=13740610&amp;shp=a5d48078&amp;shcp=81f88b70&amp;idc=my" TargetMode="External"/><Relationship Id="rId109" Type="http://schemas.openxmlformats.org/officeDocument/2006/relationships/hyperlink" Target="https://p16-sign-va.tiktokcdn.com/tos-maliva-avt-0068/e7618effcb364411813cb45b790bc17d~tplv-tiktokx-cropcenter:1080:1080.jpeg?dr=14579&amp;refresh_token=39c67f35&amp;x-expires=1764727200&amp;x-signature=xlGdNQmB97OYE85UsLchwPioRO0%3D&amp;t=4d5b0474&amp;ps=13740610&amp;shp=a5d48078&amp;shcp=81f88b70&amp;idc=my" TargetMode="External"/><Relationship Id="rId1170" Type="http://schemas.openxmlformats.org/officeDocument/2006/relationships/hyperlink" Target="https://v16-webapp-prime.tiktok.com/video/tos/alisg/tos-alisg-ve-37c813-sg/oEJVAf5uwv7PVifAgFgYQw4cRxeSAif2KIdreN/?a=1988&amp;bti=ODszNWYuMDE6&amp;ch=0&amp;cr=3&amp;dr=0&amp;lr=all&amp;cd=0%7C0%7C0%7C&amp;cv=1&amp;br=1010&amp;bt=505&amp;cs=0&amp;ds=3&amp;ft=-Csk_mrMPD12NLdh5d-Uxbt2hY6e3wv25HcAp&amp;mime_type=video_mp4&amp;qs=0&amp;rc=NTk7OjszNjk2ZjozODQ0OEBpamhpb3c5cmRxNTMzNzczM0AxNjFhYDE2Xi4xYzMvLjAxYSNfc28tMmRrcG9hLS1kMTZzcw%3D%3D&amp;btag=e00090000&amp;expire=1764728486&amp;l=202512011020239FD63C9B4E4C976A9DFE&amp;ply_type=2&amp;policy=2&amp;signature=66bf286a25e82086b7864517400ef940&amp;tk=tt_chain_token" TargetMode="External"/><Relationship Id="rId108" Type="http://schemas.openxmlformats.org/officeDocument/2006/relationships/hyperlink" Target="https://v16-webapp-prime.tiktok.com/video/tos/alisg/tos-alisg-v-27dcd7/o0ILEJBpBFofxF9MgOADHgAUQnBfCx3AUIAhEH/?a=1988&amp;bti=ODszNWYuMDE6&amp;ch=0&amp;cr=0&amp;dr=0&amp;er=0&amp;lr=default&amp;cd=0%7C0%7C0%7C0&amp;br=250&amp;bt=125&amp;ds=5&amp;ft=GNDpcInz7ThizKvPXq8Zmo&amp;mime_type=audio_mpeg&amp;qs=13&amp;rc=am08dmo5cnY6NzMzODU8NEBpam08dmo5cnY6NzMzODU8NEBncTJhMmRjbF5hLS1kMS1zYSNncTJhMmRjbF5hLS1kMS1zcw%3D%3D&amp;btag=e00050000&amp;expire=1764559387&amp;l=20251201102147CB7160225F86D969BC26&amp;ply_type=3&amp;policy=3&amp;signature=af2d3cb9cccb7ea82469650a760dee9a&amp;tk=7571587458748974088" TargetMode="External"/><Relationship Id="rId1171" Type="http://schemas.openxmlformats.org/officeDocument/2006/relationships/hyperlink" Target="https://www.tiktok.com/@tdahcommaisperformance/video/7545639784086113542" TargetMode="External"/><Relationship Id="rId583" Type="http://schemas.openxmlformats.org/officeDocument/2006/relationships/hyperlink" Target="https://p77-sign-va.tiktokcdn.com/tos-maliva-avt-0068/a4433909479e5c5be1a6365400a4bf02~tplv-tiktokx-cropcenter:1080:1080.jpeg?dr=14579&amp;refresh_token=36fb0e93&amp;x-expires=1764727200&amp;x-signature=sF6JR2dkri95t4uUmPRb2rfFepA%3D&amp;t=4d5b0474&amp;ps=13740610&amp;shp=a5d48078&amp;shcp=81f88b70&amp;idc=my" TargetMode="External"/><Relationship Id="rId1172" Type="http://schemas.openxmlformats.org/officeDocument/2006/relationships/hyperlink" Target="https://p16-sign-va.tiktokcdn.com/tos-maliva-avt-0068/31a1af95d0d461681c69c12f609c2ec7~tplv-tiktokx-cropcenter:100:100.jpeg?dr=14579&amp;refresh_token=69f40315&amp;x-expires=1764727200&amp;x-signature=U9NEv5KNIO0yOrMnpN6QIQVMBaU%3D&amp;t=4d5b0474&amp;ps=13740610&amp;shp=a5d48078&amp;shcp=81f88b70&amp;idc=my" TargetMode="External"/><Relationship Id="rId582" Type="http://schemas.openxmlformats.org/officeDocument/2006/relationships/hyperlink" Target="https://v16-webapp-prime.tiktok.com/video/tos/useast2a/tos-useast2a-v-27dcd7/218454df15564e17963ce7e0d5d62c1a/?a=1988&amp;bti=ODszNWYuMDE6&amp;ch=0&amp;cr=0&amp;dr=0&amp;er=0&amp;lr=default&amp;cd=0%7C0%7C0%7C0&amp;br=250&amp;bt=125&amp;ds=5&amp;ft=GNDpcInz7ThIPKvPXq8Zmo&amp;mime_type=audio_mpeg&amp;qs=13&amp;rc=anV4OGY6ZnFsbDMzNzU8M0BpanV4OGY6ZnFsbDMzNzU8M0BkXjJmcjRfZjJgLS1kMTZzYSNkXjJmcjRfZjJgLS1kMTZzcw%3D%3D&amp;btag=e00078000&amp;expire=1764559243&amp;l=20251201102014E2CB5F4C19000C61E683&amp;ply_type=3&amp;policy=3&amp;signature=be3e54599b44539f72bd75002ff76056&amp;tk=7571587458748974088" TargetMode="External"/><Relationship Id="rId1173" Type="http://schemas.openxmlformats.org/officeDocument/2006/relationships/hyperlink" Target="https://v16-webapp-prime.tiktok.com/video/tos/useast2a/tos-useast2a-v-27dcd7/oIvSpLZUBdQ1CUSA9IDPuLClbiAAtB3iEEYAu/?a=1988&amp;bti=ODszNWYuMDE6&amp;ch=0&amp;cr=0&amp;dr=0&amp;er=0&amp;lr=default&amp;cd=0%7C0%7C0%7C0&amp;br=250&amp;bt=125&amp;ds=5&amp;ft=GNDpcInz7ThvFKvPXq8Zmo&amp;mime_type=audio_mpeg&amp;qs=13&amp;rc=M250dW85cnczdTMzNzU8M0BpM250dW85cnczdTMzNzU8M0BgZmk0MmRrajZgLS1kMTZzYSNgZmk0MmRrajZgLS1kMTZzcw%3D%3D&amp;btag=e00048000&amp;expire=1764559357&amp;l=2025120110220104295D62D2C47867A675&amp;ply_type=3&amp;policy=3&amp;signature=b5254cd5fe4f0dc36320b02cb73f0ae1&amp;tk=7571587458748974088" TargetMode="External"/><Relationship Id="rId581" Type="http://schemas.openxmlformats.org/officeDocument/2006/relationships/hyperlink" Target="https://p77-sign-va.tiktokcdn.com/tos-maliva-avt-0068/a4433909479e5c5be1a6365400a4bf02~tplv-tiktokx-cropcenter:100:100.jpeg?dr=14579&amp;refresh_token=6c76d7da&amp;x-expires=1764727200&amp;x-signature=OtTSLf3gh0Fo9KPDc5eS%2FB3XA4Y%3D&amp;t=4d5b0474&amp;ps=13740610&amp;shp=a5d48078&amp;shcp=81f88b70&amp;idc=my" TargetMode="External"/><Relationship Id="rId1174" Type="http://schemas.openxmlformats.org/officeDocument/2006/relationships/hyperlink" Target="https://p16-sign-sg.tiktokcdn.com/tos-alisg-avt-0068/fa5e1bb6d93cf0b1e1802adcdd8e7abd~tplv-tiktokx-cropcenter:1080:1080.jpeg?dr=14579&amp;refresh_token=a06679d2&amp;x-expires=1764727200&amp;x-signature=hT%2B0etm9%2Fqe7CpTxxwob1e7Yjl8%3D&amp;t=4d5b0474&amp;ps=13740610&amp;shp=a5d48078&amp;shcp=81f88b70&amp;idc=my" TargetMode="External"/><Relationship Id="rId580" Type="http://schemas.openxmlformats.org/officeDocument/2006/relationships/hyperlink" Target="https://www.tiktok.com/@veigasaymon/video/7184611982375439622" TargetMode="External"/><Relationship Id="rId1175" Type="http://schemas.openxmlformats.org/officeDocument/2006/relationships/hyperlink" Target="https://v16-webapp-prime.tiktok.com/video/tos/no1a/tos-no1a-ve-0068c001-no/ooEFZODsFCqlJZnIkRSEABLEHfFIEkQfgp10DE/?a=1988&amp;bti=ODszNWYuMDE6&amp;ch=0&amp;cr=3&amp;dr=0&amp;lr=all&amp;cd=0%7C0%7C0%7C&amp;cv=1&amp;br=2876&amp;bt=1438&amp;cs=0&amp;ds=3&amp;ft=-Csk_mrMPD12NOBh5d-Uxbt2hY6e3wv25HcAp&amp;mime_type=video_mp4&amp;qs=0&amp;rc=OGVnNDM2aTRlZTxoM2U0ZEBpM2Rud3k5cnNvNzMzbzczNUBgXy5fLTUtXzYxLWIwXjI1YSMvay0wMmRjYGdhLS1kMTFzcw%3D%3D&amp;btag=e000b8000&amp;expire=1764728536&amp;l=2025120110220104295D62D2C47867A675&amp;ply_type=2&amp;policy=2&amp;signature=db25b99f5136606c63fbd2272a322269&amp;tk=tt_chain_token" TargetMode="External"/><Relationship Id="rId103" Type="http://schemas.openxmlformats.org/officeDocument/2006/relationships/hyperlink" Target="https://p16-sign-va.tiktokcdn.com/tos-maliva-avt-0068/6a7699f36bab94940f74764045db563b~tplv-tiktokx-cropcenter:100:100.jpeg?dr=14579&amp;refresh_token=f6509692&amp;x-expires=1764727200&amp;x-signature=KAFThL20RxQajUG3zK%2FEaet8DXU%3D&amp;t=4d5b0474&amp;ps=13740610&amp;shp=a5d48078&amp;shcp=81f88b70&amp;idc=my" TargetMode="External"/><Relationship Id="rId587" Type="http://schemas.openxmlformats.org/officeDocument/2006/relationships/hyperlink" Target="https://v16-webapp-prime.tiktok.com/video/tos/useast2a/tos-useast2a-v-27dcd7/oQNLJFDUJUBbvEA27kEEyjBC2AyQPkAepmfr9C/?a=1988&amp;bti=ODszNWYuMDE6&amp;ch=0&amp;cr=0&amp;dr=0&amp;er=0&amp;lr=default&amp;cd=0%7C0%7C0%7C0&amp;br=250&amp;bt=125&amp;ds=5&amp;ft=GNDpcInz7ThHzKvPXq8Zmo&amp;mime_type=audio_mpeg&amp;qs=13&amp;rc=and1eGw5cndndDMzNzU8M0Bpand1eGw5cndndDMzNzU8M0BpMl8vMmRrZWZgLS1kMTZzYSNpMl8vMmRrZWZgLS1kMTZzcw%3D%3D&amp;btag=e00048000&amp;expire=1764559319&amp;l=2025120110210247DE29902DF1415935A0&amp;ply_type=3&amp;policy=3&amp;signature=a51542dc849b582208d275d8141dfb28&amp;tk=7571587458748974088" TargetMode="External"/><Relationship Id="rId1176" Type="http://schemas.openxmlformats.org/officeDocument/2006/relationships/hyperlink" Target="https://www.tiktok.com/@_tdah_adultes/video/7577119944698088707" TargetMode="External"/><Relationship Id="rId102" Type="http://schemas.openxmlformats.org/officeDocument/2006/relationships/hyperlink" Target="https://www.tiktok.com/@lutzpodcastdesativado/video/7158107445657668870" TargetMode="External"/><Relationship Id="rId586" Type="http://schemas.openxmlformats.org/officeDocument/2006/relationships/hyperlink" Target="https://p77-sign-va.tiktokcdn.com/tos-maliva-avt-0068/a4433909479e5c5be1a6365400a4bf02~tplv-tiktokx-cropcenter:100:100.jpeg?dr=14579&amp;refresh_token=6c76d7da&amp;x-expires=1764727200&amp;x-signature=OtTSLf3gh0Fo9KPDc5eS%2FB3XA4Y%3D&amp;t=4d5b0474&amp;ps=13740610&amp;shp=a5d48078&amp;shcp=81f88b70&amp;idc=my" TargetMode="External"/><Relationship Id="rId1177" Type="http://schemas.openxmlformats.org/officeDocument/2006/relationships/hyperlink" Target="https://p16-sign-va.tiktokcdn.com/tos-maliva-avt-0068/074c153b6aadae5cb7de5ab9ad8ea91d~tplv-tiktokx-cropcenter:100:100.jpeg?dr=14579&amp;refresh_token=2c2964bb&amp;x-expires=1764727200&amp;x-signature=aIbfuA5P2Yf9mi%2F9gdI%2BkMhYEqY%3D&amp;t=4d5b0474&amp;ps=13740610&amp;shp=a5d48078&amp;shcp=81f88b70&amp;idc=my" TargetMode="External"/><Relationship Id="rId101" Type="http://schemas.openxmlformats.org/officeDocument/2006/relationships/hyperlink" Target="https://v16-webapp-prime.tiktok.com/video/tos/maliva/tos-maliva-ve-0068c801-us/oAWpHfAIkzx5qwCptoGmAFP1ItndlQgho7UB1Q/?a=1988&amp;bti=ODszNWYuMDE6&amp;ch=0&amp;cr=3&amp;dr=0&amp;lr=all&amp;cd=0%7C0%7C0%7C&amp;cv=1&amp;br=1760&amp;bt=880&amp;cs=0&amp;ds=3&amp;ft=-Csk_mrMPD12NXdh5d-Uxe42hY6e3wv25XcAp&amp;mime_type=video_mp4&amp;qs=0&amp;rc=Njc7aTU4OWllM2dlaWk2M0Bpajo2czo6ZmhlZzMzNzczM0BhYzI0YV41NTYxNGBgYjBhYSNoX2pmcjRvNl9gLS1kMTZzcw%3D%3D&amp;btag=e00088000&amp;expire=1764728472&amp;l=202512011020161DC26370CAB01566B4BC&amp;ply_type=2&amp;policy=2&amp;signature=5b765db74a10ea79dfaaa47a8d004da1&amp;tk=tt_chain_token" TargetMode="External"/><Relationship Id="rId585" Type="http://schemas.openxmlformats.org/officeDocument/2006/relationships/hyperlink" Target="https://www.tiktok.com/@rafaelgrattap/video/7244929879337209094" TargetMode="External"/><Relationship Id="rId1178" Type="http://schemas.openxmlformats.org/officeDocument/2006/relationships/hyperlink" Target="https://v16-webapp-prime.tiktok.com/video/tos/useast2a/tos-useast2a-v-27dcd7/o41xkfAQQVMS4IpWfVJnL1ffrAIKMhAAQFeb87/?a=1988&amp;bti=ODszNWYuMDE6&amp;ch=0&amp;cr=0&amp;dr=0&amp;er=0&amp;lr=default&amp;cd=0%7C0%7C0%7C0&amp;br=250&amp;bt=125&amp;ds=5&amp;ft=GNDpcInz7ThvzKvPXq8Zmo&amp;mime_type=audio_mpeg&amp;qs=13&amp;rc=anB5a285cnQ6dDMzNzU8M0BpanB5a285cnQ6dDMzNzU8M0BwcTRgMmRrc3JgLS1kMTZzYSNwcTRgMmRrc3JgLS1kMTZzcw%3D%3D&amp;btag=e00078000&amp;expire=1764559273&amp;l=2025120110205711DA509A8B9B2F6AA181&amp;ply_type=3&amp;policy=3&amp;signature=54792657db778bc6059dc18cde4b3bcf&amp;tk=7571587458748974088" TargetMode="External"/><Relationship Id="rId100" Type="http://schemas.openxmlformats.org/officeDocument/2006/relationships/hyperlink" Target="https://p16-sign-va.tiktokcdn.com/tos-maliva-avt-0068/63f6fa7e4cb74129badf2a29bc39db27~tplv-tiktokx-cropcenter:1080:1080.jpeg?dr=14579&amp;refresh_token=51adef1d&amp;x-expires=1764727200&amp;x-signature=bSjYIi9z%2FDuwcLGdURiKxIT9xs4%3D&amp;t=4d5b0474&amp;ps=13740610&amp;shp=a5d48078&amp;shcp=81f88b70&amp;idc=my" TargetMode="External"/><Relationship Id="rId584" Type="http://schemas.openxmlformats.org/officeDocument/2006/relationships/hyperlink" Target="https://v16-webapp-prime.tiktok.com/video/tos/alisg/tos-alisg-pve-0037c001/o8PF9SA2iCoFnAHaf2jfIeYCNJ1xlgZzAcAb5J/?a=1988&amp;bti=ODszNWYuMDE6&amp;ch=0&amp;cr=3&amp;dr=0&amp;lr=all&amp;cd=0%7C0%7C0%7C&amp;cv=1&amp;br=1780&amp;bt=890&amp;cs=0&amp;ds=3&amp;ft=-Csk_mrMPD12N0dh5d-UxPO2hY6e3wv252cAp&amp;mime_type=video_mp4&amp;qs=0&amp;rc=NDZoZjxlZmU3N2dkZzxnNEBpMzZtc2U6ZmhsbDMzNzczM0BfLjRgLy4vXzQxLzVfYjRfYSM0bmcucjRvZjJgLS1kMTZzcw%3D%3D&amp;btag=e000b8000&amp;expire=1764728443&amp;l=20251201102014E2CB5F4C19000C61E683&amp;ply_type=2&amp;policy=2&amp;signature=e94ee85cb9cb44114f2b58bf09710075&amp;tk=tt_chain_token" TargetMode="External"/><Relationship Id="rId1179" Type="http://schemas.openxmlformats.org/officeDocument/2006/relationships/hyperlink" Target="https://p16-sign-va.tiktokcdn.com/tos-maliva-avt-0068/f8cd260791f9a5f69fa224046cb052f6~tplv-tiktokx-cropcenter:1080:1080.jpeg?dr=14579&amp;refresh_token=39cd0598&amp;x-expires=1764727200&amp;x-signature=ApQYti3lGXDloeSEP0CJ%2BfqSi%2BU%3D&amp;t=4d5b0474&amp;ps=13740610&amp;shp=a5d48078&amp;shcp=81f88b70&amp;idc=my" TargetMode="External"/><Relationship Id="rId1169" Type="http://schemas.openxmlformats.org/officeDocument/2006/relationships/hyperlink" Target="https://p77-sg.tiktokcdn.com/aweme/720x720/tos-alisg-v-2774/oYQjJ1AofFIJfOGZADzPpxCM5EDgFaAr9fAIcq.jpeg" TargetMode="External"/><Relationship Id="rId579" Type="http://schemas.openxmlformats.org/officeDocument/2006/relationships/hyperlink" Target="https://v16-webapp-prime.tiktok.com/video/tos/alisg/tos-alisg-pve-0037c001/o8BRAVztOe4JJENgQjDnDzbOI7zeQ5BOBJWz3R/?a=1988&amp;bti=ODszNWYuMDE6&amp;ch=0&amp;cr=3&amp;dr=0&amp;lr=all&amp;cd=0%7C0%7C0%7C&amp;cv=1&amp;br=1420&amp;bt=710&amp;cs=0&amp;ds=3&amp;ft=I~da4oKyD12Nvm1WS.IxR~kNglBF-UjNSEopiX&amp;mime_type=video_mp4&amp;qs=0&amp;rc=aGhnNmdkOWk6OWdlOWQ2M0BpanM2PDQ6ZnZnaDMzNzczM0AwXy0wYjAxNTExM2MyMF8uYSNna2xmcjRvcG5gLS1kMTZzcw%3D%3D&amp;btag=e00088000&amp;expire=1764728521&amp;l=2025120110210868B8F68F0D0B7F5CDC9D&amp;ply_type=2&amp;policy=2&amp;signature=479f3290cd4839f8b509fa61c08dba41&amp;tk=tt_chain_token" TargetMode="External"/><Relationship Id="rId578" Type="http://schemas.openxmlformats.org/officeDocument/2006/relationships/hyperlink" Target="https://p77-sign-va.tiktokcdn.com/tos-maliva-avt-0068/409b8f094a519052398ae01ba95bf160~tplv-tiktokx-cropcenter:1080:1080.jpeg?dr=14579&amp;refresh_token=6c3d4ae0&amp;x-expires=1764727200&amp;x-signature=09gcSquBQbj8uwWlYvb54jHmp5A%3D&amp;t=4d5b0474&amp;ps=13740610&amp;shp=a5d48078&amp;shcp=81f88b70&amp;idc=my" TargetMode="External"/><Relationship Id="rId577" Type="http://schemas.openxmlformats.org/officeDocument/2006/relationships/hyperlink" Target="https://v16-webapp-prime.tiktok.com/video/tos/useast2a/tos-useast2a-v-27dcd7/b3f738b66b9542f18db59a9568f3cd65/?a=1988&amp;bti=ODszNWYuMDE6&amp;ch=0&amp;cr=0&amp;dr=0&amp;er=0&amp;lr=default&amp;cd=0%7C0%7C0%7C0&amp;br=250&amp;bt=125&amp;ds=5&amp;ft=GNDpcInz7ThgzKvPXq8Zmo&amp;mime_type=audio_mpeg&amp;qs=13&amp;rc=MzNvbDw6ZjhnaDMzNzU8M0BpMzNvbDw6ZjhnaDMzNzU8M0AtcXJjcjRvcW5gLS1kMTZzYSMtcXJjcjRvcW5gLS1kMTZzcw%3D%3D&amp;btag=e00048000&amp;expire=1764559321&amp;l=2025120110210868B8F68F0D0B7F5CDC9D&amp;ply_type=3&amp;policy=3&amp;signature=e774441b397ac030278ce8096918f3b3&amp;tk=7571587458748974088" TargetMode="External"/><Relationship Id="rId1160" Type="http://schemas.openxmlformats.org/officeDocument/2006/relationships/hyperlink" Target="https://v16-webapp-prime.tiktok.com/video/tos/alisg/tos-alisg-ve-37c813-sg/oIQeRXGRAFA8riLeAieAcxoLkEWltqfMq8tlcJ/?a=1988&amp;bti=ODszNWYuMDE6&amp;ch=0&amp;cr=3&amp;dr=0&amp;lr=all&amp;cd=0%7C0%7C0%7C&amp;br=792&amp;bt=396&amp;cs=0&amp;ds=3&amp;ft=-Csk_mrMPD12NLdh5d-Uxbt2hY6e3wv25HcAp&amp;mime_type=video_mp4&amp;qs=0&amp;rc=NzY4ZmQzZDZnNGdkaWc5ZUBpM3c7ams5cmZvNTMzNzczM0AtYDMwNDRjNWIxMWE1NC4uYSNrZnAzMmRrNnNhLS1kMTZzcw%3D%3D&amp;btag=e00090000&amp;expire=1764728484&amp;l=202512011020239FD63C9B4E4C976A9DFE&amp;ply_type=2&amp;policy=2&amp;signature=ff8002425b1eacc96d025191b94fa0b2&amp;tk=tt_chain_token" TargetMode="External"/><Relationship Id="rId572" Type="http://schemas.openxmlformats.org/officeDocument/2006/relationships/hyperlink" Target="https://v16-webapp-prime.tiktok.com/video/tos/useast2a/tos-useast2a-v-27dcd7/ogLBeEGvARFCnLT3Mq65ZASogQefCGgQAAM0Ia/?a=1988&amp;bti=ODszNWYuMDE6&amp;ch=0&amp;cr=0&amp;dr=0&amp;er=0&amp;lr=default&amp;cd=0%7C0%7C0%7C0&amp;br=250&amp;bt=125&amp;ds=5&amp;ft=GNDpcInz7ThVPKvPXq8Zmo&amp;mime_type=audio_mpeg&amp;qs=13&amp;rc=M2hxO205cml0czMzNzU8M0BpM2hxO205cml0czMzNzU8M0BkYWEyMmQ0M2NgLS1kMTZzYSNkYWEyMmQ0M2NgLS1kMTZzcw%3D%3D&amp;btag=e00048000&amp;expire=1764559253&amp;l=2025120110201396469B6E0854EC6377C0&amp;ply_type=3&amp;policy=3&amp;signature=69005c057287dc86d343ebea1759e027&amp;tk=7571587458748974088" TargetMode="External"/><Relationship Id="rId1161" Type="http://schemas.openxmlformats.org/officeDocument/2006/relationships/hyperlink" Target="https://www.tiktok.com/@tdahcommaisperformance/video/7547845189474241798" TargetMode="External"/><Relationship Id="rId571" Type="http://schemas.openxmlformats.org/officeDocument/2006/relationships/hyperlink" Target="https://p16-sign-sg.tiktokcdn.com/tos-alisg-avt-0068/9832aa685b2cfe94db09e06f702f0a77~tplv-tiktokx-cropcenter:100:100.jpeg?dr=14579&amp;refresh_token=07da26e1&amp;x-expires=1764727200&amp;x-signature=Ri8nDTJDplNCkNFz41OqjVNk2dg%3D&amp;t=4d5b0474&amp;ps=13740610&amp;shp=a5d48078&amp;shcp=81f88b70&amp;idc=my" TargetMode="External"/><Relationship Id="rId1162" Type="http://schemas.openxmlformats.org/officeDocument/2006/relationships/hyperlink" Target="https://p16-sign-sg.tiktokcdn.com/tos-alisg-avt-0068/ec9b6246486ccf72944fa0fdced994fa~tplv-tiktokx-cropcenter:100:100.jpeg?dr=14579&amp;refresh_token=5ac700a5&amp;x-expires=1764727200&amp;x-signature=JwVbLmhRIOU2cbFacfDFgD7RGXE%3D&amp;t=4d5b0474&amp;ps=13740610&amp;shp=a5d48078&amp;shcp=81f88b70&amp;idc=my" TargetMode="External"/><Relationship Id="rId570" Type="http://schemas.openxmlformats.org/officeDocument/2006/relationships/hyperlink" Target="https://www.tiktok.com/@fgmedpos/video/7551398640418295052" TargetMode="External"/><Relationship Id="rId1163" Type="http://schemas.openxmlformats.org/officeDocument/2006/relationships/hyperlink" Target="https://sf16-ies-music-sg.tiktokcdn.com/obj/tos-alisg-ve-2774/oYewpfA4eFIqJBpdQGzMFDCqWIDgLaONsLDMpb" TargetMode="External"/><Relationship Id="rId1164" Type="http://schemas.openxmlformats.org/officeDocument/2006/relationships/hyperlink" Target="https://p16-sg.tiktokcdn.com/aweme/720x720/tos-alisg-v-2774/og1gEQfVzDCDWGAPAFFsBZmABttgGBucEJfTwE.jpeg" TargetMode="External"/><Relationship Id="rId576" Type="http://schemas.openxmlformats.org/officeDocument/2006/relationships/hyperlink" Target="https://p77-sign-va.tiktokcdn.com/tos-maliva-avt-0068/409b8f094a519052398ae01ba95bf160~tplv-tiktokx-cropcenter:100:100.jpeg?dr=14579&amp;refresh_token=ea4abb33&amp;x-expires=1764727200&amp;x-signature=ulGbqLOsmXwSKH0AbdTjKUZA%2Boo%3D&amp;t=4d5b0474&amp;ps=13740610&amp;shp=a5d48078&amp;shcp=81f88b70&amp;idc=my" TargetMode="External"/><Relationship Id="rId1165" Type="http://schemas.openxmlformats.org/officeDocument/2006/relationships/hyperlink" Target="https://v16-webapp-prime.tiktok.com/video/tos/alisg/tos-alisg-pve-0037c001/owfRQEhvG4s1QgDPN2BjIeAjggFrBpAzBTDUOE/?a=1988&amp;bti=ODszNWYuMDE6&amp;ch=0&amp;cr=3&amp;dr=0&amp;lr=all&amp;cd=0%7C0%7C0%7C&amp;br=2284&amp;bt=1142&amp;cs=0&amp;ds=3&amp;ft=-Csk_mrMPD12NGDh5d-UxSc2hY6e3wv25DcAp&amp;mime_type=video_mp4&amp;qs=0&amp;rc=OjdkODdoOTQ0OmloPGc0NEBpajkzcnY5cnVtNzMzODczNEAtMy8vNC1gX2ExXjEtNWIxYSNlZ2BfMmQ0ZDBhLS1kMTFzcw%3D%3D&amp;btag=e00090000&amp;expire=1764728625&amp;l=202512011021508D2E02B19879BA6D89C0&amp;ply_type=2&amp;policy=2&amp;signature=84f8c955ce768f9120acd1329d591b24&amp;tk=tt_chain_token" TargetMode="External"/><Relationship Id="rId575" Type="http://schemas.openxmlformats.org/officeDocument/2006/relationships/hyperlink" Target="https://www.tiktok.com/@claralisle/video/7376794159052541189" TargetMode="External"/><Relationship Id="rId1166" Type="http://schemas.openxmlformats.org/officeDocument/2006/relationships/hyperlink" Target="https://www.tiktok.com/@ser.atipico/video/7568083301584342280" TargetMode="External"/><Relationship Id="rId574" Type="http://schemas.openxmlformats.org/officeDocument/2006/relationships/hyperlink" Target="https://v16-webapp-prime.tiktok.com/video/tos/alisg/tos-alisg-pve-0037c001/o4DEyf6VxQ6RDDHIgZpEAJBJeBXFQQBYmhMOcB/?a=1988&amp;bti=ODszNWYuMDE6&amp;ch=0&amp;cr=3&amp;dr=0&amp;lr=all&amp;cd=0%7C0%7C0%7C&amp;cv=1&amp;br=1412&amp;bt=706&amp;cs=0&amp;ds=3&amp;ft=I~da4oKyD12Nvl.WS.IxR51NWlBF-UjNSMopiX&amp;mime_type=video_mp4&amp;qs=0&amp;rc=Ozk7aGk8aDk2OmY2ZzZlZUBpamptbW45cjV0czMzNzczM0AxYTM0Ll82Xi0xXjMtYmBhYSNwZS5nMmRjM2NgLS1kMTZzcw%3D%3D&amp;btag=e00088000&amp;expire=1764728453&amp;l=2025120110201396469B6E0854EC6377C0&amp;ply_type=2&amp;policy=2&amp;signature=b86a73f8bd69746e55b457ee4de74a68&amp;tk=tt_chain_token" TargetMode="External"/><Relationship Id="rId1167" Type="http://schemas.openxmlformats.org/officeDocument/2006/relationships/hyperlink" Target="https://p77-sign-va.tiktokcdn.com/tos-maliva-avt-0068/fa233712dfcf05abd3a56a8d8aa1b5c6~tplv-tiktokx-cropcenter:100:100.jpeg?dr=14579&amp;refresh_token=788695a1&amp;x-expires=1764727200&amp;x-signature=R%2FFpmQhjr5GAJkiXK%2BX8FcCYHlI%3D&amp;t=4d5b0474&amp;ps=13740610&amp;shp=a5d48078&amp;shcp=81f88b70&amp;idc=my" TargetMode="External"/><Relationship Id="rId573"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1168" Type="http://schemas.openxmlformats.org/officeDocument/2006/relationships/hyperlink" Target="https://sf16-ies-music-sg.tiktokcdn.com/obj/tos-alisg-ve-2774/o8GqEgu0g9vZCQ10nrYf6hFatzBRQdf3BadQDE" TargetMode="External"/><Relationship Id="rId129" Type="http://schemas.openxmlformats.org/officeDocument/2006/relationships/hyperlink" Target="https://p16-sign-va.tiktokcdn.com/tos-maliva-avt-0068/f1534bc204da122a39cdc9daf5569d52~tplv-tiktokx-cropcenter:1080:1080.jpeg?dr=14579&amp;refresh_token=131148a9&amp;x-expires=1764727200&amp;x-signature=kD7HrS2UVOIRW%2FG6X3AQzFLzw6o%3D&amp;t=4d5b0474&amp;ps=13740610&amp;shp=a5d48078&amp;shcp=81f88b70&amp;idc=my" TargetMode="External"/><Relationship Id="rId128" Type="http://schemas.openxmlformats.org/officeDocument/2006/relationships/hyperlink" Target="https://v16-webapp-prime.tiktok.com/video/tos/useast2a/tos-useast2a-v-27dcd7/9facb52535ba471cb4ab4bc71ad10931/?a=1988&amp;bti=ODszNWYuMDE6&amp;ch=0&amp;cr=0&amp;dr=0&amp;er=0&amp;lr=default&amp;cd=0%7C0%7C0%7C0&amp;br=250&amp;bt=125&amp;ds=5&amp;ft=GNDpcInz7Th8zKvPXq8Zmo&amp;mime_type=audio_mpeg&amp;qs=13&amp;rc=M246c2c6ZjlsbDMzNzU8M0BpM246c2c6ZjlsbDMzNzU8M0BhczAvcjRfZjJgLS1kMTZzYSNhczAvcjRfZjJgLS1kMTZzcw%3D%3D&amp;btag=e00058000&amp;expire=1764559428&amp;l=202512011020485614ECD0EEDB8C5FDDDB&amp;ply_type=3&amp;policy=3&amp;signature=5d704cc83395bc2f95d35424aed88f68&amp;tk=7571587458748974088" TargetMode="External"/><Relationship Id="rId127" Type="http://schemas.openxmlformats.org/officeDocument/2006/relationships/hyperlink" Target="https://p77-sign-va.tiktokcdn.com/tos-maliva-avt-0068/f1534bc204da122a39cdc9daf5569d52~tplv-tiktokx-cropcenter:100:100.jpeg?dr=14579&amp;refresh_token=368d5aa5&amp;x-expires=1764727200&amp;x-signature=Em269yYHjHaSefYME%2F6fLC4Cnsk%3D&amp;t=4d5b0474&amp;ps=13740610&amp;shp=a5d48078&amp;shcp=81f88b70&amp;idc=my" TargetMode="External"/><Relationship Id="rId126" Type="http://schemas.openxmlformats.org/officeDocument/2006/relationships/hyperlink" Target="https://www.tiktok.com/@joaohenriquedupin/video/7398674347025599749" TargetMode="External"/><Relationship Id="rId1190" Type="http://schemas.openxmlformats.org/officeDocument/2006/relationships/hyperlink" Target="https://www.tiktok.com/@olucascavalcanti/video/7274246260524174598" TargetMode="External"/><Relationship Id="rId1191" Type="http://schemas.openxmlformats.org/officeDocument/2006/relationships/hyperlink" Target="https://p77-sign-va.tiktokcdn.com/tos-maliva-avt-0068/32df75d3b89fa1e2fb023193ee39e5b7~tplv-tiktokx-cropcenter:100:100.jpeg?dr=14579&amp;refresh_token=28723b57&amp;x-expires=1764727200&amp;x-signature=fs0Y%2FzykoEXVcP%2Fvh6Mh6vGAy6U%3D&amp;t=4d5b0474&amp;ps=13740610&amp;shp=a5d48078&amp;shcp=81f88b70&amp;idc=my" TargetMode="External"/><Relationship Id="rId1192" Type="http://schemas.openxmlformats.org/officeDocument/2006/relationships/hyperlink" Target="https://v16-webapp-prime.tiktok.com/video/tos/alisg/tos-alisg-v-27dcd7/ooInkuAPfDuqUBUkw3TBaLACDFQd1QAIXgbeJS/?a=1988&amp;bti=ODszNWYuMDE6&amp;ch=0&amp;cr=0&amp;dr=0&amp;er=0&amp;lr=default&amp;cd=0%7C0%7C0%7C0&amp;br=250&amp;bt=125&amp;ds=5&amp;ft=GNDpcInz7ThpzKvPXq8Zmo&amp;mime_type=audio_mpeg&amp;qs=13&amp;rc=Mzs5NTo6ZnVkbDMzODU8NEBpMzs5NTo6ZnVkbDMzODU8NEAyX3BtcjRnNnFgLS1kMS1zYSMyX3BtcjRnNnFgLS1kMS1zcw%3D%3D&amp;btag=e00048000&amp;expire=1764559332&amp;l=2025120110213056C909F1BE127E576E48&amp;ply_type=3&amp;policy=3&amp;signature=27784f6c0f6def554a3ea8dd78d76de4&amp;tk=7571587458748974088" TargetMode="External"/><Relationship Id="rId1193" Type="http://schemas.openxmlformats.org/officeDocument/2006/relationships/hyperlink" Target="https://p16-sign-sg.tiktokcdn.com/tos-alisg-avt-0068/03f644960028713d5ef31bc8e00d4382~tplv-tiktokx-cropcenter:1080:1080.jpeg?dr=14579&amp;refresh_token=af226c6b&amp;x-expires=1764727200&amp;x-signature=1M8qNH2%2BdhLLLTglFx%2BTKm9LLrM%3D&amp;t=4d5b0474&amp;ps=13740610&amp;shp=a5d48078&amp;shcp=81f88b70&amp;idc=my" TargetMode="External"/><Relationship Id="rId121" Type="http://schemas.openxmlformats.org/officeDocument/2006/relationships/hyperlink" Target="https://www.tiktok.com/@veigasaymon/video/7467585074255367429" TargetMode="External"/><Relationship Id="rId1194" Type="http://schemas.openxmlformats.org/officeDocument/2006/relationships/hyperlink" Target="https://v16-webapp-prime.tiktok.com/video/tos/maliva/tos-maliva-ve-0068c801-us/oUoNBhmoygU81zZPAzAtX5zcfQnIkENIGCDdk8/?a=1988&amp;bti=ODszNWYuMDE6&amp;ch=0&amp;cr=3&amp;dr=0&amp;lr=all&amp;cd=0%7C0%7C0%7C&amp;cv=1&amp;br=3480&amp;bt=1740&amp;cs=0&amp;ds=3&amp;ft=-Csk_mrMPD12NgDh5d-UxgS5hY6e3wv25-cAp&amp;mime_type=video_mp4&amp;qs=0&amp;rc=ZTk3NmVlMzw6OmUzNDxpNkBpM20zamk6ZmZnbTMzNzczM0AwXjFhMGIwNmMxNF41NjRfYSNyMHFicjRnNGZgLS1kMTZzcw%3D%3D&amp;btag=e00090000&amp;expire=1764728552&amp;l=2025120110213056C909F1BE127E576E48&amp;ply_type=2&amp;policy=2&amp;signature=d4a2351a6b960049c995923ffc26e877&amp;tk=tt_chain_token" TargetMode="External"/><Relationship Id="rId120" Type="http://schemas.openxmlformats.org/officeDocument/2006/relationships/hyperlink" Target="https://v16-webapp-prime.tiktok.com/video/tos/useast2a/tos-useast2a-ve-0068c003/oIC8AQkRhLedwEGAgPIGLkewRfiGgGdhCSipFr/?a=1988&amp;bti=ODszNWYuMDE6&amp;ch=0&amp;cr=3&amp;dr=0&amp;lr=all&amp;cd=0%7C0%7C0%7C&amp;cv=1&amp;br=1368&amp;bt=684&amp;cs=0&amp;ds=3&amp;ft=-Csk_mrMPD12NSBh5d-Uxs12aY6e3wv252cAp&amp;mime_type=video_mp4&amp;qs=0&amp;rc=ODo4ZDtnZDtkaDw1aTM4ZUBpM3N3NWw5cm82eDMzNzgzM0AuLV5iX19gX18xY181Xl41YSMzLy9yMmQ0LmVgLS1kLzZzcw%3D%3D&amp;btag=e00090000&amp;expire=1764728605&amp;l=2025120110215532A809179141715F3748&amp;ply_type=2&amp;policy=2&amp;signature=221797d1322760765bdbb640da0fc8f5&amp;tk=tt_chain_token" TargetMode="External"/><Relationship Id="rId1195" Type="http://schemas.openxmlformats.org/officeDocument/2006/relationships/hyperlink" Target="https://www.tiktok.com/@cattarinalia/video/7270169135575878918" TargetMode="External"/><Relationship Id="rId1196" Type="http://schemas.openxmlformats.org/officeDocument/2006/relationships/hyperlink" Target="https://p16-sign-va.tiktokcdn.com/tos-maliva-avt-0068/0ba3a01936084552f91d998ee7010370~tplv-tiktokx-cropcenter:100:100.jpeg?dr=14579&amp;refresh_token=0a5b7a5f&amp;x-expires=1764727200&amp;x-signature=cGXITHJ9NWILPxJfPKn4qxG8m%2Fo%3D&amp;t=4d5b0474&amp;ps=13740610&amp;shp=a5d48078&amp;shcp=81f88b70&amp;idc=my" TargetMode="External"/><Relationship Id="rId1197" Type="http://schemas.openxmlformats.org/officeDocument/2006/relationships/hyperlink" Target="https://sf16-ies-music-sg.tiktokcdn.com/obj/tos-alisg-ve-2774/o0nnfQn5YBE5rQDcvbZ1ttQBaZ1A9gwrdSCqek" TargetMode="External"/><Relationship Id="rId125" Type="http://schemas.openxmlformats.org/officeDocument/2006/relationships/hyperlink" Target="https://v16-webapp-prime.tiktok.com/video/tos/useast2a/tos-useast2a-ve-0068c002/oM1eDQkBzAY3SHviiyTqjAI9CgZtvVboLIEH6u/?a=1988&amp;bti=ODszNWYuMDE6&amp;ch=0&amp;cr=3&amp;dr=0&amp;lr=all&amp;cd=0%7C0%7C0%7C&amp;cv=1&amp;br=2248&amp;bt=1124&amp;cs=0&amp;ds=3&amp;ft=-Csk_mrMPD12NXZh5d-UxPX2hY6e3wv25zcAp&amp;mime_type=video_mp4&amp;qs=0&amp;rc=Z2c8ZDtnODs4NTk3aDxlO0Bpamw5bHE5cmhvdDMzNzczM0AwNTAzNTNfXzYxNDIyNTQ2YSNucm9yMmRrcWpgLS1kMTZzcw%3D%3D&amp;btag=e000a0000&amp;expire=1764728974&amp;l=20251201102327C09081FC4B70A8ED0834&amp;ply_type=2&amp;policy=2&amp;signature=efa40b602e56d4bb4719a506f25a8b9d&amp;tk=tt_chain_token" TargetMode="External"/><Relationship Id="rId1198" Type="http://schemas.openxmlformats.org/officeDocument/2006/relationships/hyperlink" Target="https://p16-sg.tiktokcdn.com/aweme/720x720/tos-alisg-v-2774/o8EtFZBkR5n1Z8SGBkDnngAtQmBbCxeAfEAbD9.jpeg" TargetMode="External"/><Relationship Id="rId124" Type="http://schemas.openxmlformats.org/officeDocument/2006/relationships/hyperlink" Target="https://p77-sign-va.tiktokcdn.com/tos-maliva-avt-0068/7a393bdda4c8fab732f4abac8845c3c0~tplv-tiktokx-cropcenter:1080:1080.jpeg?dr=14579&amp;refresh_token=d27c4d6a&amp;x-expires=1764727200&amp;x-signature=XIYtrui9shbMDHX3lwc1Nv8lwnM%3D&amp;t=4d5b0474&amp;ps=13740610&amp;shp=a5d48078&amp;shcp=81f88b70&amp;idc=my" TargetMode="External"/><Relationship Id="rId1199" Type="http://schemas.openxmlformats.org/officeDocument/2006/relationships/hyperlink" Target="https://www.tiktok.com/@distrair.sim/video/7344407056033565957" TargetMode="External"/><Relationship Id="rId123" Type="http://schemas.openxmlformats.org/officeDocument/2006/relationships/hyperlink" Target="https://v16-webapp-prime.tiktok.com/video/tos/useast2a/tos-useast2a-v-27dcd7/o4AmAfZCDBCmFAfUHtEXVoE0rBJEKzLQwdJw9C/?a=1988&amp;bti=ODszNWYuMDE6&amp;ch=0&amp;cr=0&amp;dr=0&amp;er=0&amp;lr=default&amp;cd=0%7C0%7C0%7C0&amp;br=250&amp;bt=125&amp;ds=5&amp;ft=GNDpcInz7ThRgKvPXq8Zmo&amp;mime_type=audio_mpeg&amp;qs=13&amp;rc=anN2anI5cmtvdDMzNzU8M0BpanN2anI5cmtvdDMzNzU8M0Btal8vMmRzcmpgLS1kMTZzYSNtal8vMmRzcmpgLS1kMTZzcw%3D%3D&amp;btag=e00060000&amp;expire=1764559774&amp;l=20251201102327C09081FC4B70A8ED0834&amp;ply_type=3&amp;policy=3&amp;signature=0b7dfc8b16972c393d5f14dba7fb4ae1&amp;tk=7571587458748974088" TargetMode="External"/><Relationship Id="rId122" Type="http://schemas.openxmlformats.org/officeDocument/2006/relationships/hyperlink" Target="https://p77-sign-va.tiktokcdn.com/tos-maliva-avt-0068/7a393bdda4c8fab732f4abac8845c3c0~tplv-tiktokx-cropcenter:100:100.jpeg?dr=14579&amp;refresh_token=dca95d05&amp;x-expires=1764727200&amp;x-signature=A2WxMwHNTpLjUMm2ig7hfyV%2B0MI%3D&amp;t=4d5b0474&amp;ps=13740610&amp;shp=a5d48078&amp;shcp=81f88b70&amp;idc=my" TargetMode="External"/><Relationship Id="rId118" Type="http://schemas.openxmlformats.org/officeDocument/2006/relationships/hyperlink" Target="https://v16-webapp-prime.tiktok.com/video/tos/useast2a/tos-useast2a-v-27dcd7/o8viZAAUBViAlICiAaCEEQpWQCpmMGxpR96SS/?a=1988&amp;bti=ODszNWYuMDE6&amp;ch=0&amp;cr=0&amp;dr=0&amp;er=0&amp;lr=default&amp;cd=0%7C0%7C0%7C0&amp;br=250&amp;bt=125&amp;ds=5&amp;ft=GNDpcInz7ThjFKvPXq8Zmo&amp;mime_type=audio_mpeg&amp;qs=13&amp;rc=MzxzOHc5cjk2eDMzNzU8M0BpMzxzOHc5cjk2eDMzNzU8M0BhLl4uMmRrL2VgLS1kMTZzYSNhLl4uMmRrL2VgLS1kMTZzcw%3D%3D&amp;btag=e00050000&amp;expire=1764559405&amp;l=2025120110215532A809179141715F3748&amp;ply_type=3&amp;policy=3&amp;signature=28ad38088531507bb65e0157a9b73763&amp;tk=7571587458748974088" TargetMode="External"/><Relationship Id="rId117" Type="http://schemas.openxmlformats.org/officeDocument/2006/relationships/hyperlink" Target="https://p77-sign-va.tiktokcdn.com/tos-maliva-avt-0068/409b8f094a519052398ae01ba95bf160~tplv-tiktokx-cropcenter:100:100.jpeg?dr=14579&amp;refresh_token=ea4abb33&amp;x-expires=1764727200&amp;x-signature=ulGbqLOsmXwSKH0AbdTjKUZA%2Boo%3D&amp;t=4d5b0474&amp;ps=13740610&amp;shp=a5d48078&amp;shcp=81f88b70&amp;idc=my" TargetMode="External"/><Relationship Id="rId116" Type="http://schemas.openxmlformats.org/officeDocument/2006/relationships/hyperlink" Target="https://www.tiktok.com/@ismaeldeoliveira.neuro/video/7566824135070993671" TargetMode="External"/><Relationship Id="rId115" Type="http://schemas.openxmlformats.org/officeDocument/2006/relationships/hyperlink" Target="https://v16-webapp-prime.tiktok.com/video/tos/alisg/tos-alisg-pve-0037c001/oEiI3wEC6oBYTnBnAwfai9AqQEI8pMGvAWg0wC/?a=1988&amp;bti=ODszNWYuMDE6&amp;ch=0&amp;cr=3&amp;dr=0&amp;lr=all&amp;cd=0%7C0%7C0%7C&amp;cv=1&amp;br=2750&amp;bt=1375&amp;cs=0&amp;ds=3&amp;ft=-Csk_mrMPD12NNBh5d-UxIS5hY6e3wv25ocAp&amp;mime_type=video_mp4&amp;qs=0&amp;rc=OzxoOTtlNzY4aGdpNTU7OUBpM3Z4cHQ5cnFmNzMzODczNEA2MWFjYC5hXi0xMDRfLzZiYSNhYzNyMmRzMS5hLS1kMTFzcw%3D%3D&amp;btag=e00090000&amp;expire=1764728587&amp;l=20251201102153319CD8E1EA373154CB8C&amp;ply_type=2&amp;policy=2&amp;signature=1fd8ababe16acfb4ce4fd5592cf9356f&amp;tk=tt_chain_token" TargetMode="External"/><Relationship Id="rId599" Type="http://schemas.openxmlformats.org/officeDocument/2006/relationships/hyperlink" Target="https://v16-webapp-prime.tiktok.com/video/tos/useast2a/tos-useast2a-pve-0068/ogfnaApABQBEnZQnlFDfJlEx2IKpPiRQoFcErM/?a=1988&amp;bti=ODszNWYuMDE6&amp;ch=0&amp;cr=3&amp;dr=0&amp;lr=all&amp;cd=0%7C0%7C0%7C&amp;cv=1&amp;br=2046&amp;bt=1023&amp;cs=0&amp;ds=3&amp;ft=-Csk_mrMPD12Nqdh5d-UxgS5hY6e3wv25icAp&amp;mime_type=video_mp4&amp;qs=0&amp;rc=Ozk5NWY2Ojw2ZWU8ZzhpN0BpM3loc2w5cnQ7cTMzNzczM0AxMi1fYTU1NmExLjItYzM0YSNibWZtMmRjaGFgLS1kMTZzcw%3D%3D&amp;btag=e00090000&amp;expire=1764728529&amp;l=2025120110204563AE4C62401D615C8166&amp;ply_type=2&amp;policy=2&amp;signature=93824f0326b1fb521e24de50c5eeaaec&amp;tk=tt_chain_token" TargetMode="External"/><Relationship Id="rId1180" Type="http://schemas.openxmlformats.org/officeDocument/2006/relationships/hyperlink" Target="https://www.tiktok.com/@mariliadamasceno/video/7408563715177549061" TargetMode="External"/><Relationship Id="rId1181" Type="http://schemas.openxmlformats.org/officeDocument/2006/relationships/hyperlink" Target="https://p16-sign-sg.tiktokcdn.com/tos-alisg-avt-0068/9832aa685b2cfe94db09e06f702f0a77~tplv-tiktokx-cropcenter:100:100.jpeg?dr=14579&amp;refresh_token=07da26e1&amp;x-expires=1764727200&amp;x-signature=Ri8nDTJDplNCkNFz41OqjVNk2dg%3D&amp;t=4d5b0474&amp;ps=13740610&amp;shp=a5d48078&amp;shcp=81f88b70&amp;idc=my" TargetMode="External"/><Relationship Id="rId119" Type="http://schemas.openxmlformats.org/officeDocument/2006/relationships/hyperlink" Target="https://p77-sign-va.tiktokcdn.com/tos-maliva-avt-0068/409b8f094a519052398ae01ba95bf160~tplv-tiktokx-cropcenter:1080:1080.jpeg?dr=14579&amp;refresh_token=6c3d4ae0&amp;x-expires=1764727200&amp;x-signature=09gcSquBQbj8uwWlYvb54jHmp5A%3D&amp;t=4d5b0474&amp;ps=13740610&amp;shp=a5d48078&amp;shcp=81f88b70&amp;idc=my" TargetMode="External"/><Relationship Id="rId1182" Type="http://schemas.openxmlformats.org/officeDocument/2006/relationships/hyperlink" Target="https://v16-webapp-prime.tiktok.com/video/tos/useast2a/tos-useast2a-v-27dcd7/o4D00AFSZC9PZU30AVldiYBEAABivmorzkQtE/?a=1988&amp;bti=ODszNWYuMDE6&amp;ch=0&amp;cr=0&amp;dr=0&amp;er=0&amp;lr=default&amp;cd=0%7C0%7C0%7C0&amp;br=250&amp;bt=125&amp;ds=5&amp;ft=GNDpcInz7ThGPKvPXq8Zmo&amp;mime_type=audio_mpeg&amp;qs=13&amp;rc=M3dpbW45cm9wczMzNzU8M0BpM3dpbW45cm9wczMzNzU8M0BobmxvMmRrNWlgLS1kMTZzYSNobmxvMmRrNWlgLS1kMTZzcw%3D%3D&amp;btag=e00050000&amp;expire=1764559346&amp;l=202512011020239FD63C9B4E4C976A9E36&amp;ply_type=3&amp;policy=3&amp;signature=161820e3df3d43609e40a96e9e248084&amp;tk=7571587458748974088" TargetMode="External"/><Relationship Id="rId110" Type="http://schemas.openxmlformats.org/officeDocument/2006/relationships/hyperlink" Target="https://v16-webapp-prime.tiktok.com/video/tos/alisg/tos-alisg-pve-0037c001/ocsC0iXBwqLA84kifq0IAQA3I1UCIiEyjnAA1q/?a=1988&amp;bti=ODszNWYuMDE6&amp;ch=0&amp;cr=3&amp;dr=0&amp;lr=all&amp;cd=0%7C0%7C0%7C&amp;cv=1&amp;br=2404&amp;bt=1202&amp;cs=0&amp;ds=3&amp;ft=-Csk_mrMPD12N3Dh5d-UxIS5hY6e3wv25ocAp&amp;mime_type=video_mp4&amp;qs=0&amp;rc=OTgzZ2VoZGc5PDo7ZDlmZEBpamRsanE5cm06NzMzODczNEAwNS4wNi81NV4xY2IzYC0xYSNfNmtuMmRzbF5hLS1kMTFzcw%3D%3D&amp;btag=e00090000&amp;expire=1764728587&amp;l=20251201102147CB7160225F86D969BC26&amp;ply_type=2&amp;policy=2&amp;signature=f3a28a24585d46334420be99c8b78ec5&amp;tk=tt_chain_token" TargetMode="External"/><Relationship Id="rId594" Type="http://schemas.openxmlformats.org/officeDocument/2006/relationships/hyperlink" Target="https://v16-webapp-prime.tiktok.com/video/tos/useast2a/tos-useast2a-ve-0068c003/oE9C5WiQsIBAz1QAjOuof8iN0CE4IiCgkGuVsA/?a=1988&amp;bti=ODszNWYuMDE6&amp;ch=0&amp;cr=3&amp;dr=0&amp;lr=all&amp;cd=0%7C0%7C0%7C&amp;cv=1&amp;br=844&amp;bt=422&amp;cs=0&amp;ds=3&amp;ft=-Csk_mrMPD12Nudh5d-Uxs12aY6e3wv252cAp&amp;mime_type=video_mp4&amp;qs=0&amp;rc=N2RoZDVpNjg2NDM1Ojw3aUBpM2ZleW85cnNlNTMzNzczM0AzYjEwNV8zNWAxYzMuMjVeYSM0Zy0zMmRzMC5hLS1kMTZzcw%3D%3D&amp;btag=e00090000&amp;expire=1764728537&amp;l=202512011020068133AB7BCB086C5F4CDC&amp;ply_type=2&amp;policy=2&amp;signature=0e637f492c8586d49bf0ac1197e38e87&amp;tk=tt_chain_token" TargetMode="External"/><Relationship Id="rId1183"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59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1184" Type="http://schemas.openxmlformats.org/officeDocument/2006/relationships/hyperlink" Target="https://v16-webapp-prime.tiktok.com/video/tos/alisg/tos-alisg-pve-0037c001/oAx1CZiEl4O2IrAE5QiUBOSdOQmtEsVWiBVTv/?a=1988&amp;bti=ODszNWYuMDE6&amp;ch=0&amp;cr=3&amp;dr=0&amp;lr=all&amp;cd=0%7C0%7C0%7C&amp;cv=1&amp;br=1878&amp;bt=939&amp;cs=0&amp;ds=3&amp;ft=I~da4oKyD12Nvz.WS.IxRjkNWlBF-UjNSRopiX&amp;mime_type=video_mp4&amp;qs=0&amp;rc=Z2k7aDZkZjM7ODk0aGVlaUBpM2tpa3A5cnJwczMzNzczM0AvL14tLzBfX2AxX18zM2E0YSM0Xy9eMmRrMmlgLS1kMTZzcw%3D%3D&amp;btag=e00090000&amp;expire=1764728546&amp;l=202512011020239FD63C9B4E4C976A9E36&amp;ply_type=2&amp;policy=2&amp;signature=9bce6de9a1a1b0beb77db7f3af20ef56&amp;tk=tt_chain_token" TargetMode="External"/><Relationship Id="rId592" Type="http://schemas.openxmlformats.org/officeDocument/2006/relationships/hyperlink" Target="https://v16-webapp-prime.tiktok.com/video/tos/useast2a/tos-useast2a-v-27dcd7/oMYZdAHMR0C6lNkFCdLIgXGBoBETeQexgTe3SW/?a=1988&amp;bti=ODszNWYuMDE6&amp;ch=0&amp;cr=0&amp;dr=0&amp;er=0&amp;lr=default&amp;cd=0%7C0%7C0%7C0&amp;br=250&amp;bt=125&amp;ft=GNDpcInz7ThoPKvPXq8Zmo&amp;mime_type=audio_mpeg&amp;qs=6&amp;rc=Z2U0ZzY3ZjU5Nzw2Mzo6O0Bpam03Z3E5cnJlNTMzNzU8M0AvYjMxMGM2Ni4xNTU2LS8vYSM2b2VeMmQ0Mi5hLS1kMTZzcw%3D%3D&amp;btag=e00090000&amp;expire=1764559337&amp;l=202512011020068133AB7BCB086C5F4CDC&amp;ply_type=3&amp;policy=3&amp;signature=f2fef5a2b2ea077f8494b51b85c71d9d&amp;tk=7571587458748974088" TargetMode="External"/><Relationship Id="rId1185" Type="http://schemas.openxmlformats.org/officeDocument/2006/relationships/hyperlink" Target="https://www.tiktok.com/@claralisle/video/7380102671203880197" TargetMode="External"/><Relationship Id="rId59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1186" Type="http://schemas.openxmlformats.org/officeDocument/2006/relationships/hyperlink" Target="https://p77-sign-va.tiktokcdn.com/tos-maliva-avt-0068/d9d6fd23fb9944744ec98c9a6f9ca6f4~tplv-tiktokx-cropcenter:100:100.jpeg?dr=14579&amp;refresh_token=8f8bbf9c&amp;x-expires=1764727200&amp;x-signature=%2FEoyCmUdQcnk21R9ksp0D7PFOZg%3D&amp;t=4d5b0474&amp;ps=13740610&amp;shp=a5d48078&amp;shcp=81f88b70&amp;idc=my" TargetMode="External"/><Relationship Id="rId114" Type="http://schemas.openxmlformats.org/officeDocument/2006/relationships/hyperlink" Target="https://p77-sign-va.tiktokcdn.com/tos-maliva-avt-0068/e7618effcb364411813cb45b790bc17d~tplv-tiktokx-cropcenter:1080:1080.jpeg?dr=14579&amp;refresh_token=1e0fcc8d&amp;x-expires=1764727200&amp;x-signature=f5vguwuDPxsjJujUByuOMWr8LjY%3D&amp;t=4d5b0474&amp;ps=13740610&amp;shp=a5d48078&amp;shcp=81f88b70&amp;idc=my" TargetMode="External"/><Relationship Id="rId598"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187" Type="http://schemas.openxmlformats.org/officeDocument/2006/relationships/hyperlink" Target="https://v16-webapp-prime.tiktok.com/video/tos/useast2a/tos-useast2a-v-27dcd7/ogAHo1gSnIHP4mTBCZeAJeJ8LBb4kABIDtQkU8/?a=1988&amp;bti=ODszNWYuMDE6&amp;ch=0&amp;cr=0&amp;dr=0&amp;er=0&amp;lr=default&amp;cd=0%7C0%7C0%7C0&amp;br=250&amp;bt=125&amp;ds=5&amp;ft=GNDpcInz7ThGPKvPXq8Zmo&amp;mime_type=audio_mpeg&amp;qs=13&amp;rc=Mzhobjw6ZnlvbTMzNzU8M0BpMzhobjw6ZnlvbTMzNzU8M0BybWRocjQwLW1gLS1kMTZzYSNybWRocjQwLW1gLS1kMTZzcw%3D%3D&amp;btag=e00050000&amp;expire=1764559307&amp;l=202512011020239FD63C9B4E4C976A9E36&amp;ply_type=3&amp;policy=3&amp;signature=08948e6786497a6704743b6d7cdc2d20&amp;tk=7571587458748974088" TargetMode="External"/><Relationship Id="rId113" Type="http://schemas.openxmlformats.org/officeDocument/2006/relationships/hyperlink" Target="https://v16-webapp-prime.tiktok.com/video/tos/alisg/tos-alisg-v-27dcd7/oUcoHAFB1EDrffAET5AAfnEISCE9TuMDgAnYwC/?a=1988&amp;bti=ODszNWYuMDE6&amp;ch=0&amp;cr=0&amp;dr=0&amp;er=0&amp;lr=default&amp;cd=0%7C0%7C0%7C0&amp;br=250&amp;bt=125&amp;ds=5&amp;ft=GNDpcInz7ThhFKvPXq8Zmo&amp;mime_type=audio_mpeg&amp;qs=13&amp;rc=am9qPHk5cnlmNzMzODU8NEBpam9qPHk5cnlmNzMzODU8NEBwY20xMmRzMS5hLS1kMS1zYSNwY20xMmRzMS5hLS1kMS1zcw%3D%3D&amp;btag=e00050000&amp;expire=1764559387&amp;l=20251201102153319CD8E1EA373154CB8C&amp;ply_type=3&amp;policy=3&amp;signature=ec08c10a1575342503d0ec32ae352f19&amp;tk=7571587458748974088" TargetMode="External"/><Relationship Id="rId597" Type="http://schemas.openxmlformats.org/officeDocument/2006/relationships/hyperlink" Target="https://v16-webapp-prime.tiktok.com/video/tos/useast2a/tos-useast2a-v-27dcd7/ogA04lefJlEiDJBZBxDaArFoAuI2QC4EWWiAEU/?a=1988&amp;bti=ODszNWYuMDE6&amp;ch=0&amp;cr=0&amp;dr=0&amp;er=0&amp;lr=default&amp;cd=0%7C0%7C0%7C0&amp;br=250&amp;bt=125&amp;ds=5&amp;ft=GNDpcInz7ThkPKvPXq8Zmo&amp;mime_type=audio_mpeg&amp;qs=13&amp;rc=M3Q1cXY5cnM7cTMzNzU8M0BpM3Q1cXY5cnM7cTMzNzU8M0BjLTAyMmRjaWFgLS1kMTZzYSNjLTAyMmRjaWFgLS1kMTZzcw%3D%3D&amp;btag=e00050000&amp;expire=1764559330&amp;l=2025120110204563AE4C62401D615C8166&amp;ply_type=3&amp;policy=3&amp;signature=a7d0de2ba4b15477c46cf7277fc34190&amp;tk=7571587458748974088" TargetMode="External"/><Relationship Id="rId1188" Type="http://schemas.openxmlformats.org/officeDocument/2006/relationships/hyperlink" Target="https://p77-sign-va.tiktokcdn.com/tos-maliva-avt-0068/d9d6fd23fb9944744ec98c9a6f9ca6f4~tplv-tiktokx-cropcenter:1080:1080.jpeg?dr=14579&amp;refresh_token=5f055006&amp;x-expires=1764727200&amp;x-signature=0Kg%2FaIvmenuUHEa5f2cQLFJBOqE%3D&amp;t=4d5b0474&amp;ps=13740610&amp;shp=a5d48078&amp;shcp=81f88b70&amp;idc=my" TargetMode="External"/><Relationship Id="rId112" Type="http://schemas.openxmlformats.org/officeDocument/2006/relationships/hyperlink" Target="https://p16-sign-va.tiktokcdn.com/tos-maliva-avt-0068/e7618effcb364411813cb45b790bc17d~tplv-tiktokx-cropcenter:100:100.jpeg?dr=14579&amp;refresh_token=3cdfdb61&amp;x-expires=1764727200&amp;x-signature=GJX5OiGnqD7ibOH2CiyYxfYrsLY%3D&amp;t=4d5b0474&amp;ps=13740610&amp;shp=a5d48078&amp;shcp=81f88b70&amp;idc=my" TargetMode="External"/><Relationship Id="rId596"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189" Type="http://schemas.openxmlformats.org/officeDocument/2006/relationships/hyperlink" Target="https://v16-webapp-prime.tiktok.com/video/tos/alisg/tos-alisg-pve-0037c001/ogeAgSAvCPA1QcTygq57CjJAiIfgMCG5RL2fGH/?a=1988&amp;bti=ODszNWYuMDE6&amp;ch=0&amp;cr=3&amp;dr=0&amp;lr=all&amp;cd=0%7C0%7C0%7C&amp;cv=1&amp;br=914&amp;bt=457&amp;cs=0&amp;ds=3&amp;ft=I~da4oKyD12Nvz.WS.IxRjkNWlBF-UjNSRopiX&amp;mime_type=video_mp4&amp;qs=0&amp;rc=NTppNGVpNmdoZzw5aGg4NkBpM204eGk6ZjNvbTMzNzczM0AtXmFjYTUtNWExMWEyNTNeYSMtc3BicjRfLW1gLS1kMTZzcw%3D%3D&amp;btag=e00090000&amp;expire=1764728507&amp;l=202512011020239FD63C9B4E4C976A9E36&amp;ply_type=2&amp;policy=2&amp;signature=c8875a781d254381593747a93968143b&amp;tk=tt_chain_token" TargetMode="External"/><Relationship Id="rId111" Type="http://schemas.openxmlformats.org/officeDocument/2006/relationships/hyperlink" Target="https://www.tiktok.com/@ismaeldeoliveira.neuro/video/7571813648218475783" TargetMode="External"/><Relationship Id="rId595" Type="http://schemas.openxmlformats.org/officeDocument/2006/relationships/hyperlink" Target="https://www.tiktok.com/@liberdade.mentall/video/7530778160170814725" TargetMode="External"/><Relationship Id="rId1136" Type="http://schemas.openxmlformats.org/officeDocument/2006/relationships/hyperlink" Target="https://www.tiktok.com/@tdah132/video/7573093084368555271" TargetMode="External"/><Relationship Id="rId1137" Type="http://schemas.openxmlformats.org/officeDocument/2006/relationships/hyperlink" Target="https://p16-sign-sg.tiktokcdn.com/tos-alisg-avt-0068/9de3b6c06f63b981075b8b85a34f31bc~tplv-tiktokx-cropcenter:100:100.jpeg?dr=14579&amp;refresh_token=1117652a&amp;x-expires=1764727200&amp;x-signature=27N2ihpqdvgqBKPc7ducQPpjKVk%3D&amp;t=4d5b0474&amp;ps=13740610&amp;shp=a5d48078&amp;shcp=81f88b70&amp;idc=my" TargetMode="External"/><Relationship Id="rId1138" Type="http://schemas.openxmlformats.org/officeDocument/2006/relationships/hyperlink" Target="https://v16-webapp-prime.tiktok.com/video/tos/alisg/tos-alisg-v-27dcd7/oQCISfEXQKVQAglFwXPGeG8m1zJLAAfAAemkQO/?a=1988&amp;bti=ODszNWYuMDE6&amp;ch=0&amp;cr=0&amp;dr=0&amp;er=0&amp;lr=default&amp;cd=0%7C0%7C0%7C0&amp;br=250&amp;bt=125&amp;ds=5&amp;ft=GNDpcInz7ThvzKvPXq8Zmo&amp;mime_type=audio_mpeg&amp;qs=13&amp;rc=amZsO285cmh5NzMzODU8NEBpamZsO285cmh5NzMzODU8NEA0L3A2MmRjcWZhLS1kMS1zYSM0L3A2MmRjcWZhLS1kMS1zcw%3D%3D&amp;btag=e00048000&amp;expire=1764559305&amp;l=2025120110205711DA509A8B9B2F6AA181&amp;ply_type=3&amp;policy=3&amp;signature=72c6c16ac95d3da7bc7315798861df0f&amp;tk=7571587458748974088" TargetMode="External"/><Relationship Id="rId1139" Type="http://schemas.openxmlformats.org/officeDocument/2006/relationships/hyperlink" Target="https://p16-sign-sg.tiktokcdn.com/tos-alisg-avt-0068/9de3b6c06f63b981075b8b85a34f31bc~tplv-tiktokx-cropcenter:1080:1080.jpeg?dr=14579&amp;refresh_token=6ba82b50&amp;x-expires=1764727200&amp;x-signature=xd4Dfu2j7EVAVe%2FuLbY6G4JHSvE%3D&amp;t=4d5b0474&amp;ps=13740610&amp;shp=a5d48078&amp;shcp=81f88b70&amp;idc=my" TargetMode="External"/><Relationship Id="rId547" Type="http://schemas.openxmlformats.org/officeDocument/2006/relationships/hyperlink" Target="https://sf16-ies-music-sg.tiktokcdn.com/obj/tos-alisg-ve-2774/oErrDXbngQMpzJGa68eSz7VfvC2FCDmYedLzoA" TargetMode="External"/><Relationship Id="rId546" Type="http://schemas.openxmlformats.org/officeDocument/2006/relationships/hyperlink" Target="https://p77-sign-va.tiktokcdn.com/tos-maliva-avt-0068/ebc42eb348fcf29a09bcbf1c40faef80~tplv-tiktokx-cropcenter:100:100.jpeg?dr=14579&amp;refresh_token=caf3553d&amp;x-expires=1764727200&amp;x-signature=kuXKVitFmIMlqcy74SEn%2BHk6AyQ%3D&amp;t=4d5b0474&amp;ps=13740610&amp;shp=a5d48078&amp;shcp=81f88b70&amp;idc=my" TargetMode="External"/><Relationship Id="rId545" Type="http://schemas.openxmlformats.org/officeDocument/2006/relationships/hyperlink" Target="https://www.tiktok.com/@raiz.da.conscincia/video/7558980068215721227" TargetMode="External"/><Relationship Id="rId544" Type="http://schemas.openxmlformats.org/officeDocument/2006/relationships/hyperlink" Target="https://v16-webapp-prime.tiktok.com/video/tos/useast2a/tos-useast2a-ve-0068c004/o04ED6Ze3NejLFAjQeMoGyeGAI8RkRghtnmmI0/?a=1988&amp;bti=ODszNWYuMDE6&amp;ch=0&amp;cr=3&amp;dr=0&amp;lr=all&amp;cd=0%7C0%7C0%7C&amp;cv=1&amp;br=1180&amp;bt=590&amp;cs=0&amp;ds=3&amp;ft=-Csk_mrMPD12NTDh5d-UxHX2hY6e3wv25McAp&amp;mime_type=video_mp4&amp;qs=0&amp;rc=OjxnOjQ6aGlmOjY2ZDo7OEBpM2k6cHI5cm1oNjMzNzczM0BjYS9gXmBhXjQxXmNiYzYwYSNecTBxMmQ0NGdhLS1kMTZzcw%3D%3D&amp;btag=e000b8000&amp;expire=1764728477&amp;l=20251201102050B730D50024D84153D9E5&amp;ply_type=2&amp;policy=2&amp;signature=f06083b6014c5ce1fd31eb07029a1901&amp;tk=tt_chain_token" TargetMode="External"/><Relationship Id="rId549" Type="http://schemas.openxmlformats.org/officeDocument/2006/relationships/hyperlink" Target="https://v16-webapp-prime.tiktok.com/video/tos/alisg/tos-alisg-pve-0037c001/okDnQGREQBAb6Ie6gjhQxuJuJBeVbi9nSdQp1C/?a=1988&amp;bti=ODszNWYuMDE6&amp;ch=0&amp;cr=3&amp;dr=0&amp;lr=all&amp;cd=0%7C0%7C0%7C&amp;cv=1&amp;br=1466&amp;bt=733&amp;cs=0&amp;ds=3&amp;ft=I~da4oKyD12NvO3WS.IxR3TNWlBF-UjNS3opiX&amp;mime_type=video_mp4&amp;qs=0&amp;rc=PDs1Zzs7N2c3aTU4PDY5Z0Bpamc0aDQ6ZnRsaTMzNzczM0A2MTRgLjQ1XjMxY2JhNTM2YSNvYjIvcjRfXm5gLS1kMTZzcw%3D%3D&amp;btag=e00088000&amp;expire=1764728779&amp;l=202512011025477241245B5AF7596AC68C&amp;ply_type=2&amp;policy=2&amp;signature=a215f35d3987b099294dc3d7ffa3a2dc&amp;tk=tt_chain_token" TargetMode="External"/><Relationship Id="rId548" Type="http://schemas.openxmlformats.org/officeDocument/2006/relationships/hyperlink" Target="https://p77-sg.tiktokcdn.com/aweme/720x720/tos-alisg-v-2774/0c6f9b5b9dbe4ce79434e9b5f3aa6e97.jpeg" TargetMode="External"/><Relationship Id="rId1130" Type="http://schemas.openxmlformats.org/officeDocument/2006/relationships/hyperlink" Target="https://p16-sign-va.tiktokcdn.com/tos-maliva-avt-0068/ff6e3eda5e04d647bbc778c2ac26b3f4~tplv-tiktokx-cropcenter:1080:1080.jpeg?dr=14579&amp;refresh_token=104366fa&amp;x-expires=1764727200&amp;x-signature=r8lvJMWIef0OGe6iWxDjssCl6zI%3D&amp;t=4d5b0474&amp;ps=13740610&amp;shp=a5d48078&amp;shcp=81f88b70&amp;idc=my" TargetMode="External"/><Relationship Id="rId1131" Type="http://schemas.openxmlformats.org/officeDocument/2006/relationships/hyperlink" Target="https://www.tiktok.com/@neuropsirenataramos/video/7456935658557426950" TargetMode="External"/><Relationship Id="rId543" Type="http://schemas.openxmlformats.org/officeDocument/2006/relationships/hyperlink" Target="https://p77-sg.tiktokcdn.com/aweme/720x720/tos-alisg-v-2774/oopyANSAidTiBCNB9wLExFqAsqmLBAAwWfvE2o.jpeg" TargetMode="External"/><Relationship Id="rId1132" Type="http://schemas.openxmlformats.org/officeDocument/2006/relationships/hyperlink" Target="https://p16-sign-sg.tiktokcdn.com/tos-alisg-avt-0068/9de3b6c06f63b981075b8b85a34f31bc~tplv-tiktokx-cropcenter:100:100.jpeg?dr=14579&amp;refresh_token=1117652a&amp;x-expires=1764727200&amp;x-signature=27N2ihpqdvgqBKPc7ducQPpjKVk%3D&amp;t=4d5b0474&amp;ps=13740610&amp;shp=a5d48078&amp;shcp=81f88b70&amp;idc=my" TargetMode="External"/><Relationship Id="rId542" Type="http://schemas.openxmlformats.org/officeDocument/2006/relationships/hyperlink" Target="https://sf16-ies-music-sg.tiktokcdn.com/obj/tos-alisg-ve-2774/o8Q9CnotfBUqZgZKv3YCCFEBXiDrZQdwdf6S6Q" TargetMode="External"/><Relationship Id="rId1133" Type="http://schemas.openxmlformats.org/officeDocument/2006/relationships/hyperlink" Target="https://v16-webapp-prime.tiktok.com/video/tos/alisg/tos-alisg-v-27dcd7/o8iEEnEZ6APbAwBTAwf6icBoAQE1BAMJAIj0CK/?a=1988&amp;bti=ODszNWYuMDE6&amp;ch=0&amp;cr=0&amp;dr=0&amp;er=0&amp;lr=default&amp;cd=0%7C0%7C0%7C0&amp;br=250&amp;bt=125&amp;ds=5&amp;ft=GNDpcInz7ThezKvPXq8Zmo&amp;mime_type=audio_mpeg&amp;qs=13&amp;rc=M29rOXQ5cjdqNzMzODU8NEBpM29rOXQ5cjdqNzMzODU8NEBxNGxiMmRzZGBhLS1kMS1zYSNxNGxiMmRzZGBhLS1kMS1zcw%3D%3D&amp;btag=e00050000&amp;expire=1764559362&amp;l=202512011021342A4EB9620CED315EA2E7&amp;ply_type=3&amp;policy=3&amp;signature=7d59eed61b2bb551669e835d360382a3&amp;tk=7571587458748974088" TargetMode="External"/><Relationship Id="rId541" Type="http://schemas.openxmlformats.org/officeDocument/2006/relationships/hyperlink" Target="https://p16-sign-va.tiktokcdn.com/tos-maliva-avt-0068/e695bdda47f1c7179037a6de28e0c63a~tplv-tiktokx-cropcenter:100:100.jpeg?dr=14579&amp;refresh_token=aeccb072&amp;x-expires=1764727200&amp;x-signature=PSivAl8OvzEwjHFA%2BnyZSR3cbLE%3D&amp;t=4d5b0474&amp;ps=13740610&amp;shp=a5d48078&amp;shcp=81f88b70&amp;idc=my" TargetMode="External"/><Relationship Id="rId1134" Type="http://schemas.openxmlformats.org/officeDocument/2006/relationships/hyperlink" Target="https://p16-sign-sg.tiktokcdn.com/tos-alisg-avt-0068/9de3b6c06f63b981075b8b85a34f31bc~tplv-tiktokx-cropcenter:1080:1080.jpeg?dr=14579&amp;refresh_token=6ba82b50&amp;x-expires=1764727200&amp;x-signature=xd4Dfu2j7EVAVe%2FuLbY6G4JHSvE%3D&amp;t=4d5b0474&amp;ps=13740610&amp;shp=a5d48078&amp;shcp=81f88b70&amp;idc=my" TargetMode="External"/><Relationship Id="rId540" Type="http://schemas.openxmlformats.org/officeDocument/2006/relationships/hyperlink" Target="https://www.tiktok.com/@tatiananolasco_/video/7559628020055641400" TargetMode="External"/><Relationship Id="rId1135" Type="http://schemas.openxmlformats.org/officeDocument/2006/relationships/hyperlink" Target="https://v16-webapp-prime.tiktok.com/video/tos/alisg/tos-alisg-pve-0037c001/okkEgBGIrFtCBxpQzFQLEVEDZDeBfzAxRQBgAc/?a=1988&amp;bti=ODszNWYuMDE6&amp;ch=0&amp;cr=3&amp;dr=0&amp;lr=all&amp;cd=0%7C0%7C0%7C&amp;br=892&amp;bt=446&amp;cs=0&amp;ds=3&amp;ft=-Csk_mrMPD12N6Dh5d-Uxq42hY6e3wv25IcAp&amp;mime_type=video_mp4&amp;qs=0&amp;rc=Njs3PGRkN2Q1ZjQ0PGU6M0BpM2twdng5cjVqNzMzODczNEAvNC4tNjI2XjIxLTJjMGJiYSM1NmxpMmRzZGBhLS1kMWBzcw%3D%3D&amp;btag=e00090000&amp;expire=1764728563&amp;l=202512011021342A4EB9620CED315EA2E7&amp;ply_type=2&amp;policy=2&amp;signature=e7a4a218dea9c490672570fa3b8968ac&amp;tk=tt_chain_token" TargetMode="External"/><Relationship Id="rId1125" Type="http://schemas.openxmlformats.org/officeDocument/2006/relationships/hyperlink" Target="https://p16-sign-va.tiktokcdn.com/tos-maliva-avt-0068/3f2851fddee89c918e3a69c28ed31a70~tplv-tiktokx-cropcenter:1080:1080.jpeg?dr=14579&amp;refresh_token=90917cce&amp;x-expires=1764727200&amp;x-signature=OKKP%2FoNIPDc8YWQlbxf%2BvXp7UgA%3D&amp;t=4d5b0474&amp;ps=13740610&amp;shp=a5d48078&amp;shcp=81f88b70&amp;idc=my" TargetMode="External"/><Relationship Id="rId1126" Type="http://schemas.openxmlformats.org/officeDocument/2006/relationships/hyperlink" Target="https://v16-webapp-prime.tiktok.com/video/tos/alisg/tos-alisg-pve-0037c001/ogRJgCDg9IpXFgVqUcfBROwJxo4ceOErAEBwwQ/?a=1988&amp;bti=ODszNWYuMDE6&amp;ch=0&amp;cr=3&amp;dr=0&amp;lr=all&amp;cd=0%7C0%7C0%7C&amp;cv=1&amp;br=2716&amp;bt=1358&amp;cs=0&amp;ds=3&amp;ft=-Csk_mrMPD12NNBh5d-UxIS5hY6e3wv25ocAp&amp;mime_type=video_mp4&amp;qs=0&amp;rc=ZTw1ODw7ZWU2aGQ7Zmc6OUBpM3Zwa245cmZoNzMzODczNEBiXy00MTFeNmIxYF8tLzBgYSNgaTMwMmQ0aTFhLS1kMWBzcw%3D%3D&amp;btag=e00090000&amp;expire=1764728586&amp;l=20251201102153319CD8E1EA373154CB8C&amp;ply_type=2&amp;policy=2&amp;signature=c09c51e5e338f1c79347bc7bfc2f7a5e&amp;tk=tt_chain_token" TargetMode="External"/><Relationship Id="rId1127" Type="http://schemas.openxmlformats.org/officeDocument/2006/relationships/hyperlink" Target="https://www.tiktok.com/@labirintodamente6/video/7568557507300412693" TargetMode="External"/><Relationship Id="rId1128" Type="http://schemas.openxmlformats.org/officeDocument/2006/relationships/hyperlink" Target="https://p77-sign-va.tiktokcdn.com/tos-maliva-avt-0068/ff6e3eda5e04d647bbc778c2ac26b3f4~tplv-tiktokx-cropcenter:100:100.jpeg?dr=14579&amp;refresh_token=f1bc272e&amp;x-expires=1764727200&amp;x-signature=74yyUg9JygydTzIo84Jh8QPeizk%3D&amp;t=4d5b0474&amp;ps=13740610&amp;shp=a5d48078&amp;shcp=81f88b70&amp;idc=my" TargetMode="External"/><Relationship Id="rId1129" Type="http://schemas.openxmlformats.org/officeDocument/2006/relationships/hyperlink" Target="https://v16-webapp-prime.tiktok.com/video/tos/useast2a/tos-useast2a-v-27dcd7/oM4KgvBkYEBi4AEJ3YW38fANgoi0ZABBzEEEAi/?a=1988&amp;bti=ODszNWYuMDE6&amp;ch=0&amp;cr=0&amp;dr=0&amp;er=0&amp;lr=default&amp;cd=0%7C0%7C0%7C0&amp;br=250&amp;bt=125&amp;ds=5&amp;ft=GNDpcInz7ThVPKvPXq8Zmo&amp;mime_type=audio_mpeg&amp;qs=13&amp;rc=M3JtbG45cjM4dzMzNzU8M0BpM3JtbG45cjM4dzMzNzU8M0BkYzVgMmRza3JgLS1kMTZzYSNkYzVgMmRza3JgLS1kMTZzcw%3D%3D&amp;btag=e00048000&amp;expire=1764559258&amp;l=2025120110201396469B6E0854EC6377C0&amp;ply_type=3&amp;policy=3&amp;signature=6152637eff9e6c0c58d834af6b406857&amp;tk=7571587458748974088" TargetMode="External"/><Relationship Id="rId536" Type="http://schemas.openxmlformats.org/officeDocument/2006/relationships/hyperlink" Target="https://p16-sign-va.tiktokcdn.com/tos-maliva-avt-0068/3a086195329f6cf80b84b44a330f168a~tplv-tiktokx-cropcenter:100:100.jpeg?dr=14579&amp;refresh_token=de0e7070&amp;x-expires=1764727200&amp;x-signature=7wr7jKphJpaEkESgqqLBeLS0%2B1k%3D&amp;t=4d5b0474&amp;ps=13740610&amp;shp=a5d48078&amp;shcp=81f88b70&amp;idc=my" TargetMode="External"/><Relationship Id="rId535" Type="http://schemas.openxmlformats.org/officeDocument/2006/relationships/hyperlink" Target="https://www.tiktok.com/@meu.mundotdah/video/7449009935217626374" TargetMode="External"/><Relationship Id="rId534" Type="http://schemas.openxmlformats.org/officeDocument/2006/relationships/hyperlink" Target="https://v16-webapp-prime.tiktok.com/video/tos/maliva/tos-maliva-v-85c255-us/oYDwSYQdKFp5EBJQfnvSB2QBMEIdfBhDEgWo4P/?a=1988&amp;bti=ODszNWYuMDE6&amp;ch=0&amp;cr=3&amp;dr=0&amp;lr=all&amp;cd=0%7C0%7C0%7C&amp;cv=1&amp;br=810&amp;bt=405&amp;cs=0&amp;ds=3&amp;ft=-Csk_mrMPD12N3Dh5d-UxIS5hY6e3wv25ocAp&amp;mime_type=video_mp4&amp;qs=0&amp;rc=ZTo8NTg6NzgzZTVoOzRoO0BpajR4bHE5cjc2dzQzNzM2M0AtLy1fNWItNjUxLWE2XjZgYSNwZ19mMmRrM2RgLS1kLTZzcw%3D%3D&amp;btag=e000b8000&amp;expire=1764728533&amp;l=20251201102147CB7160225F86D969BC26&amp;ply_type=2&amp;policy=2&amp;signature=1efac761b51ba98a8c8dcef95dcf707b&amp;tk=tt_chain_token" TargetMode="External"/><Relationship Id="rId533" Type="http://schemas.openxmlformats.org/officeDocument/2006/relationships/hyperlink" Target="https://p77-sign-va.tiktokcdn.com/tos-maliva-avt-0068/38f87d0ccea25144d85cc3d0f2f08234~tplv-tiktokx-cropcenter:1080:1080.jpeg?dr=14579&amp;refresh_token=05715bb8&amp;x-expires=1764727200&amp;x-signature=xWxAnWP7T5c46%2BsaMWv%2FT0LWcvM%3D&amp;t=4d5b0474&amp;ps=13740610&amp;shp=a5d48078&amp;shcp=81f88b70&amp;idc=my" TargetMode="External"/><Relationship Id="rId539" Type="http://schemas.openxmlformats.org/officeDocument/2006/relationships/hyperlink" Target="https://v16-webapp-prime.tiktok.com/video/tos/alisg/tos-alisg-ve-37c813-sg/oEIapOUDivDikzBEA7WVQEB7xUayQnOGx32MS/?a=1988&amp;bti=ODszNWYuMDE6&amp;ch=0&amp;cr=3&amp;dr=0&amp;lr=all&amp;cd=0%7C0%7C0%7C&amp;cv=1&amp;br=610&amp;bt=305&amp;cs=0&amp;ds=2&amp;ft=-Csk_mrMPD12NsDh5d-UxSc2hY6e3wv25DcAp&amp;mime_type=video_mp4&amp;qs=0&amp;rc=NDo5aDM0PGZnaWk2Nzk6ZEBpanR1NHU5cjptNjMzNzczM0A0MC5gMGEtNjQxYDEyNDVhYSNeYGZtMmRrMGhhLS1kMTZzcw%3D%3D&amp;btag=e00090000&amp;expire=1764728578&amp;l=2025120110213238A64472738F9C5726DD&amp;ply_type=2&amp;policy=2&amp;signature=98de95d403d71a24dce965dea4ff24a6&amp;tk=tt_chain_token" TargetMode="External"/><Relationship Id="rId538" Type="http://schemas.openxmlformats.org/officeDocument/2006/relationships/hyperlink" Target="https://p16-sign-va.tiktokcdn.com/tos-maliva-avt-0068/3a086195329f6cf80b84b44a330f168a~tplv-tiktokx-cropcenter:1080:1080.jpeg?dr=14579&amp;refresh_token=0751c3f5&amp;x-expires=1764727200&amp;x-signature=L%2Blyu45tECkhQz%2BFVF4B%2FrnPi0E%3D&amp;t=4d5b0474&amp;ps=13740610&amp;shp=a5d48078&amp;shcp=81f88b70&amp;idc=my" TargetMode="External"/><Relationship Id="rId537" Type="http://schemas.openxmlformats.org/officeDocument/2006/relationships/hyperlink" Target="https://v16-webapp-prime.tiktok.com/video/tos/useast2a/tos-useast2a-v-27dcd7/o4vpixaCDrQyCUSAGkDClzMl4iAAOBaiEECA8/?a=1988&amp;bti=ODszNWYuMDE6&amp;ch=0&amp;cr=0&amp;dr=0&amp;er=0&amp;lr=default&amp;cd=0%7C0%7C0%7C0&amp;br=250&amp;bt=125&amp;ds=5&amp;ft=GNDpcInz7Th0zKvPXq8Zmo&amp;mime_type=audio_mpeg&amp;qs=13&amp;rc=MzVsPGw5cmVtNjMzNzU8M0BpMzVsPGw5cmVtNjMzNzU8M0AuMWMuMmRrMGhhLS1kMTZzYSMuMWMuMmRrMGhhLS1kMTZzcw%3D%3D&amp;btag=e00050000&amp;expire=1764559378&amp;l=2025120110213238A64472738F9C5726DD&amp;ply_type=3&amp;policy=3&amp;signature=6df3964f1f086e158b4c8ffa1f8b5041&amp;tk=7571587458748974088" TargetMode="External"/><Relationship Id="rId1120" Type="http://schemas.openxmlformats.org/officeDocument/2006/relationships/hyperlink" Target="https://p77-sign-va.tiktokcdn.com/tos-maliva-avt-0068/cc4c7490dee638829f007d6b41ea9da8~tplv-tiktokx-cropcenter:1080:1080.jpeg?dr=14579&amp;refresh_token=1ce75f64&amp;x-expires=1764727200&amp;x-signature=vPJpkVwZd2F%2B1VCJhRqHGsqPWZk%3D&amp;t=4d5b0474&amp;ps=13740610&amp;shp=a5d48078&amp;shcp=81f88b70&amp;idc=my" TargetMode="External"/><Relationship Id="rId532" Type="http://schemas.openxmlformats.org/officeDocument/2006/relationships/hyperlink" Target="https://v16-webapp-prime.tiktok.com/video/tos/useast2a/tos-useast2a-v-27dcd7/oktPBxfDJEfGJMnU7MoQBYODgBxCtEMAFAAbEQ/?a=1988&amp;bti=ODszNWYuMDE6&amp;ch=0&amp;cr=0&amp;dr=0&amp;er=0&amp;lr=default&amp;cd=0%7C0%7C0%7C0&amp;br=250&amp;bt=125&amp;ds=5&amp;ft=GNDpcInz7ThizKvPXq8Zmo&amp;mime_type=audio_mpeg&amp;qs=13&amp;rc=M2g3bXk5cjk2dzMzNzU8M0BpM2g3bXk5cjk2dzMzNzU8M0A1bHJxMmRzM2RgLS1kMTZzYSM1bHJxMmRzM2RgLS1kMTZzcw%3D%3D&amp;btag=e00078000&amp;expire=1764559333&amp;l=20251201102147CB7160225F86D969BC26&amp;ply_type=3&amp;policy=3&amp;signature=8b788a73db5e111b366236e4a595ae9e&amp;tk=7571587458748974088" TargetMode="External"/><Relationship Id="rId1121" Type="http://schemas.openxmlformats.org/officeDocument/2006/relationships/hyperlink" Target="https://v16-webapp-prime.tiktok.com/video/tos/alisg/tos-alisg-pve-0037c001/oYLfsgY8kBGdpYIRFeLIAxGVRoAGcwLIQ5eRQf/?a=1988&amp;bti=ODszNWYuMDE6&amp;ch=0&amp;cr=3&amp;dr=0&amp;lr=all&amp;cd=0%7C0%7C0%7C&amp;br=2388&amp;bt=1194&amp;cs=0&amp;ds=3&amp;ft=I~da4oKyD12Nvm1WS.IxR~kNglBF-UjNSEopiX&amp;mime_type=video_mp4&amp;qs=0&amp;rc=aGRoNGlpaTtmZTo7OWc6NEBpM2ZqPHk5cmRpNzMzODczNEA2MTNfLi9eNjExLzM1NTI0YSNjZWBiMmRrcGhhLS1kMTFzcw%3D%3D&amp;btag=e00090000&amp;expire=1764728550&amp;l=2025120110210868B8F68F0D0B7F5CDC9D&amp;ply_type=2&amp;policy=2&amp;signature=460b863cf324b26b4a3651f4d5af4fbd&amp;tk=tt_chain_token" TargetMode="External"/><Relationship Id="rId531" Type="http://schemas.openxmlformats.org/officeDocument/2006/relationships/hyperlink" Target="https://p16-sign-va.tiktokcdn.com/tos-maliva-avt-0068/38f87d0ccea25144d85cc3d0f2f08234~tplv-tiktokx-cropcenter:100:100.jpeg?dr=14579&amp;refresh_token=5c27644b&amp;x-expires=1764727200&amp;x-signature=Y3W7ZNk3QcWIa%2BlbpiN4v36RV3o%3D&amp;t=4d5b0474&amp;ps=13740610&amp;shp=a5d48078&amp;shcp=81f88b70&amp;idc=my" TargetMode="External"/><Relationship Id="rId1122" Type="http://schemas.openxmlformats.org/officeDocument/2006/relationships/hyperlink" Target="https://www.tiktok.com/@patriciacandidopsi/video/7577586428700396808" TargetMode="External"/><Relationship Id="rId530" Type="http://schemas.openxmlformats.org/officeDocument/2006/relationships/hyperlink" Target="https://www.tiktok.com/@liberdade.mentall/video/7525593077642235192" TargetMode="External"/><Relationship Id="rId1123" Type="http://schemas.openxmlformats.org/officeDocument/2006/relationships/hyperlink" Target="https://p77-sign-va.tiktokcdn.com/tos-maliva-avt-0068/3f2851fddee89c918e3a69c28ed31a70~tplv-tiktokx-cropcenter:100:100.jpeg?dr=14579&amp;refresh_token=04cee48e&amp;x-expires=1764727200&amp;x-signature=64hWrMaJMEVmk0s3PhBMrI%2BNQCQ%3D&amp;t=4d5b0474&amp;ps=13740610&amp;shp=a5d48078&amp;shcp=81f88b70&amp;idc=my" TargetMode="External"/><Relationship Id="rId1124" Type="http://schemas.openxmlformats.org/officeDocument/2006/relationships/hyperlink" Target="https://v16-webapp-prime.tiktok.com/video/tos/alisg/tos-alisg-v-27dcd7/ocj2YAUiaPBCABGMAArwhAEqI8QAEAjLl6ivU/?a=1988&amp;bti=ODszNWYuMDE6&amp;ch=0&amp;cr=0&amp;dr=0&amp;er=0&amp;lr=default&amp;cd=0%7C0%7C0%7C0&amp;br=250&amp;bt=125&amp;ds=5&amp;ft=GNDpcInz7ThhFKvPXq8Zmo&amp;mime_type=audio_mpeg&amp;qs=13&amp;rc=amRya3Y5cjNoNzMzODU8NEBpamRya3Y5cjNoNzMzODU8NEBrbWplMmQ0ajFhLS1kMS1zYSNrbWplMmQ0ajFhLS1kMS1zcw%3D%3D&amp;btag=e00050000&amp;expire=1764559386&amp;l=20251201102153319CD8E1EA373154CB8C&amp;ply_type=3&amp;policy=3&amp;signature=1022e9f31bf2303b4ab191b073d148df&amp;tk=7571587458748974088" TargetMode="External"/><Relationship Id="rId1158" Type="http://schemas.openxmlformats.org/officeDocument/2006/relationships/hyperlink" Target="https://sf16-ies-music-sg.tiktokcdn.com/obj/tos-alisg-ve-2774/826033f166d448029eefc3940921daaf" TargetMode="External"/><Relationship Id="rId1159" Type="http://schemas.openxmlformats.org/officeDocument/2006/relationships/hyperlink" Target="https://p16-sg.tiktokcdn.com/aweme/720x720/tos-alisg-v-2774/568a79982fd64d27bf506255ecb58f1e.jpeg" TargetMode="External"/><Relationship Id="rId569" Type="http://schemas.openxmlformats.org/officeDocument/2006/relationships/hyperlink" Target="https://v16-webapp-prime.tiktok.com/video/tos/maliva/tos-maliva-v-85c255-us/owJvyyiBxIJBw9FBiofQIqB4iDfQEBSIDE9LGi/?a=1988&amp;bti=ODszNWYuMDE6&amp;ch=0&amp;cr=3&amp;dr=0&amp;lr=all&amp;cd=0%7C0%7C0%7C&amp;cv=1&amp;br=1360&amp;bt=680&amp;cs=0&amp;ds=3&amp;ft=-Csk_mrMPD12N5Dh5d-UxP12hY6e3wv25ocAp&amp;mime_type=video_mp4&amp;qs=0&amp;rc=NDZpaTlpaGY8aGc5aDM2ZEBpM2s5a3I5cjR5NjQzNzM2M0AuXy4tYTIwNS8xMC1gXjExYSNtczUxMmRzXjJhLS1kLTZzcw%3D%3D&amp;btag=e00090000&amp;expire=1764728554&amp;l=2025120110205711DA509A8B9B2F6AA181&amp;ply_type=2&amp;policy=2&amp;signature=d3dfadf0193e136a4917fa1765241742&amp;tk=tt_chain_token" TargetMode="External"/><Relationship Id="rId568" Type="http://schemas.openxmlformats.org/officeDocument/2006/relationships/hyperlink" Target="https://p77-sign-va.tiktokcdn.com/tos-maliva-avt-0068/558a1246010c72cc49bee2096709c74b~tplv-tiktokx-cropcenter:1080:1080.jpeg?dr=14579&amp;refresh_token=64adab2a&amp;x-expires=1764727200&amp;x-signature=FdeLC4KLylp4O9JaobA%2FZ4OvkxA%3D&amp;t=4d5b0474&amp;ps=13740610&amp;shp=a5d48078&amp;shcp=81f88b70&amp;idc=my" TargetMode="External"/><Relationship Id="rId567" Type="http://schemas.openxmlformats.org/officeDocument/2006/relationships/hyperlink" Target="https://v16-webapp-prime.tiktok.com/video/tos/useast2a/tos-useast2a-v-27dcd7/ocgro9guQIfaskCFe9jQLGRELY83kXfeAJvLPm/?a=1988&amp;bti=ODszNWYuMDE6&amp;ch=0&amp;cr=0&amp;dr=0&amp;er=0&amp;lr=default&amp;cd=0%7C0%7C0%7C0&amp;br=250&amp;bt=125&amp;ft=GNDpcInz7ThvzKvPXq8Zmo&amp;mime_type=audio_mpeg&amp;qs=6&amp;rc=NWQ8OGk4OWRnaGk3Zzs8NEBpanl0eXk5cjh5NjMzNzU8M0BeYTUvX14vXzUxY18yMy42YSNvX2JhMmRjXjJhLS1kMTZzcw%3D%3D&amp;btag=e00090000&amp;expire=1764559354&amp;l=2025120110205711DA509A8B9B2F6AA181&amp;ply_type=3&amp;policy=3&amp;signature=6dc3833528a6c29449ab04ece997d5d0&amp;tk=7571587458748974088" TargetMode="External"/><Relationship Id="rId566" Type="http://schemas.openxmlformats.org/officeDocument/2006/relationships/hyperlink" Target="https://p77-sign-va.tiktokcdn.com/tos-maliva-avt-0068/558a1246010c72cc49bee2096709c74b~tplv-tiktokx-cropcenter:100:100.jpeg?dr=14579&amp;refresh_token=2747aa18&amp;x-expires=1764727200&amp;x-signature=nDNNYYAR%2FLn8VNqMhsFEHlg08AA%3D&amp;t=4d5b0474&amp;ps=13740610&amp;shp=a5d48078&amp;shcp=81f88b70&amp;idc=my" TargetMode="External"/><Relationship Id="rId561" Type="http://schemas.openxmlformats.org/officeDocument/2006/relationships/hyperlink" Target="https://p77-sign-va.tiktokcdn.com/tos-maliva-avt-0068/f5f3e05e40b3036e9f414849c4ff11a1~tplv-tiktokx-cropcenter:100:100.jpeg?dr=14579&amp;refresh_token=79e5a22b&amp;x-expires=1764727200&amp;x-signature=4AAjeEZ%2BLMFWDIEPNn3Y1yTlul0%3D&amp;t=4d5b0474&amp;ps=13740610&amp;shp=a5d48078&amp;shcp=81f88b70&amp;idc=my" TargetMode="External"/><Relationship Id="rId1150" Type="http://schemas.openxmlformats.org/officeDocument/2006/relationships/hyperlink" Target="https://v16-webapp-prime.tiktok.com/video/tos/alisg/tos-alisg-ve-37c813-sg/o4CBd7ouQcRZEM6EFWAySIED9QDJvmVBnHf3Fe/?a=1988&amp;bti=ODszNWYuMDE6&amp;ch=0&amp;cr=3&amp;dr=0&amp;lr=all&amp;cd=0%7C0%7C0%7C&amp;cv=1&amp;br=816&amp;bt=408&amp;cs=0&amp;ds=3&amp;ft=-Csk_mrMPD12NLdh5d-Uxbt2hY6e3wv25HcAp&amp;mime_type=video_mp4&amp;qs=0&amp;rc=OGQ2NDRmaGc6aTVoPDlmZkBpanNvZXg5cm1wNTMzNzczM0BhNjBhXy4xNTAxYC4vNi1iYSNnXmdxMmQ0cXJhLS1kMTZzcw%3D%3D&amp;btag=e00088000&amp;expire=1764728475&amp;l=202512011020239FD63C9B4E4C976A9DFE&amp;ply_type=2&amp;policy=2&amp;signature=8eac2f6be983e6e81dc6afa950710c6a&amp;tk=tt_chain_token" TargetMode="External"/><Relationship Id="rId560" Type="http://schemas.openxmlformats.org/officeDocument/2006/relationships/hyperlink" Target="https://www.tiktok.com/@mister.emerson/video/7508766819830779142" TargetMode="External"/><Relationship Id="rId1151" Type="http://schemas.openxmlformats.org/officeDocument/2006/relationships/hyperlink" Target="https://www.tiktok.com/@tdahcommaisperformance/video/7547311945926430008" TargetMode="External"/><Relationship Id="rId1152" Type="http://schemas.openxmlformats.org/officeDocument/2006/relationships/hyperlink" Target="https://p16-sign-sg.tiktokcdn.com/tos-alisg-avt-0068/9de3b6c06f63b981075b8b85a34f31bc~tplv-tiktokx-cropcenter:100:100.jpeg?dr=14579&amp;refresh_token=1117652a&amp;x-expires=1764727200&amp;x-signature=27N2ihpqdvgqBKPc7ducQPpjKVk%3D&amp;t=4d5b0474&amp;ps=13740610&amp;shp=a5d48078&amp;shcp=81f88b70&amp;idc=my" TargetMode="External"/><Relationship Id="rId1153" Type="http://schemas.openxmlformats.org/officeDocument/2006/relationships/hyperlink" Target="https://v16-webapp-prime.tiktok.com/video/tos/alisg/tos-alisg-v-27dcd7/ocpGAf4pEA6NBEgUE7AbpBCPAJFDuQfIxgaDQE/?a=1988&amp;bti=ODszNWYuMDE6&amp;ch=0&amp;cr=0&amp;dr=0&amp;er=0&amp;lr=default&amp;cd=0%7C0%7C0%7C0&amp;br=250&amp;bt=125&amp;ds=5&amp;ft=GNDpcInz7ThszKvPXq8Zmo&amp;mime_type=audio_mpeg&amp;qs=13&amp;rc=anI7NXk5cmh0NzMzODU8NEBpanI7NXk5cmh0NzMzODU8NEAzNjBkMmRzNWFhLS1kMS1zYSMzNjBkMmRzNWFhLS1kMS1zcw%3D%3D&amp;btag=e00050000&amp;expire=1764559353&amp;l=20251201102055111140D50F38376E882B&amp;ply_type=3&amp;policy=3&amp;signature=361f0d3b5eb618759d7eacde029f8b3a&amp;tk=7571587458748974088" TargetMode="External"/><Relationship Id="rId565" Type="http://schemas.openxmlformats.org/officeDocument/2006/relationships/hyperlink" Target="https://www.tiktok.com/@melissa_montagnole/video/7528542804130155781" TargetMode="External"/><Relationship Id="rId1154" Type="http://schemas.openxmlformats.org/officeDocument/2006/relationships/hyperlink" Target="https://p16-sign-sg.tiktokcdn.com/tos-alisg-avt-0068/9de3b6c06f63b981075b8b85a34f31bc~tplv-tiktokx-cropcenter:1080:1080.jpeg?dr=14579&amp;refresh_token=6ba82b50&amp;x-expires=1764727200&amp;x-signature=xd4Dfu2j7EVAVe%2FuLbY6G4JHSvE%3D&amp;t=4d5b0474&amp;ps=13740610&amp;shp=a5d48078&amp;shcp=81f88b70&amp;idc=my" TargetMode="External"/><Relationship Id="rId564" Type="http://schemas.openxmlformats.org/officeDocument/2006/relationships/hyperlink" Target="https://v16-webapp-prime.tiktok.com/video/tos/useast2a/tos-useast2a-ve-0068c001/o0IACig1QgLfZ5P100U5ANk6GGICEgiSBW5dio/?a=1988&amp;bti=ODszNWYuMDE6&amp;ch=0&amp;cr=3&amp;dr=0&amp;lr=all&amp;cd=0%7C0%7C0%7C&amp;cv=1&amp;br=3134&amp;bt=1567&amp;cs=0&amp;ds=3&amp;ft=-Csk_mrMPD12NaDh5d-Uxq42hY6e3wv25IcAp&amp;mime_type=video_mp4&amp;qs=0&amp;rc=NzxkZWU0OGVpN2U7NjY5N0BpandkcnM5cjhmNDMzNzczM0BgNV8vMS5eX2AxYzAtNl5iYSMzMS9uMmRzL3FhLS1kMTZzcw%3D%3D&amp;btag=e00090000&amp;expire=1764728665&amp;l=202512011021380CC83080A64AA152B5B8&amp;ply_type=2&amp;policy=2&amp;signature=f4cddab440b0316cbf52ac13d211df24&amp;tk=tt_chain_token" TargetMode="External"/><Relationship Id="rId1155" Type="http://schemas.openxmlformats.org/officeDocument/2006/relationships/hyperlink" Target="https://v16-webapp-prime.tiktok.com/video/tos/alisg/tos-alisg-pve-0037c001/oMhNXAeroNIgGwjIItAeQQLIfPPxuS3BGrD0C3/?a=1988&amp;bti=ODszNWYuMDE6&amp;ch=0&amp;cr=3&amp;dr=0&amp;lr=all&amp;cd=0%7C0%7C0%7C&amp;br=1320&amp;bt=660&amp;cs=0&amp;ds=3&amp;ft=-Csk_mrMPD12NbDh5d-UxPR2SY6e3wv25IcAp&amp;mime_type=video_mp4&amp;qs=0&amp;rc=Omc2PDw0aTNnOzQ4OzQ1aEBpanJ2cG85cmd0NzMzODczNEBgXjQuM2FgNS4xMl5fMzFjYSNlZGttMmRrNWFhLS1kMTFzcw%3D%3D&amp;btag=e00090000&amp;expire=1764728553&amp;l=20251201102055111140D50F38376E882B&amp;ply_type=2&amp;policy=2&amp;signature=350d0918ce8f2f90aea3a315c49c832e&amp;tk=tt_chain_token" TargetMode="External"/><Relationship Id="rId563" Type="http://schemas.openxmlformats.org/officeDocument/2006/relationships/hyperlink" Target="https://p16-sg.tiktokcdn.com/aweme/720x720/tos-alisg-v-2774/baccdb3bc024418b9276ed236c584908.jpeg" TargetMode="External"/><Relationship Id="rId1156" Type="http://schemas.openxmlformats.org/officeDocument/2006/relationships/hyperlink" Target="https://www.tiktok.com/@tdah132/video/7573827718610046215" TargetMode="External"/><Relationship Id="rId562" Type="http://schemas.openxmlformats.org/officeDocument/2006/relationships/hyperlink" Target="https://sf16-ies-music-sg.tiktokcdn.com/obj/tos-alisg-ve-2774/oMGv3IXAHMY9WOUO3Z1cqAtiBLblarXGiATW5" TargetMode="External"/><Relationship Id="rId1157" Type="http://schemas.openxmlformats.org/officeDocument/2006/relationships/hyperlink" Target="https://p77-sign-va.tiktokcdn.com/tos-maliva-avt-0068/fa233712dfcf05abd3a56a8d8aa1b5c6~tplv-tiktokx-cropcenter:100:100.jpeg?dr=14579&amp;refresh_token=788695a1&amp;x-expires=1764727200&amp;x-signature=R%2FFpmQhjr5GAJkiXK%2BX8FcCYHlI%3D&amp;t=4d5b0474&amp;ps=13740610&amp;shp=a5d48078&amp;shcp=81f88b70&amp;idc=my" TargetMode="External"/><Relationship Id="rId1147" Type="http://schemas.openxmlformats.org/officeDocument/2006/relationships/hyperlink" Target="https://p77-sign-va.tiktokcdn.com/tos-maliva-avt-0068/fa233712dfcf05abd3a56a8d8aa1b5c6~tplv-tiktokx-cropcenter:100:100.jpeg?dr=14579&amp;refresh_token=788695a1&amp;x-expires=1764727200&amp;x-signature=R%2FFpmQhjr5GAJkiXK%2BX8FcCYHlI%3D&amp;t=4d5b0474&amp;ps=13740610&amp;shp=a5d48078&amp;shcp=81f88b70&amp;idc=my" TargetMode="External"/><Relationship Id="rId1148" Type="http://schemas.openxmlformats.org/officeDocument/2006/relationships/hyperlink" Target="https://sf16-ies-music-sg.tiktokcdn.com/obj/tos-alisg-ve-2774/826033f166d448029eefc3940921daaf" TargetMode="External"/><Relationship Id="rId1149" Type="http://schemas.openxmlformats.org/officeDocument/2006/relationships/hyperlink" Target="https://p16-sg.tiktokcdn.com/aweme/720x720/tos-alisg-v-2774/568a79982fd64d27bf506255ecb58f1e.jpeg" TargetMode="External"/><Relationship Id="rId558" Type="http://schemas.openxmlformats.org/officeDocument/2006/relationships/hyperlink" Target="https://p16-sign-va.tiktokcdn.com/tos-maliva-avt-0068/dc1254c61f7c029eaaef87fbdfa88d8d~tplv-tiktokx-cropcenter:1080:1080.jpeg?dr=14579&amp;refresh_token=fb7f3aea&amp;x-expires=1764727200&amp;x-signature=ob%2FgMOVPSSMhWEzbPQwPZ1ebot4%3D&amp;t=4d5b0474&amp;ps=13740610&amp;shp=a5d48078&amp;shcp=81f88b70&amp;idc=my" TargetMode="External"/><Relationship Id="rId557" Type="http://schemas.openxmlformats.org/officeDocument/2006/relationships/hyperlink" Target="https://v16-webapp-prime.tiktok.com/video/tos/useast2a/tos-useast2a-v-27dcd7/oYeoTPk5QISAoACOfCaLoB9IIiGAFvEmXgeo6F/?a=1988&amp;bti=ODszNWYuMDE6&amp;ch=0&amp;cr=0&amp;dr=0&amp;er=0&amp;lr=default&amp;cd=0%7C0%7C0%7C0&amp;br=250&amp;bt=125&amp;ds=5&amp;ft=GNDpcInz7ThfpKvPXq8Zmo&amp;mime_type=audio_mpeg&amp;qs=13&amp;rc=M2k1bm05cmQ6MzMzNzU8M0BpM2k1bm05cmQ6MzMzNzU8M0A2Z19kMmRzc25hLS1kMTZzYSM2Z19kMmRzc25hLS1kMTZzcw%3D%3D&amp;btag=e00048000&amp;expire=1764559597&amp;l=202512011025596D30CB3112238F5D274D&amp;ply_type=3&amp;policy=3&amp;signature=45e42f128a3abbfe3ac68a9ec0f9e214&amp;tk=7571587458748974088" TargetMode="External"/><Relationship Id="rId556" Type="http://schemas.openxmlformats.org/officeDocument/2006/relationships/hyperlink" Target="https://p77-sign-va.tiktokcdn.com/tos-maliva-avt-0068/dc1254c61f7c029eaaef87fbdfa88d8d~tplv-tiktokx-cropcenter:100:100.jpeg?dr=14579&amp;refresh_token=41bef4eb&amp;x-expires=1764727200&amp;x-signature=bbnZqB6RKe%2FNsRpt8s6UW7LCN9I%3D&amp;t=4d5b0474&amp;ps=13740610&amp;shp=a5d48078&amp;shcp=81f88b70&amp;idc=my" TargetMode="External"/><Relationship Id="rId555" Type="http://schemas.openxmlformats.org/officeDocument/2006/relationships/hyperlink" Target="https://www.tiktok.com/@podpah/video/7386299936528207110" TargetMode="External"/><Relationship Id="rId559" Type="http://schemas.openxmlformats.org/officeDocument/2006/relationships/hyperlink" Target="https://v16-webapp-prime.tiktok.com/video/tos/useast2a/tos-useast2a-pve-0068/oMMoYsgIEDDAaSOFPECxRQfehIFCjIgWQm70fQ/?a=1988&amp;bti=ODszNWYuMDE6&amp;ch=0&amp;cr=3&amp;dr=0&amp;lr=all&amp;cd=0%7C0%7C0%7C&amp;cv=1&amp;br=1780&amp;bt=890&amp;cs=0&amp;ds=3&amp;ft=-Csk_mrMPD12NAgh5d-UxbS5hY6e3wv25McAp&amp;mime_type=video_mp4&amp;qs=0&amp;rc=aGY2ZzpoNGVpMzVoOjVmZEBpM3RyaGo5cjM6MzMzNzczM0AyNjEwLi40X2MxLzViXy0yYSMzZDNlMmRzc25hLS1kMTZzcw%3D%3D&amp;btag=e00088000&amp;expire=1764728798&amp;l=202512011025596D30CB3112238F5D274D&amp;ply_type=2&amp;policy=2&amp;signature=814ee6ae9cd9d5ce7ee86f9d72dacf39&amp;tk=tt_chain_token" TargetMode="External"/><Relationship Id="rId550" Type="http://schemas.openxmlformats.org/officeDocument/2006/relationships/hyperlink" Target="https://www.tiktok.com/@psicologo.mateus/video/7202704408541416709" TargetMode="External"/><Relationship Id="rId1140" Type="http://schemas.openxmlformats.org/officeDocument/2006/relationships/hyperlink" Target="https://v16-webapp-prime.tiktok.com/video/tos/alisg/tos-alisg-pve-0037c001/o8dLeeAIgTYALgBufgKkJJfqeL5MNigjQhsl41/?a=1988&amp;bti=ODszNWYuMDE6&amp;ch=0&amp;cr=3&amp;dr=0&amp;lr=all&amp;cd=0%7C0%7C0%7C&amp;br=1940&amp;bt=970&amp;cs=0&amp;ds=3&amp;ft=-Csk_mrMPD12N5Dh5d-UxP12hY6e3wv25ocAp&amp;mime_type=video_mp4&amp;qs=0&amp;rc=NzxmOTw7Z2Q7Mzs0ZWlnZUBpanN4bXU5cjx5NzMzODczNEA2NTBhXzZiXzExLy4xLWEyYSNjbjFvMmQ0cWZhLS1kMTFzcw%3D%3D&amp;btag=e00088000&amp;expire=1764728505&amp;l=2025120110205711DA509A8B9B2F6AA181&amp;ply_type=2&amp;policy=2&amp;signature=8f66d2bff41f7fa2090942f766d73f29&amp;tk=tt_chain_token" TargetMode="External"/><Relationship Id="rId1141" Type="http://schemas.openxmlformats.org/officeDocument/2006/relationships/hyperlink" Target="https://www.tiktok.com/@tdah132/video/7576741946450922770" TargetMode="External"/><Relationship Id="rId1142" Type="http://schemas.openxmlformats.org/officeDocument/2006/relationships/hyperlink" Target="https://p16-sign-sg.tiktokcdn.com/tos-alisg-avt-0068/9de3b6c06f63b981075b8b85a34f31bc~tplv-tiktokx-cropcenter:100:100.jpeg?dr=14579&amp;refresh_token=1117652a&amp;x-expires=1764727200&amp;x-signature=27N2ihpqdvgqBKPc7ducQPpjKVk%3D&amp;t=4d5b0474&amp;ps=13740610&amp;shp=a5d48078&amp;shcp=81f88b70&amp;idc=my" TargetMode="External"/><Relationship Id="rId554" Type="http://schemas.openxmlformats.org/officeDocument/2006/relationships/hyperlink" Target="https://v16-webapp-prime.tiktok.com/video/tos/useast2a/tos-useast2a-pve-0068/owztvIgfOIPZKVKNA0AfRogFeEIIvCCSrGjjAL/?a=1988&amp;bti=ODszNWYuMDE6&amp;ch=0&amp;cr=3&amp;dr=0&amp;lr=all&amp;cd=0%7C0%7C0%7C&amp;cv=1&amp;br=992&amp;bt=496&amp;cs=0&amp;ds=6&amp;ft=I~da4oKyD12Nvm1WS.IxR~kNglBF-UjNSEopiX&amp;mime_type=video_mp4&amp;qs=5&amp;rc=aGY2ZGgzPGllaGQ4ZzRmM0BpamRoO3I5cjlwdDMzNzczM0AyMjJeMjBfNTYxXmFfNTUwYSNyMWhtMmRjZS1gLS1kMTZzcw%3D%3D&amp;btag=e00090000&amp;expire=1764728555&amp;l=2025120110210868B8F68F0D0B7F5CDC9D&amp;ply_type=2&amp;policy=2&amp;signature=bb2215c4707497dff5b90220c19325b1&amp;tk=tt_chain_token" TargetMode="External"/><Relationship Id="rId1143" Type="http://schemas.openxmlformats.org/officeDocument/2006/relationships/hyperlink" Target="https://v16-webapp-prime.tiktok.com/video/tos/alisg/tos-alisg-v-27dcd7/osAiAUEE7Al0lZYAAER6D9AQv85Wtt7BgbaCi/?a=1988&amp;bti=ODszNWYuMDE6&amp;ch=0&amp;cr=0&amp;dr=0&amp;er=0&amp;lr=default&amp;cd=0%7C0%7C0%7C0&amp;br=250&amp;bt=125&amp;ds=5&amp;ft=GNDpcInz7ThgzKvPXq8Zmo&amp;mime_type=audio_mpeg&amp;qs=13&amp;rc=MzdteXU5cjZwNzMzODU8NEBpMzdteXU5cjZwNzMzODU8NEBkNWNxMmRrXmFhLS1kMS1zYSNkNWNxMmRrXmFhLS1kMS1zcw%3D%3D&amp;btag=e00050000&amp;expire=1764559333&amp;l=2025120110210868B8F68F0D0B7F5CDC9D&amp;ply_type=3&amp;policy=3&amp;signature=155101fcf68ef254906530ff0109ea80&amp;tk=7571587458748974088" TargetMode="External"/><Relationship Id="rId553" Type="http://schemas.openxmlformats.org/officeDocument/2006/relationships/hyperlink" Target="https://p77-sign-va.tiktokcdn.com/tos-maliva-avt-0068/ebb98fced30febfe9148afd9416f08d4~tplv-tiktokx-cropcenter:1080:1080.jpeg?dr=14579&amp;refresh_token=c86ce17f&amp;x-expires=1764727200&amp;x-signature=oIC2l%2BNKR%2BnMVKvH1vdBcvM8SQI%3D&amp;t=4d5b0474&amp;ps=13740610&amp;shp=a5d48078&amp;shcp=81f88b70&amp;idc=my" TargetMode="External"/><Relationship Id="rId1144" Type="http://schemas.openxmlformats.org/officeDocument/2006/relationships/hyperlink" Target="https://p16-sign-sg.tiktokcdn.com/tos-alisg-avt-0068/9de3b6c06f63b981075b8b85a34f31bc~tplv-tiktokx-cropcenter:1080:1080.jpeg?dr=14579&amp;refresh_token=6ba82b50&amp;x-expires=1764727200&amp;x-signature=xd4Dfu2j7EVAVe%2FuLbY6G4JHSvE%3D&amp;t=4d5b0474&amp;ps=13740610&amp;shp=a5d48078&amp;shcp=81f88b70&amp;idc=my" TargetMode="External"/><Relationship Id="rId552" Type="http://schemas.openxmlformats.org/officeDocument/2006/relationships/hyperlink" Target="https://v16-webapp-prime.tiktok.com/video/tos/useast2a/tos-useast2a-v-27dcd7/o0BlCmWBVKiEUBFJN4Ygf4CJO0QfIwpCrUgQWD/?a=1988&amp;bti=ODszNWYuMDE6&amp;ch=0&amp;cr=0&amp;dr=0&amp;er=0&amp;lr=default&amp;cd=0%7C0%7C0%7C0&amp;br=250&amp;bt=125&amp;ft=GNDpcInz7ThgzKvPXq8Zmo&amp;mime_type=audio_mpeg&amp;qs=6&amp;rc=Omk8aThoOjY8aTdmZWQ4ZEBpM3Z2Zm45cmZwdDMzNzU8M0AvXzI0MWBfXy4xMV5eYjUyYSMvXmhpMmQ0ZS1gLS1kMTZzcw%3D%3D&amp;btag=e00090000&amp;expire=1764559355&amp;l=2025120110210868B8F68F0D0B7F5CDC9D&amp;ply_type=3&amp;policy=3&amp;signature=a2f2081b2a1d1055b0cd28e0c3090256&amp;tk=7571587458748974088" TargetMode="External"/><Relationship Id="rId1145" Type="http://schemas.openxmlformats.org/officeDocument/2006/relationships/hyperlink" Target="https://v16-webapp-prime.tiktok.com/video/tos/alisg/tos-alisg-pve-0037c001/ocHrjaiEIAw0f1jvMziqblYHjCJ8WCA5BAbIQx/?a=1988&amp;bti=ODszNWYuMDE6&amp;ch=0&amp;cr=3&amp;dr=0&amp;lr=all&amp;cd=0%7C0%7C0%7C&amp;br=1904&amp;bt=952&amp;cs=0&amp;ds=3&amp;ft=I~da4oKyD12Nvm1WS.IxR~kNglBF-UjNSEopiX&amp;mime_type=video_mp4&amp;qs=0&amp;rc=NjM8ZzdkNzw4NWY2PGc5NUBpajZqbWs5cnlwNzMzODczNEBjMF82YzRhNWAxXl8vYTVfYSNlYzRwMmRrNmFhLS1kMTFzcw%3D%3D&amp;btag=e00090000&amp;expire=1764728534&amp;l=2025120110210868B8F68F0D0B7F5CDC9D&amp;ply_type=2&amp;policy=2&amp;signature=06f8fa9262fe89d78ccdc639f429b28e&amp;tk=tt_chain_token" TargetMode="External"/><Relationship Id="rId551" Type="http://schemas.openxmlformats.org/officeDocument/2006/relationships/hyperlink" Target="https://p77-sign-va.tiktokcdn.com/tos-maliva-avt-0068/ebb98fced30febfe9148afd9416f08d4~tplv-tiktokx-cropcenter:100:100.jpeg?dr=14579&amp;refresh_token=c4ba517a&amp;x-expires=1764727200&amp;x-signature=Px6ntp%2FPZpw1FN6vMibg5q%2FOY5E%3D&amp;t=4d5b0474&amp;ps=13740610&amp;shp=a5d48078&amp;shcp=81f88b70&amp;idc=my" TargetMode="External"/><Relationship Id="rId1146" Type="http://schemas.openxmlformats.org/officeDocument/2006/relationships/hyperlink" Target="https://www.tiktok.com/@tdah132/video/7573758256821161223" TargetMode="External"/><Relationship Id="rId495" Type="http://schemas.openxmlformats.org/officeDocument/2006/relationships/hyperlink" Target="https://www.tiktok.com/@liberdade.mentall/video/7547098585024695608" TargetMode="External"/><Relationship Id="rId494" Type="http://schemas.openxmlformats.org/officeDocument/2006/relationships/hyperlink" Target="https://v16-webapp-prime.tiktok.com/video/tos/useast2a/tos-useast2a-pve-0068/owWEpr2kIfvCJkvBB8XDfBHV0mAFQqKQFu4oE7/?a=1988&amp;bti=ODszNWYuMDE6&amp;ch=0&amp;cr=3&amp;dr=0&amp;lr=all&amp;cd=0%7C0%7C0%7C&amp;cv=1&amp;br=980&amp;bt=490&amp;cs=0&amp;ds=3&amp;ft=-Csk_mrMPD12N7Zh5d-UxXt2hY6e3wv25IcAp&amp;mime_type=video_mp4&amp;qs=0&amp;rc=NztlaGZkZDQ4ZWRkO2Y8ZUBpajQ6eHE5cjxkNTMzNzgzM0AtMjUxMDM1NWAxYDFfMy9fYSMwYHFzMmRrbnJhLS1kLzZzcw%3D%3D&amp;btag=e00090000&amp;expire=1764728685&amp;l=20251201102310FC54B381C57309EF4F27&amp;ply_type=2&amp;policy=2&amp;signature=19668907ea80efb80a224ee291a6a575&amp;tk=tt_chain_token" TargetMode="External"/><Relationship Id="rId49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492" Type="http://schemas.openxmlformats.org/officeDocument/2006/relationships/hyperlink" Target="https://v16-webapp-prime.tiktok.com/video/tos/useast2a/tos-useast2a-v-27dcd7/oYKU1vgtPFOgCBJ4ro83JvQC4EQefB6DY5XLzg/?a=1988&amp;bti=ODszNWYuMDE6&amp;ch=0&amp;cr=0&amp;dr=0&amp;er=0&amp;lr=default&amp;cd=0%7C0%7C0%7C0&amp;br=250&amp;bt=125&amp;ft=GNDpcInz7ThLgKvPXq8Zmo&amp;mime_type=audio_mpeg&amp;qs=6&amp;rc=NDhkNTY5ZmQ8NTQ4aDM2OkBpM3dweHg5cmdkNTMzNzU8M0BfNGE1XzUwNV8xNmI1M2FiYSM1YmowMmRzcHJhLS1kMTZzcw%3D%3D&amp;btag=e00090000&amp;expire=1764559485&amp;l=20251201102310FC54B381C57309EF4F27&amp;ply_type=3&amp;policy=3&amp;signature=e2e0b8e69002e01bfc7efca402bf63af&amp;tk=7571587458748974088" TargetMode="External"/><Relationship Id="rId499" Type="http://schemas.openxmlformats.org/officeDocument/2006/relationships/hyperlink" Target="https://v16-webapp-prime.tiktok.com/video/tos/alisg/tos-alisg-pve-0037/ocEVZ3IJsUvMecDBBgfOFqAUgXQ2mLv5BTCpNC/?a=1988&amp;bti=ODszNWYuMDE6&amp;ch=0&amp;cr=3&amp;dr=0&amp;lr=all&amp;cd=0%7C0%7C0%7C&amp;cv=1&amp;br=940&amp;bt=470&amp;cs=0&amp;ds=3&amp;ft=-Csk_mrMPD12NGDh5d-UxSc2hY6e3wv25DcAp&amp;mime_type=video_mp4&amp;qs=0&amp;rc=OGRlZWY0PDlkPDg6NWhnaUBpanVsa3A5cnhtNzMzODgzNEBiMzAwMy8uXy8xM18tMjEzYSMwLmVeMmRjXzFhLS1kLzFzcw%3D%3D&amp;btag=e00090000&amp;expire=1764728613&amp;l=202512011021508D2E02B19879BA6D89C0&amp;ply_type=2&amp;policy=2&amp;signature=9c72f41d953fe835e3aecbda83e7d112&amp;tk=tt_chain_token" TargetMode="External"/><Relationship Id="rId498"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497" Type="http://schemas.openxmlformats.org/officeDocument/2006/relationships/hyperlink" Target="https://v16-webapp-prime.tiktok.com/video/tos/alisg/tos-alisg-v-27dcd7/o8NUoECDg5BBtZtFflpJBQCrIQJfmCMITcTg6Q/?a=1988&amp;bti=ODszNWYuMDE6&amp;ch=0&amp;cr=0&amp;dr=0&amp;er=0&amp;lr=default&amp;cd=0%7C0%7C0%7C0&amp;br=250&amp;bt=125&amp;ft=GNDpcInz7ThuzKvPXq8Zmo&amp;mime_type=audio_mpeg&amp;qs=6&amp;rc=Ozw0ODdmZmZlN2lnOzc3PEBpM3NwOm85cnFtNzMzODU8NEBfLzRfMi4wX2MxMjE0LWNgYSMub3FoMmQ0YDFhLS1kMS1zcw%3D%3D&amp;btag=e00090000&amp;expire=1764559413&amp;l=202512011021508D2E02B19879BA6D89C0&amp;ply_type=3&amp;policy=3&amp;signature=0b18ff1ed3c5d4085763018124c21ee1&amp;tk=7571587458748974088" TargetMode="External"/><Relationship Id="rId496"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1610" Type="http://schemas.openxmlformats.org/officeDocument/2006/relationships/hyperlink" Target="https://www.tiktok.com/@igorpsicologo/video/7371972956039187717" TargetMode="External"/><Relationship Id="rId1611" Type="http://schemas.openxmlformats.org/officeDocument/2006/relationships/hyperlink" Target="https://p77-sign-va.tiktokcdn.com/tos-maliva-avt-0068/8ea8087edb8a916268bd5c36a3bc49d1~tplv-tiktokx-cropcenter:100:100.jpeg?dr=14579&amp;refresh_token=84b799b5&amp;x-expires=1764727200&amp;x-signature=Rw68wWblzf1zzvQQfVPpi%2FSYGLM%3D&amp;t=4d5b0474&amp;ps=13740610&amp;shp=a5d48078&amp;shcp=81f88b70&amp;idc=my" TargetMode="External"/><Relationship Id="rId1612" Type="http://schemas.openxmlformats.org/officeDocument/2006/relationships/hyperlink" Target="https://v16-webapp-prime.tiktok.com/video/tos/useast2a/tos-useast2a-v-27dcd7/okfnf5GvILSeIOJe0AIIAJhAKikteN39AK6AAK/?a=1988&amp;bti=ODszNWYuMDE6&amp;ch=0&amp;cr=0&amp;dr=0&amp;er=0&amp;lr=default&amp;cd=0%7C0%7C0%7C0&amp;br=250&amp;bt=125&amp;ds=5&amp;ft=GNDpcInz7ThszKvPXq8Zmo&amp;mime_type=audio_mpeg&amp;qs=13&amp;rc=Mzhpc3I5cm88MzMzNzU8M0BpMzhpc3I5cm88MzMzNzU8M0BhNF9rMmRzNGNhLS1kMTZzYSNhNF9rMmRzNGNhLS1kMTZzcw%3D%3D&amp;btag=e00060000&amp;expire=1764559787&amp;l=20251201102055111140D50F38376E882B&amp;ply_type=3&amp;policy=3&amp;signature=6eb75c2b19d0ad331ac28bfb84c9a32a&amp;tk=7571587458748974088" TargetMode="External"/><Relationship Id="rId1613" Type="http://schemas.openxmlformats.org/officeDocument/2006/relationships/hyperlink" Target="https://p16-sign-va.tiktokcdn.com/tos-maliva-avt-0068/8ea8087edb8a916268bd5c36a3bc49d1~tplv-tiktokx-cropcenter:1080:1080.jpeg?dr=14579&amp;refresh_token=132608ea&amp;x-expires=1764727200&amp;x-signature=FWXcdIGkmWTrdShm%2F1pMeErDoUk%3D&amp;t=4d5b0474&amp;ps=13740610&amp;shp=a5d48078&amp;shcp=81f88b70&amp;idc=my" TargetMode="External"/><Relationship Id="rId1614" Type="http://schemas.openxmlformats.org/officeDocument/2006/relationships/hyperlink" Target="https://v16-webapp-prime.tiktok.com/video/tos/useast2a/tos-useast2a-ve-0068c002/oETbheLjGCgQLWIIj9ILSYQsPCSInk8gfSjfPA/?a=1988&amp;bti=ODszNWYuMDE6&amp;ch=0&amp;cr=3&amp;dr=0&amp;lr=all&amp;cd=0%7C0%7C0%7C&amp;cv=1&amp;br=1282&amp;bt=641&amp;cs=0&amp;ds=3&amp;ft=-Csk_mrMPD12NbDh5d-UxPR2SY6e3wv25IcAp&amp;mime_type=video_mp4&amp;qs=0&amp;rc=ZTs7OjxkO2hoNmZnNDgzO0BpMzhrdnk5cnY8MzMzNzczM0AyMzVfNWNfXmMxYTYwMTViYSNtcGBtMmRjMGNhLS1kMTZzcw%3D%3D&amp;btag=e000a0000&amp;expire=1764728987&amp;l=20251201102055111140D50F38376E882B&amp;ply_type=2&amp;policy=2&amp;signature=7e4fc3af416278a1bcae3acf99a5ca43&amp;tk=tt_chain_token" TargetMode="External"/><Relationship Id="rId1615" Type="http://schemas.openxmlformats.org/officeDocument/2006/relationships/hyperlink" Target="https://www.tiktok.com/@seuneyzinho/video/7502596247262399799" TargetMode="External"/><Relationship Id="rId1616" Type="http://schemas.openxmlformats.org/officeDocument/2006/relationships/hyperlink" Target="https://p16-sign-va.tiktokcdn.com/tos-maliva-avt-0068/fc1698d10dca32b79684fcca308c78cc~tplv-tiktokx-cropcenter:100:100.jpeg?dr=14579&amp;refresh_token=866fa9ea&amp;x-expires=1764727200&amp;x-signature=qpjl1%2Bt4vMIEwTmJJ5wdX%2FC1yLE%3D&amp;t=4d5b0474&amp;ps=13740610&amp;shp=a5d48078&amp;shcp=81f88b70&amp;idc=my" TargetMode="External"/><Relationship Id="rId907"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617" Type="http://schemas.openxmlformats.org/officeDocument/2006/relationships/hyperlink" Target="https://v16-webapp-prime.tiktok.com/video/tos/useast2a/tos-useast2a-v-27dcd7/o8AShKB5XAEuci3AEUcM8UlEzC4BqQABDiAva/?a=1988&amp;bti=ODszNWYuMDE6&amp;ch=0&amp;cr=0&amp;dr=0&amp;er=0&amp;lr=default&amp;cd=0%7C0%7C0%7C0&amp;br=250&amp;bt=125&amp;ds=5&amp;ft=GNDpcInz7ThzgKvPXq8Zmo&amp;mime_type=audio_mpeg&amp;qs=13&amp;rc=M248NnE5cm1oNDMzNzU8M0BpM248NnE5cm1oNDMzNzU8M0BrbC5pMmRrMC1hLS1kMTZzYSNrbC5pMmRrMC1hLS1kMTZzcw%3D%3D&amp;btag=e00050000&amp;expire=1764559567&amp;l=2025120110233960BDF2AFAD3CC4F063FC&amp;ply_type=3&amp;policy=3&amp;signature=a0e10f558fc8597935fdc0221670b0f5&amp;tk=7571587458748974088" TargetMode="External"/><Relationship Id="rId906" Type="http://schemas.openxmlformats.org/officeDocument/2006/relationships/hyperlink" Target="https://v16-webapp-prime.tiktok.com/video/tos/useast2a/tos-useast2a-v-27dcd7/ooZjrAkB0Ac0QNuiiAAbPBEAKgt7fXnolEEcCk/?a=1988&amp;bti=ODszNWYuMDE6&amp;ch=0&amp;cr=0&amp;dr=0&amp;er=0&amp;lr=default&amp;cd=0%7C0%7C0%7C0&amp;br=250&amp;bt=125&amp;ds=5&amp;ft=GNDpcInz7Th0zKvPXq8Zmo&amp;mime_type=audio_mpeg&amp;qs=13&amp;rc=ampwPG45cmxxNTMzNzU8M0BpampwPG45cmxxNTMzNzU8M0BgcGEtMmRjMHFhLS1kMTZzYSNgcGEtMmRjMHFhLS1kMTZzcw%3D%3D&amp;btag=e00050000&amp;expire=1764559354&amp;l=2025120110213238A64472738F9C5726DD&amp;ply_type=3&amp;policy=3&amp;signature=f8f3221418c20b90aec879f58451d0ea&amp;tk=7571587458748974088" TargetMode="External"/><Relationship Id="rId1618" Type="http://schemas.openxmlformats.org/officeDocument/2006/relationships/hyperlink" Target="https://p77-sign-va.tiktokcdn.com/tos-maliva-avt-0068/fc1698d10dca32b79684fcca308c78cc~tplv-tiktokx-cropcenter:1080:1080.jpeg?dr=14579&amp;refresh_token=7a5c72ca&amp;x-expires=1764727200&amp;x-signature=mdrR35uP4icWi14xzo7Dz99gj6M%3D&amp;t=4d5b0474&amp;ps=13740610&amp;shp=a5d48078&amp;shcp=81f88b70&amp;idc=my" TargetMode="External"/><Relationship Id="rId905"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619" Type="http://schemas.openxmlformats.org/officeDocument/2006/relationships/hyperlink" Target="https://v16-webapp-prime.tiktok.com/video/tos/useast2a/tos-useast2a-ve-0068c002/owwjNgICfVZegBS9IXFTwGgQGeAaLCgRMCXQcI/?a=1988&amp;bti=ODszNWYuMDE6&amp;ch=0&amp;cr=3&amp;dr=0&amp;lr=all&amp;cd=0%7C0%7C0%7C&amp;cv=1&amp;br=1184&amp;bt=592&amp;cs=0&amp;ds=3&amp;ft=-Csk_mrMPD12NDZh5d-UxSI5SY6e3wv25NcAp&amp;mime_type=video_mp4&amp;qs=0&amp;rc=ZzVpNzlpOjM4ZDszZTk2ZUBpMzt4OG05cmRoNDMzNzczM0BeMWMvMV8wXi4xYi1gNTRiYSNwYGNfMmRjLi1hLS1kMTZzcw%3D%3D&amp;btag=e00090000&amp;expire=1764728767&amp;l=2025120110233960BDF2AFAD3CC4F063FC&amp;ply_type=2&amp;policy=2&amp;signature=9f6d274b680a8993e4c5057e81382d39&amp;tk=tt_chain_token" TargetMode="External"/><Relationship Id="rId904" Type="http://schemas.openxmlformats.org/officeDocument/2006/relationships/hyperlink" Target="https://www.tiktok.com/@tdah.com.amorr/video/7545135844810657030" TargetMode="External"/><Relationship Id="rId909" Type="http://schemas.openxmlformats.org/officeDocument/2006/relationships/hyperlink" Target="https://www.tiktok.com/@lorenatdahta/video/7546750654287498502" TargetMode="External"/><Relationship Id="rId908" Type="http://schemas.openxmlformats.org/officeDocument/2006/relationships/hyperlink" Target="https://v16-webapp-prime.tiktok.com/video/tos/useast2a/tos-useast2a-ve-0068c003/oYuCG81ed2ARLCARQMFMj5LGgIRISfgqyedLIW/?a=1988&amp;bti=ODszNWYuMDE6&amp;ch=0&amp;cr=3&amp;dr=0&amp;lr=all&amp;cd=0%7C0%7C0%7C&amp;cv=1&amp;br=838&amp;bt=419&amp;cs=0&amp;ds=3&amp;ft=-Csk_mrMPD12NsDh5d-UxSc2hY6e3wv25DcAp&amp;mime_type=video_mp4&amp;qs=0&amp;rc=NWk6PGg3M2U3NGQ6NDhpM0BpMzh3ZG45cjlxNTMzNzczM0AzNTQ2MGM0X2AxMzBfMTQ2YSNncGliMmRrMHFhLS1kMTZzcw%3D%3D&amp;btag=e00090000&amp;expire=1764728554&amp;l=2025120110213238A64472738F9C5726DD&amp;ply_type=2&amp;policy=2&amp;signature=fd29493570219467fa1088d426fda76f&amp;tk=tt_chain_token" TargetMode="External"/><Relationship Id="rId903" Type="http://schemas.openxmlformats.org/officeDocument/2006/relationships/hyperlink" Target="https://v16-webapp-prime.tiktok.com/video/tos/useast2a/tos-useast2a-ve-0068c001/ogf142RbGIGD01KlAaLgSDjJoCepRFCQIGgeIa/?a=1988&amp;bti=ODszNWYuMDE6&amp;ch=0&amp;cr=3&amp;dr=0&amp;lr=all&amp;cd=0%7C0%7C0%7C&amp;cv=1&amp;br=844&amp;bt=422&amp;cs=0&amp;ds=3&amp;ft=-Csk_mrMPD12NKdh5d-Uxs12aY6e3wv252cAp&amp;mime_type=video_mp4&amp;qs=0&amp;rc=MzZnZTpmNDU4aGY2aTQ6ZUBpM25kaWw5cjx1NTMzNzczM0AwYi9eMC0yXi0xLjYyMTUzYSNhbm9nMmQ0Nm5hLS1kMTZzcw%3D%3D&amp;btag=e00088000&amp;expire=1764728500&amp;l=20251201102042908EBE054CA4706238E0&amp;ply_type=2&amp;policy=2&amp;signature=534f2fbe526e1eeb132e42574e5ed13a&amp;tk=tt_chain_token" TargetMode="External"/><Relationship Id="rId902" Type="http://schemas.openxmlformats.org/officeDocument/2006/relationships/hyperlink" Target="https://p77-sign-va.tiktokcdn.com/tos-maliva-avt-0068/e36021fab1514000f0e38ef6e435b4da~tplv-tiktokx-cropcenter:1080:1080.jpeg?dr=14579&amp;refresh_token=bcfd20c8&amp;x-expires=1764727200&amp;x-signature=FkrJjUaS%2FCDE3TKYXs1AMUWVQ1o%3D&amp;t=4d5b0474&amp;ps=13740610&amp;shp=a5d48078&amp;shcp=81f88b70&amp;idc=my" TargetMode="External"/><Relationship Id="rId901" Type="http://schemas.openxmlformats.org/officeDocument/2006/relationships/hyperlink" Target="https://v16-webapp-prime.tiktok.com/video/tos/useast2a/tos-useast2a-v-27dcd7/ooAS1rBzDAESRiy1L1VpyUlEHCtMUQACWiAPa/?a=1988&amp;bti=ODszNWYuMDE6&amp;ch=0&amp;cr=0&amp;dr=0&amp;er=0&amp;lr=default&amp;cd=0%7C0%7C0%7C0&amp;br=250&amp;bt=125&amp;ds=5&amp;ft=GNDpcInz7ThCPKvPXq8Zmo&amp;mime_type=audio_mpeg&amp;qs=13&amp;rc=M29nZGw5cjp1NTMzNzU8M0BpM29nZGw5cjp1NTMzNzU8M0A2X2FeMmQ0Xm5hLS1kMTZzYSM2X2FeMmQ0Xm5hLS1kMTZzcw%3D%3D&amp;btag=e00048000&amp;expire=1764559300&amp;l=20251201102042908EBE054CA4706238E0&amp;ply_type=3&amp;policy=3&amp;signature=acb55deec65bf66662f1b0d060fcf67e&amp;tk=7571587458748974088" TargetMode="External"/><Relationship Id="rId900" Type="http://schemas.openxmlformats.org/officeDocument/2006/relationships/hyperlink" Target="https://p77-sign-va.tiktokcdn.com/tos-maliva-avt-0068/e36021fab1514000f0e38ef6e435b4da~tplv-tiktokx-cropcenter:100:100.jpeg?dr=14579&amp;refresh_token=0c4c4e5a&amp;x-expires=1764727200&amp;x-signature=7pBZTvUBfkrtT3stX8fI8eHHERw%3D&amp;t=4d5b0474&amp;ps=13740610&amp;shp=a5d48078&amp;shcp=81f88b70&amp;idc=my" TargetMode="External"/><Relationship Id="rId1600" Type="http://schemas.openxmlformats.org/officeDocument/2006/relationships/hyperlink" Target="https://www.tiktok.com/@psi.jonathanorlandi/video/7508740632177937720" TargetMode="External"/><Relationship Id="rId1601"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602" Type="http://schemas.openxmlformats.org/officeDocument/2006/relationships/hyperlink" Target="https://v16-webapp-prime.tiktok.com/video/tos/useast2a/tos-useast2a-v-27dcd7/ooT9DDQPfCQnzGYigDJo9YBqoEBJFUfDWaCYvg/?a=1988&amp;bti=ODszNWYuMDE6&amp;ch=0&amp;cr=0&amp;dr=0&amp;er=0&amp;lr=default&amp;cd=0%7C0%7C0%7C0&amp;br=250&amp;bt=125&amp;ft=GNDpcInz7ThezKvPXq8Zmo&amp;mime_type=audio_mpeg&amp;qs=6&amp;rc=ZzU1M2g2Zjw5aGU3ODppOEBpajQ5cWo5cjN0MzMzNzU8M0AvYDIyYzZhX2MxLWMtX15eYSNuMGkyMmRzMHJhLS1kMTZzcw%3D%3D&amp;btag=e00090000&amp;expire=1764559392&amp;l=202512011021342A4EB9620CED315EA2E7&amp;ply_type=3&amp;policy=3&amp;signature=388af282594839a7449366bd3c051c08&amp;tk=7571587458748974088" TargetMode="External"/><Relationship Id="rId1603"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1604" Type="http://schemas.openxmlformats.org/officeDocument/2006/relationships/hyperlink" Target="https://v16-webapp-prime.tiktok.com/video/tos/useast2a/tos-useast2a-pve-0068/okABQZh9jfoEfBPHkQDayIKlJPoRECFQrmQEoM/?a=1988&amp;bti=ODszNWYuMDE6&amp;ch=0&amp;cr=3&amp;dr=0&amp;lr=all&amp;cd=0%7C0%7C0%7C&amp;cv=1&amp;br=1288&amp;bt=644&amp;cs=0&amp;ds=3&amp;ft=-Csk_mrMPD12N6Dh5d-Uxq42hY6e3wv25IcAp&amp;mime_type=video_mp4&amp;qs=0&amp;rc=MzxpPGhnNTU0PDo2ZTw7ZkBpMzQ2bWw5cjV0MzMzNzczM0A1MDRiNjVjXjQxMy5hL2EtYSNoMi9jMmRrLnJhLS1kMTZzcw%3D%3D&amp;btag=e00090000&amp;expire=1764728592&amp;l=202512011021342A4EB9620CED315EA2E7&amp;ply_type=2&amp;policy=2&amp;signature=8edd453e0c7cd2aa2c69380f85a2053a&amp;tk=tt_chain_token" TargetMode="External"/><Relationship Id="rId1605" Type="http://schemas.openxmlformats.org/officeDocument/2006/relationships/hyperlink" Target="https://www.tiktok.com/@psi.jonathanorlandi/video/7511337228283514118" TargetMode="External"/><Relationship Id="rId1606"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607" Type="http://schemas.openxmlformats.org/officeDocument/2006/relationships/hyperlink" Target="https://v16-webapp-prime.tiktok.com/video/tos/useast2a/tos-useast2a-v-27dcd7/ogg0zgE4EABCoMBxEOBKAnuOVkimEJOiKAAwfA/?a=1988&amp;bti=ODszNWYuMDE6&amp;ch=0&amp;cr=0&amp;dr=0&amp;er=0&amp;lr=default&amp;cd=0%7C0%7C0%7C0&amp;br=250&amp;bt=125&amp;ds=5&amp;ft=GNDpcInz7Th6zKvPXq8Zmo&amp;mime_type=audio_mpeg&amp;qs=13&amp;rc=amhqZXI5cnI7czMzNzU8M0BpamhqZXI5cnI7czMzNzU8M0BeMWVsMmRzMTRgLS1kMTZzYSNeMWVsMmRzMTRgLS1kMTZzcw%3D%3D&amp;btag=e00050000&amp;expire=1764559368&amp;l=202512011021446E702D323C03BE6BD085&amp;ply_type=3&amp;policy=3&amp;signature=c0bacb2f3af8ba3e898326a98bc4c3a3&amp;tk=7571587458748974088" TargetMode="External"/><Relationship Id="rId1608"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1609" Type="http://schemas.openxmlformats.org/officeDocument/2006/relationships/hyperlink" Target="https://v16-webapp-prime.tiktok.com/video/tos/useast2a/tos-useast2a-ve-0068c001/oIGbAowZMSvE8kzi6ZsFvvUcBQEZQiDB8B8AI/?a=1988&amp;bti=ODszNWYuMDE6&amp;ch=0&amp;cr=3&amp;dr=0&amp;lr=all&amp;cd=0%7C0%7C0%7C&amp;cv=1&amp;br=1616&amp;bt=808&amp;cs=0&amp;ds=3&amp;ft=-Csk_mrMPD12NVDh5d-UxIS5hY6e3wv25ocAp&amp;mime_type=video_mp4&amp;qs=0&amp;rc=O2kzZTQ0ODc1aGZpNmk4ZUBpamlncGo5cnY7czMzNzczM0A1MzUyNF82XjExL2BgYTBjYSMvZzVrMmRrMDRgLS1kMTZzcw%3D%3D&amp;btag=e00090000&amp;expire=1764728568&amp;l=202512011021446E702D323C03BE6BD085&amp;ply_type=2&amp;policy=2&amp;signature=077d1ee5d2c9f4ac3a39472e6c0ba694&amp;tk=tt_chain_token" TargetMode="External"/><Relationship Id="rId163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1632" Type="http://schemas.openxmlformats.org/officeDocument/2006/relationships/hyperlink" Target="https://v16-webapp-prime.tiktok.com/video/tos/useast2a/tos-useast2a-v-27dcd7/o8fQ48vKiAKmMJAQAVcQJlEkfFyWQG6fWIfZAL/?a=1988&amp;bti=ODszNWYuMDE6&amp;ch=0&amp;cr=0&amp;dr=0&amp;er=0&amp;lr=default&amp;cd=0%7C0%7C0%7C0&amp;br=250&amp;bt=125&amp;ds=5&amp;ft=GNDpcInz7ThuPKvPXq8Zmo&amp;mime_type=audio_mpeg&amp;qs=13&amp;rc=MzVvbW05cnZlcDMzNzU8M0BpMzVvbW05cnZlcDMzNzU8M0A0ZXJlMmRrc21gLS1kMTZzYSM0ZXJlMmRrc21gLS1kMTZzcw%3D%3D&amp;btag=e00050000&amp;expire=1764559348&amp;l=20251201102046E8B89E886773854715A1&amp;ply_type=3&amp;policy=3&amp;signature=954f5a59b5c0a7d4bdf5c039074a7abf&amp;tk=7571587458748974088" TargetMode="External"/><Relationship Id="rId1633"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1634" Type="http://schemas.openxmlformats.org/officeDocument/2006/relationships/hyperlink" Target="https://v16-webapp-prime.tiktok.com/video/tos/useast2a/tos-useast2a-ve-0068c004/ocusJIFEDeO9rBwSQEfBAUQx1FFnElBEcmpRgy/?a=1988&amp;bti=ODszNWYuMDE6&amp;ch=0&amp;cr=3&amp;dr=0&amp;lr=all&amp;cd=0%7C0%7C0%7C&amp;cv=1&amp;br=762&amp;bt=381&amp;cs=0&amp;ds=3&amp;ft=I~da4oKyD12Nvb.WS.IxRnTNWlBF-UjNS3opiX&amp;mime_type=video_mp4&amp;qs=0&amp;rc=NzlpOGRpNmlnNDtoZzRpaUBpamx1Zm05cmtlcDMzNzczM0BjMS8vXzM2X18xNS02NWI2YSNoXnMuMmRjcm1gLS1kMTZzcw%3D%3D&amp;btag=e00090000&amp;expire=1764728548&amp;l=20251201102046E8B89E886773854715A1&amp;ply_type=2&amp;policy=2&amp;signature=b5e504a0ae3544cd56452834a563c15d&amp;tk=tt_chain_token" TargetMode="External"/><Relationship Id="rId1635" Type="http://schemas.openxmlformats.org/officeDocument/2006/relationships/hyperlink" Target="https://www.tiktok.com/@liberdade.mentall/video/7328130556401569029" TargetMode="External"/><Relationship Id="rId1636" Type="http://schemas.openxmlformats.org/officeDocument/2006/relationships/hyperlink" Target="https://p16-sign-sg.tiktokcdn.com/tos-alisg-avt-0068/a922d44f129753f3f4657ae1aab09386~tplv-tiktokx-cropcenter:100:100.jpeg?dr=14579&amp;refresh_token=5bdfd54c&amp;x-expires=1764727200&amp;x-signature=pGFhZQQDOwW8phry2fYNLTtCGq0%3D&amp;t=4d5b0474&amp;ps=13740610&amp;shp=a5d48078&amp;shcp=81f88b70&amp;idc=my" TargetMode="External"/><Relationship Id="rId1637" Type="http://schemas.openxmlformats.org/officeDocument/2006/relationships/hyperlink" Target="https://v16-webapp-prime.tiktok.com/video/tos/useast2a/tos-useast2a-v-27dcd7/oYjogMGAAQQALBHvYSeCTPjeeqoLVaoNEIC06Q/?a=1988&amp;bti=ODszNWYuMDE6&amp;ch=0&amp;cr=0&amp;dr=0&amp;er=0&amp;lr=default&amp;cd=0%7C0%7C0%7C0&amp;br=250&amp;bt=125&amp;ds=5&amp;ft=GNDpcInz7ThhFKvPXq8Zmo&amp;mime_type=audio_mpeg&amp;qs=13&amp;rc=anRneHQ5cnZnMzMzNzU8M0BpanRneHQ5cnZnMzMzNzU8M0AzMGRlMmRjX2BhLS1kMTZzYSMzMGRlMmRjX2BhLS1kMTZzcw%3D%3D&amp;btag=e00050000&amp;expire=1764559406&amp;l=20251201102153319CD8E1EA373154CB8C&amp;ply_type=3&amp;policy=3&amp;signature=dc40910eabdec0a84b8a0021f7efddcf&amp;tk=7571587458748974088" TargetMode="External"/><Relationship Id="rId1638"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929" Type="http://schemas.openxmlformats.org/officeDocument/2006/relationships/hyperlink" Target="https://www.tiktok.com/@igorpsicologo/video/7576819490525203730" TargetMode="External"/><Relationship Id="rId1639" Type="http://schemas.openxmlformats.org/officeDocument/2006/relationships/hyperlink" Target="https://v16-webapp-prime.tiktok.com/video/tos/useast2a/tos-useast2a-ve-0068c003/oIoILzWJQfFISrMCBenGeCUjuPALgKWgnUuQI1/?a=1988&amp;bti=ODszNWYuMDE6&amp;ch=0&amp;cr=3&amp;dr=0&amp;lr=all&amp;cd=0%7C0%7C0%7C&amp;cv=1&amp;br=3312&amp;bt=1656&amp;cs=0&amp;ds=3&amp;ft=-Csk_mrMPD12NNBh5d-UxIS5hY6e3wv25ocAp&amp;mime_type=video_mp4&amp;qs=0&amp;rc=ZTo7OjVoNTM6ZDU3ZTppZkBpMzNweGs5cmtlMzMzNzczM0A1Yy9jNC02X2IxNjIvMi40YSNpamhjMmRzX2BhLS1kMTZzcw%3D%3D&amp;btag=e00090000&amp;expire=1764728606&amp;l=20251201102153319CD8E1EA373154CB8C&amp;ply_type=2&amp;policy=2&amp;signature=5df5198deeb5d54311c210dffad2f195&amp;tk=tt_chain_token" TargetMode="External"/><Relationship Id="rId928" Type="http://schemas.openxmlformats.org/officeDocument/2006/relationships/hyperlink" Target="https://v16-webapp-prime.tiktok.com/video/tos/alisg/tos-alisg-pve-0037c001/ogCX4CIwq9AiYiyRglIh9kfmWIBiAAHEjQW04m/?a=1988&amp;bti=ODszNWYuMDE6&amp;ch=0&amp;cr=3&amp;dr=0&amp;lr=all&amp;cd=0%7C0%7C0%7C&amp;cv=1&amp;br=1782&amp;bt=891&amp;cs=0&amp;ds=3&amp;ft=I~da4oKyD12NvaMWS.IxRYjNWlBF-UjNSkopiX&amp;mime_type=video_mp4&amp;qs=0&amp;rc=Ozw3OGZmOWdmMzloM2hpNEBpMzR4PHc5cjQ3NzMzODczNEAwLWMtLjI1Xl4xMDI2NTAuYSNgNGZwMmRjNWdhLS1kMTFzcw%3D%3D&amp;btag=e00090000&amp;expire=1764728591&amp;l=2025120110220384643B3986DED954E961&amp;ply_type=2&amp;policy=2&amp;signature=1a1503e102f74ec5fc12864dfb46e1a3&amp;tk=tt_chain_token" TargetMode="External"/><Relationship Id="rId927"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926" Type="http://schemas.openxmlformats.org/officeDocument/2006/relationships/hyperlink" Target="https://v16-webapp-prime.tiktok.com/video/tos/alisg/tos-alisg-v-27dcd7/o4BMAIvIxffmiKifAAxmStAAIcfDAJMhMfCNOM/?a=1988&amp;bti=ODszNWYuMDE6&amp;ch=0&amp;cr=0&amp;dr=0&amp;er=0&amp;lr=default&amp;cd=0%7C0%7C0%7C0&amp;br=250&amp;bt=125&amp;ds=5&amp;ft=GNDpcInz7ThcFKvPXq8Zmo&amp;mime_type=audio_mpeg&amp;qs=13&amp;rc=aml5eHM5cmc3NzMzODU8NEBpaml5eHM5cmc3NzMzODU8NEBkMTBzMmRjXmdhLS1kMS1zYSNkMTBzMmRjXmdhLS1kMS1zcw%3D%3D&amp;btag=e00050000&amp;expire=1764559391&amp;l=2025120110220384643B3986DED954E961&amp;ply_type=3&amp;policy=3&amp;signature=81a913a584ecc50dc9e0dc76e3a6bb7d&amp;tk=7571587458748974088" TargetMode="External"/><Relationship Id="rId921" Type="http://schemas.openxmlformats.org/officeDocument/2006/relationships/hyperlink" Target="https://sf16-ies-music-sg.tiktokcdn.com/obj/tos-alisg-ve-2774/ocDJWQ0LMBGCyIEhkfZgt8jBPJHLYgfzQUCCFo" TargetMode="External"/><Relationship Id="rId920"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925"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924" Type="http://schemas.openxmlformats.org/officeDocument/2006/relationships/hyperlink" Target="https://www.tiktok.com/@lorenatdahta/video/7383485917660581126" TargetMode="External"/><Relationship Id="rId923" Type="http://schemas.openxmlformats.org/officeDocument/2006/relationships/hyperlink" Target="https://v16-webapp-prime.tiktok.com/video/tos/maliva/tos-maliva-ve-0068c801-us/oE8I0OiViHbNu3kYCcNsaJoIBfACigQabASz7E/?a=1988&amp;bti=ODszNWYuMDE6&amp;ch=0&amp;cr=3&amp;dr=0&amp;lr=all&amp;cd=0%7C0%7C0%7C&amp;cv=1&amp;br=1662&amp;bt=831&amp;cs=0&amp;ds=3&amp;ft=-Csk_mrMPD12NTDh5d-UxHX2hY6e3wv25McAp&amp;mime_type=video_mp4&amp;qs=0&amp;rc=PDdpOGg8aDY8PGk0NjppPEBpM3Q8cW45cnBwczMzNzczM0AxL2EtNF4xXzIxLjMyXjU1YSNyajFhMmRjYW9gLS1kMTZzcw%3D%3D&amp;btag=e00090000&amp;expire=1764728522&amp;l=20251201102050B730D50024D84153D9E5&amp;ply_type=2&amp;policy=2&amp;signature=e4682a2359c20eb0f1c86001c23ed8ec&amp;tk=tt_chain_token" TargetMode="External"/><Relationship Id="rId922" Type="http://schemas.openxmlformats.org/officeDocument/2006/relationships/hyperlink" Target="https://p16-sg.tiktokcdn.com/aweme/720x720/tos-alisg-v-2774/ooKDWAgisoOfmqAj1wAGlEAEEBU0D6BcCsVAiA.jpeg" TargetMode="External"/><Relationship Id="rId1630" Type="http://schemas.openxmlformats.org/officeDocument/2006/relationships/hyperlink" Target="https://www.tiktok.com/@girodaengrenagem/video/7273934247239404806" TargetMode="External"/><Relationship Id="rId1620" Type="http://schemas.openxmlformats.org/officeDocument/2006/relationships/hyperlink" Target="https://www.tiktok.com/@neurodivergenciaeopapo/video/7512252412501986565" TargetMode="External"/><Relationship Id="rId1621"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622" Type="http://schemas.openxmlformats.org/officeDocument/2006/relationships/hyperlink" Target="https://v16-webapp-prime.tiktok.com/video/tos/useast2a/tos-useast2a-v-27dcd7/68453995f0694f2ebfd4f26d49eb357f/?a=1988&amp;bti=ODszNWYuMDE6&amp;ch=0&amp;cr=0&amp;dr=0&amp;er=0&amp;lr=default&amp;cd=0%7C0%7C0%7C0&amp;br=250&amp;bt=125&amp;ds=5&amp;ft=GNDpcInz7Th0zKvPXq8Zmo&amp;mime_type=audio_mpeg&amp;qs=13&amp;rc=anVmbDM6Znl0ajMzNzU8M0BpanVmbDM6Znl0ajMzNzU8M0A1NmMvcjRfYmRgLS1kMTZzYSM1NmMvcjRfYmRgLS1kMTZzcw%3D%3D&amp;btag=e00050000&amp;expire=1764559416&amp;l=2025120110213238A64472738F9C5726DD&amp;ply_type=3&amp;policy=3&amp;signature=568f0eeaa72aac73c64d307de8136f6e&amp;tk=7571587458748974088" TargetMode="External"/><Relationship Id="rId1623"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624" Type="http://schemas.openxmlformats.org/officeDocument/2006/relationships/hyperlink" Target="https://v16-webapp-prime.tiktok.com/video/tos/maliva/tos-maliva-ve-0068c801-us/o0XDNkSEDBRaA8eZ6AJhfQBTr4WIBsntERybRn/?a=1988&amp;bti=ODszNWYuMDE6&amp;ch=0&amp;cr=3&amp;dr=0&amp;lr=all&amp;cd=0%7C0%7C0%7C&amp;cv=1&amp;br=764&amp;bt=382&amp;cs=0&amp;ds=3&amp;ft=-Csk_mrMPD12NsDh5d-UxSc2hY6e3wv25DcAp&amp;mime_type=video_mp4&amp;qs=0&amp;rc=PDg2aTg5aTxnNTxlaGczPEBpajxxa2U6Znh0ajMzNzczM0AyMjIzMDNeXzYxMDFhYi8zYSNxcTE1cjQwM2RgLS1kMTZzcw%3D%3D&amp;btag=e00090000&amp;expire=1764728616&amp;l=2025120110213238A64472738F9C5726DD&amp;ply_type=2&amp;policy=2&amp;signature=6428be7535ed32993e0851ed1c105354&amp;tk=tt_chain_token" TargetMode="External"/><Relationship Id="rId1625" Type="http://schemas.openxmlformats.org/officeDocument/2006/relationships/hyperlink" Target="https://www.tiktok.com/@lorenatdahta/video/7215232154811550982" TargetMode="External"/><Relationship Id="rId1626" Type="http://schemas.openxmlformats.org/officeDocument/2006/relationships/hyperlink" Target="https://p77-sign-va.tiktokcdn.com/tos-maliva-avt-0068/b7841460d9b1783162ae78e8d2cf3a44~tplv-tiktokx-cropcenter:100:100.jpeg?dr=14579&amp;refresh_token=1a71a3cf&amp;x-expires=1764727200&amp;x-signature=cP7JRBbi4VICpBys8T4CslrLcMw%3D&amp;t=4d5b0474&amp;ps=13740610&amp;shp=a5d48078&amp;shcp=81f88b70&amp;idc=my" TargetMode="External"/><Relationship Id="rId1627" Type="http://schemas.openxmlformats.org/officeDocument/2006/relationships/hyperlink" Target="https://v16-webapp-prime.tiktok.com/video/tos/useast2a/tos-useast2a-v-27dcd7/oUBbFkRBhTphUVfJL0MQDTCJuNQNRvLy5jeIQz/?a=1988&amp;bti=ODszNWYuMDE6&amp;ch=0&amp;cr=0&amp;dr=0&amp;er=0&amp;lr=default&amp;cd=0%7C0%7C0%7C0&amp;br=250&amp;bt=125&amp;ft=GNDpcInz7ThvzKvPXq8Zmo&amp;mime_type=audio_mpeg&amp;qs=6&amp;rc=OzRoaWk3NzNmZTNpNzc6ZkBpam5zcGU6ZnE2bTMzNzU8M0BiNGM2XzYuNi0xMmIyX2FhYSM1NHFkcjRnNm1gLS1kMTZzcw%3D%3D&amp;btag=e000a0000&amp;expire=1764559643&amp;l=2025120110205711DA509A8B9B2F6AA181&amp;ply_type=3&amp;policy=3&amp;signature=20f982d0618c5ec5868eda422c8adef5&amp;tk=7571587458748974088" TargetMode="External"/><Relationship Id="rId918" Type="http://schemas.openxmlformats.org/officeDocument/2006/relationships/hyperlink" Target="https://v16-webapp-prime.tiktok.com/video/tos/maliva/tos-maliva-ve-0068c801-us/oUpyVQkzxAOCHR4fhCuJYAIuCgZRN61o2IURDG/?a=1988&amp;bti=ODszNWYuMDE6&amp;ch=0&amp;cr=3&amp;dr=0&amp;lr=all&amp;cd=0%7C0%7C0%7C&amp;cv=1&amp;br=2962&amp;bt=1481&amp;cs=0&amp;ds=3&amp;ft=-Csk_mrMPD12N7Dh5d-UxII2hY6e3wv252cAp&amp;mime_type=video_mp4&amp;qs=0&amp;rc=PDxpOTZnZGUzOjc0M2ZlOUBpajo6ZzU6ZjZtaTMzNzczM0AuL2MzNjM1NTAxYzYzNmJiYSNoZGdrcjQwZjVgLS1kMTZzcw%3D%3D&amp;btag=e000b8000&amp;expire=1764728478&amp;l=2025120110210247DE29902DF1415935A0&amp;ply_type=2&amp;policy=2&amp;signature=3fb64dba95be205874c21fc75305d269&amp;tk=tt_chain_token" TargetMode="External"/><Relationship Id="rId1628" Type="http://schemas.openxmlformats.org/officeDocument/2006/relationships/hyperlink" Target="https://p16-sign-va.tiktokcdn.com/tos-maliva-avt-0068/b7841460d9b1783162ae78e8d2cf3a44~tplv-tiktokx-cropcenter:1080:1080.jpeg?dr=14579&amp;refresh_token=65bc2d60&amp;x-expires=1764727200&amp;x-signature=%2BRLCnBmuacGhfk5l5BnoOqcfB6k%3D&amp;t=4d5b0474&amp;ps=13740610&amp;shp=a5d48078&amp;shcp=81f88b70&amp;idc=my" TargetMode="External"/><Relationship Id="rId917" Type="http://schemas.openxmlformats.org/officeDocument/2006/relationships/hyperlink" Target="https://p16-sg.tiktokcdn.com/aweme/720x720/tos-alisg-v-2774/o8aLnPIAo9FLAIMwAfzwlKe7ANGDDCAI9A0Seo.jpeg" TargetMode="External"/><Relationship Id="rId1629" Type="http://schemas.openxmlformats.org/officeDocument/2006/relationships/hyperlink" Target="https://v16-webapp-prime.tiktok.com/video/tos/maliva/tos-maliva-ve-0068c801-us/oMJB8MlVvgKaCakBDkjQ0On28dbCABj1fRfkLl/?a=1988&amp;bti=ODszNWYuMDE6&amp;ch=0&amp;cr=3&amp;dr=0&amp;lr=all&amp;cd=0%7C0%7C0%7C&amp;cv=1&amp;br=1918&amp;bt=959&amp;cs=0&amp;ds=3&amp;ft=-Csk_mrMPD12N5Dh5d-UxP12hY6e3wv25ocAp&amp;mime_type=video_mp4&amp;qs=0&amp;rc=M2lpZDQ4ZjZoPDU4Z2llM0BpanV0ZGc6Zjo2bTMzNzgzM0BhX2BeYTM2X18xNC0xLV5jYSNtLTVlcjRfNG1gLS1kLzZzcw%3D%3D&amp;btag=e000a0000&amp;expire=1764728843&amp;l=2025120110205711DA509A8B9B2F6AA181&amp;ply_type=2&amp;policy=2&amp;signature=86431ac7c016f5e12dac7cd51b7efeb6&amp;tk=tt_chain_token" TargetMode="External"/><Relationship Id="rId916" Type="http://schemas.openxmlformats.org/officeDocument/2006/relationships/hyperlink" Target="https://sf16-ies-music-sg.tiktokcdn.com/obj/tos-alisg-ve-2774/ocYGgQdLwDNf1Feh2rXG50JKI4AuhDrQ4AeLme" TargetMode="External"/><Relationship Id="rId915" Type="http://schemas.openxmlformats.org/officeDocument/2006/relationships/hyperlink" Target="https://p77-sign-va.tiktokcdn.com/tos-maliva-avt-0068/b5b8616e7ad0f537b77f3f29a3b4aad1~tplv-tiktokx-cropcenter:100:100.jpeg?dr=14579&amp;refresh_token=222652d6&amp;x-expires=1764727200&amp;x-signature=3tdE7jWdU9TY3VKEydHLd16o%2By8%3D&amp;t=4d5b0474&amp;ps=13740610&amp;shp=a5d48078&amp;shcp=81f88b70&amp;idc=my" TargetMode="External"/><Relationship Id="rId919" Type="http://schemas.openxmlformats.org/officeDocument/2006/relationships/hyperlink" Target="https://www.tiktok.com/@natgarcianeuro/video/7192592805120822533" TargetMode="External"/><Relationship Id="rId910" Type="http://schemas.openxmlformats.org/officeDocument/2006/relationships/hyperlink" Target="https://p16-sign-va.tiktokcdn.com/tos-maliva-avt-0068/f33c918b025334118e01aa37b2cabd9d~tplv-tiktokx-cropcenter:100:100.jpeg?dr=14579&amp;refresh_token=18e5df8f&amp;x-expires=1764727200&amp;x-signature=u4qFNwrgZdPbKGwyTsug24bwrwg%3D&amp;t=4d5b0474&amp;ps=13740610&amp;shp=a5d48078&amp;shcp=81f88b70&amp;idc=my" TargetMode="External"/><Relationship Id="rId914" Type="http://schemas.openxmlformats.org/officeDocument/2006/relationships/hyperlink" Target="https://www.tiktok.com/@saude_e_bemestar__/video/7551579467571858700" TargetMode="External"/><Relationship Id="rId913" Type="http://schemas.openxmlformats.org/officeDocument/2006/relationships/hyperlink" Target="https://v16-webapp-prime.tiktok.com/video/tos/useast2a/tos-useast2a-ve-0068c002/oIGTVoEEIBQop1zfsmFJMpTNHai9pEAjDBJRQf/?a=1988&amp;bti=ODszNWYuMDE6&amp;ch=0&amp;cr=3&amp;dr=0&amp;lr=all&amp;cd=0%7C0%7C0%7C&amp;cv=1&amp;br=1652&amp;bt=826&amp;cs=0&amp;ds=3&amp;ft=-Csk_mrMPD12NTDh5d-UxHX2hY6e3wv25McAp&amp;mime_type=video_mp4&amp;qs=0&amp;rc=ZWQ5ODkzZDRmNjc0aTRkZEBpam9udXk5cmQ8NjMzNzczM0AtXzIyL18wNmAxXy8zMjMtYSMwbjRlMmRjZTNhLS1kMTZzcw%3D%3D&amp;btag=e00090000&amp;expire=1764728513&amp;l=20251201102050B730D50024D84153D9E5&amp;ply_type=2&amp;policy=2&amp;signature=e2caeb2f011fc91df5a82f3151671399&amp;tk=tt_chain_token" TargetMode="External"/><Relationship Id="rId912" Type="http://schemas.openxmlformats.org/officeDocument/2006/relationships/hyperlink" Target="https://p16-sg.tiktokcdn.com/aweme/720x720/tos-alisg-v-2774/604e1985ea7e4d018e3eb92ee6d522b4.jpeg" TargetMode="External"/><Relationship Id="rId911" Type="http://schemas.openxmlformats.org/officeDocument/2006/relationships/hyperlink" Target="https://sf16-ies-music-sg.tiktokcdn.com/obj/tos-alisg-ve-2774/ec28b201a97b4673ba761ff39b60fe91" TargetMode="External"/><Relationship Id="rId1213" Type="http://schemas.openxmlformats.org/officeDocument/2006/relationships/hyperlink" Target="https://v16-webapp-prime.tiktok.com/video/tos/maliva/tos-maliva-ve-0068c801-us/o8grBtfDJQlTRJmEQPfSwGlx2B8AZE92FgTHIQ/?a=1988&amp;bti=ODszNWYuMDE6&amp;ch=0&amp;cr=3&amp;dr=0&amp;lr=all&amp;cd=0%7C0%7C0%7C&amp;cv=1&amp;br=2390&amp;bt=1195&amp;cs=0&amp;ds=3&amp;ft=-Csk_mrMPD12NsDh5d-UxSc2hY6e3wv25DcAp&amp;mime_type=video_mp4&amp;qs=0&amp;rc=OWk0PDpkZGZoNjhmNTZpZ0Bpamx0OGw5cmtrcjMzNzczM0AyMTYwMjE2NS4xYzUwXmJhYSNoNmJoMmRzcmFgLS1kMTZzcw%3D%3D&amp;btag=e00090000&amp;expire=1764728561&amp;l=2025120110213238A64472738F9C5726DD&amp;ply_type=2&amp;policy=2&amp;signature=48379bb159037b2b12e6e2d92876c607&amp;tk=tt_chain_token" TargetMode="External"/><Relationship Id="rId1697" Type="http://schemas.openxmlformats.org/officeDocument/2006/relationships/hyperlink" Target="https://p16-sg.tiktokcdn.com/aweme/720x720/tos-alisg-v-2774/okEDokAf2ng6tBLdxARBxgACECQGTYAEQgfFZp.jpeg" TargetMode="External"/><Relationship Id="rId1214" Type="http://schemas.openxmlformats.org/officeDocument/2006/relationships/hyperlink" Target="https://www.tiktok.com/@lorenatdahta/video/7357509398626848005" TargetMode="External"/><Relationship Id="rId1698" Type="http://schemas.openxmlformats.org/officeDocument/2006/relationships/hyperlink" Target="https://v16-webapp-prime.tiktok.com/video/tos/useast2a/tos-useast2a-ve-0068c004/o81WnbIhEDNJRu6zSAjQ8BsigURDAdMMfBfRsO/?a=1988&amp;bti=ODszNWYuMDE6&amp;ch=0&amp;cr=3&amp;dr=0&amp;lr=all&amp;cd=0%7C0%7C0%7C&amp;cv=1&amp;br=1218&amp;bt=609&amp;cs=0&amp;ds=3&amp;ft=-Csk_mrMPD12N3Dh5d-UxIS5hY6e3wv25ocAp&amp;mime_type=video_mp4&amp;qs=0&amp;rc=PGY6Njo4NGg0PDlpOzo5aUBpamZmZDU6ZnI2ZzMzNzczM0AvYDIzMTQzNWExLTFeYzFiYSNtM20vcjRfbmBgLS1kMTZzcw%3D%3D&amp;btag=e00088000&amp;expire=1764728562&amp;l=20251201102147CB7160225F86D969BC26&amp;ply_type=2&amp;policy=2&amp;signature=1afb98317aee7f944039365165804387&amp;tk=tt_chain_token" TargetMode="External"/><Relationship Id="rId1215"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699" Type="http://schemas.openxmlformats.org/officeDocument/2006/relationships/hyperlink" Target="https://www.tiktok.com/@issoeinternet/video/7158542576100871430" TargetMode="External"/><Relationship Id="rId1216" Type="http://schemas.openxmlformats.org/officeDocument/2006/relationships/hyperlink" Target="https://v16-webapp-prime.tiktok.com/video/tos/useast2a/tos-useast2a-v-27dcd7/oQCABEU4cyBnTAkSlAABlEZD51UOnQJi3hi1P/?a=1988&amp;bti=ODszNWYuMDE6&amp;ch=0&amp;cr=0&amp;dr=0&amp;er=0&amp;lr=default&amp;cd=0%7C0%7C0%7C0&amp;br=250&amp;bt=125&amp;ds=5&amp;ft=GNDpcInz7Th0zKvPXq8Zmo&amp;mime_type=audio_mpeg&amp;qs=13&amp;rc=ajQ3ZnI5cnZodzMzNzU8M0BpajQ3ZnI5cnZodzMzNzU8M0AucWVmMmQ0Yl5gLS1kMTZzYSMucWVmMmQ0Yl5gLS1kMTZzcw%3D%3D&amp;btag=e00048000&amp;expire=1764559326&amp;l=2025120110213238A64472738F9C5726DD&amp;ply_type=3&amp;policy=3&amp;signature=c0d914367d9d501770886e2a32ebb4c5&amp;tk=7571587458748974088" TargetMode="External"/><Relationship Id="rId1217"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218" Type="http://schemas.openxmlformats.org/officeDocument/2006/relationships/hyperlink" Target="https://v16-webapp-prime.tiktok.com/video/tos/useast2a/tos-useast2a-pve-0068/oUjKgzfBkI3wIPzCm5qrhqFnUA3AMiNJiQDsEo/?a=1988&amp;bti=ODszNWYuMDE6&amp;ch=0&amp;cr=3&amp;dr=0&amp;lr=all&amp;cd=0%7C0%7C0%7C&amp;cv=1&amp;br=1534&amp;bt=767&amp;cs=0&amp;ds=3&amp;ft=-Csk_mrMPD12NsDh5d-UxSc2hY6e3wv25DcAp&amp;mime_type=video_mp4&amp;qs=0&amp;rc=ZzdoZGQ1NzY4PDY5Mzk6OEBpajhmNXE5cnBodzMzNzczM0AyMDQzLV9eNjMxMDJjMmJhYSNpcmpnMmRjYV5gLS1kMTZzcw%3D%3D&amp;btag=e00088000&amp;expire=1764728526&amp;l=2025120110213238A64472738F9C5726DD&amp;ply_type=2&amp;policy=2&amp;signature=c91e8eac5c9b02c0e2d5c5850d545b0c&amp;tk=tt_chain_token" TargetMode="External"/><Relationship Id="rId1219" Type="http://schemas.openxmlformats.org/officeDocument/2006/relationships/hyperlink" Target="https://www.tiktok.com/@lorenatdahta/video/7445830491648871685" TargetMode="External"/><Relationship Id="rId866" Type="http://schemas.openxmlformats.org/officeDocument/2006/relationships/hyperlink" Target="https://v16-webapp-prime.tiktok.com/video/tos/useast2a/tos-useast2a-v-27dcd7/oQJu1TsJ7EqjUyWBEo8QqqDfFbfACBpADEoXAv/?a=1988&amp;bti=ODszNWYuMDE6&amp;ch=0&amp;cr=0&amp;dr=0&amp;er=0&amp;lr=default&amp;cd=0%7C0%7C0%7C0&amp;br=250&amp;bt=125&amp;ds=5&amp;ft=GNDpcInz7ThkFKvPXq8Zmo&amp;mime_type=audio_mpeg&amp;qs=13&amp;rc=anVoOHk5cjl2NjMzNzU8M0BpanVoOHk5cjl2NjMzNzU8M0A2cWhpMmRzaV9hLS1kMTZzYSM2cWhpMmRzaV9hLS1kMTZzcw%3D%3D&amp;btag=e00050000&amp;expire=1764559460&amp;l=20251201102252D5AB29E5B8D21E61139C&amp;ply_type=3&amp;policy=3&amp;signature=1d03108c9dc565d3bef3b5ef7cf42ba9&amp;tk=7571587458748974088" TargetMode="External"/><Relationship Id="rId865" Type="http://schemas.openxmlformats.org/officeDocument/2006/relationships/hyperlink" Target="https://p77-sign-va.tiktokcdn.com/tos-maliva-avt-0068/a642898c7aad0559d0845f99a13b3685~tplv-tiktokx-cropcenter:100:100.jpeg?dr=14579&amp;refresh_token=f5e4b620&amp;x-expires=1764727200&amp;x-signature=L6SeBTvggNmON53M8HxGznmhz%2BA%3D&amp;t=4d5b0474&amp;ps=13740610&amp;shp=a5d48078&amp;shcp=81f88b70&amp;idc=my" TargetMode="External"/><Relationship Id="rId864" Type="http://schemas.openxmlformats.org/officeDocument/2006/relationships/hyperlink" Target="https://www.tiktok.com/@brunolnunes/video/7168484946154179846" TargetMode="External"/><Relationship Id="rId863" Type="http://schemas.openxmlformats.org/officeDocument/2006/relationships/hyperlink" Target="https://v16-webapp-prime.tiktok.com/video/tos/maliva/tos-maliva-ve-0068c801-us/o4KenbAzIDzSozkyhgGgeC17Q7j5AeBgxCFLB3/?a=1988&amp;bti=ODszNWYuMDE6&amp;ch=0&amp;cr=3&amp;dr=0&amp;lr=all&amp;cd=0%7C0%7C0%7C&amp;cv=1&amp;br=1120&amp;bt=560&amp;cs=0&amp;ds=3&amp;ft=-Csk_mrMPD12NXdh5d-Uxe42hY6e3wv25XcAp&amp;mime_type=video_mp4&amp;qs=0&amp;rc=NTplaTg0OWk7OTk6Zmc3OUBpM3M1aDM6ZmZzZzMzNzczM0AtLmA0LTQ1Xi8xMGAxMGAzYSM1Lmg1cjRvMnFgLS1kMTZzcw%3D%3D&amp;btag=e00090000&amp;expire=1764728503&amp;l=202512011020161DC26370CAB01566B4BC&amp;ply_type=2&amp;policy=2&amp;signature=5e874818f6186ecb91f164ddab9d9bba&amp;tk=tt_chain_token" TargetMode="External"/><Relationship Id="rId869" Type="http://schemas.openxmlformats.org/officeDocument/2006/relationships/hyperlink" Target="https://www.tiktok.com/@psipatricialeopoldino/video/7554729625075666188" TargetMode="External"/><Relationship Id="rId868" Type="http://schemas.openxmlformats.org/officeDocument/2006/relationships/hyperlink" Target="https://v16-webapp-prime.tiktok.com/video/tos/useast2a/tos-useast2a-ve-0068c002/oEOCHVGgLZLzrlvSMjYGACFI8fgQISgegR5lfI/?a=1988&amp;bti=ODszNWYuMDE6&amp;ch=0&amp;cr=3&amp;dr=0&amp;lr=all&amp;cd=0%7C0%7C0%7C&amp;cv=1&amp;br=2356&amp;bt=1178&amp;cs=0&amp;ds=3&amp;ft=-Csk_mrMPD12NqBh5d-Uxe42hY6e3wv25XcAp&amp;mime_type=video_mp4&amp;qs=0&amp;rc=ZDY2Nzo8ZzY0OWc6NzhlNkBpajgzN3k5cnh2NjMzNzczM0A2NS4yMy4xXjExXzZeXzQxYSNlMmpzMmRjZV9hLS1kMTZzcw%3D%3D&amp;btag=e00090000&amp;expire=1764728660&amp;l=20251201102252D5AB29E5B8D21E61139C&amp;ply_type=2&amp;policy=2&amp;signature=567ae0fddd63e766757495159d80c1d1&amp;tk=tt_chain_token" TargetMode="External"/><Relationship Id="rId867" Type="http://schemas.openxmlformats.org/officeDocument/2006/relationships/hyperlink" Target="https://p16-sign-va.tiktokcdn.com/tos-maliva-avt-0068/a642898c7aad0559d0845f99a13b3685~tplv-tiktokx-cropcenter:1080:1080.jpeg?dr=14579&amp;refresh_token=4207d495&amp;x-expires=1764727200&amp;x-signature=14cPrPDJ%2Bs4dTAyJ6bECN0c%2BCng%3D&amp;t=4d5b0474&amp;ps=13740610&amp;shp=a5d48078&amp;shcp=81f88b70&amp;idc=my" TargetMode="External"/><Relationship Id="rId1690" Type="http://schemas.openxmlformats.org/officeDocument/2006/relationships/hyperlink" Target="https://p16-sign-va.tiktokcdn.com/tos-maliva-avt-0068/00f6ab8b637b29865ceebe24b10fef4a~tplv-tiktokx-cropcenter:100:100.jpeg?dr=14579&amp;refresh_token=0127ebc6&amp;x-expires=1764727200&amp;x-signature=6j3BmuhhrLsrf8FiwEFnL7ZI81c%3D&amp;t=4d5b0474&amp;ps=13740610&amp;shp=a5d48078&amp;shcp=81f88b70&amp;idc=my" TargetMode="External"/><Relationship Id="rId1691" Type="http://schemas.openxmlformats.org/officeDocument/2006/relationships/hyperlink" Target="https://sf16-ies-music-sg.tiktokcdn.com/obj/tos-alisg-ve-2774/36c45fbf26c943c0ab9627251afd960b" TargetMode="External"/><Relationship Id="rId1692" Type="http://schemas.openxmlformats.org/officeDocument/2006/relationships/hyperlink" Target="https://p16-sg.tiktokcdn.com/aweme/720x720/tos-alisg-v-2774/47ccb712fc744e03b97c5b232ff279cc.jpeg" TargetMode="External"/><Relationship Id="rId862" Type="http://schemas.openxmlformats.org/officeDocument/2006/relationships/hyperlink" Target="https://p77-sign-va.tiktokcdn.com/tos-maliva-avt-0068/72466cc9d5b9a27930c91e8fb7677589~tplv-tiktokx-cropcenter:1080:1080.jpeg?dr=14579&amp;refresh_token=7bfbfafa&amp;x-expires=1764727200&amp;x-signature=Cp1VdnmySkXd%2Fim0au%2FHuuWiblQ%3D&amp;t=4d5b0474&amp;ps=13740610&amp;shp=a5d48078&amp;shcp=81f88b70&amp;idc=my" TargetMode="External"/><Relationship Id="rId1693" Type="http://schemas.openxmlformats.org/officeDocument/2006/relationships/hyperlink" Target="https://v16-webapp-prime.tiktok.com/video/tos/maliva/tos-maliva-ve-0068c801-us/oQLVDGHrQx3RAQ7WkYoiiS8tEeBvJzbPBJgAne/?a=1988&amp;bti=ODszNWYuMDE6&amp;ch=0&amp;cr=3&amp;dr=0&amp;lr=all&amp;cd=0%7C0%7C0%7C&amp;cv=1&amp;br=1536&amp;bt=768&amp;cs=0&amp;ds=3&amp;ft=-Csk_mrMPD12NyDh5d-UxO72hY6e3wv257cAp&amp;mime_type=video_mp4&amp;qs=0&amp;rc=aWk5M2Y2Njs2aDtkOzplOkBpMzd1dGc6ZmxtbDMzNzczM0BfYzM1NWEyNWIxLzMxXjNiYSNkcjJscjRvbGtgLS1kMTZzcw%3D%3D&amp;btag=e00090000&amp;expire=1764728597&amp;l=20251201102104F69A53E45B65A94E5B1C&amp;ply_type=2&amp;policy=2&amp;signature=62da8f9b3b1c951c3986b464e3a33f19&amp;tk=tt_chain_token" TargetMode="External"/><Relationship Id="rId861" Type="http://schemas.openxmlformats.org/officeDocument/2006/relationships/hyperlink" Target="https://v16-webapp-prime.tiktok.com/video/tos/useast2a/tos-useast2a-v-27dcd7/cc4227a515e44fa39b39e2dacf6ec5f9/?a=1988&amp;bti=ODszNWYuMDE6&amp;ch=0&amp;cr=0&amp;dr=0&amp;er=0&amp;lr=default&amp;cd=0%7C0%7C0%7C0&amp;br=216&amp;bt=108&amp;ds=5&amp;ft=GNDpcInz7ThRPKvPXq8Zmo&amp;mime_type=video_mp4&amp;qs=13&amp;rc=M2c8Ozo6ZjpzZzMzNzU8M0BpM2c8Ozo6ZjpzZzMzNzU8M0AuYW42cjRnM3FgLS1kMTZzYSMuYW42cjRnM3FgLS1kMTZzcw%3D%3D&amp;btag=e00050000&amp;expire=1764559303&amp;l=202512011020161DC26370CAB01566B4BC&amp;ply_type=3&amp;policy=3&amp;signature=e6642930ac0b5f24fc97caeeb307ed49&amp;tk=7571587458748974088" TargetMode="External"/><Relationship Id="rId1210"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694" Type="http://schemas.openxmlformats.org/officeDocument/2006/relationships/hyperlink" Target="https://www.tiktok.com/@psi.carolynedestefani/video/7255084792608247046" TargetMode="External"/><Relationship Id="rId860" Type="http://schemas.openxmlformats.org/officeDocument/2006/relationships/hyperlink" Target="https://p77-sign-va.tiktokcdn.com/tos-maliva-avt-0068/72466cc9d5b9a27930c91e8fb7677589~tplv-tiktokx-cropcenter:100:100.jpeg?dr=14579&amp;refresh_token=3e917014&amp;x-expires=1764727200&amp;x-signature=cr%2F%2BCAsNUopn7lel%2F5%2Bomc6IPmo%3D&amp;t=4d5b0474&amp;ps=13740610&amp;shp=a5d48078&amp;shcp=81f88b70&amp;idc=my" TargetMode="External"/><Relationship Id="rId1211" Type="http://schemas.openxmlformats.org/officeDocument/2006/relationships/hyperlink" Target="https://v16-webapp-prime.tiktok.com/video/tos/useast2a/tos-useast2a-v-27dcd7/oge5ETCMCgAElATPAE69fAOEbZsDNFgfjSbH0o/?a=1988&amp;bti=ODszNWYuMDE6&amp;ch=0&amp;cr=0&amp;dr=0&amp;er=0&amp;lr=default&amp;cd=0%7C0%7C0%7C0&amp;br=250&amp;bt=125&amp;ds=5&amp;ft=GNDpcInz7Th0zKvPXq8Zmo&amp;mime_type=audio_mpeg&amp;qs=13&amp;rc=amhraGo5cnBrcjMzNzU8M0BpamhraGo5cnBrcjMzNzU8M0A0amJjMmRjc2FgLS1kMTZzYSM0amJjMmRjc2FgLS1kMTZzcw%3D%3D&amp;btag=e00050000&amp;expire=1764559361&amp;l=2025120110213238A64472738F9C5726DD&amp;ply_type=3&amp;policy=3&amp;signature=a64cb9ce5c2295442a76414425ca08b3&amp;tk=7571587458748974088" TargetMode="External"/><Relationship Id="rId1695" Type="http://schemas.openxmlformats.org/officeDocument/2006/relationships/hyperlink" Target="https://p16-sign-va.tiktokcdn.com/tos-maliva-avt-0068/1ec3a32b59fef9109228fa2cc2b14a0c~tplv-tiktokx-cropcenter:100:100.jpeg?dr=14579&amp;refresh_token=413f88fc&amp;x-expires=1764727200&amp;x-signature=xeDdaybYG1Cp3upu1iGD1aqTQGw%3D&amp;t=4d5b0474&amp;ps=13740610&amp;shp=a5d48078&amp;shcp=81f88b70&amp;idc=my" TargetMode="External"/><Relationship Id="rId1212" Type="http://schemas.openxmlformats.org/officeDocument/2006/relationships/hyperlink" Target="https://p16-sign-va.tiktokcdn.com/tos-maliva-avt-0068/924cd2a569ead49e262b2573224c311d~tplv-tiktokx-cropcenter:1080:1080.jpeg?dr=14579&amp;refresh_token=5949444d&amp;x-expires=1764727200&amp;x-signature=8Z589VEOLIito0uRxQQeH568oE8%3D&amp;t=4d5b0474&amp;ps=13740610&amp;shp=a5d48078&amp;shcp=81f88b70&amp;idc=my" TargetMode="External"/><Relationship Id="rId1696" Type="http://schemas.openxmlformats.org/officeDocument/2006/relationships/hyperlink" Target="https://sf16-ies-music-sg.tiktokcdn.com/obj/tos-alisg-ve-2774/oAXBiA0YMW4g8WERIO1jifTZogSNzMBk2A4swv" TargetMode="External"/><Relationship Id="rId1202" Type="http://schemas.openxmlformats.org/officeDocument/2006/relationships/hyperlink" Target="https://p16-sg.tiktokcdn.com/aweme/720x720/tos-alisg-v-2774/0c6f9b5b9dbe4ce79434e9b5f3aa6e97.jpeg" TargetMode="External"/><Relationship Id="rId1686" Type="http://schemas.openxmlformats.org/officeDocument/2006/relationships/hyperlink" Target="https://sf16-ies-music-sg.tiktokcdn.com/obj/tos-alisg-ve-2774/okW1KyACiAlba86NBYtOa6piIOFrc8KgPUMgW" TargetMode="External"/><Relationship Id="rId1203" Type="http://schemas.openxmlformats.org/officeDocument/2006/relationships/hyperlink" Target="https://v16-webapp-prime.tiktok.com/video/tos/useast2a/tos-useast2a-pve-0068/ogGZZSeHRComrgIiDejdINzCUKeUXgsrAiAHLP/?a=1988&amp;bti=ODszNWYuMDE6&amp;ch=0&amp;cr=3&amp;dr=0&amp;lr=all&amp;cd=0%7C0%7C0%7C&amp;cv=1&amp;br=496&amp;bt=248&amp;cs=0&amp;ds=6&amp;ft=I~da4oKyD12Nvi.WS.IxR51NWlBF-UjNSMopiX&amp;mime_type=video_mp4&amp;qs=5&amp;rc=aWk7N2k1NGlnM2hnZ2c5OUBpamVlZHY5cmpleTMzNzczM0A0XjExNWAwNi0xYTJeYzReYSMvaGtwMmRzZjNgLS1kMTZzcw%3D%3D&amp;btag=e00090000&amp;expire=1764728481&amp;l=202512011020200FFD70C70F6D756DA043&amp;ply_type=2&amp;policy=2&amp;signature=4b6afc9b2d2f1bebb85c9db07db5a47b&amp;tk=tt_chain_token" TargetMode="External"/><Relationship Id="rId1687" Type="http://schemas.openxmlformats.org/officeDocument/2006/relationships/hyperlink" Target="https://p77-sg.tiktokcdn.com/aweme/720x720/tos-alisg-v-2774/okEArPBPlAAi6gAWawaINBKWpUiECcAY3Dg8J.jpeg" TargetMode="External"/><Relationship Id="rId1204" Type="http://schemas.openxmlformats.org/officeDocument/2006/relationships/hyperlink" Target="https://www.tiktok.com/@maylahaddad/video/7479557548773887237" TargetMode="External"/><Relationship Id="rId1688" Type="http://schemas.openxmlformats.org/officeDocument/2006/relationships/hyperlink" Target="https://v16-webapp-prime.tiktok.com/video/tos/alisg/tos-alisg-ve-37c813-sg/oQJzgeNJGCURLCqIBKISh7QHCCSIfg8ggHje3A/?a=1988&amp;bti=ODszNWYuMDE6&amp;ch=0&amp;cr=3&amp;dr=0&amp;lr=all&amp;cd=0%7C0%7C0%7C&amp;cv=1&amp;br=1160&amp;bt=580&amp;cs=0&amp;ds=3&amp;ft=-Csk_mrMPD12NLdh5d-Uxbt2hY6e3wv25HcAp&amp;mime_type=video_mp4&amp;qs=0&amp;rc=Z2U3ZWc2Nzs7ZTRkMzplPEBpMzlvc3I5cnJqNTMzNzczM0AvYjEvNS5iNmMxY14tYC1gYSNscDM0MmQ0cS9hLS1kMTZzcw%3D%3D&amp;btag=e00090000&amp;expire=1764728486&amp;l=202512011020239FD63C9B4E4C976A9DFE&amp;ply_type=2&amp;policy=2&amp;signature=8264fb4811e4a75c17bf599b0190d494&amp;tk=tt_chain_token" TargetMode="External"/><Relationship Id="rId1205" Type="http://schemas.openxmlformats.org/officeDocument/2006/relationships/hyperlink" Target="https://p16-sign-va.tiktokcdn.com/tos-maliva-avt-0068/27d21cdb4f993894af65bfcc5689ad70~tplv-tiktokx-cropcenter:100:100.jpeg?dr=14579&amp;refresh_token=3c5a35d7&amp;x-expires=1764727200&amp;x-signature=0jim%2FPoV5LR%2BsL2h0Iz1k2iY3Dk%3D&amp;t=4d5b0474&amp;ps=13740610&amp;shp=a5d48078&amp;shcp=81f88b70&amp;idc=my" TargetMode="External"/><Relationship Id="rId1689" Type="http://schemas.openxmlformats.org/officeDocument/2006/relationships/hyperlink" Target="https://www.tiktok.com/@tdahcommaisperformance/video/7531442613426081030" TargetMode="External"/><Relationship Id="rId1206" Type="http://schemas.openxmlformats.org/officeDocument/2006/relationships/hyperlink" Target="https://v16-webapp-prime.tiktok.com/video/tos/useast2a/tos-useast2a-v-27dcd7/oICi4NaXOsmMUDRru0IIQ0PElAITigBBVzShM/?a=1988&amp;bti=ODszNWYuMDE6&amp;ch=0&amp;cr=0&amp;dr=0&amp;er=0&amp;lr=default&amp;cd=0%7C0%7C0%7C0&amp;br=250&amp;bt=125&amp;ft=GNDpcInz7ThrzKvPXq8Zmo&amp;mime_type=audio_mpeg&amp;qs=6&amp;rc=Zjc7PDk5aGU2MzY4MzQ2OUBpajltdG05cjM4NDMzNzU8M0BfYTZeXi80NjMxLjMuMS00YSM1NnIuMmQ0YzFhLS1kMTZzcw%3D%3D&amp;btag=e00088000&amp;expire=1764559304&amp;l=20251201102050B730D50024D84153D9E5&amp;ply_type=3&amp;policy=3&amp;signature=444d472e12eae89e8cc52edb9a0c423c&amp;tk=7571587458748974088" TargetMode="External"/><Relationship Id="rId1207" Type="http://schemas.openxmlformats.org/officeDocument/2006/relationships/hyperlink" Target="https://p77-sign-va.tiktokcdn.com/tos-maliva-avt-0068/27d21cdb4f993894af65bfcc5689ad70~tplv-tiktokx-cropcenter:1080:1080.jpeg?dr=14579&amp;refresh_token=8dc2b51c&amp;x-expires=1764727200&amp;x-signature=dGIn28p%2BW%2FH7NN6AvaiLPAvXWkU%3D&amp;t=4d5b0474&amp;ps=13740610&amp;shp=a5d48078&amp;shcp=81f88b70&amp;idc=my" TargetMode="External"/><Relationship Id="rId1208" Type="http://schemas.openxmlformats.org/officeDocument/2006/relationships/hyperlink" Target="https://v16-webapp-prime.tiktok.com/video/tos/useast2a/tos-useast2a-pve-0068/oQUwJEwSaE3yaUw7AJBIiihEwQBivEmIqXQhI/?a=1988&amp;bti=ODszNWYuMDE6&amp;ch=0&amp;cr=3&amp;dr=0&amp;lr=all&amp;cd=0%7C0%7C0%7C&amp;cv=1&amp;br=1444&amp;bt=722&amp;cs=0&amp;ds=3&amp;ft=-Csk_mrMPD12NTDh5d-UxHX2hY6e3wv25McAp&amp;mime_type=video_mp4&amp;qs=0&amp;rc=NmRoOmdpaTxpNWZlNDdkaUBpMzttZmo5cjw4NDMzNzczM0A0MTNhXzFgXjExLS5jLTRfYSNnYmZsMmRrYjFhLS1kMTZzcw%3D%3D&amp;btag=e00088000&amp;expire=1764728504&amp;l=20251201102050B730D50024D84153D9E5&amp;ply_type=2&amp;policy=2&amp;signature=509cd2fedfbd4b0281f945737500929e&amp;tk=tt_chain_token" TargetMode="External"/><Relationship Id="rId1209" Type="http://schemas.openxmlformats.org/officeDocument/2006/relationships/hyperlink" Target="https://www.tiktok.com/@descomplicando.o0/video/7514352148398771462" TargetMode="External"/><Relationship Id="rId855" Type="http://schemas.openxmlformats.org/officeDocument/2006/relationships/hyperlink" Target="https://p16-sign-sg.tiktokcdn.com/tos-alisg-avt-0068/5f966eb2bae4fc1e800f80743e1e9be0~tplv-tiktokx-cropcenter:100:100.jpeg?dr=14579&amp;refresh_token=fce4c19b&amp;x-expires=1764727200&amp;x-signature=0uOKyDW8velp0N600B2V2LvA%2FD8%3D&amp;t=4d5b0474&amp;ps=13740610&amp;shp=a5d48078&amp;shcp=81f88b70&amp;idc=my" TargetMode="External"/><Relationship Id="rId854" Type="http://schemas.openxmlformats.org/officeDocument/2006/relationships/hyperlink" Target="https://www.tiktok.com/@igorpsicologo/video/7542641406720953605" TargetMode="External"/><Relationship Id="rId853" Type="http://schemas.openxmlformats.org/officeDocument/2006/relationships/hyperlink" Target="https://v16-webapp-prime.tiktok.com/video/tos/useast2a/tos-useast2a-ve-0068c004/o86sYz8iIBOScQaIAIyc9EjYP2iBE9pXQEKmU/?a=1988&amp;bti=ODszNWYuMDE6&amp;ch=0&amp;cr=3&amp;dr=0&amp;lr=all&amp;cd=0%7C0%7C0%7C&amp;cv=1&amp;br=2060&amp;bt=1030&amp;cs=0&amp;ds=3&amp;ft=-Csk_mrMPD12NVDh5d-UxIS5hY6e3wv25ocAp&amp;mime_type=video_mp4&amp;qs=0&amp;rc=NDg5ZzRmaWhnZTtkZjxlZ0BpanZvOXc5cnFnNTMzNzczM0A0YGE2X14yNS8xMjQzMjUzYSNlbTRiMmQ0ZGphLS1kMTZzcw%3D%3D&amp;btag=e00090000&amp;expire=1764728569&amp;l=202512011021446E702D323C03BE6BD085&amp;ply_type=2&amp;policy=2&amp;signature=a0b1307aaa611766731b817189621f56&amp;tk=tt_chain_token" TargetMode="External"/><Relationship Id="rId852"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859" Type="http://schemas.openxmlformats.org/officeDocument/2006/relationships/hyperlink" Target="https://www.tiktok.com/@vivendocomtdahoficial/video/7549765760147803448" TargetMode="External"/><Relationship Id="rId858" Type="http://schemas.openxmlformats.org/officeDocument/2006/relationships/hyperlink" Target="https://v16-webapp-prime.tiktok.com/video/tos/useast2a/tos-useast2a-ve-0068c004/oULTUzSiavyEpBR5D2nmNAELG3MQIQYkBRiV1/?a=1988&amp;bti=ODszNWYuMDE6&amp;ch=0&amp;cr=3&amp;dr=0&amp;lr=all&amp;cd=0%7C0%7C0%7C&amp;cv=1&amp;br=1246&amp;bt=623&amp;cs=0&amp;ds=3&amp;ft=-Csk_mrMPD12Nqdh5d-UxgS5hY6e3wv25icAp&amp;mime_type=video_mp4&amp;qs=0&amp;rc=NzszZjk3M2ZkaWY7NzQ2OUBpamVpbnE5cnA1NjMzNzczM0AtNDBhXl8uXl8xMzMvNTYyYSNeZl4yMmRrYzBhLS1kMTZzcw%3D%3D&amp;btag=e00088000&amp;expire=1764728493&amp;l=2025120110204563AE4C62401D615C8166&amp;ply_type=2&amp;policy=2&amp;signature=ab63cfc7766e2b1a168bf79f1074cc7c&amp;tk=tt_chain_token" TargetMode="External"/><Relationship Id="rId857" Type="http://schemas.openxmlformats.org/officeDocument/2006/relationships/hyperlink" Target="https://p16-sign-sg.tiktokcdn.com/tos-alisg-avt-0068/5f966eb2bae4fc1e800f80743e1e9be0~tplv-tiktokx-cropcenter:1080:1080.jpeg?dr=14579&amp;refresh_token=3350b872&amp;x-expires=1764727200&amp;x-signature=uNmyQCsydpzyoQYPeaPw8kAtQ%2BQ%3D&amp;t=4d5b0474&amp;ps=13740610&amp;shp=a5d48078&amp;shcp=81f88b70&amp;idc=my" TargetMode="External"/><Relationship Id="rId856" Type="http://schemas.openxmlformats.org/officeDocument/2006/relationships/hyperlink" Target="https://v16-webapp-prime.tiktok.com/video/tos/useast2a/tos-useast2a-v-27dcd7/oEiAEkjfxAvEZHKEBKY0tAiQBASBXDogBR6PGA/?a=1988&amp;bti=ODszNWYuMDE6&amp;ch=0&amp;cr=0&amp;dr=0&amp;er=0&amp;lr=default&amp;cd=0%7C0%7C0%7C0&amp;br=250&amp;bt=125&amp;ds=5&amp;ft=GNDpcInz7ThkPKvPXq8Zmo&amp;mime_type=audio_mpeg&amp;qs=13&amp;rc=amk4b3Q5cjM1NjMzNzU8M0Bpamk4b3Q5cjM1NjMzNzU8M0AtMG9qMmRzZDBhLS1kMTZzYSMtMG9qMmRzZDBhLS1kMTZzcw%3D%3D&amp;btag=e00048000&amp;expire=1764559293&amp;l=2025120110204563AE4C62401D615C8166&amp;ply_type=3&amp;policy=3&amp;signature=a3ab33ef5d469c8eefd347662084a633&amp;tk=7571587458748974088" TargetMode="External"/><Relationship Id="rId1680" Type="http://schemas.openxmlformats.org/officeDocument/2006/relationships/hyperlink" Target="https://www.tiktok.com/@psi.jonathanorlandi/video/7371818503029984518" TargetMode="External"/><Relationship Id="rId1681" Type="http://schemas.openxmlformats.org/officeDocument/2006/relationships/hyperlink" Target="https://p77-sign-va.tiktokcdn.com/tos-maliva-avt-0068/7270835054078853126~tplv-tiktokx-cropcenter:100:100.jpeg?dr=14579&amp;refresh_token=d335101f&amp;x-expires=1764727200&amp;x-signature=H4Z3saBYDd2%2BR7BteK4vlntEr70%3D&amp;t=4d5b0474&amp;ps=13740610&amp;shp=a5d48078&amp;shcp=81f88b70&amp;idc=my" TargetMode="External"/><Relationship Id="rId851" Type="http://schemas.openxmlformats.org/officeDocument/2006/relationships/hyperlink" Target="https://v16-webapp-prime.tiktok.com/video/tos/useast2a/tos-useast2a-v-27dcd7/oMo0fzQgSdELgIbYKbTozWeRAEGeCCAQcAmRJz/?a=1988&amp;bti=ODszNWYuMDE6&amp;ch=0&amp;cr=0&amp;dr=0&amp;er=0&amp;lr=default&amp;cd=0%7C0%7C0%7C0&amp;br=250&amp;bt=125&amp;ds=5&amp;ft=GNDpcInz7Th6zKvPXq8Zmo&amp;mime_type=audio_mpeg&amp;qs=13&amp;rc=M2RuOHY5cjlnNTMzNzU8M0BpM2RuOHY5cjlnNTMzNzU8M0AxYjBtMmRjZWphLS1kMTZzYSMxYjBtMmRjZWphLS1kMTZzcw%3D%3D&amp;btag=e00050000&amp;expire=1764559369&amp;l=202512011021446E702D323C03BE6BD085&amp;ply_type=3&amp;policy=3&amp;signature=29dce7a76201c5f829a56f44a69732c2&amp;tk=7571587458748974088" TargetMode="External"/><Relationship Id="rId1682" Type="http://schemas.openxmlformats.org/officeDocument/2006/relationships/hyperlink" Target="https://p16-sign-sg.tiktokcdn.com/tos-alisg-v-2774/okfZEtZVCihyCA3OMSBEEyhNgAFmBnCjjfDQAE~720x720.jpeg?lk3s=08d74b56&amp;x-expires=1764577290&amp;x-signature=oibTHAtxIrTMbfTsoWgO106sfZQ%3D" TargetMode="External"/><Relationship Id="rId850"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683" Type="http://schemas.openxmlformats.org/officeDocument/2006/relationships/hyperlink" Target="https://v16-webapp-prime.tiktok.com/video/tos/useast2a/tos-useast2a-ve-0068c001/oUH2gFWIMxCLX8C2ClLIgjGdIdAjerfQgqe3St/?a=1988&amp;bti=ODszNWYuMDE6&amp;ch=0&amp;cr=3&amp;dr=0&amp;lr=all&amp;cd=0%7C0%7C0%7C&amp;cv=1&amp;br=136&amp;bt=68&amp;cs=0&amp;ds=6&amp;ft=-Csk_mrMPD12NgDh5d-UxgS5hY6e3wv25-cAp&amp;mime_type=video_mp4&amp;qs=5&amp;rc=OGY6PDg7Z2U4OGU4aDM3ZEBpM3k1O3M5cnVwcjMzNzczM0AzXzVgXzIxXy4xMWBiMWNiYSMub2JhMmRrbHFgLS1kMTZzcw%3D%3D&amp;btag=e000b0000&amp;expire=1764728500&amp;l=2025120110213056C909F1BE127E576E48&amp;ply_type=2&amp;policy=2&amp;signature=d0e3b04cf322ec50172d32b3f0d282e6&amp;tk=tt_chain_token" TargetMode="External"/><Relationship Id="rId1200" Type="http://schemas.openxmlformats.org/officeDocument/2006/relationships/hyperlink" Target="https://p77-sign-va.tiktokcdn.com/tos-maliva-avt-0068/9e06e976e88a97c1965a9363892b8bc4~tplv-tiktokx-cropcenter:100:100.jpeg?dr=14579&amp;refresh_token=43925e9f&amp;x-expires=1764727200&amp;x-signature=TQ4298lXYz58eX4BawMjP0G%2FVb8%3D&amp;t=4d5b0474&amp;ps=13740610&amp;shp=a5d48078&amp;shcp=81f88b70&amp;idc=my" TargetMode="External"/><Relationship Id="rId1684" Type="http://schemas.openxmlformats.org/officeDocument/2006/relationships/hyperlink" Target="https://www.tiktok.com/@patrycia.leme/video/7366601462735998214" TargetMode="External"/><Relationship Id="rId1201" Type="http://schemas.openxmlformats.org/officeDocument/2006/relationships/hyperlink" Target="https://sf16-ies-music-sg.tiktokcdn.com/obj/tos-alisg-ve-2774/o0eyc3nzQ8CnoxB50dDQBUtrBT6ybZHPjpfng3" TargetMode="External"/><Relationship Id="rId1685" Type="http://schemas.openxmlformats.org/officeDocument/2006/relationships/hyperlink" Target="https://p77-sign-va.tiktokcdn.com/tos-maliva-avt-0068/fa233712dfcf05abd3a56a8d8aa1b5c6~tplv-tiktokx-cropcenter:100:100.jpeg?dr=14579&amp;refresh_token=788695a1&amp;x-expires=1764727200&amp;x-signature=R%2FFpmQhjr5GAJkiXK%2BX8FcCYHlI%3D&amp;t=4d5b0474&amp;ps=13740610&amp;shp=a5d48078&amp;shcp=81f88b70&amp;idc=my" TargetMode="External"/><Relationship Id="rId1235" Type="http://schemas.openxmlformats.org/officeDocument/2006/relationships/hyperlink" Target="https://p16-sign-va.tiktokcdn.com/tos-maliva-avt-0068/9e06e976e88a97c1965a9363892b8bc4~tplv-tiktokx-cropcenter:100:100.jpeg?dr=14579&amp;refresh_token=b97728d9&amp;x-expires=1764727200&amp;x-signature=KB5v%2BUqgvWfPIlwPaWTDAiLys2w%3D&amp;t=4d5b0474&amp;ps=13740610&amp;shp=a5d48078&amp;shcp=81f88b70&amp;idc=my" TargetMode="External"/><Relationship Id="rId1236" Type="http://schemas.openxmlformats.org/officeDocument/2006/relationships/hyperlink" Target="https://sf16-ies-music-sg.tiktokcdn.com/obj/tos-alisg-ve-2774/o0eyc3nzQ8CnoxB50dDQBUtrBT6ybZHPjpfng3" TargetMode="External"/><Relationship Id="rId1237" Type="http://schemas.openxmlformats.org/officeDocument/2006/relationships/hyperlink" Target="https://p77-sg.tiktokcdn.com/aweme/720x720/tos-alisg-v-2774/0c6f9b5b9dbe4ce79434e9b5f3aa6e97.jpeg" TargetMode="External"/><Relationship Id="rId1238" Type="http://schemas.openxmlformats.org/officeDocument/2006/relationships/hyperlink" Target="https://v16-webapp-prime.tiktok.com/video/tos/useast2a/tos-useast2a-ve-0068c001/ooIlvFEBVaQFpB3U5atEq0Q6JREgQ2TiA31iS/?a=1988&amp;bti=ODszNWYuMDE6&amp;ch=0&amp;cr=3&amp;dr=0&amp;lr=all&amp;cd=0%7C0%7C0%7C&amp;cv=1&amp;br=1160&amp;bt=580&amp;cs=0&amp;ds=3&amp;ft=-Csk_mrMPD12NlZh5d-Uxe42hY6e3wv25XcAp&amp;mime_type=video_mp4&amp;qs=0&amp;rc=NjU3NTo5ZTc4Omc0ZTs5O0Bpajw6d3E5cjNlNDMzNzczM0BfXzFgYS5iXmIxLTE2MjM1YSNmYy82MmRrYWFhLS1kMTZzcw%3D%3D&amp;btag=e00090000&amp;expire=1764728642&amp;l=2025120110230191B9E120BA4BAD649458&amp;ply_type=2&amp;policy=2&amp;signature=37073f49aba3cce6cb39976fc6c1dfae&amp;tk=tt_chain_token" TargetMode="External"/><Relationship Id="rId1239" Type="http://schemas.openxmlformats.org/officeDocument/2006/relationships/hyperlink" Target="https://www.tiktok.com/@maylahaddad/video/7519523505344400645" TargetMode="External"/><Relationship Id="rId409" Type="http://schemas.openxmlformats.org/officeDocument/2006/relationships/hyperlink" Target="https://v16-webapp-prime.tiktok.com/video/tos/alisg/tos-alisg-pve-0037c001/okx0AmyOiuAibgKAzwhIk8FSIP5kBAQ8CfQEGu/?a=1988&amp;bti=ODszNWYuMDE6&amp;ch=0&amp;cr=3&amp;dr=0&amp;lr=all&amp;cd=0%7C0%7C0%7C&amp;cv=1&amp;br=2100&amp;bt=1050&amp;cs=0&amp;ds=3&amp;ft=-Csk_mrMPD12NTDh5d-UxHX2hY6e3wv25McAp&amp;mime_type=video_mp4&amp;qs=0&amp;rc=NWk6ZGY5PGRlaDllZjk5M0BpMzlreHY5cnE1NzMzODczNEAyYDQ0MDMuNTMxXzJiYS41YSNyamAvMmRjY2dhLS1kMWBzcw%3D%3D&amp;btag=e00090000&amp;expire=1764728562&amp;l=20251201102050B730D50024D84153D9E5&amp;ply_type=2&amp;policy=2&amp;signature=c69bda18f4129503bbaea5d72d903656&amp;tk=tt_chain_token" TargetMode="External"/><Relationship Id="rId404" Type="http://schemas.openxmlformats.org/officeDocument/2006/relationships/hyperlink" Target="https://v16-webapp-prime.tiktok.com/video/tos/alisg/tos-alisg-pve-0037c001/o4gI6mgfRpETwcBYBLDeKxFkIIwHgAnQcqTaIE/?a=1988&amp;bti=ODszNWYuMDE6&amp;ch=0&amp;cr=3&amp;dr=0&amp;lr=all&amp;cd=0%7C0%7C0%7C&amp;cv=1&amp;br=2044&amp;bt=1022&amp;cs=0&amp;ds=3&amp;ft=-Csk_mrMPD12NgDh5d-UxgS5hY6e3wv25-cAp&amp;mime_type=video_mp4&amp;qs=0&amp;rc=PDpoZWY5aGg1ZDUzZ2c7M0BpMzdwOm05cnM3NzMzODczNEBhYV9iNC9gNjYxMzE2XmAxYSM1XjVrMmRrbGNhLS1kMWBzcw%3D%3D&amp;btag=e00090000&amp;expire=1764728594&amp;l=2025120110213056C909F1BE127E576E48&amp;ply_type=2&amp;policy=2&amp;signature=023e80ec587da18a2130f98b5c647d3e&amp;tk=tt_chain_token" TargetMode="External"/><Relationship Id="rId888" Type="http://schemas.openxmlformats.org/officeDocument/2006/relationships/hyperlink" Target="https://v16-webapp-prime.tiktok.com/video/tos/alisg/tos-alisg-pve-0037c001/oogiYcViavKEQBqzN2nTSAEVExQQIAS4B3iV7/?a=1988&amp;bti=ODszNWYuMDE6&amp;ch=0&amp;cr=3&amp;dr=0&amp;lr=all&amp;cd=0%7C0%7C0%7C&amp;cv=1&amp;br=2530&amp;bt=1265&amp;cs=0&amp;ds=3&amp;ft=-Csk_mrMPD12NzDh5d-UxKyFaY6e3wv257cAp&amp;mime_type=video_mp4&amp;qs=0&amp;rc=NTdoOTk0aDdlZzxmOTg2O0Bpam9lZGs5cnBkNzMzODczNEAxMy5gM2M1NWIxLmM1MGFhYSNeM2hkMmRrYy9hLS1kMTFzcw%3D%3D&amp;btag=e00090000&amp;expire=1764728585&amp;l=20251201102139650E38823033055E6EEC&amp;ply_type=2&amp;policy=2&amp;signature=5ca40e20fa978da658266e7b76624825&amp;tk=tt_chain_token" TargetMode="External"/><Relationship Id="rId403" Type="http://schemas.openxmlformats.org/officeDocument/2006/relationships/hyperlink" Target="https://p77-sign-va.tiktokcdn.com/tos-maliva-avt-0068/1b1ab6d65ae96fbe11db1ee88f115e37~tplv-tiktokx-cropcenter:1080:1080.jpeg?dr=14579&amp;refresh_token=ca2a94f7&amp;x-expires=1764727200&amp;x-signature=jwFMT3YXWkpr9die%2B7bIz0fGYmQ%3D&amp;t=4d5b0474&amp;ps=13740610&amp;shp=a5d48078&amp;shcp=81f88b70&amp;idc=my" TargetMode="External"/><Relationship Id="rId887"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402" Type="http://schemas.openxmlformats.org/officeDocument/2006/relationships/hyperlink" Target="https://v16-webapp-prime.tiktok.com/video/tos/alisg/tos-alisg-v-27dcd7/ooejdAgGSCTG5K7LIAAJsEIsoDneePZApTIHAt/?a=1988&amp;bti=ODszNWYuMDE6&amp;ch=0&amp;cr=0&amp;dr=0&amp;er=0&amp;lr=default&amp;cd=0%7C0%7C0%7C0&amp;br=250&amp;bt=125&amp;ds=5&amp;ft=GNDpcInz7ThpzKvPXq8Zmo&amp;mime_type=audio_mpeg&amp;qs=13&amp;rc=ang6bGs5cnc3NzMzODU8NEBpang6bGs5cnc3NzMzODU8NEBjcWdpMmRrbGNhLS1kMS1zYSNjcWdpMmRrbGNhLS1kMS1zcw%3D%3D&amp;btag=e00050000&amp;expire=1764559394&amp;l=2025120110213056C909F1BE127E576E48&amp;ply_type=3&amp;policy=3&amp;signature=cf127b6bf589db7726a0e2d35448dd82&amp;tk=7571587458748974088" TargetMode="External"/><Relationship Id="rId886" Type="http://schemas.openxmlformats.org/officeDocument/2006/relationships/hyperlink" Target="https://v16-webapp-prime.tiktok.com/video/tos/alisg/tos-alisg-v-27dcd7/oADQaALEmIGS1dAJfWAAeMIekJIqmniGAAfpTF/?a=1988&amp;bti=ODszNWYuMDE6&amp;ch=0&amp;cr=0&amp;dr=0&amp;er=0&amp;lr=default&amp;cd=0%7C0%7C0%7C0&amp;br=250&amp;bt=125&amp;ds=5&amp;ft=GNDpcInz7ThbzKvPXq8Zmo&amp;mime_type=audio_mpeg&amp;qs=13&amp;rc=am03a3E5cnhkNzMzODU8NEBpam03a3E5cnhkNzMzODU8NEAybmZjMmRrYy9hLS1kMS1zYSMybmZjMmRrYy9hLS1kMS1zcw%3D%3D&amp;btag=e00050000&amp;expire=1764559385&amp;l=20251201102139650E38823033055E6EEC&amp;ply_type=3&amp;policy=3&amp;signature=27e0f9db1defa96eb2ec46d9123e4d43&amp;tk=7571587458748974088" TargetMode="External"/><Relationship Id="rId401"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885" Type="http://schemas.openxmlformats.org/officeDocument/2006/relationships/hyperlink" Target="https://p77-sign-sg.tiktokcdn.com/tos-alisg-avt-0068/a922d44f129753f3f4657ae1aab09386~tplv-tiktokx-cropcenter:100:100.jpeg?dr=14579&amp;refresh_token=4432e3b7&amp;x-expires=1764727200&amp;x-signature=eQmmyEmebq4nyd8MuxeK1qxKIB4%3D&amp;t=4d5b0474&amp;ps=13740610&amp;shp=a5d48078&amp;shcp=81f88b70&amp;idc=my" TargetMode="External"/><Relationship Id="rId408" Type="http://schemas.openxmlformats.org/officeDocument/2006/relationships/hyperlink" Target="https://p16-sign-va.tiktokcdn.com/tos-maliva-avt-0068/1b1ab6d65ae96fbe11db1ee88f115e37~tplv-tiktokx-cropcenter:1080:1080.jpeg?dr=14579&amp;refresh_token=de1fe9fb&amp;x-expires=1764727200&amp;x-signature=Bq7jzWo2iGucM%2B0%2Fa1yihHdvj8s%3D&amp;t=4d5b0474&amp;ps=13740610&amp;shp=a5d48078&amp;shcp=81f88b70&amp;idc=my" TargetMode="External"/><Relationship Id="rId407" Type="http://schemas.openxmlformats.org/officeDocument/2006/relationships/hyperlink" Target="https://v16-webapp-prime.tiktok.com/video/tos/alisg/tos-alisg-v-27dcd7/osWifEDTWTBDfFTFSDW0fAgoAI5MCXSIAAmEEk/?a=1988&amp;bti=ODszNWYuMDE6&amp;ch=0&amp;cr=0&amp;dr=0&amp;er=0&amp;lr=default&amp;cd=0%7C0%7C0%7C0&amp;br=250&amp;bt=125&amp;ds=5&amp;ft=GNDpcInz7ThrzKvPXq8Zmo&amp;mime_type=audio_mpeg&amp;qs=13&amp;rc=amVldG05cnc1NzMzODU8NEBpamVldG05cnc1NzMzODU8NEAyMXAtMmQ0Y2dhLS1kMS1zYSMyMXAtMmQ0Y2dhLS1kMS1zcw%3D%3D&amp;btag=e00050000&amp;expire=1764559362&amp;l=20251201102050B730D50024D84153D9E5&amp;ply_type=3&amp;policy=3&amp;signature=6d816578c4d3bdf0d8e0427edf481650&amp;tk=7571587458748974088" TargetMode="External"/><Relationship Id="rId406"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405" Type="http://schemas.openxmlformats.org/officeDocument/2006/relationships/hyperlink" Target="https://www.tiktok.com/@psi.walace/video/7574575618705067284" TargetMode="External"/><Relationship Id="rId889" Type="http://schemas.openxmlformats.org/officeDocument/2006/relationships/hyperlink" Target="https://www.tiktok.com/@psi.jonathanorlandi/video/7567357838679362837" TargetMode="External"/><Relationship Id="rId880" Type="http://schemas.openxmlformats.org/officeDocument/2006/relationships/hyperlink" Target="https://p16-sign-va.tiktokcdn.com/tos-maliva-avt-0068/65652208aa86d43bb56c554bee9f3cfb~tplv-tiktokx-cropcenter:100:100.jpeg?dr=14579&amp;refresh_token=5d5396ac&amp;x-expires=1764727200&amp;x-signature=bDy%2F9%2BgTfr%2BQJuGROWGMydz76mU%3D&amp;t=4d5b0474&amp;ps=13740610&amp;shp=a5d48078&amp;shcp=81f88b70&amp;idc=my" TargetMode="External"/><Relationship Id="rId1230" Type="http://schemas.openxmlformats.org/officeDocument/2006/relationships/hyperlink" Target="https://p16-sign-va.tiktokcdn.com/tos-maliva-avt-0068/5db3f3dd1ba41fcb85058c2097db2e7e~tplv-tiktokx-cropcenter:100:100.jpeg?dr=14579&amp;refresh_token=38b0ccd6&amp;x-expires=1764727200&amp;x-signature=QHcUwTJU0EGH66UrvI2G14Wzxw4%3D&amp;t=4d5b0474&amp;ps=13740610&amp;shp=a5d48078&amp;shcp=81f88b70&amp;idc=my" TargetMode="External"/><Relationship Id="rId400" Type="http://schemas.openxmlformats.org/officeDocument/2006/relationships/hyperlink" Target="https://www.tiktok.com/@psi.walace/video/7568993913797725460" TargetMode="External"/><Relationship Id="rId884" Type="http://schemas.openxmlformats.org/officeDocument/2006/relationships/hyperlink" Target="https://www.tiktok.com/@menteintrigada.o/video/7449878362803162373" TargetMode="External"/><Relationship Id="rId1231" Type="http://schemas.openxmlformats.org/officeDocument/2006/relationships/hyperlink" Target="https://v16-webapp-prime.tiktok.com/video/tos/useast2a/tos-useast2a-v-27dcd7/oYfkq3uBgAAiAGojxqBNk0E1NEAGz4EFXitKB2/?a=1988&amp;bti=ODszNWYuMDE6&amp;ch=0&amp;cr=0&amp;dr=0&amp;er=0&amp;lr=default&amp;cd=0%7C0%7C0%7C0&amp;br=250&amp;bt=125&amp;ds=5&amp;ft=GNDpcInz7ThpgKvPXq8Zmo&amp;mime_type=audio_mpeg&amp;qs=13&amp;rc=amdqd2s5cnFoNDMzNzU8M0Bpamdqd2s5cnFoNDMzNzU8M0BqYGhlMmRjM2lhLS1kMTZzYSNqYGhlMmRjM2lhLS1kMTZzcw%3D%3D&amp;btag=e00048000&amp;expire=1764559467&amp;l=202512011023380569D1C6B730C3EFE5B4&amp;ply_type=3&amp;policy=3&amp;signature=2b777c742fd2c64f77d29c651220defe&amp;tk=7571587458748974088" TargetMode="External"/><Relationship Id="rId883" Type="http://schemas.openxmlformats.org/officeDocument/2006/relationships/hyperlink" Target="https://v16-webapp-prime.tiktok.com/video/tos/useast2a/tos-useast2a-ve-0068c004/o8PQxIBAX2QEbmNBdUQESiS58cjuHZZEnI2Ai/?a=1988&amp;bti=ODszNWYuMDE6&amp;ch=0&amp;cr=3&amp;dr=0&amp;lr=all&amp;cd=0%7C0%7C0%7C&amp;cv=1&amp;br=1194&amp;bt=597&amp;cs=0&amp;ds=3&amp;ft=-Csk_mrMPD12N6Dh5d-Uxq42hY6e3wv25IcAp&amp;mime_type=video_mp4&amp;qs=0&amp;rc=OzU4OWVmNzpnZmU3ZjxpNUBpamhqcHA5cnFudzMzNzczM0BhMDFfNDFjNmAxYmJgLTZjYSNnY2NwMmQ0ZGVgLS1kMTZzcw%3D%3D&amp;btag=e00090000&amp;expire=1764728555&amp;l=202512011021342A4EB9620CED315EA2E7&amp;ply_type=2&amp;policy=2&amp;signature=bd0b852458507760ca2435e08378a9c9&amp;tk=tt_chain_token" TargetMode="External"/><Relationship Id="rId1232" Type="http://schemas.openxmlformats.org/officeDocument/2006/relationships/hyperlink" Target="https://p77-sign-va.tiktokcdn.com/tos-maliva-avt-0068/5db3f3dd1ba41fcb85058c2097db2e7e~tplv-tiktokx-cropcenter:1080:1080.jpeg?dr=14579&amp;refresh_token=b9d053d8&amp;x-expires=1764727200&amp;x-signature=LtR1b%2Fh5wuQv5tVoQ34bvuFkZTo%3D&amp;t=4d5b0474&amp;ps=13740610&amp;shp=a5d48078&amp;shcp=81f88b70&amp;idc=my" TargetMode="External"/><Relationship Id="rId882" Type="http://schemas.openxmlformats.org/officeDocument/2006/relationships/hyperlink" Target="https://p16-sg.tiktokcdn.com/aweme/720x720/tos-alisg-v-2774/43faa110cb7545508bcb8448e005da2d.jpeg" TargetMode="External"/><Relationship Id="rId1233" Type="http://schemas.openxmlformats.org/officeDocument/2006/relationships/hyperlink" Target="https://v16-webapp-prime.tiktok.com/video/tos/alisg/tos-alisg-ve-37c813-sg/owlqAEGiVJIMQEZIaAi0A4RBoPkNGgO2fXNCu5/?a=1988&amp;bti=ODszNWYuMDE6&amp;ch=0&amp;cr=3&amp;dr=0&amp;lr=all&amp;cd=0%7C0%7C0%7C&amp;cv=1&amp;br=2086&amp;bt=1043&amp;cs=0&amp;ds=3&amp;ft=-Csk_mrMPD12NgZh5d-Ux3t2SY6e3wv25HcAp&amp;mime_type=video_mp4&amp;qs=0&amp;rc=ZTU7ZzRoZDloNThmZDhoZEBpajhsNXM5cjNoNDMzNzczM0BeLTY1Mi9hNTUxNV9fLWAxYSM0cTYvMmRjM2lhLS1kMTZzcw%3D%3D&amp;btag=e00088000&amp;expire=1764728667&amp;l=202512011023380569D1C6B730C3EFE5B4&amp;ply_type=2&amp;policy=2&amp;signature=4cd708743725dd7480180cd48f91c531&amp;tk=tt_chain_token" TargetMode="External"/><Relationship Id="rId881" Type="http://schemas.openxmlformats.org/officeDocument/2006/relationships/hyperlink" Target="https://sf16-ies-music-sg.tiktokcdn.com/obj/tos-alisg-ve-2774/o8FjDcNeA7EzFQBsGKorZ4e0agDwgHbfClgin7" TargetMode="External"/><Relationship Id="rId1234" Type="http://schemas.openxmlformats.org/officeDocument/2006/relationships/hyperlink" Target="https://www.tiktok.com/@sigacuriosidade/video/7524076082044161285" TargetMode="External"/><Relationship Id="rId1224" Type="http://schemas.openxmlformats.org/officeDocument/2006/relationships/hyperlink" Target="https://www.tiktok.com/@psicologiaemcortes/video/7278465152897322246" TargetMode="External"/><Relationship Id="rId1225" Type="http://schemas.openxmlformats.org/officeDocument/2006/relationships/hyperlink" Target="https://p77-sign-va.tiktokcdn.com/tos-maliva-avt-0068/aaba86e723b6f2440be1acd83bede8ab~tplv-tiktokx-cropcenter:100:100.jpeg?dr=14579&amp;refresh_token=5f8b9ffe&amp;x-expires=1764727200&amp;x-signature=FsrZhcrL30O%2Bkq3kxFbjmtXRGR0%3D&amp;t=4d5b0474&amp;ps=13740610&amp;shp=a5d48078&amp;shcp=81f88b70&amp;idc=my" TargetMode="External"/><Relationship Id="rId1226" Type="http://schemas.openxmlformats.org/officeDocument/2006/relationships/hyperlink" Target="https://v16-webapp-prime.tiktok.com/video/tos/useast2a/tos-useast2a-v-27dcd7/o4WJ9DE4w7tEAaJ5UknFkfQQDfCoFBbcvB1oUY/?a=1988&amp;bti=ODszNWYuMDE6&amp;ch=0&amp;cr=0&amp;dr=0&amp;er=0&amp;lr=default&amp;cd=0%7C0%7C0%7C0&amp;br=250&amp;bt=125&amp;ft=GNDpcInz7ThAzKvPXq8Zmo&amp;mime_type=audio_mpeg&amp;qs=6&amp;rc=NjdnNTU5NjpoaGY1OWZmZkBpamg0Zng5cmtuMzMzNzU8M0BgYzUxY2EyNTQxMV9hNjJiYSMyY2dvMmRjZzNhLS1kMTZzcw%3D%3D&amp;btag=e00088000&amp;expire=1764559355&amp;l=202512011021380CC83080A64AA152B5B8&amp;ply_type=3&amp;policy=3&amp;signature=40e813193fed1ef688ba2b08d4b4b09f&amp;tk=7571587458748974088" TargetMode="External"/><Relationship Id="rId1227" Type="http://schemas.openxmlformats.org/officeDocument/2006/relationships/hyperlink" Target="https://p77-sign-va.tiktokcdn.com/tos-maliva-avt-0068/aaba86e723b6f2440be1acd83bede8ab~tplv-tiktokx-cropcenter:1080:1080.jpeg?dr=14579&amp;refresh_token=9460bfed&amp;x-expires=1764727200&amp;x-signature=%2BqBqjnvXU6o27nYEKHjvR8NMA8E%3D&amp;t=4d5b0474&amp;ps=13740610&amp;shp=a5d48078&amp;shcp=81f88b70&amp;idc=my" TargetMode="External"/><Relationship Id="rId1228" Type="http://schemas.openxmlformats.org/officeDocument/2006/relationships/hyperlink" Target="https://v16-webapp-prime.tiktok.com/video/tos/useast2a/tos-useast2a-ve-0068c001/ocXquBBjEAkVu4QC0gZiijRFSIYIo1ij0NA9df/?a=1988&amp;bti=ODszNWYuMDE6&amp;ch=0&amp;cr=3&amp;dr=0&amp;lr=all&amp;cd=0%7C0%7C0%7C&amp;cv=1&amp;br=1672&amp;bt=836&amp;cs=0&amp;ds=3&amp;ft=-Csk_mrMPD12NaDh5d-Uxq42hY6e3wv25IcAp&amp;mime_type=video_mp4&amp;qs=0&amp;rc=MzNoODNpNmk4aWhnOGQ0NkBpanJoaW45cmRuMzMzNzczM0BgMGMxLTQwNjAxMDRiX18wYSNiNGBrMmRzZTNhLS1kMTZzcw%3D%3D&amp;btag=e00088000&amp;expire=1764728555&amp;l=202512011021380CC83080A64AA152B5B8&amp;ply_type=2&amp;policy=2&amp;signature=c82cc124ed2baf4792ee67c8d5ec077c&amp;tk=tt_chain_token" TargetMode="External"/><Relationship Id="rId1229" Type="http://schemas.openxmlformats.org/officeDocument/2006/relationships/hyperlink" Target="https://www.tiktok.com/@.mundotdah/video/7497730029678234885" TargetMode="External"/><Relationship Id="rId877"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876" Type="http://schemas.openxmlformats.org/officeDocument/2006/relationships/hyperlink" Target="https://v16-webapp-prime.tiktok.com/video/tos/useast2a/tos-useast2a-v-27dcd7/o4XIq2QflEA8WAimCgAsICIpfVUAqBBJ7D4JFF/?a=1988&amp;bti=ODszNWYuMDE6&amp;ch=0&amp;cr=0&amp;dr=0&amp;er=0&amp;lr=default&amp;cd=0%7C0%7C0%7C0&amp;br=250&amp;bt=125&amp;ds=5&amp;ft=GNDpcInz7ThDgKvPXq8Zmo&amp;mime_type=audio_mpeg&amp;qs=13&amp;rc=M3dlbnY5cm87cjMzNzU8M0BpM3dlbnY5cm87cjMzNzU8M0Bsal4yMmRzXl5gLS1kMTZzYSNsal4yMmRzXl5gLS1kMTZzcw%3D%3D&amp;btag=e00050000&amp;expire=1764559467&amp;l=20251201102322C8514DE7730851EF645E&amp;ply_type=3&amp;policy=3&amp;signature=c60f34b56d60236929ddbe91a6c7b6c5&amp;tk=7571587458748974088" TargetMode="External"/><Relationship Id="rId875"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874" Type="http://schemas.openxmlformats.org/officeDocument/2006/relationships/hyperlink" Target="https://www.tiktok.com/@brunolnunes/video/7166636392859159834" TargetMode="External"/><Relationship Id="rId879" Type="http://schemas.openxmlformats.org/officeDocument/2006/relationships/hyperlink" Target="https://www.tiktok.com/@lorenatdahta/video/7355650659036777733" TargetMode="External"/><Relationship Id="rId878" Type="http://schemas.openxmlformats.org/officeDocument/2006/relationships/hyperlink" Target="https://v16-webapp-prime.tiktok.com/video/tos/useast2a/tos-useast2a-ve-0068c002/ok7plIQFfAQxfSAlgDRmjrBuCEBJFEN9UIHI9n/?a=1988&amp;bti=ODszNWYuMDE6&amp;ch=0&amp;cr=3&amp;dr=0&amp;lr=all&amp;cd=0%7C0%7C0%7C&amp;cv=1&amp;br=912&amp;bt=456&amp;cs=0&amp;ds=6&amp;ft=-Csk_mrMPD12N.Zh5d-UxxG2aY6e3wv25UcAp&amp;mime_type=video_mp4&amp;qs=5&amp;rc=NGk0aDhmZTNpOWc0MzplNUBpajdxN205cjw7cjMzNzczM0A1LzA1MTJjNmIxNjAxYzAzYSNfcWNpMmRjNl5gLS1kMTZzcw%3D%3D&amp;btag=e00090000&amp;expire=1764728667&amp;l=20251201102322C8514DE7730851EF645E&amp;ply_type=2&amp;policy=2&amp;signature=8883d4fdcae51a1e471ca3628bfe7c66&amp;tk=tt_chain_token" TargetMode="External"/><Relationship Id="rId873" Type="http://schemas.openxmlformats.org/officeDocument/2006/relationships/hyperlink" Target="https://v16-webapp-prime.tiktok.com/video/tos/useast2a/tos-useast2a-pve-0037c001-aiso/oAb82OfrQj3SQQDWAAv8EEMnB3KedoRqFnPAgD/?a=1988&amp;bti=ODszNWYuMDE6&amp;ch=0&amp;cr=3&amp;dr=0&amp;lr=all&amp;cd=0%7C0%7C0%7C&amp;cv=1&amp;br=1036&amp;bt=518&amp;cs=0&amp;ds=3&amp;ft=-Csk_mrMPD12NDgh5d-UxgR2SY6e3wv251cAp&amp;mime_type=video_mp4&amp;qs=0&amp;rc=NTM8OWY3MzdmZmY6Mzk6OUBpam0zbTw6ZnlqZzMzZjczM0BfM2AvLS82XjAxM2IvLjBjYSNra2JscjQwL25gLS1kMWNzcw%3D%3D&amp;btag=e00090000&amp;expire=1764728833&amp;l=20251201102548E15D7702DE8EFF4EC930&amp;ply_type=2&amp;policy=2&amp;signature=5206648acbdeaa9331c435e44ee884f7&amp;tk=tt_chain_token" TargetMode="External"/><Relationship Id="rId1220" Type="http://schemas.openxmlformats.org/officeDocument/2006/relationships/hyperlink" Target="https://p77-sign-va.tiktokcdn.com/tos-maliva-avt-0068/653ecd097a40a9bcfe371c2a0424bd79~tplv-tiktokx-cropcenter:100:100.jpeg?dr=14579&amp;refresh_token=69cbe0ff&amp;x-expires=1764727200&amp;x-signature=oTMNcauliMGfhi4oAeA5KkA%2Bxn8%3D&amp;t=4d5b0474&amp;ps=13740610&amp;shp=a5d48078&amp;shcp=81f88b70&amp;idc=my" TargetMode="External"/><Relationship Id="rId872" Type="http://schemas.openxmlformats.org/officeDocument/2006/relationships/hyperlink" Target="https://p16-sign-va.tiktokcdn.com/tos-maliva-avt-0068/72466cc9d5b9a27930c91e8fb7677589~tplv-tiktokx-cropcenter:1080:1080.jpeg?dr=14579&amp;refresh_token=dab6cdb5&amp;x-expires=1764727200&amp;x-signature=G3N4KyBpphmXlonUIEO9Wei6zyQ%3D&amp;t=4d5b0474&amp;ps=13740610&amp;shp=a5d48078&amp;shcp=81f88b70&amp;idc=my" TargetMode="External"/><Relationship Id="rId1221" Type="http://schemas.openxmlformats.org/officeDocument/2006/relationships/hyperlink" Target="https://v16-webapp-prime.tiktok.com/video/tos/useast2a/tos-useast2a-v-27dcd7/oQA7TSv2zEAYBCBbBmfAkLEFwAtCyAgEhMo9Kg/?a=1988&amp;bti=ODszNWYuMDE6&amp;ch=0&amp;cr=0&amp;dr=0&amp;er=0&amp;lr=default&amp;cd=0%7C0%7C0%7C0&amp;br=250&amp;bt=125&amp;ds=5&amp;ft=GNDpcInz7ThazKvPXq8Zmo&amp;mime_type=audio_mpeg&amp;qs=13&amp;rc=ampoaTQ6ZjU3bjMzNzU8M0BpampoaTQ6ZjU3bjMzNzU8M0AtYWNvcjRvby5gLS1kMTZzYSMtYWNvcjRvby5gLS1kMTZzcw%3D%3D&amp;btag=e00050000&amp;expire=1764559359&amp;l=2025120110213521203C48224A5C66F6F4&amp;ply_type=3&amp;policy=3&amp;signature=18e1ff622aadc0d3cec84847d3e9cc7a&amp;tk=7571587458748974088" TargetMode="External"/><Relationship Id="rId871" Type="http://schemas.openxmlformats.org/officeDocument/2006/relationships/hyperlink" Target="https://v16-webapp-prime.tiktok.com/video/tos/useast2a/tos-useast2a-v-27dcd7-aiso/c8799908b3964df4829a60ae1812af2a/?a=1988&amp;bti=ODszNWYuMDE6&amp;ch=0&amp;cr=0&amp;dr=0&amp;er=0&amp;lr=default&amp;cd=0%7C0%7C0%7C0&amp;br=212&amp;bt=106&amp;ds=5&amp;ft=GNDpcInz7ThzpKvPXq8Zmo&amp;mime_type=video_mp4&amp;qs=13&amp;rc=M29yZDc6ZnBqZzMzZjU8M0BpM29yZDc6ZnBqZzMzZjU8M0BrZ2o0cjRfMG5gLS1kMWNzYSNrZ2o0cjRfMG5gLS1kMWNzcw%3D%3D&amp;btag=e00050000&amp;expire=1764559633&amp;l=20251201102548E15D7702DE8EFF4EC930&amp;ply_type=3&amp;policy=3&amp;signature=16f5617ee56e3ed73087824aae226b1e&amp;tk=7571587458748974088" TargetMode="External"/><Relationship Id="rId1222" Type="http://schemas.openxmlformats.org/officeDocument/2006/relationships/hyperlink" Target="https://p77-sign-va.tiktokcdn.com/tos-maliva-avt-0068/653ecd097a40a9bcfe371c2a0424bd79~tplv-tiktokx-cropcenter:1080:1080.jpeg?dr=14579&amp;refresh_token=7546a200&amp;x-expires=1764727200&amp;x-signature=bDPLNM0mI5ZLGkxnEZSeYcIv4bc%3D&amp;t=4d5b0474&amp;ps=13740610&amp;shp=a5d48078&amp;shcp=81f88b70&amp;idc=my" TargetMode="External"/><Relationship Id="rId870" Type="http://schemas.openxmlformats.org/officeDocument/2006/relationships/hyperlink" Target="https://p77-sign-va.tiktokcdn.com/tos-maliva-avt-0068/72466cc9d5b9a27930c91e8fb7677589~tplv-tiktokx-cropcenter:100:100.jpeg?dr=14579&amp;refresh_token=3e917014&amp;x-expires=1764727200&amp;x-signature=cr%2F%2BCAsNUopn7lel%2F5%2Bomc6IPmo%3D&amp;t=4d5b0474&amp;ps=13740610&amp;shp=a5d48078&amp;shcp=81f88b70&amp;idc=my" TargetMode="External"/><Relationship Id="rId1223" Type="http://schemas.openxmlformats.org/officeDocument/2006/relationships/hyperlink" Target="https://v16-webapp-prime.tiktok.com/video/tos/maliva/tos-maliva-ve-0068c801-us/ocyyIJRu0nAZTcJQAkeEBRlQ0EfQXBSAEVbCCD/?a=1988&amp;bti=ODszNWYuMDE6&amp;ch=0&amp;cr=3&amp;dr=0&amp;lr=all&amp;cd=0%7C0%7C0%7C&amp;cv=1&amp;br=2332&amp;bt=1166&amp;cs=0&amp;ds=3&amp;ft=-Csk_mrMPD12N8Dh5d-UxSc2hY6e3wv252cAp&amp;mime_type=video_mp4&amp;qs=0&amp;rc=NzRoaDw3ZmQ4N2ZmZmg5PEBpanFlbTU6Zmc3bjMzNzczM0AwNjAzYjFjXmMxNl9fMzNiYSM1cmVfcjQwbS5gLS1kMTZzcw%3D%3D&amp;btag=e00090000&amp;expire=1764728559&amp;l=2025120110213521203C48224A5C66F6F4&amp;ply_type=2&amp;policy=2&amp;signature=ccef3fc4f33e7d28fa2c9501f089bac6&amp;tk=tt_chain_token" TargetMode="External"/><Relationship Id="rId1653" Type="http://schemas.openxmlformats.org/officeDocument/2006/relationships/hyperlink" Target="https://p77-sign-va.tiktokcdn.com/tos-maliva-avt-0068/13a628e0ffd8c13e59721b894863e44e~tplv-tiktokx-cropcenter:1080:1080.jpeg?dr=14579&amp;refresh_token=683dd05f&amp;x-expires=1764727200&amp;x-signature=%2F9zofA3vJc0L0LRQOiTd3HDsF8A%3D&amp;t=4d5b0474&amp;ps=13740610&amp;shp=a5d48078&amp;shcp=81f88b70&amp;idc=my" TargetMode="External"/><Relationship Id="rId1654" Type="http://schemas.openxmlformats.org/officeDocument/2006/relationships/hyperlink" Target="https://v16-webapp-prime.tiktok.com/video/tos/useast2a/tos-useast2a-ve-0068c004/oYSPsIoQmEUSZQSUxiIZoAqiBz2vZB24idLE7/?a=1988&amp;bti=ODszNWYuMDE6&amp;ch=0&amp;cr=3&amp;dr=0&amp;lr=all&amp;cd=0%7C0%7C0%7C&amp;cv=1&amp;br=2142&amp;bt=1071&amp;cs=0&amp;ds=3&amp;ft=I~da4oKyD12NvwmWS.IxR51NWlBF-UjNSMopiX&amp;mime_type=video_mp4&amp;qs=0&amp;rc=aGZnZ2hoO2llOzc0NjQ8NEBpM3dyZWs5cjt3djMzNzczM0BfYC1hNGFgXy0xNWItLTYtYSNoajNnMmQ0Z3FgLS1kMTZzcw%3D%3D&amp;btag=e00090000&amp;expire=1764728664&amp;l=20251201102320F8FB2F1522387BEC758D&amp;ply_type=2&amp;policy=2&amp;signature=e17b58ce4546232bafcd387a15b6bc7b&amp;tk=tt_chain_token" TargetMode="External"/><Relationship Id="rId1655" Type="http://schemas.openxmlformats.org/officeDocument/2006/relationships/hyperlink" Target="https://www.tiktok.com/@igorpsicologo/video/7438780092639104311" TargetMode="External"/><Relationship Id="rId1656" Type="http://schemas.openxmlformats.org/officeDocument/2006/relationships/hyperlink" Target="https://p16-sign-va.tiktokcdn.com/tos-maliva-avt-0068/f5ef76b12fba1261aba4a784145116e5~tplv-tiktokx-cropcenter:100:100.jpeg?dr=14579&amp;refresh_token=36bf84a4&amp;x-expires=1764727200&amp;x-signature=x0L3OElwvnpEzKUeT%2FlkqPPLKbw%3D&amp;t=4d5b0474&amp;ps=13740610&amp;shp=a5d48078&amp;shcp=81f88b70&amp;idc=my" TargetMode="External"/><Relationship Id="rId1657" Type="http://schemas.openxmlformats.org/officeDocument/2006/relationships/hyperlink" Target="https://sf16-ies-music-sg.tiktokcdn.com/obj/tos-alisg-ve-2774/58514c1e758a47e2a54a049f9b0a1015" TargetMode="External"/><Relationship Id="rId1658" Type="http://schemas.openxmlformats.org/officeDocument/2006/relationships/hyperlink" Target="https://p16-sg.tiktokcdn.com/aweme/720x720/tos-alisg-v-2774/owyPHEzAZEYPAAUA4dA0LAZiBAwPar9MiqAWD.jpeg" TargetMode="External"/><Relationship Id="rId1659" Type="http://schemas.openxmlformats.org/officeDocument/2006/relationships/hyperlink" Target="https://v16-webapp-prime.tiktok.com/video/tos/alisg/tos-alisg-pve-0037c001/oQIxwRBjwPlsMfi6OWnzoQQEJYBNAfKhYEXIhJ/?a=1988&amp;bti=ODszNWYuMDE6&amp;ch=0&amp;cr=3&amp;dr=0&amp;lr=all&amp;cd=0%7C0%7C0%7C&amp;cv=1&amp;br=2204&amp;bt=1102&amp;cs=0&amp;ds=3&amp;ft=I~da4oKyD12Nvm1WS.IxR~kNglBF-UjNSEopiX&amp;mime_type=video_mp4&amp;qs=0&amp;rc=OTg7ZDY4M2dmODppO2U1N0BpM3I1NWg6Zmk8ZjMzNzczM0BeNDFgLzU1NWExXjQtNV8vYSNfMTAycjRnM3JgLS1kMTZzcw%3D%3D&amp;btag=e00090000&amp;expire=1764728638&amp;l=2025120110210868B8F68F0D0B7F5CDC9D&amp;ply_type=2&amp;policy=2&amp;signature=ba4b5d547072036e589976bca5bfff6e&amp;tk=tt_chain_token" TargetMode="External"/><Relationship Id="rId829" Type="http://schemas.openxmlformats.org/officeDocument/2006/relationships/hyperlink" Target="https://www.tiktok.com/@claralisle/video/7384983966324903173" TargetMode="External"/><Relationship Id="rId828" Type="http://schemas.openxmlformats.org/officeDocument/2006/relationships/hyperlink" Target="https://v16-webapp-prime.tiktok.com/video/tos/useast2a/tos-useast2a-ve-0068c002/owFtfHZMfAPaCqqgE3wLbjdCSo5fITYiIc0gQD/?a=1988&amp;bti=ODszNWYuMDE6&amp;ch=0&amp;cr=3&amp;dr=0&amp;lr=all&amp;cd=0%7C0%7C0%7C&amp;cv=1&amp;br=2092&amp;bt=1046&amp;cs=0&amp;ds=3&amp;ft=I~da4oKyD12Nvi.WS.IxR51NWlBF-UjNSMopiX&amp;mime_type=video_mp4&amp;qs=0&amp;rc=Ojk7MzdoNTM6NTY6OWU0aEBpM29qOXU5cnRlczMzNzczM0BfNjM1NjZjX2MxXjQzMzBfYSNhbi5rMmRranJgLS1kMTZzcw%3D%3D&amp;btag=e000b8000&amp;expire=1764728449&amp;l=202512011020200FFD70C70F6D756DA043&amp;ply_type=2&amp;policy=2&amp;signature=fbfbf96a72edb680500b2bbd4596d396&amp;tk=tt_chain_token" TargetMode="External"/><Relationship Id="rId827" Type="http://schemas.openxmlformats.org/officeDocument/2006/relationships/hyperlink" Target="https://p16-sign-sg.tiktokcdn.com/tos-alisg-avt-0068/9832aa685b2cfe94db09e06f702f0a77~tplv-tiktokx-cropcenter:1080:1080.jpeg?dr=14579&amp;refresh_token=5a779525&amp;x-expires=1764727200&amp;x-signature=%2B0pNRrldm22S3MT63DWJ%2BKpj0ZQ%3D&amp;t=4d5b0474&amp;ps=13740610&amp;shp=a5d48078&amp;shcp=81f88b70&amp;idc=my" TargetMode="External"/><Relationship Id="rId822" Type="http://schemas.openxmlformats.org/officeDocument/2006/relationships/hyperlink" Target="https://v16-webapp-prime.tiktok.com/video/tos/useast2a/tos-useast2a-v-27dcd7/ooXyyUidMQSd9FBAiSKlJRZxqlpOaM9vSIC2F/?a=1988&amp;bti=ODszNWYuMDE6&amp;ch=0&amp;cr=0&amp;dr=0&amp;er=0&amp;lr=default&amp;cd=0%7C0%7C0%7C0&amp;br=250&amp;bt=125&amp;ft=GNDpcInz7Th8zKvPXq8Zmo&amp;mime_type=audio_mpeg&amp;qs=6&amp;rc=N2lkZzg2OTc5ZztoZmdnNUBpM3RxdHc5cmtuczMzNzU8M0BfMWBhLjU1NWAxLS8uMi9iYSNtYGsvMmRrX19gLS1kMTZzcw%3D%3D&amp;btag=e00090000&amp;expire=1764559308&amp;l=202512011020485614ECD0EEDB8C5FDDDB&amp;ply_type=3&amp;policy=3&amp;signature=5e9851f3c4410c273975dda6a39cee80&amp;tk=7571587458748974088" TargetMode="External"/><Relationship Id="rId821" Type="http://schemas.openxmlformats.org/officeDocument/2006/relationships/hyperlink" Target="https://p77-sign-va.tiktokcdn.com/tos-maliva-avt-0068/0c857903b1d71ebd63a58d7ad9b30044~tplv-tiktokx-cropcenter:100:100.jpeg?dr=14579&amp;refresh_token=f2ca17db&amp;x-expires=1764727200&amp;x-signature=jMPE8zks6Apag7zG6sgBp4rRnpU%3D&amp;t=4d5b0474&amp;ps=13740610&amp;shp=a5d48078&amp;shcp=81f88b70&amp;idc=my" TargetMode="External"/><Relationship Id="rId820" Type="http://schemas.openxmlformats.org/officeDocument/2006/relationships/hyperlink" Target="https://www.tiktok.com/@psicocortes.oficial/video/7340441057693486342" TargetMode="External"/><Relationship Id="rId826" Type="http://schemas.openxmlformats.org/officeDocument/2006/relationships/hyperlink" Target="https://v16-webapp-prime.tiktok.com/video/tos/useast2a/tos-useast2a-v-27dcd7/ogMAS285TCpELEFTeC8EE9PAAfoFgSfBgvuDEh/?a=1988&amp;bti=ODszNWYuMDE6&amp;ch=0&amp;cr=0&amp;dr=0&amp;er=0&amp;lr=default&amp;cd=0%7C0%7C0%7C0&amp;br=250&amp;bt=125&amp;ds=5&amp;ft=GNDpcInz7ThUPKvPXq8Zmo&amp;mime_type=audio_mpeg&amp;qs=13&amp;rc=ajxxa3g5cm5lczMzNzU8M0Bpajxxa3g5cm5lczMzNzU8M0BkbS1wMmRza3JgLS1kMTZzYSNkbS1wMmRza3JgLS1kMTZzcw%3D%3D&amp;btag=e00048000&amp;expire=1764559249&amp;l=202512011020200FFD70C70F6D756DA043&amp;ply_type=3&amp;policy=3&amp;signature=9e81de7cbdabd6bd870cd2e29ea6c517&amp;tk=7571587458748974088" TargetMode="External"/><Relationship Id="rId825" Type="http://schemas.openxmlformats.org/officeDocument/2006/relationships/hyperlink" Target="https://p16-sign-sg.tiktokcdn.com/tos-alisg-avt-0068/9832aa685b2cfe94db09e06f702f0a77~tplv-tiktokx-cropcenter:100:100.jpeg?dr=14579&amp;refresh_token=07da26e1&amp;x-expires=1764727200&amp;x-signature=Ri8nDTJDplNCkNFz41OqjVNk2dg%3D&amp;t=4d5b0474&amp;ps=13740610&amp;shp=a5d48078&amp;shcp=81f88b70&amp;idc=my" TargetMode="External"/><Relationship Id="rId824" Type="http://schemas.openxmlformats.org/officeDocument/2006/relationships/hyperlink" Target="https://www.tiktok.com/@pisicopop/video/7374439603706531077" TargetMode="External"/><Relationship Id="rId823" Type="http://schemas.openxmlformats.org/officeDocument/2006/relationships/hyperlink" Target="https://p77-sign-va.tiktokcdn.com/tos-maliva-avt-0068/0c857903b1d71ebd63a58d7ad9b30044~tplv-tiktokx-cropcenter:1080:1080.jpeg?dr=14579&amp;refresh_token=119a0f11&amp;x-expires=1764727200&amp;x-signature=HoicRW9XlcVqtFyC2Ibd4WPT48I%3D&amp;t=4d5b0474&amp;ps=13740610&amp;shp=a5d48078&amp;shcp=81f88b70&amp;idc=my" TargetMode="External"/><Relationship Id="rId1650" Type="http://schemas.openxmlformats.org/officeDocument/2006/relationships/hyperlink" Target="https://www.tiktok.com/@tdah_2023/video/7435412561597648184" TargetMode="External"/><Relationship Id="rId1651"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1652" Type="http://schemas.openxmlformats.org/officeDocument/2006/relationships/hyperlink" Target="https://v16-webapp-prime.tiktok.com/video/tos/useast2a/tos-useast2a-v-27dcd7/ogLZyAMOdEZ8C4HAIeG7AT2CSN7eESpAofLgEG/?a=1988&amp;bti=ODszNWYuMDE6&amp;ch=0&amp;cr=0&amp;dr=0&amp;er=0&amp;lr=default&amp;cd=0%7C0%7C0%7C0&amp;br=250&amp;bt=125&amp;ds=5&amp;ft=GNDpcInz7ThMgKvPXq8Zmo&amp;mime_type=audio_mpeg&amp;qs=13&amp;rc=anI6a3k5cjt3djMzNzU8M0BpanI6a3k5cjt3djMzNzU8M0AybWljMmRzanFgLS1kMTZzYSMybWljMmRzanFgLS1kMTZzcw%3D%3D&amp;btag=e00050000&amp;expire=1764559464&amp;l=20251201102320F8FB2F1522387BEC758D&amp;ply_type=3&amp;policy=3&amp;signature=8904d0de27d23d848c8577ef7c2d763f&amp;tk=7571587458748974088" TargetMode="External"/><Relationship Id="rId1642" Type="http://schemas.openxmlformats.org/officeDocument/2006/relationships/hyperlink" Target="https://v16-webapp-prime.tiktok.com/video/tos/useast2a/tos-useast2a-v-27dcd7/owEJgLIeyBhkAMDOBQfqFWCJA9I90AMDBjPoPU/?a=1988&amp;bti=ODszNWYuMDE6&amp;ch=0&amp;cr=0&amp;dr=0&amp;er=0&amp;lr=default&amp;cd=0%7C0%7C0%7C0&amp;br=250&amp;bt=125&amp;ds=5&amp;ft=GNDpcInz7ThgzKvPXq8Zmo&amp;mime_type=audio_mpeg&amp;qs=13&amp;rc=angzbnM5cmo2MzMzNzU8M0BpangzbnM5cmo2MzMzNzU8M0BuYmYyMmRzcnNhLS1kMTZzYSNuYmYyMmRzcnNhLS1kMTZzcw%3D%3D&amp;btag=e00048000&amp;expire=1764559324&amp;l=2025120110210868B8F68F0D0B7F5CDC9D&amp;ply_type=3&amp;policy=3&amp;signature=b1483083c2ccb44168b08f308b5fb935&amp;tk=7571587458748974088" TargetMode="External"/><Relationship Id="rId1643" Type="http://schemas.openxmlformats.org/officeDocument/2006/relationships/hyperlink" Target="https://p77-sign-va.tiktokcdn.com/tos-maliva-avt-0068/efe2b8b521c8bdb7d926ff7a884d9760~tplv-tiktokx-cropcenter:1080:1080.jpeg?dr=14579&amp;refresh_token=143433a6&amp;x-expires=1764727200&amp;x-signature=BNFE%2BPKq1BWrKQWl3%2FAssiVL8d8%3D&amp;t=4d5b0474&amp;ps=13740610&amp;shp=a5d48078&amp;shcp=81f88b70&amp;idc=my" TargetMode="External"/><Relationship Id="rId1644" Type="http://schemas.openxmlformats.org/officeDocument/2006/relationships/hyperlink" Target="https://v16-webapp-prime.tiktok.com/video/tos/alisg/tos-alisg-ve-37c813-sg/oIgeRAFeGPOfAlMgdWBH8ejZs5tRHQPAkLH0Eg/?a=1988&amp;bti=ODszNWYuMDE6&amp;ch=0&amp;cr=3&amp;dr=0&amp;lr=all&amp;cd=0%7C0%7C0%7C&amp;cv=1&amp;br=1146&amp;bt=573&amp;cs=0&amp;ds=3&amp;ft=I~da4oKyD12Nvm1WS.IxR~kNglBF-UjNSEopiX&amp;mime_type=video_mp4&amp;qs=0&amp;rc=NzZoNTxnZjg7Zzc4Zzk5N0Bpank6dG85cjs2MzMzNzczM0BeMmIyMzEtXjIxXy4uYTIxYSNpL21pMmRzcnNhLS1kMTZzcw%3D%3D&amp;btag=e00088000&amp;expire=1764728525&amp;l=2025120110210868B8F68F0D0B7F5CDC9D&amp;ply_type=2&amp;policy=2&amp;signature=8242f4f26bf2b00cdc919fe8f0ce64f6&amp;tk=tt_chain_token" TargetMode="External"/><Relationship Id="rId1645" Type="http://schemas.openxmlformats.org/officeDocument/2006/relationships/hyperlink" Target="https://www.tiktok.com/@autismo_teapoio/video/7511510736431107384" TargetMode="External"/><Relationship Id="rId1646" Type="http://schemas.openxmlformats.org/officeDocument/2006/relationships/hyperlink" Target="https://p77-sign-va.tiktokcdn.com/tos-maliva-avt-0068/ffa66d6a215ed7b5da155e3555b5031a~tplv-tiktokx-cropcenter:100:100.jpeg?dr=14579&amp;refresh_token=b26fc824&amp;x-expires=1764727200&amp;x-signature=VOfEeq2ZrybTESVw%2F5NlAI0z7kM%3D&amp;t=4d5b0474&amp;ps=13740610&amp;shp=a5d48078&amp;shcp=81f88b70&amp;idc=my" TargetMode="External"/><Relationship Id="rId1647" Type="http://schemas.openxmlformats.org/officeDocument/2006/relationships/hyperlink" Target="https://v16-webapp-prime.tiktok.com/video/tos/useast2a/tos-useast2a-v-27dcd7/oo4iAvIifvEKLAFnCNAEJ5siVfA9G9UJBB3BQN/?a=1988&amp;bti=ODszNWYuMDE6&amp;ch=0&amp;cr=0&amp;dr=0&amp;er=0&amp;lr=default&amp;cd=0%7C0%7C0%7C0&amp;br=250&amp;bt=125&amp;ds=5&amp;ft=GNDpcInz7ThyPKvPXq8Zmo&amp;mime_type=audio_mpeg&amp;qs=13&amp;rc=amQ7dXI5cnF4djMzNzU8M0BpamQ7dXI5cnF4djMzNzU8M0BvbjEzMmRzNWtgLS1kMTZzYSNvbjEzMmRzNWtgLS1kMTZzcw%3D%3D&amp;btag=e00070000&amp;expire=1764559230&amp;l=202512011020211DC26370CAB01566B5CA&amp;ply_type=3&amp;policy=3&amp;signature=5851df2bc7c00a78fbc54607124bc9f8&amp;tk=7571587458748974088" TargetMode="External"/><Relationship Id="rId1648" Type="http://schemas.openxmlformats.org/officeDocument/2006/relationships/hyperlink" Target="https://p77-sign-va.tiktokcdn.com/tos-maliva-avt-0068/ffa66d6a215ed7b5da155e3555b5031a~tplv-tiktokx-cropcenter:1080:1080.jpeg?dr=14579&amp;refresh_token=7f186668&amp;x-expires=1764727200&amp;x-signature=0jlsf6oxnCFjffHn8jQ7zXhVOpA%3D&amp;t=4d5b0474&amp;ps=13740610&amp;shp=a5d48078&amp;shcp=81f88b70&amp;idc=my" TargetMode="External"/><Relationship Id="rId1649" Type="http://schemas.openxmlformats.org/officeDocument/2006/relationships/hyperlink" Target="https://webapp-sg.tiktok.com/5572dc963a4ed0216ad5f4f7ff2fec67/692f9e6e/kmoat/mps/logo/v2/r/p/v09044g40000csnu8cvog65sqstvkf8g/23ad73afd0f34601abb52903f7fca930/3fb49bc04de457062f001028547c0014/mp4/main.mp4?a=1988&amp;bti=ODszNWYuMDE6&amp;ch=0&amp;cr=3&amp;dr=0&amp;lr=all&amp;cd=0%7C0%7C0%7C&amp;cv=1&amp;br=0&amp;bt=0&amp;cs=0&amp;ds=3&amp;eid=1286&amp;ft=g3QHe9DfxxOusd.YtDKt8lcLVWOuRx_HFKKMNOWCuJETJDz7T&amp;mime_type=video_mp4&amp;qs=0&amp;rc=cnF8b2hsc2d3SkBwaHIxaDFybndmMzxmOjY8OGU0OTYzaTZnNkBpaml5dnY5cmZ4djMzNzczM0BjRl5Nc3FePmJKYSNvYF90aHFmOiMwXmNjLS9fXi0xY2FeNF4vYSM1aHFuMmRzNWtgLS1kMTZzcw%3D%3D&amp;btag=e000b0000&amp;definition=720p&amp;du=10&amp;item_id=7435412561597648184&amp;l=202512011020211DC26370CAB01566B5CA&amp;logo_type=tiktok_m&amp;ply_type=2&amp;policy=eyJ2bSI6MiwiY2siOiJ0dF9jaGFpbl90b2tlbiJ9&amp;user_text=tdah_2023" TargetMode="External"/><Relationship Id="rId819" Type="http://schemas.openxmlformats.org/officeDocument/2006/relationships/hyperlink" Target="https://v16-webapp-prime.tiktok.com/video/tos/maliva/tos-maliva-ve-0068c801-us/okS5hvA8eAgAeetuAGMuRMJMeIKILijZMesRky/?a=1988&amp;bti=ODszNWYuMDE6&amp;ch=0&amp;cr=3&amp;dr=0&amp;lr=all&amp;cd=0%7C0%7C0%7C&amp;cv=1&amp;br=2534&amp;bt=1267&amp;cs=0&amp;ds=3&amp;ft=-Csk_mrMPD12N7Dh5d-UxII2hY6e3wv252cAp&amp;mime_type=video_mp4&amp;qs=0&amp;rc=ZzlnN2g5aDRlPDRkMzs2M0BpanVsa3Y5cm46cTMzNzczM0A1YS5jMjIyNjAxNWMxMDBgYSNtYC9lMmQ0a2NgLS1kMTZzcw%3D%3D&amp;btag=e00090000&amp;expire=1764728534&amp;l=2025120110210247DE29902DF1415935A0&amp;ply_type=2&amp;policy=2&amp;signature=2d3335cd8821efa0776da16b602581fa&amp;tk=tt_chain_token" TargetMode="External"/><Relationship Id="rId818" Type="http://schemas.openxmlformats.org/officeDocument/2006/relationships/hyperlink" Target="https://p77-sg.tiktokcdn.com/aweme/720x720/tos-alisg-v-2774/o4A8EiGS96Y7r6BApURZj7WAA3NPCh7FAEiPY.jpeg" TargetMode="External"/><Relationship Id="rId817" Type="http://schemas.openxmlformats.org/officeDocument/2006/relationships/hyperlink" Target="https://sf16-ies-music-sg.tiktokcdn.com/obj/tos-alisg-ve-2774/o41ZIiFU2PQMMegWBQDCMt1yZClgKBbtEiEHfP" TargetMode="External"/><Relationship Id="rId816" Type="http://schemas.openxmlformats.org/officeDocument/2006/relationships/hyperlink" Target="https://p16-sign-va.tiktokcdn.com/tos-maliva-avt-0068/7e51024795cd2e5d9b52a9c5adf0f343~tplv-tiktokx-cropcenter:100:100.jpeg?dr=14579&amp;refresh_token=87dfdba0&amp;x-expires=1764727200&amp;x-signature=%2Fq5h%2FG3wLYJXwXdwgb5%2BubbYruA%3D&amp;t=4d5b0474&amp;ps=13740610&amp;shp=a5d48078&amp;shcp=81f88b70&amp;idc=my" TargetMode="External"/><Relationship Id="rId811"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810" Type="http://schemas.openxmlformats.org/officeDocument/2006/relationships/hyperlink" Target="https://www.tiktok.com/@claralisle/video/7384565805939264773" TargetMode="External"/><Relationship Id="rId815" Type="http://schemas.openxmlformats.org/officeDocument/2006/relationships/hyperlink" Target="https://www.tiktok.com/@lorenatdahta/video/7383842849407782149" TargetMode="External"/><Relationship Id="rId814" Type="http://schemas.openxmlformats.org/officeDocument/2006/relationships/hyperlink" Target="https://v16-webapp-prime.tiktok.com/video/tos/useast2a/tos-useast2a-ve-0068c002/ooEBMeQ6qseKICIRTdzCCqKAilSg4vCIigfijr/?a=1988&amp;bti=ODszNWYuMDE6&amp;ch=0&amp;cr=3&amp;dr=0&amp;lr=all&amp;cd=0%7C0%7C0%7C&amp;br=848&amp;bt=424&amp;cs=0&amp;ds=3&amp;ft=I~da4oKyD12Nvl.WS.IxR51NWlBF-UjNSMopiX&amp;mime_type=video_mp4&amp;qs=0&amp;rc=N2RpOjY1NzM4ZTZkM2U4OUBpM2lscnQ5cnlkczMzNzczM0AzXy5iMi4yX2ExXl5hMl8zYSMxaWk1MmRjbXBgLS1kMTZzcw%3D%3D&amp;btag=e00088000&amp;expire=1764728455&amp;l=2025120110201396469B6E0854EC6377C0&amp;ply_type=2&amp;policy=2&amp;signature=fcc391121ed763341c24b142b9407b48&amp;tk=tt_chain_token" TargetMode="External"/><Relationship Id="rId813" Type="http://schemas.openxmlformats.org/officeDocument/2006/relationships/hyperlink" Target="https://p3-sg.tiktokcdn.com/aweme/720x720/tiktok-obj/7384014270524803857.jpeg" TargetMode="External"/><Relationship Id="rId812" Type="http://schemas.openxmlformats.org/officeDocument/2006/relationships/hyperlink" Target="https://v16-webapp-prime.tiktok.com/video/tos/useast2a/tos-useast2a-v-27dcd7/ooAUAe4eGCDMLAjo7xIWVKIf8CSIs2xg50TAvE/?a=1988&amp;bti=ODszNWYuMDE6&amp;ch=0&amp;cr=0&amp;dr=0&amp;er=0&amp;lr=default&amp;cd=0%7C0%7C0%7C0&amp;br=250&amp;bt=125&amp;ds=5&amp;ft=GNDpcInz7ThVPKvPXq8Zmo&amp;mime_type=audio_mpeg&amp;qs=13&amp;rc=anY6bXg5cnlkczMzNzU8M0BpanY6bXg5cnlkczMzNzU8M0BhZW5hMmRjb3BgLS1kMTZzYSNhZW5hMmRjb3BgLS1kMTZzcw%3D%3D&amp;btag=e00048000&amp;expire=1764559255&amp;l=2025120110201396469B6E0854EC6377C0&amp;ply_type=3&amp;policy=3&amp;signature=b2220468fc4449680de6f65814bf93c5&amp;tk=7571587458748974088" TargetMode="External"/><Relationship Id="rId1640" Type="http://schemas.openxmlformats.org/officeDocument/2006/relationships/hyperlink" Target="https://www.tiktok.com/@psi.jonathanorlandi/video/7500980358754733318" TargetMode="External"/><Relationship Id="rId1641" Type="http://schemas.openxmlformats.org/officeDocument/2006/relationships/hyperlink" Target="https://p16-sign-va.tiktokcdn.com/tos-maliva-avt-0068/efe2b8b521c8bdb7d926ff7a884d9760~tplv-tiktokx-cropcenter:100:100.jpeg?dr=14579&amp;refresh_token=492aea75&amp;x-expires=1764727200&amp;x-signature=Qlhh0u%2BdUF%2BCmtWq%2BUty1PuRAxw%3D&amp;t=4d5b0474&amp;ps=13740610&amp;shp=a5d48078&amp;shcp=81f88b70&amp;idc=my" TargetMode="External"/><Relationship Id="rId1675" Type="http://schemas.openxmlformats.org/officeDocument/2006/relationships/hyperlink" Target="https://www.tiktok.com/@psicologo.mateus/video/7303920572528987397" TargetMode="External"/><Relationship Id="rId1676" Type="http://schemas.openxmlformats.org/officeDocument/2006/relationships/hyperlink" Target="https://p77-sign-sg.tiktokcdn.com/tos-alisg-avt-0068/a922d44f129753f3f4657ae1aab09386~tplv-tiktokx-cropcenter:100:100.jpeg?dr=14579&amp;refresh_token=4432e3b7&amp;x-expires=1764727200&amp;x-signature=eQmmyEmebq4nyd8MuxeK1qxKIB4%3D&amp;t=4d5b0474&amp;ps=13740610&amp;shp=a5d48078&amp;shcp=81f88b70&amp;idc=my" TargetMode="External"/><Relationship Id="rId1677" Type="http://schemas.openxmlformats.org/officeDocument/2006/relationships/hyperlink" Target="https://v16-webapp-prime.tiktok.com/video/tos/useast2a/tos-useast2a-v-27dcd7/o0DCAEkAXI6mnFSoKSefCGS8w7AGCTgRbMIfEC/?a=1988&amp;bti=ODszNWYuMDE6&amp;ch=0&amp;cr=0&amp;dr=0&amp;er=0&amp;lr=default&amp;cd=0%7C0%7C0%7C0&amp;br=250&amp;bt=125&amp;ds=5&amp;ft=GNDpcInz7Th7gKvPXq8Zmo&amp;mime_type=audio_mpeg&amp;qs=13&amp;rc=ajhnO2w5cnN5czMzNzU8M0BpajhnO2w5cnN5czMzNzU8M0AubzUxMmRzXzNgLS1kMTZzYSMubzUxMmRzXzNgLS1kMTZzcw%3D%3D&amp;btag=e00050000&amp;expire=1764559494&amp;l=20251201102324DBF387DCE83828E93247&amp;ply_type=3&amp;policy=3&amp;signature=003be2d8f43f3f6835f31aae8c2d46cb&amp;tk=7571587458748974088" TargetMode="External"/><Relationship Id="rId1678"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1679" Type="http://schemas.openxmlformats.org/officeDocument/2006/relationships/hyperlink" Target="https://v16-webapp-prime.tiktok.com/video/tos/maliva/tos-maliva-ve-0068c801-us/oEDfOBfVQCkfMFMIIk6CAbSCEmECWISgjVpc1b/?a=1988&amp;bti=ODszNWYuMDE6&amp;ch=0&amp;cr=3&amp;dr=0&amp;lr=all&amp;cd=0%7C0%7C0%7C&amp;cv=1&amp;br=2274&amp;bt=1137&amp;cs=0&amp;ds=3&amp;ft=-Csk_mrMPD12N1Zh5d-UxBw5XY6e3wv25IcAp&amp;mime_type=video_mp4&amp;qs=0&amp;rc=NGlmZGg8Z2YzODU3NjY7ZEBpMzc8bnc5cnB5czMzNzczM0AtNV5gNDMxNS4xMjEyYzAwYSMuX2RjMmRzXjNgLS1kMTZzcw%3D%3D&amp;btag=e00090000&amp;expire=1764728694&amp;l=20251201102324DBF387DCE83828E93247&amp;ply_type=2&amp;policy=2&amp;signature=6a996367141fbeaa65fcbdbd615af3fb&amp;tk=tt_chain_token" TargetMode="External"/><Relationship Id="rId849" Type="http://schemas.openxmlformats.org/officeDocument/2006/relationships/hyperlink" Target="https://www.tiktok.com/@lorenatdahta/video/7390167456788122886" TargetMode="External"/><Relationship Id="rId844" Type="http://schemas.openxmlformats.org/officeDocument/2006/relationships/hyperlink" Target="https://www.tiktok.com/@terapiadafe/video/7445454647654894853" TargetMode="External"/><Relationship Id="rId843" Type="http://schemas.openxmlformats.org/officeDocument/2006/relationships/hyperlink" Target="https://v16-webapp-prime.tiktok.com/video/tos/useast2a/tos-useast2a-pve-0068/oYu10tJiaUkSZBcsbTQUOqNKIQdgTEERABPik/?a=1988&amp;bti=ODszNWYuMDE6&amp;ch=0&amp;cr=3&amp;dr=0&amp;lr=all&amp;cd=0%7C0%7C0%7C&amp;cv=1&amp;br=2986&amp;bt=1493&amp;cs=0&amp;ds=3&amp;ft=-Csk_mrMPD12NxDh5d-UxIS5hY6e3wv25ycAp&amp;mime_type=video_mp4&amp;qs=0&amp;rc=NzM0N2ZkMzxlaTk2ZTU0NUBpM2RrN245cjxzdzMzNzczM0A2NDQyYjIwNWMxY14xMDRgYSNeaW9kMmQ0LzZgLS1kMTZzcw%3D%3D&amp;btag=e00088000&amp;expire=1764728506&amp;l=202512011020485614ECD0EEDB8C5FDDDB&amp;ply_type=2&amp;policy=2&amp;signature=1b6e3f30e75d57abfe80e5f2e1bf5ebe&amp;tk=tt_chain_token" TargetMode="External"/><Relationship Id="rId842" Type="http://schemas.openxmlformats.org/officeDocument/2006/relationships/hyperlink" Target="https://p16-sg.tiktokcdn.com/aweme/720x720/tos-alisg-v-2774/oEDGFkOTrgAivyTAMWA0ZBA0BZEEE5YAAAViU.jpeg" TargetMode="External"/><Relationship Id="rId841" Type="http://schemas.openxmlformats.org/officeDocument/2006/relationships/hyperlink" Target="https://sf16-ies-music-sg.tiktokcdn.com/obj/tos-alisg-ve-2774/oE1sOf1XBAYzikOWLBiTK5IBAAoMV2rw3qsBYB" TargetMode="External"/><Relationship Id="rId848" Type="http://schemas.openxmlformats.org/officeDocument/2006/relationships/hyperlink" Target="https://v16-webapp-prime.tiktok.com/video/tos/useast2a/tos-useast2a-ve-0068c001/oY8SlQ2JPU3DksrizEqB6IBPiZQwAo7jE2IIH/?a=1988&amp;bti=ODszNWYuMDE6&amp;ch=0&amp;cr=3&amp;dr=0&amp;lr=all&amp;cd=0%7C0%7C0%7C&amp;br=1514&amp;bt=757&amp;cs=0&amp;ds=3&amp;ft=I~da4oKyD12Nvl.WS.IxR51NWlBF-UjNSMopiX&amp;mime_type=video_mp4&amp;qs=0&amp;rc=OTQ0OTw1NDY7O2RnNzVoaUBpM2p5NXU5cmVsdDMzNzczM0BgNWBfYDA2X2MxMGNhMGEvYSNmYS1xMmQ0XzRgLS1kMTZzcw%3D%3D&amp;btag=e00088000&amp;expire=1764728455&amp;l=2025120110201396469B6E0854EC6377C0&amp;ply_type=2&amp;policy=2&amp;signature=a6db89f5cb0d80151d98663097ef1e26&amp;tk=tt_chain_token" TargetMode="External"/><Relationship Id="rId847" Type="http://schemas.openxmlformats.org/officeDocument/2006/relationships/hyperlink" Target="https://p16-sg.tiktokcdn.com/aweme/720x720/tos-alisg-v-2774/7851b9d4cd8c4aa98ae927a8c7b9fe1b.jpeg" TargetMode="External"/><Relationship Id="rId846" Type="http://schemas.openxmlformats.org/officeDocument/2006/relationships/hyperlink" Target="https://sf16-ies-music-sg.tiktokcdn.com/obj/tos-alisg-ve-2774/8f884d9ce34b47c094368ca53341c44e" TargetMode="External"/><Relationship Id="rId845"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1670" Type="http://schemas.openxmlformats.org/officeDocument/2006/relationships/hyperlink" Target="https://www.tiktok.com/@psicologo.mateus/video/7254292365467323653" TargetMode="External"/><Relationship Id="rId840" Type="http://schemas.openxmlformats.org/officeDocument/2006/relationships/hyperlink" Target="https://p77-sign-va.tiktokcdn.com/tos-maliva-avt-0068/377405ce9a41275b9b6f008b78c94af6~tplv-tiktokx-cropcenter:100:100.jpeg?dr=14579&amp;refresh_token=9dc10a02&amp;x-expires=1764727200&amp;x-signature=%2BepRexYRWTlx62HNBYxLPMocheM%3D&amp;t=4d5b0474&amp;ps=13740610&amp;shp=a5d48078&amp;shcp=81f88b70&amp;idc=my" TargetMode="External"/><Relationship Id="rId1671" Type="http://schemas.openxmlformats.org/officeDocument/2006/relationships/hyperlink" Target="https://p77-sign-va.tiktokcdn.com/tos-maliva-avt-0068/ebc42eb348fcf29a09bcbf1c40faef80~tplv-tiktokx-cropcenter:100:100.jpeg?dr=14579&amp;refresh_token=caf3553d&amp;x-expires=1764727200&amp;x-signature=kuXKVitFmIMlqcy74SEn%2BHk6AyQ%3D&amp;t=4d5b0474&amp;ps=13740610&amp;shp=a5d48078&amp;shcp=81f88b70&amp;idc=my" TargetMode="External"/><Relationship Id="rId1672" Type="http://schemas.openxmlformats.org/officeDocument/2006/relationships/hyperlink" Target="https://v16-webapp-prime.tiktok.com/video/tos/useast2a/tos-useast2a-v-27dcd7/ooQAQSy8Xi0QQ9oTveuKfAWokATMgFgCEZ9eyC/?a=1988&amp;bti=ODszNWYuMDE6&amp;ch=0&amp;cr=0&amp;dr=0&amp;er=0&amp;lr=default&amp;cd=0%7C0%7C0%7C0&amp;br=250&amp;bt=125&amp;ds=5&amp;ft=GNDpcInz7ThRPKvPXq8Zmo&amp;mime_type=audio_mpeg&amp;qs=13&amp;rc=andqeHE5cjhlbzMzNzU8M0BpandqeHE5cjhlbzMzNzU8M0AxYC1rMmRzbmJgLS1kMTZzYSMxYC1rMmRzbmJgLS1kMTZzcw%3D%3D&amp;btag=e00078000&amp;expire=1764559241&amp;l=202512011020161DC26370CAB01566B4BC&amp;ply_type=3&amp;policy=3&amp;signature=11a1f94d62e74961ee5a4c3349361d49&amp;tk=7571587458748974088" TargetMode="External"/><Relationship Id="rId1673" Type="http://schemas.openxmlformats.org/officeDocument/2006/relationships/hyperlink" Target="https://p16-sign-va.tiktokcdn.com/tos-maliva-avt-0068/ebc42eb348fcf29a09bcbf1c40faef80~tplv-tiktokx-cropcenter:1080:1080.jpeg?dr=14579&amp;refresh_token=da718dc3&amp;x-expires=1764727200&amp;x-signature=idHE7IQWzL4DE2KOvOUyTQ92c2U%3D&amp;t=4d5b0474&amp;ps=13740610&amp;shp=a5d48078&amp;shcp=81f88b70&amp;idc=my" TargetMode="External"/><Relationship Id="rId1674" Type="http://schemas.openxmlformats.org/officeDocument/2006/relationships/hyperlink" Target="https://v16-webapp-prime.tiktok.com/video/tos/maliva/tos-maliva-ve-0068c801-us/oIIcEQgkIv7rAtBybiB6vmc4557CfiBokJlRA7/?a=1988&amp;bti=ODszNWYuMDE6&amp;ch=0&amp;cr=3&amp;dr=0&amp;lr=all&amp;cd=0%7C0%7C0%7C&amp;cv=1&amp;br=1012&amp;bt=506&amp;cs=0&amp;ds=3&amp;ft=-Csk_mrMPD12NXdh5d-Uxe42hY6e3wv25XcAp&amp;mime_type=video_mp4&amp;qs=0&amp;rc=Zzg6MztlaDZnaTQzaTw4NUBpajlmeHU5cnllbzMzNzczM0BeYy9fMGIxXzUxMi8yY2FeYSNwZzRhMmRrbWJgLS1kMTZzcw%3D%3D&amp;btag=e000b8000&amp;expire=1764728441&amp;l=202512011020161DC26370CAB01566B4BC&amp;ply_type=2&amp;policy=2&amp;signature=863d3a82825240386224e72eac608801&amp;tk=tt_chain_token" TargetMode="External"/><Relationship Id="rId1664" Type="http://schemas.openxmlformats.org/officeDocument/2006/relationships/hyperlink" Target="https://v16-webapp-prime.tiktok.com/video/tos/maliva/tos-maliva-ve-0068c801-us/oUAg88dePvfenqUkjbJCDbIngSDoC2LIdJVNQ4/?a=1988&amp;bti=ODszNWYuMDE6&amp;ch=0&amp;cr=3&amp;dr=0&amp;lr=all&amp;cd=0%7C0%7C0%7C&amp;cv=1&amp;br=3618&amp;bt=1809&amp;cs=0&amp;ds=3&amp;ft=I~da4oKyD12NvwmWS.IxR51NWlBF-UjNSMopiX&amp;mime_type=video_mp4&amp;qs=0&amp;rc=ZjtnNjllODM3OmU7ZzZnZUBpM2h0czw6Znk0bTMzNzczM0AwY2E2YDVhNi0xNDFeNC0uYSNycTFzcjRnZ2NgLS1kMTZzcw%3D%3D&amp;btag=e00090000&amp;expire=1764728681&amp;l=20251201102320F8FB2F1522387BEC758D&amp;ply_type=2&amp;policy=2&amp;signature=8f4f8187f03f8bd34dee94873a7693d4&amp;tk=tt_chain_token" TargetMode="External"/><Relationship Id="rId1665" Type="http://schemas.openxmlformats.org/officeDocument/2006/relationships/hyperlink" Target="https://www.tiktok.com/@psi.jonathanorlandi/video/7268275744348835078" TargetMode="External"/><Relationship Id="rId1666" Type="http://schemas.openxmlformats.org/officeDocument/2006/relationships/hyperlink" Target="https://p77-sign-va.tiktokcdn.com/tos-maliva-avt-0068/ebc42eb348fcf29a09bcbf1c40faef80~tplv-tiktokx-cropcenter:100:100.jpeg?dr=14579&amp;refresh_token=caf3553d&amp;x-expires=1764727200&amp;x-signature=kuXKVitFmIMlqcy74SEn%2BHk6AyQ%3D&amp;t=4d5b0474&amp;ps=13740610&amp;shp=a5d48078&amp;shcp=81f88b70&amp;idc=my" TargetMode="External"/><Relationship Id="rId1667" Type="http://schemas.openxmlformats.org/officeDocument/2006/relationships/hyperlink" Target="https://v16-webapp-prime.tiktok.com/video/tos/useast2a/tos-useast2a-v-27dcd7/oYBgAIOsKnyENAYADCzj2EBEkVbEhZfoAtGKsu/?a=1988&amp;bti=ODszNWYuMDE6&amp;ch=0&amp;cr=0&amp;dr=0&amp;er=0&amp;lr=default&amp;cd=0%7C0%7C0%7C0&amp;br=250&amp;bt=125&amp;ds=5&amp;ft=GNDpcInz7ThUPKvPXq8Zmo&amp;mime_type=audio_mpeg&amp;qs=13&amp;rc=M2h1dTY6ZjM5bDMzNzU8M0BpM2h1dTY6ZjM5bDMzNzU8M0BqYGRncjRnbWpgLS1kMTZzYSNqYGRncjRnbWpgLS1kMTZzcw%3D%3D&amp;btag=e00078000&amp;expire=1764559235&amp;l=202512011020200FFD70C70F6D756DA043&amp;ply_type=3&amp;policy=3&amp;signature=9cdd517f52cea9701c72af18bde4db5c&amp;tk=7571587458748974088" TargetMode="External"/><Relationship Id="rId1668" Type="http://schemas.openxmlformats.org/officeDocument/2006/relationships/hyperlink" Target="https://p16-sign-va.tiktokcdn.com/tos-maliva-avt-0068/ebc42eb348fcf29a09bcbf1c40faef80~tplv-tiktokx-cropcenter:1080:1080.jpeg?dr=14579&amp;refresh_token=da718dc3&amp;x-expires=1764727200&amp;x-signature=idHE7IQWzL4DE2KOvOUyTQ92c2U%3D&amp;t=4d5b0474&amp;ps=13740610&amp;shp=a5d48078&amp;shcp=81f88b70&amp;idc=my" TargetMode="External"/><Relationship Id="rId1669" Type="http://schemas.openxmlformats.org/officeDocument/2006/relationships/hyperlink" Target="https://v16-webapp-prime.tiktok.com/video/tos/maliva/tos-maliva-ve-0068c801-us/ooFrJQRonqBxGB2QQDbQAfgiBerXEkBEORsRtY/?a=1988&amp;bti=ODszNWYuMDE6&amp;ch=0&amp;cr=3&amp;dr=0&amp;lr=all&amp;cd=0%7C0%7C0%7C&amp;cv=1&amp;br=2444&amp;bt=1222&amp;cs=0&amp;ds=3&amp;ft=I~da4oKyD12Nvi.WS.IxR51NWlBF-UjNSMopiX&amp;mime_type=video_mp4&amp;qs=0&amp;rc=cnF8b2hsc2d3SkBwaHIxaDFybndmNzg2NTw1Njs0aGg6NDNlM0BpMztudDs6Zm45bDMzNzczM0BjRl5Nc3FePmJKYSNvYF90aHFmOiNgMl8zYGJfXmIxYzYtY19iYSNfLnJucjRfbGpgLS1kMTZzcw%3D%3D&amp;btag=e000b8000&amp;expire=1764728435&amp;l=202512011020200FFD70C70F6D756DA043&amp;ply_type=2&amp;policy=2&amp;signature=fe6c4b52c6b146afce7e8110380fc1ab&amp;tk=tt_chain_token" TargetMode="External"/><Relationship Id="rId839" Type="http://schemas.openxmlformats.org/officeDocument/2006/relationships/hyperlink" Target="https://www.tiktok.com/@igorpsicologo/video/7561613140161596683" TargetMode="External"/><Relationship Id="rId838" Type="http://schemas.openxmlformats.org/officeDocument/2006/relationships/hyperlink" Target="https://v16-webapp-prime.tiktok.com/video/tos/useast2a/tos-useast2a-ve-0068c004/ooGQDEJvwfoA0UIcrCEtBF8ERBJDHQ3JdIfniC/?a=1988&amp;bti=ODszNWYuMDE6&amp;ch=0&amp;cr=3&amp;dr=0&amp;lr=all&amp;cd=0%7C0%7C0%7C&amp;cv=1&amp;br=2010&amp;bt=1005&amp;cs=0&amp;ds=3&amp;ft=-Csk_mrMPD12NSBh5d-Uxs12aY6e3wv252cAp&amp;mime_type=video_mp4&amp;qs=0&amp;rc=PGVmNDs8aWU1NDM3OmU2OEBpMzVwdHk5cnU2NjMzNzczM0AwXmAtMjMvNWMxXmIwMV5gYSNuMW8wMmRzb2xhLS1kMTZzcw%3D%3D&amp;btag=e00090000&amp;expire=1764728590&amp;l=2025120110215532A809179141715F3748&amp;ply_type=2&amp;policy=2&amp;signature=50160dce912e03eafa63f3c00c875281&amp;tk=tt_chain_token" TargetMode="External"/><Relationship Id="rId833" Type="http://schemas.openxmlformats.org/officeDocument/2006/relationships/hyperlink" Target="https://v16-webapp-prime.tiktok.com/video/tos/useast2a/tos-useast2a-pve-0068/ooAnws9gHAt1QREOQIFhzgJDEfD5fQXEBEBTNE/?a=1988&amp;bti=ODszNWYuMDE6&amp;ch=0&amp;cr=3&amp;dr=0&amp;lr=all&amp;cd=0%7C0%7C0%7C&amp;cv=1&amp;br=2030&amp;bt=1015&amp;cs=0&amp;ds=3&amp;ft=I~da4oKyD12Nvl.WS.IxR51NWlBF-UjNSMopiX&amp;mime_type=video_mp4&amp;qs=0&amp;rc=Zjw2M2k3OWlmOTZpOmdkOEBpanM0M3Q5cmtxeTMzNzczM0A0YmFeLS5jX14xLWAuNDE2YSNkc2JkMmQ0cjNgLS1kMTZzcw%3D%3D&amp;btag=e00090000&amp;expire=1764728476&amp;l=2025120110201396469B6E0854EC6377C0&amp;ply_type=2&amp;policy=2&amp;signature=d596796fe76ed6bccb7bea66dd037aae&amp;tk=tt_chain_token" TargetMode="External"/><Relationship Id="rId832" Type="http://schemas.openxmlformats.org/officeDocument/2006/relationships/hyperlink" Target="https://p16-sign-sg.tiktokcdn.com/tos-alisg-avt-0068/d313dc76b863f4309ac7cf1c4c6c2d84~tplv-tiktokx-cropcenter:1080:1080.jpeg?dr=14579&amp;refresh_token=28df5814&amp;x-expires=1764727200&amp;x-signature=YtSEtwkouMI1dZ5ZSFrvqY1W71Y%3D&amp;t=4d5b0474&amp;ps=13740610&amp;shp=a5d48078&amp;shcp=81f88b70&amp;idc=my" TargetMode="External"/><Relationship Id="rId831" Type="http://schemas.openxmlformats.org/officeDocument/2006/relationships/hyperlink" Target="https://v16-webapp-prime.tiktok.com/video/tos/alisg/tos-alisg-v-27dcd7/9daa3ecee66e471ab79c9529d474b7a5/?a=1988&amp;bti=ODszNWYuMDE6&amp;ch=0&amp;cr=0&amp;dr=0&amp;er=0&amp;lr=default&amp;cd=0%7C0%7C0%7C0&amp;br=252&amp;bt=126&amp;ds=5&amp;ft=GNDpcInz7ThVPKvPXq8Zmo&amp;mime_type=audio_mp4&amp;qs=13&amp;rc=anhuZ202ODY2NDMzODU8M0BpanhuZ202ODY2NDMzODU8M0BnMHJtMTRycHJgLS1kMTRzYSNnMHJtMTRycHJgLS1kMTRzcw%3D%3D&amp;btag=e00050000&amp;expire=1764559305&amp;l=2025120110201396469B6E0854EC6377C0&amp;ply_type=3&amp;policy=3&amp;signature=6f4db892c0e4a88693dd3ad4f55ece59&amp;tk=7571587458748974088" TargetMode="External"/><Relationship Id="rId830" Type="http://schemas.openxmlformats.org/officeDocument/2006/relationships/hyperlink" Target="https://p16-sign-va.tiktokcdn.com/tos-maliva-avt-0068/2812903061ac3d553750149b334f78a1~tplv-tiktokx-cropcenter:100:100.jpeg?dr=14579&amp;refresh_token=077fe051&amp;x-expires=1764727200&amp;x-signature=McZRpW9GUGYO%2F3HFl9fK2hOqguQ%3D&amp;t=4d5b0474&amp;ps=13740610&amp;shp=a5d48078&amp;shcp=81f88b70&amp;idc=my" TargetMode="External"/><Relationship Id="rId837"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836" Type="http://schemas.openxmlformats.org/officeDocument/2006/relationships/hyperlink" Target="https://v16-webapp-prime.tiktok.com/video/tos/useast2a/tos-useast2a-v-27dcd7/owewJDOaoEJAUABnPB8F8D8EEiDAiECyhQfky0/?a=1988&amp;bti=ODszNWYuMDE6&amp;ch=0&amp;cr=0&amp;dr=0&amp;er=0&amp;lr=default&amp;cd=0%7C0%7C0%7C0&amp;br=250&amp;bt=125&amp;ds=5&amp;ft=GNDpcInz7ThjFKvPXq8Zmo&amp;mime_type=audio_mpeg&amp;qs=13&amp;rc=M3g4cG05cjs2NjMzNzU8M0BpM3g4cG05cjs2NjMzNzU8M0A0ZmZsMmRjcmxhLS1kMTZzYSM0ZmZsMmRjcmxhLS1kMTZzcw%3D%3D&amp;btag=e00050000&amp;expire=1764559390&amp;l=2025120110215532A809179141715F3748&amp;ply_type=3&amp;policy=3&amp;signature=caf597f74465e485f669d3e31a82a2b0&amp;tk=7571587458748974088" TargetMode="External"/><Relationship Id="rId835"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834" Type="http://schemas.openxmlformats.org/officeDocument/2006/relationships/hyperlink" Target="https://www.tiktok.com/@conexaoesentido/video/7479776290283851014" TargetMode="External"/><Relationship Id="rId1660" Type="http://schemas.openxmlformats.org/officeDocument/2006/relationships/hyperlink" Target="https://www.tiktok.com/@psi.jess/video/7150752474645728518" TargetMode="External"/><Relationship Id="rId1661" Type="http://schemas.openxmlformats.org/officeDocument/2006/relationships/hyperlink" Target="https://p77-sign-sg.tiktokcdn.com/tos-alisg-avt-0068/a922d44f129753f3f4657ae1aab09386~tplv-tiktokx-cropcenter:100:100.jpeg?dr=14579&amp;refresh_token=4432e3b7&amp;x-expires=1764727200&amp;x-signature=eQmmyEmebq4nyd8MuxeK1qxKIB4%3D&amp;t=4d5b0474&amp;ps=13740610&amp;shp=a5d48078&amp;shcp=81f88b70&amp;idc=my" TargetMode="External"/><Relationship Id="rId1662" Type="http://schemas.openxmlformats.org/officeDocument/2006/relationships/hyperlink" Target="https://v16-webapp-prime.tiktok.com/video/tos/useast2a/tos-useast2a-v-27dcd7/oMJGfBS3CGAIMAKkqhJeDpJ3IBub5AX84QnNUi/?a=1988&amp;bti=ODszNWYuMDE6&amp;ch=0&amp;cr=0&amp;dr=0&amp;er=0&amp;lr=default&amp;cd=0%7C0%7C0%7C0&amp;br=250&amp;bt=125&amp;ds=5&amp;ft=GNDpcInz7ThMgKvPXq8Zmo&amp;mime_type=audio_mpeg&amp;qs=13&amp;rc=ajlobzY6Zm40bTMzNzU8M0BpajlobzY6Zm40bTMzNzU8M0BeNm81cjRnaGNgLS1kMTZzYSNeNm81cjRnaGNgLS1kMTZzcw%3D%3D&amp;btag=e00050000&amp;expire=1764559481&amp;l=20251201102320F8FB2F1522387BEC758D&amp;ply_type=3&amp;policy=3&amp;signature=dac0c9326fed6387cc8360e5bbc74027&amp;tk=7571587458748974088" TargetMode="External"/><Relationship Id="rId1663" Type="http://schemas.openxmlformats.org/officeDocument/2006/relationships/hyperlink" Target="https://p16-sign-sg.tiktokcdn.com/tos-alisg-avt-0068/a922d44f129753f3f4657ae1aab09386~tplv-tiktokx-cropcenter:1080:1080.jpeg?dr=14579&amp;refresh_token=fe8e6d0b&amp;x-expires=1764727200&amp;x-signature=ojt4SOW1P9EZB%2FM0G0rPYeAf9OI%3D&amp;t=4d5b0474&amp;ps=13740610&amp;shp=a5d48078&amp;shcp=81f88b70&amp;idc=my" TargetMode="External"/><Relationship Id="rId469" Type="http://schemas.openxmlformats.org/officeDocument/2006/relationships/hyperlink" Target="https://v16-webapp-prime.tiktok.com/video/tos/alisg/tos-alisg-ve-37c813-sg/oIIrwSRAr1fz85svGCQcNLLkwMgCfgeTIDEgg7/?a=1988&amp;bti=ODszNWYuMDE6&amp;ch=0&amp;cr=3&amp;dr=0&amp;lr=all&amp;cd=0%7C0%7C0%7C&amp;cv=1&amp;br=1726&amp;bt=863&amp;cs=0&amp;ds=3&amp;ft=-Csk_mrMPD12N5Dh5d-UxP12hY6e3wv25ocAp&amp;mime_type=video_mp4&amp;qs=0&amp;rc=NmhoPGhoOzRkZGQ1NmdlPEBpMzl4aG45cjpvNTMzNzgzM0AxLTIyYTVjNS4xNS00M14tYSNvcC5yMmQ0cF9hLS1kLzZzcw%3D%3D&amp;btag=e00088000&amp;expire=1764728516&amp;l=2025120110205711DA509A8B9B2F6AA181&amp;ply_type=2&amp;policy=2&amp;signature=40398d1e77c4fb0616148d92581df4de&amp;tk=tt_chain_token" TargetMode="External"/><Relationship Id="rId468" Type="http://schemas.openxmlformats.org/officeDocument/2006/relationships/hyperlink" Target="https://p77-sign-va.tiktokcdn.com/tos-maliva-avt-0068/cc4c7490dee638829f007d6b41ea9da8~tplv-tiktokx-cropcenter:1080:1080.jpeg?dr=14579&amp;refresh_token=1ce75f64&amp;x-expires=1764727200&amp;x-signature=vPJpkVwZd2F%2B1VCJhRqHGsqPWZk%3D&amp;t=4d5b0474&amp;ps=13740610&amp;shp=a5d48078&amp;shcp=81f88b70&amp;idc=my" TargetMode="External"/><Relationship Id="rId467" Type="http://schemas.openxmlformats.org/officeDocument/2006/relationships/hyperlink" Target="https://v16-webapp-prime.tiktok.com/video/tos/useast2a/tos-useast2a-v-27dcd7/oUwXoAAT0Cglz5QXA9iio9BAKSBEtFAEEkftk6/?a=1988&amp;bti=ODszNWYuMDE6&amp;ch=0&amp;cr=0&amp;dr=0&amp;er=0&amp;lr=default&amp;cd=0%7C0%7C0%7C0&amp;br=250&amp;bt=125&amp;ds=5&amp;ft=GNDpcInz7ThvzKvPXq8Zmo&amp;mime_type=audio_mpeg&amp;qs=13&amp;rc=anM1Znc5cjNvNTMzNzU8M0BpanM1Znc5cjNvNTMzNzU8M0A2by9mMmRjcV9hLS1kMTZzYSM2by9mMmRjcV9hLS1kMTZzcw%3D%3D&amp;btag=e00048000&amp;expire=1764559316&amp;l=2025120110205711DA509A8B9B2F6AA181&amp;ply_type=3&amp;policy=3&amp;signature=3e0d2586cbe4196c26f819577d1fe16a&amp;tk=7571587458748974088" TargetMode="External"/><Relationship Id="rId1290" Type="http://schemas.openxmlformats.org/officeDocument/2006/relationships/hyperlink" Target="https://p16-sign-va.tiktokcdn.com/tos-maliva-avt-0068/b7841460d9b1783162ae78e8d2cf3a44~tplv-tiktokx-cropcenter:100:100.jpeg?dr=14579&amp;refresh_token=d12ffd7b&amp;x-expires=1764727200&amp;x-signature=v1VO27%2Fb8e4%2FCGlCNHP%2F1%2FKCpoE%3D&amp;t=4d5b0474&amp;ps=13740610&amp;shp=a5d48078&amp;shcp=81f88b70&amp;idc=my" TargetMode="External"/><Relationship Id="rId1291" Type="http://schemas.openxmlformats.org/officeDocument/2006/relationships/hyperlink" Target="https://v16-webapp-prime.tiktok.com/video/tos/useast2a/tos-useast2a-v-27dcd7/oUIUyekziBE8B3ntMbayTJQQDHKUh8SheTjCJP/?a=1988&amp;bti=ODszNWYuMDE6&amp;ch=0&amp;cr=0&amp;dr=0&amp;er=0&amp;lr=default&amp;cd=0%7C0%7C0%7C0&amp;br=250&amp;bt=125&amp;ft=GNDpcInz7ThoPKvPXq8Zmo&amp;mime_type=audio_mpeg&amp;qs=6&amp;rc=aThmaTQ0NWYzO2hmNTQ3NkBpanZpdDw6ZnI1bTMzNzU8M0BfNS42M2MzXjMxMDAtMWMuYSNkcWdgcjRfZW1gLS1kMTZzcw%3D%3D&amp;btag=e00098000&amp;expire=1764559488&amp;l=202512011020068133AB7BCB086C5F4CDC&amp;ply_type=3&amp;policy=3&amp;signature=f1b789b53a0c317f958872391c480ad7&amp;tk=7571587458748974088" TargetMode="External"/><Relationship Id="rId1292" Type="http://schemas.openxmlformats.org/officeDocument/2006/relationships/hyperlink" Target="https://p77-sign-va.tiktokcdn.com/tos-maliva-avt-0068/b7841460d9b1783162ae78e8d2cf3a44~tplv-tiktokx-cropcenter:1080:1080.jpeg?dr=14579&amp;refresh_token=0943a620&amp;x-expires=1764727200&amp;x-signature=t78t5b553%2FNPxwDnqu3BKSdux5k%3D&amp;t=4d5b0474&amp;ps=13740610&amp;shp=a5d48078&amp;shcp=81f88b70&amp;idc=my" TargetMode="External"/><Relationship Id="rId462" Type="http://schemas.openxmlformats.org/officeDocument/2006/relationships/hyperlink" Target="https://sf16-music-sign.tiktokcdn.com/obj/tos-alisg-ve-2774/o8bAF4vIOlgIe8fVKdfwm6iLoej56X1AGGMFAB?lk3s=08d74b56&amp;x-expires=1764577223&amp;x-signature=sqL9QRLum%2FlRSNpcZI7m%2FI89TB8%3D" TargetMode="External"/><Relationship Id="rId1293" Type="http://schemas.openxmlformats.org/officeDocument/2006/relationships/hyperlink" Target="https://v16-webapp-prime.tiktok.com/video/tos/alisg/tos-alisg-pve-0037/oAogSRqSgAeGCub3r8bEEJnCAf5EsDE6U4jdBf/?a=1988&amp;bti=ODszNWYuMDE6&amp;ch=0&amp;cr=3&amp;dr=0&amp;lr=all&amp;cd=0%7C0%7C0%7C&amp;cv=1&amp;br=1830&amp;bt=915&amp;cs=0&amp;ds=3&amp;ft=-Csk_mrMPD12Nudh5d-Uxs12aY6e3wv252cAp&amp;mime_type=video_mp4&amp;qs=0&amp;rc=PDg4N2k1OzlnZDw7aGk6ZEBpamc2cjk6Zjo1bTMzNzgzM0BgYGBeXy0wXl8xMS4yMi9iYSNxcTZxcjRfY21gLS1kLzZzcw%3D%3D&amp;btag=e00098000&amp;expire=1764728688&amp;l=202512011020068133AB7BCB086C5F4CDC&amp;ply_type=2&amp;policy=2&amp;signature=46c36d6208ba17495e52230d022e777e&amp;tk=tt_chain_token" TargetMode="External"/><Relationship Id="rId461" Type="http://schemas.openxmlformats.org/officeDocument/2006/relationships/hyperlink" Target="https://p77-sign-va.tiktokcdn.com/tos-maliva-avt-0068/c49a54b11dcccde0dd668ae269ebe723~tplv-tiktokx-cropcenter:100:100.jpeg?dr=14579&amp;refresh_token=0a60260a&amp;x-expires=1764727200&amp;x-signature=2BZ9j%2BOuQflzpjto4%2BwdsYgdynU%3D&amp;t=4d5b0474&amp;ps=13740610&amp;shp=a5d48078&amp;shcp=81f88b70&amp;idc=my" TargetMode="External"/><Relationship Id="rId1294" Type="http://schemas.openxmlformats.org/officeDocument/2006/relationships/hyperlink" Target="https://www.tiktok.com/@girodaengrenagem/video/7273920974033145094" TargetMode="External"/><Relationship Id="rId460" Type="http://schemas.openxmlformats.org/officeDocument/2006/relationships/hyperlink" Target="https://www.tiktok.com/@taharibnn/video/7472027625481915654" TargetMode="External"/><Relationship Id="rId1295" Type="http://schemas.openxmlformats.org/officeDocument/2006/relationships/hyperlink" Target="https://p16-sign-va.tiktokcdn.com/tos-maliva-avt-0068/54244e479aff55039c0ec9df4c3106ec~tplv-tiktokx-cropcenter:100:100.jpeg?dr=14579&amp;refresh_token=3ee63356&amp;x-expires=1764727200&amp;x-signature=q3HtnmPM3Ivhm5SKbr%2F8SpNQv%2BE%3D&amp;t=4d5b0474&amp;ps=13740610&amp;shp=a5d48078&amp;shcp=81f88b70&amp;idc=my" TargetMode="External"/><Relationship Id="rId1296" Type="http://schemas.openxmlformats.org/officeDocument/2006/relationships/hyperlink" Target="https://sf16-ies-music-sg.tiktokcdn.com/obj/tos-alisg-ve-2774/ec28b201a97b4673ba761ff39b60fe91" TargetMode="External"/><Relationship Id="rId466" Type="http://schemas.openxmlformats.org/officeDocument/2006/relationships/hyperlink" Target="https://p77-sign-va.tiktokcdn.com/tos-maliva-avt-0068/cc4c7490dee638829f007d6b41ea9da8~tplv-tiktokx-cropcenter:100:100.jpeg?dr=14579&amp;refresh_token=38e35d93&amp;x-expires=1764727200&amp;x-signature=9McZxljYZO0IWIwvtfYwLnj4vts%3D&amp;t=4d5b0474&amp;ps=13740610&amp;shp=a5d48078&amp;shcp=81f88b70&amp;idc=my" TargetMode="External"/><Relationship Id="rId1297" Type="http://schemas.openxmlformats.org/officeDocument/2006/relationships/hyperlink" Target="https://p77-sg.tiktokcdn.com/aweme/720x720/tos-alisg-v-2774/604e1985ea7e4d018e3eb92ee6d522b4.jpeg" TargetMode="External"/><Relationship Id="rId465" Type="http://schemas.openxmlformats.org/officeDocument/2006/relationships/hyperlink" Target="https://www.tiktok.com/@gabijesus274/video/7342164411433487622" TargetMode="External"/><Relationship Id="rId1298" Type="http://schemas.openxmlformats.org/officeDocument/2006/relationships/hyperlink" Target="https://v16-webapp-prime.tiktok.com/video/tos/maliva/tos-maliva-ve-0068c801-us/owanoDzQuUyDfIqsDkNAIOrynKsCFQCUAhgdLI/?a=1988&amp;bti=ODszNWYuMDE6&amp;ch=0&amp;cr=3&amp;dr=0&amp;lr=all&amp;cd=0%7C0%7C0%7C&amp;cv=1&amp;br=954&amp;bt=477&amp;cs=0&amp;ds=3&amp;ft=-Csk_mrMPD12NOBh5d-Uxbt2hY6e3wv25HcAp&amp;mime_type=video_mp4&amp;qs=0&amp;rc=aDM2aDc6NzVoPDY8NmQ3PEBpamZsPGQ6Zm80ajMzNzczM0AyNi1fMTE2XjYxLy8yNDFfYSNiaW40cjRnYGFgLS1kMTZzcw%3D%3D&amp;btag=e00090000&amp;expire=1764728585&amp;l=2025120110220104295D62D2C47867A675&amp;ply_type=2&amp;policy=2&amp;signature=2afc62ef14d8310d82e156d59f76f4d2&amp;tk=tt_chain_token" TargetMode="External"/><Relationship Id="rId464" Type="http://schemas.openxmlformats.org/officeDocument/2006/relationships/hyperlink" Target="https://v16-webapp-prime.tiktok.com/video/tos/maliva/tos-maliva-ve-0068c801-us/og7XQnCLCghI4fjsEIg6egeAkzRGyLmYTSB0yI/?a=1988&amp;bti=ODszNWYuMDE6&amp;ch=0&amp;cr=3&amp;dr=0&amp;lr=all&amp;cd=0%7C0%7C0%7C&amp;cv=1&amp;br=1870&amp;bt=935&amp;cs=0&amp;ds=3&amp;ft=-Csk_mrMPD12NLdh5d-Uxbt2hY6e3wv25HcAp&amp;mime_type=video_mp4&amp;qs=0&amp;rc=ZjY3Njo4ZzU3OTY7ZDQ8OkBpM3lsZ3M5cjk8cTMzNzczM0BiLjYuNGIyNmIxY2M0NTUtYSNfLWNrMmRjamZgLS1kMTZzcw%3D%3D&amp;btag=e000b8000&amp;expire=1764728442&amp;l=202512011020239FD63C9B4E4C976A9DFE&amp;ply_type=2&amp;policy=2&amp;signature=7142f85c1ec6b295e8583e00ae8703c5&amp;tk=tt_chain_token" TargetMode="External"/><Relationship Id="rId1299" Type="http://schemas.openxmlformats.org/officeDocument/2006/relationships/hyperlink" Target="https://www.tiktok.com/@sonsquecuram/video/7213102292097191174" TargetMode="External"/><Relationship Id="rId463" Type="http://schemas.openxmlformats.org/officeDocument/2006/relationships/hyperlink" Target="https://p77-sign-sg.tiktokcdn.com/tos-alisg-v-2774/ooWABEYzLKBiMAkUKAAzrEZZIMj4VAciiYimP~720x720.jpeg?lk3s=08d74b56&amp;x-expires=1764577223&amp;x-signature=TocRQkWxSp6m8jZ%2FaGkSbzL6j3A%3D" TargetMode="External"/><Relationship Id="rId459" Type="http://schemas.openxmlformats.org/officeDocument/2006/relationships/hyperlink" Target="https://v16-webapp-prime.tiktok.com/video/tos/useast2a/tos-useast2a-ve-0068c002/oIlYDf3rIENSEVDUAQPgFCVyIrjfALofqCdId0/?a=1988&amp;bti=ODszNWYuMDE6&amp;ch=0&amp;cr=3&amp;dr=0&amp;lr=all&amp;cd=0%7C0%7C0%7C&amp;cv=1&amp;br=2236&amp;bt=1118&amp;cs=0&amp;ds=3&amp;ft=I~da4oKyD12Nvi.WS.IxR51NWlBF-UjNSMopiX&amp;mime_type=video_mp4&amp;qs=0&amp;rc=aDo4OWg8ZTg2Zjw4OWlkaEBpamR1NXU5cnR5eDMzNzczM0BhYC9hMWBeNi8xMTMtMF4zYSNjNWlkMmRzZmxgLS1kMTZzcw%3D%3D&amp;btag=e00090000&amp;expire=1764728479&amp;l=202512011020200FFD70C70F6D756DA043&amp;ply_type=2&amp;policy=2&amp;signature=cbf974c8ecbd082d8bae6e8e06addaa7&amp;tk=tt_chain_token" TargetMode="External"/><Relationship Id="rId458" Type="http://schemas.openxmlformats.org/officeDocument/2006/relationships/hyperlink" Target="https://p77-sign-va.tiktokcdn.com/tos-maliva-avt-0068/f6c9ce0e62719a5be566968f7c4b37c5~tplv-tiktokx-cropcenter:1080:1080.jpeg?dr=14579&amp;refresh_token=8ba12849&amp;x-expires=1764727200&amp;x-signature=hDlJ0Km9FpQ8joxBQlZrQvRs%2FE8%3D&amp;t=4d5b0474&amp;ps=13740610&amp;shp=a5d48078&amp;shcp=81f88b70&amp;idc=my" TargetMode="External"/><Relationship Id="rId457" Type="http://schemas.openxmlformats.org/officeDocument/2006/relationships/hyperlink" Target="https://v16-webapp-prime.tiktok.com/video/tos/useast2a/tos-useast2a-v-27dcd7/ogPASIjrSCpIfEFTlC6IVZIAAYoYg3fFFmeDE6/?a=1988&amp;bti=ODszNWYuMDE6&amp;ch=0&amp;cr=0&amp;dr=0&amp;er=0&amp;lr=default&amp;cd=0%7C0%7C0%7C0&amp;br=250&amp;bt=125&amp;ds=5&amp;ft=GNDpcInz7ThUPKvPXq8Zmo&amp;mime_type=audio_mpeg&amp;qs=13&amp;rc=am5rdGw5cjd5eDMzNzU8M0Bpam5rdGw5cjd5eDMzNzU8M0BybmluMmRrZ2xgLS1kMTZzYSNybmluMmRrZ2xgLS1kMTZzcw%3D%3D&amp;btag=e00050000&amp;expire=1764559279&amp;l=202512011020200FFD70C70F6D756DA043&amp;ply_type=3&amp;policy=3&amp;signature=452a16b58cc522d7a18e049d765a88f8&amp;tk=7571587458748974088" TargetMode="External"/><Relationship Id="rId456" Type="http://schemas.openxmlformats.org/officeDocument/2006/relationships/hyperlink" Target="https://p77-sign-va.tiktokcdn.com/tos-maliva-avt-0068/f6c9ce0e62719a5be566968f7c4b37c5~tplv-tiktokx-cropcenter:100:100.jpeg?dr=14579&amp;refresh_token=533a2951&amp;x-expires=1764727200&amp;x-signature=4PrwEOhMZjuRYar4pyKYqwwQj1g%3D&amp;t=4d5b0474&amp;ps=13740610&amp;shp=a5d48078&amp;shcp=81f88b70&amp;idc=my" TargetMode="External"/><Relationship Id="rId1280" Type="http://schemas.openxmlformats.org/officeDocument/2006/relationships/hyperlink" Target="https://p77-sign-va.tiktokcdn.com/tos-maliva-avt-0068/13a628e0ffd8c13e59721b894863e44e~tplv-tiktokx-cropcenter:100:100.jpeg?dr=14579&amp;refresh_token=f65b1d30&amp;x-expires=1764727200&amp;x-signature=Pd2DjVDmslf2K%2FsB2czs%2FX%2BHArk%3D&amp;t=4d5b0474&amp;ps=13740610&amp;shp=a5d48078&amp;shcp=81f88b70&amp;idc=my" TargetMode="External"/><Relationship Id="rId1281" Type="http://schemas.openxmlformats.org/officeDocument/2006/relationships/hyperlink" Target="https://v16-webapp-prime.tiktok.com/video/tos/useast2a/tos-useast2a-v-27dcd7/oEA3AfqHDCDNFA9ofNEGjHERmCSEkIeg09T3IE/?a=1988&amp;bti=ODszNWYuMDE6&amp;ch=0&amp;cr=0&amp;dr=0&amp;er=0&amp;lr=default&amp;cd=0%7C0%7C0%7C0&amp;br=250&amp;bt=125&amp;ds=5&amp;ft=GNDpcInz7ThpzKvPXq8Zmo&amp;mime_type=audio_mpeg&amp;qs=13&amp;rc=M2R1M3Q5cjprdTMzNzU8M0BpM2R1M3Q5cjprdTMzNzU8M0AxcXM2MmRzZjNgLS1kMTZzYSMxcXM2MmRzZjNgLS1kMTZzcw%3D%3D&amp;btag=e00050000&amp;expire=1764559354&amp;l=2025120110213056C909F1BE127E576E48&amp;ply_type=3&amp;policy=3&amp;signature=dc3f649d5de4e813bc50d6f0c5e07e85&amp;tk=7571587458748974088" TargetMode="External"/><Relationship Id="rId451" Type="http://schemas.openxmlformats.org/officeDocument/2006/relationships/hyperlink" Target="https://p16-sign-va.tiktokcdn.com/tos-maliva-avt-0068/924cd2a569ead49e262b2573224c311d~tplv-tiktokx-cropcenter:100:100.jpeg?dr=14579&amp;refresh_token=c7367409&amp;x-expires=1764727200&amp;x-signature=URFtN0%2BtryqSDD3%2F0FJXfiYJ8hg%3D&amp;t=4d5b0474&amp;ps=13740610&amp;shp=a5d48078&amp;shcp=81f88b70&amp;idc=my" TargetMode="External"/><Relationship Id="rId1282"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450" Type="http://schemas.openxmlformats.org/officeDocument/2006/relationships/hyperlink" Target="https://www.tiktok.com/@psi.walace/video/7528545423397637382" TargetMode="External"/><Relationship Id="rId1283" Type="http://schemas.openxmlformats.org/officeDocument/2006/relationships/hyperlink" Target="https://v16-webapp-prime.tiktok.com/video/tos/useast2a/tos-useast2a-ve-0068c002/oYrErGgXIbeEJEzBWN2DfBmRjZAFQBRQJCmmEP/?a=1988&amp;bti=ODszNWYuMDE6&amp;ch=0&amp;cr=3&amp;dr=0&amp;lr=all&amp;cd=0%7C0%7C0%7C&amp;cv=1&amp;br=2280&amp;bt=1140&amp;cs=0&amp;ds=3&amp;ft=-Csk_mrMPD12NgDh5d-UxgS5hY6e3wv25-cAp&amp;mime_type=video_mp4&amp;qs=0&amp;rc=Zmc5ZmU6NTplZGY2NDU3O0BpM3BobXg5cnBrdTMzNzczM0AwLmJjL2AtNS4xXzFeMDNhYSNnLXFhMmRjZTNgLS1kMTZzcw%3D%3D&amp;btag=e00090000&amp;expire=1764728554&amp;l=2025120110213056C909F1BE127E576E48&amp;ply_type=2&amp;policy=2&amp;signature=e220373bd4e85eae2a5935dedcb283e1&amp;tk=tt_chain_token" TargetMode="External"/><Relationship Id="rId1284" Type="http://schemas.openxmlformats.org/officeDocument/2006/relationships/hyperlink" Target="https://www.tiktok.com/@igorpsicologo/video/7407604517925047557" TargetMode="External"/><Relationship Id="rId1285" Type="http://schemas.openxmlformats.org/officeDocument/2006/relationships/hyperlink" Target="https://p77-sign-va.tiktokcdn.com/tos-maliva-avt-0068/fb5d8971b8ddf2b63242e238ef781ec7~tplv-tiktokx-cropcenter:100:100.jpeg?dr=14579&amp;refresh_token=2ec6a8ba&amp;x-expires=1764727200&amp;x-signature=QFVfNWxfLygV9v2cK7UlNI0yEu8%3D&amp;t=4d5b0474&amp;ps=13740610&amp;shp=a5d48078&amp;shcp=81f88b70&amp;idc=my" TargetMode="External"/><Relationship Id="rId455" Type="http://schemas.openxmlformats.org/officeDocument/2006/relationships/hyperlink" Target="https://www.tiktok.com/@lorenatdahta/video/7481442083299986743" TargetMode="External"/><Relationship Id="rId1286" Type="http://schemas.openxmlformats.org/officeDocument/2006/relationships/hyperlink" Target="https://v16-webapp-prime.tiktok.com/video/tos/useast2a/tos-useast2a-v-27dcd7/oYZ8Ik1KoBBlPqBcFZixgE0QoK1ooAGGMrfFzi/?a=1988&amp;bti=ODszNWYuMDE6&amp;ch=0&amp;cr=0&amp;dr=0&amp;er=0&amp;lr=default&amp;cd=0%7C0%7C0%7C0&amp;br=250&amp;bt=125&amp;ft=GNDpcInz7Th6zKvPXq8Zmo&amp;mime_type=audio_mpeg&amp;qs=6&amp;rc=Mzo2aGdmNmc2NDNpNTg6aUBpajtpZGs5cm5tMzMzNzU8M0A0YDEzMi0yXjYxNC8zYF8wYSNuX2kyMmRjcG1hLS1kMTZzcw%3D%3D&amp;btag=e00090000&amp;expire=1764559376&amp;l=202512011021446E702D323C03BE6BD085&amp;ply_type=3&amp;policy=3&amp;signature=50a4c5c4e04dde54f9f89452713e8d67&amp;tk=7571587458748974088" TargetMode="External"/><Relationship Id="rId454" Type="http://schemas.openxmlformats.org/officeDocument/2006/relationships/hyperlink" Target="https://v16-webapp-prime.tiktok.com/video/tos/useast2a/tos-useast2a-pve-0068/o8AEef2TxQxRDRKEQboEATBJbB0FIdO0nssAnn/?a=1988&amp;bti=ODszNWYuMDE6&amp;ch=0&amp;cr=3&amp;dr=0&amp;lr=all&amp;cd=0%7C0%7C0%7C&amp;cv=1&amp;br=2488&amp;bt=1244&amp;cs=0&amp;ds=3&amp;ft=-Csk_mrMPD12Nudh5d-Uxs12aY6e3wv252cAp&amp;mime_type=video_mp4&amp;qs=0&amp;rc=aDg4MzQ5NzllNDM6NTozZEBpM3BxOW45cjdweTMzNzczM0AyL2E1M2JhNV4xNC1iY2AvYSNjZWUtMmRzajZgLS1kMTZzcw%3D%3D&amp;btag=e00090000&amp;expire=1764728476&amp;l=202512011020068133AB7BCB086C5F4CDC&amp;ply_type=2&amp;policy=2&amp;signature=d4eab30103b0ec27da759d2afd6a4882&amp;tk=tt_chain_token" TargetMode="External"/><Relationship Id="rId1287" Type="http://schemas.openxmlformats.org/officeDocument/2006/relationships/hyperlink" Target="https://p77-sign-va.tiktokcdn.com/tos-maliva-avt-0068/fb5d8971b8ddf2b63242e238ef781ec7~tplv-tiktokx-cropcenter:1080:1080.jpeg?dr=14579&amp;refresh_token=69decceb&amp;x-expires=1764727200&amp;x-signature=A5K%2FikxE174155%2BA2oWSNUw3jQA%3D&amp;t=4d5b0474&amp;ps=13740610&amp;shp=a5d48078&amp;shcp=81f88b70&amp;idc=my" TargetMode="External"/><Relationship Id="rId453" Type="http://schemas.openxmlformats.org/officeDocument/2006/relationships/hyperlink" Target="https://p16-sg.tiktokcdn.com/aweme/720x720/tos-alisg-v-2774/o8AGkAMAIOLAQrLAXeuKFAAeFVdmFf1veQGpi9.jpeg" TargetMode="External"/><Relationship Id="rId1288" Type="http://schemas.openxmlformats.org/officeDocument/2006/relationships/hyperlink" Target="https://v16-webapp-prime.tiktok.com/video/tos/useast2a/tos-useast2a-pve-0068/ocfZzbqABQBEhDQcv2DwJoEmMIH2MPR4zFfEAd/?a=1988&amp;bti=ODszNWYuMDE6&amp;ch=0&amp;cr=3&amp;dr=0&amp;lr=all&amp;cd=0%7C0%7C0%7C&amp;cv=1&amp;br=1726&amp;bt=863&amp;cs=0&amp;ds=3&amp;ft=-Csk_mrMPD12NVDh5d-UxIS5hY6e3wv25ocAp&amp;mime_type=video_mp4&amp;qs=0&amp;rc=aDhnZmRnZztkN2loOjZlZUBpanJsNnE5cmRtMzMzNzczM0AwNTFgMmBeXjYxNjJfNi9jYSNjMGlrMmRrb21hLS1kMTZzcw%3D%3D&amp;btag=e00090000&amp;expire=1764728576&amp;l=202512011021446E702D323C03BE6BD085&amp;ply_type=2&amp;policy=2&amp;signature=0c0d070afa41db759ffe2f8004d3c07e&amp;tk=tt_chain_token" TargetMode="External"/><Relationship Id="rId452" Type="http://schemas.openxmlformats.org/officeDocument/2006/relationships/hyperlink" Target="https://sf16-ies-music-sg.tiktokcdn.com/obj/tos-alisg-ve-2774/okVWvCe1wQOmrEMln7FfBBgUwAQXFyIOZ1Dutn" TargetMode="External"/><Relationship Id="rId1289" Type="http://schemas.openxmlformats.org/officeDocument/2006/relationships/hyperlink" Target="https://www.tiktok.com/@vibes.brasil1/video/7508413469335588152" TargetMode="External"/><Relationship Id="rId49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490" Type="http://schemas.openxmlformats.org/officeDocument/2006/relationships/hyperlink" Target="https://www.tiktok.com/@marilialanoa/video/7294571886233521413" TargetMode="External"/><Relationship Id="rId489" Type="http://schemas.openxmlformats.org/officeDocument/2006/relationships/hyperlink" Target="https://v16-webapp-prime.tiktok.com/video/tos/maliva/tos-maliva-ve-0068c801-us/o0CJjlGhdwwemIIG7fgFSwhIQyJLIIKeCEgApM/?a=1988&amp;bti=ODszNWYuMDE6&amp;ch=0&amp;cr=3&amp;dr=0&amp;lr=all&amp;cd=0%7C0%7C0%7C&amp;cv=1&amp;br=1128&amp;bt=564&amp;cs=0&amp;ds=3&amp;ft=-Csk_mrMPD12NeZh5d-UxbS5hY6e3wv25McAp&amp;mime_type=video_mp4&amp;qs=0&amp;rc=NTQ2ZGZoZmU0ODk1NjpkPEBpM2Zncmw5cm5ybjMzNzczM0AxM2I1MC1jNjYxNS1hLV5fYSNtcGhjMmQ0NnFgLS1kMTZzcw%3D%3D&amp;btag=e00090000&amp;expire=1764728722&amp;l=2025120110231876F6DCE29F9E0DEB7B51&amp;ply_type=2&amp;policy=2&amp;signature=370b34f4911dcefb551faae1421f09c2&amp;tk=tt_chain_token" TargetMode="External"/><Relationship Id="rId484" Type="http://schemas.openxmlformats.org/officeDocument/2006/relationships/hyperlink" Target="https://v16-webapp-prime.tiktok.com/video/tos/alisg/tos-alisg-pve-0037/ocCBY4CrSPJSWVEcsgMoAeelA23Q5PCHIDiesA/?a=1988&amp;bti=ODszNWYuMDE6&amp;ch=0&amp;cr=3&amp;dr=0&amp;lr=all&amp;cd=0%7C0%7C0%7C&amp;cv=1&amp;br=1128&amp;bt=564&amp;cs=0&amp;ds=3&amp;ft=ytpHh9DfxxOusd.YtDKt8lcLVWOuRx_HFKKMNOWCuJETJDz7T&amp;mime_type=video_mp4&amp;qs=0&amp;rc=NzwzMzpkNDw6N2Y2NWRmNUBpM2hkbTY6ZjVwbDMzNzgzM0A1LzAxMGIwNTUxNjVfMWFfYSNwbTUwcjQwNGpgLS1kLzZzcw%3D%3D&amp;btag=e000b8000&amp;expire=1764728440&amp;l=202512011020211DC26370CAB01566B5CA&amp;ply_type=2&amp;policy=2&amp;signature=6162316d502e23e069142d5098984cd9&amp;tk=tt_chain_token" TargetMode="External"/><Relationship Id="rId483" Type="http://schemas.openxmlformats.org/officeDocument/2006/relationships/hyperlink" Target="https://p16-sign-va.tiktokcdn.com/tos-maliva-avt-0068/1c71a0228c5bad5aadc1820539c510e2~tplv-tiktokx-cropcenter:1080:1080.jpeg?dr=14579&amp;refresh_token=f11b5bb5&amp;x-expires=1764727200&amp;x-signature=f%2BCEGhQiWKcyySOvlq0RNeMocsA%3D&amp;t=4d5b0474&amp;ps=13740610&amp;shp=a5d48078&amp;shcp=81f88b70&amp;idc=my" TargetMode="External"/><Relationship Id="rId482" Type="http://schemas.openxmlformats.org/officeDocument/2006/relationships/hyperlink" Target="https://v16-webapp-prime.tiktok.com/video/tos/useast2a/tos-useast2a-v-27dcd7/oMDrMAJUIBCbeIFaAkAQtuEmJBePGxrnWDhqCT/?a=1988&amp;bti=ODszNWYuMDE6&amp;ch=0&amp;cr=0&amp;dr=0&amp;er=0&amp;lr=default&amp;cd=0%7C0%7C0%7C0&amp;br=250&amp;bt=125&amp;ds=5&amp;ft=GNDpcInz7ThyPKvPXq8Zmo&amp;mime_type=audio_mpeg&amp;qs=13&amp;rc=ajZzODw6ZnRwbDMzNzU8M0BpajZzODw6ZnRwbDMzNzU8M0BfM2hlcjRnNGpgLS1kMTZzYSNfM2hlcjRnNGpgLS1kMTZzcw%3D%3D&amp;btag=e00078000&amp;expire=1764559240&amp;l=202512011020211DC26370CAB01566B5CA&amp;ply_type=3&amp;policy=3&amp;signature=4dc82d8b8206161288b95d42d202bed9&amp;tk=7571587458748974088" TargetMode="External"/><Relationship Id="rId481" Type="http://schemas.openxmlformats.org/officeDocument/2006/relationships/hyperlink" Target="https://p16-sign-va.tiktokcdn.com/tos-maliva-avt-0068/1c71a0228c5bad5aadc1820539c510e2~tplv-tiktokx-cropcenter:100:100.jpeg?dr=14579&amp;refresh_token=0ef49d69&amp;x-expires=1764727200&amp;x-signature=xMMDr8ohDBklGgOwA9%2FVRF%2F0lSM%3D&amp;t=4d5b0474&amp;ps=13740610&amp;shp=a5d48078&amp;shcp=81f88b70&amp;idc=my" TargetMode="External"/><Relationship Id="rId488" Type="http://schemas.openxmlformats.org/officeDocument/2006/relationships/hyperlink" Target="https://p77-sign-va.tiktokcdn.com/tos-maliva-avt-0068/7326721801726689286~tplv-tiktokx-cropcenter:1080:1080.jpeg?dr=14579&amp;refresh_token=19420db4&amp;x-expires=1764727200&amp;x-signature=MrMtO7g3igBNsJvynwOSz5Ud%2BhY%3D&amp;t=4d5b0474&amp;ps=13740610&amp;shp=a5d48078&amp;shcp=81f88b70&amp;idc=my" TargetMode="External"/><Relationship Id="rId487" Type="http://schemas.openxmlformats.org/officeDocument/2006/relationships/hyperlink" Target="https://v16-webapp-prime.tiktok.com/video/tos/useast2a/tos-useast2a-v-27dcd7/ocTGLCqbwoeA4B03IAARIeGVSDdOKIE3ACVTge/?a=1988&amp;bti=ODszNWYuMDE6&amp;ch=0&amp;cr=0&amp;dr=0&amp;er=0&amp;lr=default&amp;cd=0%7C0%7C0%7C0&amp;br=250&amp;bt=125&amp;ds=5&amp;ft=GNDpcInz7Th5gKvPXq8Zmo&amp;mime_type=audio_mpeg&amp;qs=13&amp;rc=anZueHk5cjVybjMzNzU8M0BpanZueHk5cjVybjMzNzU8M0AuaXIzMmRrYXFgLS1kMTZzYSMuaXIzMmRrYXFgLS1kMTZzcw%3D%3D&amp;btag=e00050000&amp;expire=1764559522&amp;l=2025120110231876F6DCE29F9E0DEB7B51&amp;ply_type=3&amp;policy=3&amp;signature=102074c6ba7a43d4a485fe239bd96eb6&amp;tk=7571587458748974088" TargetMode="External"/><Relationship Id="rId486" Type="http://schemas.openxmlformats.org/officeDocument/2006/relationships/hyperlink" Target="https://p16-sign-va.tiktokcdn.com/tos-maliva-avt-0068/7326721801726689286~tplv-tiktokx-cropcenter:100:100.jpeg?dr=14579&amp;refresh_token=ca76a651&amp;x-expires=1764727200&amp;x-signature=yh298qblqBFwttjCiYmRWF%2BD4Lw%3D&amp;t=4d5b0474&amp;ps=13740610&amp;shp=a5d48078&amp;shcp=81f88b70&amp;idc=my" TargetMode="External"/><Relationship Id="rId485" Type="http://schemas.openxmlformats.org/officeDocument/2006/relationships/hyperlink" Target="https://www.tiktok.com/@tdahabitos/video/7254563923872009477" TargetMode="External"/><Relationship Id="rId480" Type="http://schemas.openxmlformats.org/officeDocument/2006/relationships/hyperlink" Target="https://www.tiktok.com/@marilialanoa/video/7278667146916302086" TargetMode="External"/><Relationship Id="rId479" Type="http://schemas.openxmlformats.org/officeDocument/2006/relationships/hyperlink" Target="https://v16-webapp-prime.tiktok.com/video/tos/maliva/tos-maliva-ve-0068c801-us/oIDFgBPheIKI4MfnlS2CjbYnWgDoBgIeAHCuZQ/?a=1988&amp;bti=ODszNWYuMDE6&amp;ch=0&amp;cr=3&amp;dr=0&amp;lr=all&amp;cd=0%7C0%7C0%7C&amp;cv=1&amp;br=1174&amp;bt=587&amp;cs=0&amp;ds=3&amp;ft=I~da4oKyD12Nvb.WS.IxRnTNWlBF-UjNS3opiX&amp;mime_type=video_mp4&amp;qs=0&amp;rc=NTNmZWQ2ZTs7ZzVnaDc4O0BpajR4cDc6ZnVqbjMzNzczM0AyYjI0L2AxXmExYDFgM2A1YSNvczIucjQwNi5gLS1kMTZzcw%3D%3D&amp;btag=e000a0000&amp;expire=1764728954&amp;l=20251201102046E8B89E886773854715A1&amp;ply_type=2&amp;policy=2&amp;signature=edc83704377ccc8272c539b3fa4d2f41&amp;tk=tt_chain_token" TargetMode="External"/><Relationship Id="rId478" Type="http://schemas.openxmlformats.org/officeDocument/2006/relationships/hyperlink" Target="https://p16-sign-va.tiktokcdn.com/tos-maliva-avt-0068/7326721801726689286~tplv-tiktokx-cropcenter:1080:1080.jpeg?dr=14579&amp;refresh_token=8b79aa3c&amp;x-expires=1764727200&amp;x-signature=VrBJHGoDFJzu9%2Bryii%2BwwZ4utTA%3D&amp;t=4d5b0474&amp;ps=13740610&amp;shp=a5d48078&amp;shcp=81f88b70&amp;idc=my" TargetMode="External"/><Relationship Id="rId473" Type="http://schemas.openxmlformats.org/officeDocument/2006/relationships/hyperlink" Target="https://p77-sign-va.tiktokcdn.com/tos-maliva-avt-0068/7bb47b8c243b1057903cd168a856e7ba~tplv-tiktokx-cropcenter:1080:1080.jpeg?dr=14579&amp;refresh_token=e905a532&amp;x-expires=1764727200&amp;x-signature=tP%2BUbHoUE2Y3k25avM%2BcQLCq0I4%3D&amp;t=4d5b0474&amp;ps=13740610&amp;shp=a5d48078&amp;shcp=81f88b70&amp;idc=my" TargetMode="External"/><Relationship Id="rId472" Type="http://schemas.openxmlformats.org/officeDocument/2006/relationships/hyperlink" Target="https://v16-webapp-prime.tiktok.com/video/tos/useast2a/tos-useast2a-v-27dcd7/oY4UwitBQ7BBEA3ifQnJBQC8I4ySFeMXXocbaJ/?a=1988&amp;bti=ODszNWYuMDE6&amp;ch=0&amp;cr=0&amp;dr=0&amp;er=0&amp;lr=default&amp;cd=0%7C0%7C0%7C0&amp;br=250&amp;bt=125&amp;ft=GNDpcInz7ThGPKvPXq8Zmo&amp;mime_type=audio_mpeg&amp;qs=6&amp;rc=PDg4ZDlpZjhkZmg7N2hpOUBpanVtN3Y5cm5oeTMzNzU8M0AzXl4zMjRfNTAxMTMxYjUwYSNqY2RwMmRjLW1gLS1kMTZzcw%3D%3D&amp;btag=e00090000&amp;expire=1764559306&amp;l=202512011020239FD63C9B4E4C976A9E36&amp;ply_type=3&amp;policy=3&amp;signature=2f6fe7a11ff9178a82db79c69931b4ac&amp;tk=7571587458748974088" TargetMode="External"/><Relationship Id="rId471" Type="http://schemas.openxmlformats.org/officeDocument/2006/relationships/hyperlink" Target="https://p77-sign-va.tiktokcdn.com/tos-maliva-avt-0068/7bb47b8c243b1057903cd168a856e7ba~tplv-tiktokx-cropcenter:100:100.jpeg?dr=14579&amp;refresh_token=184c7952&amp;x-expires=1764727200&amp;x-signature=jffNS6z6Tig%2F2zWo5bkb1vsSghE%3D&amp;t=4d5b0474&amp;ps=13740610&amp;shp=a5d48078&amp;shcp=81f88b70&amp;idc=my" TargetMode="External"/><Relationship Id="rId470" Type="http://schemas.openxmlformats.org/officeDocument/2006/relationships/hyperlink" Target="https://www.tiktok.com/@patriciacandidopsi/video/7536596381553659192" TargetMode="External"/><Relationship Id="rId477" Type="http://schemas.openxmlformats.org/officeDocument/2006/relationships/hyperlink" Target="https://v16-webapp-prime.tiktok.com/video/tos/useast2a/tos-useast2a-v-27dcd7/oACAG8lOVAfpnCfAJbbBwxUAQJDHBAAI8lidIE/?a=1988&amp;bti=ODszNWYuMDE6&amp;ch=0&amp;cr=0&amp;dr=0&amp;er=0&amp;lr=default&amp;cd=0%7C0%7C0%7C0&amp;br=250&amp;bt=125&amp;ds=5&amp;ft=GNDpcInz7ThuPKvPXq8Zmo&amp;mime_type=audio_mpeg&amp;qs=13&amp;rc=M3h1dTM6Zm1qbjMzNzU8M0BpM3h1dTM6Zm1qbjMzNzU8M0AuMmE0cjRnXi5gLS1kMTZzYSMuMmE0cjRnXi5gLS1kMTZzcw%3D%3D&amp;btag=e00060000&amp;expire=1764559754&amp;l=20251201102046E8B89E886773854715A1&amp;ply_type=3&amp;policy=3&amp;signature=9f9483abe080a98e35303568f020ad0b&amp;tk=7571587458748974088" TargetMode="External"/><Relationship Id="rId476" Type="http://schemas.openxmlformats.org/officeDocument/2006/relationships/hyperlink" Target="https://p16-sign-va.tiktokcdn.com/tos-maliva-avt-0068/7326721801726689286~tplv-tiktokx-cropcenter:100:100.jpeg?dr=14579&amp;refresh_token=ca76a651&amp;x-expires=1764727200&amp;x-signature=yh298qblqBFwttjCiYmRWF%2BD4Lw%3D&amp;t=4d5b0474&amp;ps=13740610&amp;shp=a5d48078&amp;shcp=81f88b70&amp;idc=my" TargetMode="External"/><Relationship Id="rId475" Type="http://schemas.openxmlformats.org/officeDocument/2006/relationships/hyperlink" Target="https://www.tiktok.com/@rangellima.oficial/video/7490295723515268358" TargetMode="External"/><Relationship Id="rId474" Type="http://schemas.openxmlformats.org/officeDocument/2006/relationships/hyperlink" Target="https://v16-webapp-prime.tiktok.com/video/tos/alisg/tos-alisg-ve-37c813-sg/oof5SgLRMxaCcCwvgQ8MAxAPmWCkpPCIfe8jJl/?a=1988&amp;bti=ODszNWYuMDE6&amp;ch=0&amp;cr=3&amp;dr=0&amp;lr=all&amp;cd=0%7C0%7C0%7C&amp;cv=1&amp;br=2052&amp;bt=1026&amp;cs=0&amp;ds=3&amp;ft=I~da4oKyD12Nvz.WS.IxRjkNWlBF-UjNSRopiX&amp;mime_type=video_mp4&amp;qs=0&amp;rc=NjQ5ZDQ3ODs4ZjwzNjc6aUBpamVrZHE5cmtoeTMzNzczM0BhMWAtLjYzXzUxY18xLi1fYSNzZzZkMmRjLW1gLS1kMTZzcw%3D%3D&amp;btag=e00090000&amp;expire=1764728506&amp;l=202512011020239FD63C9B4E4C976A9E36&amp;ply_type=2&amp;policy=2&amp;signature=1ece8d2357ec67a76522b3a43df47933&amp;tk=tt_chain_token" TargetMode="External"/><Relationship Id="rId1257" Type="http://schemas.openxmlformats.org/officeDocument/2006/relationships/hyperlink" Target="https://p16-sg.tiktokcdn.com/aweme/720x720/tos-alisg-v-2774/oUFDAWD5tkQIeCkAuAGbfIrCgOuzIlLAAfNa48.jpeg" TargetMode="External"/><Relationship Id="rId1258" Type="http://schemas.openxmlformats.org/officeDocument/2006/relationships/hyperlink" Target="https://v16-webapp-prime.tiktok.com/video/tos/maliva/tos-maliva-ve-68c800-us/osGaOVeUA2W0LLnIfElCAZSwIZRCkgvgjk7Wf2/?a=1988&amp;bti=ODszNWYuMDE6&amp;ch=0&amp;cr=3&amp;dr=0&amp;lr=all&amp;cd=0%7C0%7C0%7C&amp;cv=1&amp;br=2438&amp;bt=1219&amp;cs=0&amp;ds=3&amp;ft=I~da4oKyD12Nvb.WS.IxRnTNWlBF-UjNS3opiX&amp;mime_type=video_mp4&amp;qs=0&amp;rc=PDczPGdmPGU4ZmlkZ2RnOUBpMzhwZHM5cjZ0cDMzNzczM0AyMzUvMjBeX14xYy1eLzBjYSNqZnNfMmQ0Mm1gLS1kMTZzcw%3D%3D&amp;btag=e00090000&amp;expire=1764728512&amp;l=20251201102046E8B89E886773854715A1&amp;ply_type=2&amp;policy=2&amp;signature=a17e571462ec05f883921852d770f59d&amp;tk=tt_chain_token" TargetMode="External"/><Relationship Id="rId1259" Type="http://schemas.openxmlformats.org/officeDocument/2006/relationships/hyperlink" Target="https://www.tiktok.com/@autoamorecuidad/video/7328381605758635270" TargetMode="External"/><Relationship Id="rId426"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425" Type="http://schemas.openxmlformats.org/officeDocument/2006/relationships/hyperlink" Target="https://www.tiktok.com/@liberdade.mentall/video/7537471214659439928" TargetMode="External"/><Relationship Id="rId424" Type="http://schemas.openxmlformats.org/officeDocument/2006/relationships/hyperlink" Target="https://v16-webapp-prime.tiktok.com/video/tos/useast2a/tos-useast2a-ve-0068c003/oEfE0vSABgBEwhQxqGDZJoIjmQInzeVonFgC89/?a=1988&amp;bti=ODszNWYuMDE6&amp;ch=0&amp;cr=3&amp;dr=0&amp;lr=all&amp;cd=0%7C0%7C0%7C&amp;cv=1&amp;br=836&amp;bt=418&amp;cs=0&amp;ds=3&amp;ft=-Csk_mrMPD12NNBh5d-UxIS5hY6e3wv25ocAp&amp;mime_type=video_mp4&amp;qs=0&amp;rc=ZDU3NTs8ZWRkZWRmNzc3ZUBpM2Y8aW85cm46NTMzNzgzM0A1NmBhNi4yXjMxYS5fYS9fYSNsLmhgMmRrZ2FhLS1kLzZzcw%3D%3D&amp;btag=e00090000&amp;expire=1764728599&amp;l=20251201102153319CD8E1EA373154CB8C&amp;ply_type=2&amp;policy=2&amp;signature=d3622d613b386dc97781cc881915caa1&amp;tk=tt_chain_token" TargetMode="External"/><Relationship Id="rId42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429" Type="http://schemas.openxmlformats.org/officeDocument/2006/relationships/hyperlink" Target="https://v16-webapp-prime.tiktok.com/video/tos/maliva/tos-maliva-ve-0068c801-us/o0ZveEn4g8ALR0BOEADJqjEYB1WfbRKlkiLjQU/?a=1988&amp;bti=ODszNWYuMDE6&amp;ch=0&amp;cr=3&amp;dr=0&amp;lr=all&amp;cd=0%7C0%7C0%7C&amp;cv=1&amp;br=1606&amp;bt=803&amp;cs=0&amp;ds=3&amp;ft=-Csk_mrMPD12NGDh5d-UxSc2hY6e3wv25DcAp&amp;mime_type=video_mp4&amp;qs=0&amp;rc=NDdoPDxoZWk4ZWg2M2c1OUBpam9kOWc6ZnhwajMzNzczM0AwYDU1YV42NjYxMV8tMmAxYSMtazFfcjQwMnBgLS1kMTZzcw%3D%3D&amp;btag=e00090000&amp;expire=1764728572&amp;l=202512011021508D2E02B19879BA6D89C0&amp;ply_type=2&amp;policy=2&amp;signature=07cc4f2cf4b726e506f54f550a6e23e4&amp;tk=tt_chain_token" TargetMode="External"/><Relationship Id="rId428"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 Id="rId427" Type="http://schemas.openxmlformats.org/officeDocument/2006/relationships/hyperlink" Target="https://v16-webapp-prime.tiktok.com/video/tos/useast2a/tos-useast2a-v-27dcd7/a3f8acf9599a425293ebf4c845dbb91b/?a=1988&amp;bti=ODszNWYuMDE6&amp;ch=0&amp;cr=0&amp;dr=0&amp;er=0&amp;lr=default&amp;cd=0%7C0%7C0%7C0&amp;br=250&amp;bt=125&amp;ds=5&amp;ft=GNDpcInz7ThuzKvPXq8Zmo&amp;mime_type=audio_mpeg&amp;qs=13&amp;rc=ajp2eTk6ZjxwajMzNzU8M0Bpajp2eTk6ZjxwajMzNzU8M0BgLW9tcjQwM3BgLS1kMTZzYSNgLW9tcjQwM3BgLS1kMTZzcw%3D%3D&amp;btag=e00050000&amp;expire=1764559372&amp;l=202512011021508D2E02B19879BA6D89C0&amp;ply_type=3&amp;policy=3&amp;signature=e08a2632bd4e114be3e536358df4bc34&amp;tk=7571587458748974088" TargetMode="External"/><Relationship Id="rId1250" Type="http://schemas.openxmlformats.org/officeDocument/2006/relationships/hyperlink" Target="https://p16-sign-va.tiktokcdn.com/tos-maliva-avt-0068/df45d1432838340c9c796d007ccac1d1~tplv-tiktokx-cropcenter:100:100.jpeg?dr=14579&amp;refresh_token=baef9f34&amp;x-expires=1764727200&amp;x-signature=xKsT5OkeGUGSNbn1ba15LRZ5ovA%3D&amp;t=4d5b0474&amp;ps=13740610&amp;shp=a5d48078&amp;shcp=81f88b70&amp;idc=my" TargetMode="External"/><Relationship Id="rId1251" Type="http://schemas.openxmlformats.org/officeDocument/2006/relationships/hyperlink" Target="https://sf16-ies-music-sg.tiktokcdn.com/obj/tos-alisg-ve-2774/o831hBCf4IuJrZOgSQtw2eUNvp3YzNOBQzkkBA" TargetMode="External"/><Relationship Id="rId1252" Type="http://schemas.openxmlformats.org/officeDocument/2006/relationships/hyperlink" Target="https://p16-sg.tiktokcdn.com/aweme/720x720/tos-alisg-v-2774/ec1ace0f38ff40c2a188bf7ddc33226c.jpeg" TargetMode="External"/><Relationship Id="rId422" Type="http://schemas.openxmlformats.org/officeDocument/2006/relationships/hyperlink" Target="https://v16-webapp-prime.tiktok.com/video/tos/useast2a/tos-useast2a-v-27dcd7/oEn0Jn2voQJCUnBq9BmFe0oEYKDgckCltQf5GC/?a=1988&amp;bti=ODszNWYuMDE6&amp;ch=0&amp;cr=0&amp;dr=0&amp;er=0&amp;lr=default&amp;cd=0%7C0%7C0%7C0&amp;br=250&amp;bt=125&amp;ft=GNDpcInz7ThhFKvPXq8Zmo&amp;mime_type=audio_mpeg&amp;qs=6&amp;rc=ZmY0OWg6NztoODY1ZjlpOkBpam1vM285cmU6NTMzNzU8M0A1XjJfMS01Nl4xMF9fNV8vYSNxMjU0MmRjaGFhLS1kMTZzcw%3D%3D&amp;btag=e00090000&amp;expire=1764559399&amp;l=20251201102153319CD8E1EA373154CB8C&amp;ply_type=3&amp;policy=3&amp;signature=827dc6b3103d27a572c540939f5ab311&amp;tk=7571587458748974088" TargetMode="External"/><Relationship Id="rId1253" Type="http://schemas.openxmlformats.org/officeDocument/2006/relationships/hyperlink" Target="https://v16-webapp-prime.tiktok.com/video/tos/maliva/tos-maliva-ve-0068c801-us/ocghRPcAkQJMEyBWeB8eKvhDIvngLdAgdQbKay/?a=1988&amp;bti=ODszNWYuMDE6&amp;ch=0&amp;cr=3&amp;dr=0&amp;lr=all&amp;cd=0%7C0%7C0%7C&amp;cv=1&amp;br=1568&amp;bt=784&amp;cs=0&amp;ds=3&amp;ft=-Csk_mrMPD12NXdh5d-Uxe42hY6e3wv25XcAp&amp;mime_type=video_mp4&amp;qs=0&amp;rc=ZjY3ZDYzaDczN2RnZzdmO0BpM2p5eGU6ZnFpbTMzNzczM0AtNTA2MWBiXzUxNGFeYzFgYSM0LV4vcjRfZGxgLS1kMTZzcw%3D%3D&amp;btag=e00090000&amp;expire=1764728482&amp;l=202512011020161DC26370CAB01566B4BC&amp;ply_type=2&amp;policy=2&amp;signature=4cc069a337ad9728d27850688f8aa06b&amp;tk=tt_chain_token" TargetMode="External"/><Relationship Id="rId421" Type="http://schemas.openxmlformats.org/officeDocument/2006/relationships/hyperlink" Target="https://p16-sign-va.tiktokcdn.com/tos-maliva-avt-0068/4949bb024f91e1b4bc8f1b459a9fc215~tplv-tiktokx-cropcenter:100:100.jpeg?dr=14579&amp;refresh_token=fba24e79&amp;x-expires=1764727200&amp;x-signature=7FnBkpoZCpNPjSo94tkcqpayjMo%3D&amp;t=4d5b0474&amp;ps=13740610&amp;shp=a5d48078&amp;shcp=81f88b70&amp;idc=my" TargetMode="External"/><Relationship Id="rId1254" Type="http://schemas.openxmlformats.org/officeDocument/2006/relationships/hyperlink" Target="https://www.tiktok.com/@tdahuniverse/video/7273587796558793990" TargetMode="External"/><Relationship Id="rId420" Type="http://schemas.openxmlformats.org/officeDocument/2006/relationships/hyperlink" Target="https://www.tiktok.com/@liberdade.mentall/video/7569401587852905736" TargetMode="External"/><Relationship Id="rId1255" Type="http://schemas.openxmlformats.org/officeDocument/2006/relationships/hyperlink" Target="https://p77-sign-va.tiktokcdn.com/tos-maliva-avt-0068/e629821e4067bea00509a0c98dfdea72~tplv-tiktokx-cropcenter:100:100.jpeg?dr=14579&amp;refresh_token=043bc2e7&amp;x-expires=1764727200&amp;x-signature=TijhLm95Z%2FvaNyouCNgYujQoq5k%3D&amp;t=4d5b0474&amp;ps=13740610&amp;shp=a5d48078&amp;shcp=81f88b70&amp;idc=my" TargetMode="External"/><Relationship Id="rId1256" Type="http://schemas.openxmlformats.org/officeDocument/2006/relationships/hyperlink" Target="https://sf16-ies-music-sg.tiktokcdn.com/obj/tos-alisg-ve-2774/ooBzZ5DEQ9RfCFxDBMFjQGZEQfuFItlQBMgCKA" TargetMode="External"/><Relationship Id="rId1246" Type="http://schemas.openxmlformats.org/officeDocument/2006/relationships/hyperlink" Target="https://v16-webapp-prime.tiktok.com/video/tos/alisg/tos-alisg-v-27dcd7/o8fmvliQHBBFyeAIAIgAhACV125gMpMuDUJ8EA/?a=1988&amp;bti=ODszNWYuMDE6&amp;ch=0&amp;cr=0&amp;dr=0&amp;er=0&amp;lr=default&amp;cd=0%7C0%7C0%7C0&amp;br=250&amp;bt=125&amp;ds=5&amp;ft=GNDpcInz7ThCPKvPXq8Zmo&amp;mime_type=audio_mpeg&amp;qs=13&amp;rc=M3Q4b2o5cnI4NzMzODU8NEBpM3Q4b2o5cnI4NzMzODU8NEBkLW9xMmRrcGNhLS1kMS1zYSNkLW9xMmRrcGNhLS1kMS1zcw%3D%3D&amp;btag=e00050000&amp;expire=1764559349&amp;l=20251201102042908EBE054CA4706238E0&amp;ply_type=3&amp;policy=3&amp;signature=479a3b3d00e06c6c27f04a2b2fea9443&amp;tk=7571587458748974088" TargetMode="External"/><Relationship Id="rId1247" Type="http://schemas.openxmlformats.org/officeDocument/2006/relationships/hyperlink" Target="https://p77-sign-va.tiktokcdn.com/tos-maliva-avt-0068/91bee1dd715ee641a4d76c69ee7d8a48~tplv-tiktokx-cropcenter:1080:1080.jpeg?dr=14579&amp;refresh_token=f6e3d679&amp;x-expires=1764727200&amp;x-signature=ioiWIP08VJVl4SCLWmOswCXWato%3D&amp;t=4d5b0474&amp;ps=13740610&amp;shp=a5d48078&amp;shcp=81f88b70&amp;idc=my" TargetMode="External"/><Relationship Id="rId1248" Type="http://schemas.openxmlformats.org/officeDocument/2006/relationships/hyperlink" Target="https://v16-webapp-prime.tiktok.com/video/tos/alisg/tos-alisg-pve-0037c001/oUKeAvfe7sof0iXAgIgYnO44RjgQAXBeMg8vdN/?a=1988&amp;bti=ODszNWYuMDE6&amp;ch=0&amp;cr=3&amp;dr=0&amp;lr=all&amp;cd=0%7C0%7C0%7C&amp;cv=1&amp;br=2436&amp;bt=1218&amp;cs=0&amp;ds=3&amp;ft=-Csk_mrMPD12NKdh5d-Uxs12aY6e3wv252cAp&amp;mime_type=video_mp4&amp;qs=0&amp;rc=NjllPDloaTdnNGRpZWU7OUBpM2kzbmw5cng4NzMzODczNEAwYzU2LS5iNjAxYjAzLTUyYSNza3JjMmRzbmNhLS1kMTFzcw%3D%3D&amp;btag=e00090000&amp;expire=1764728549&amp;l=20251201102042908EBE054CA4706238E0&amp;ply_type=2&amp;policy=2&amp;signature=eb985afd7c4f59e9cc9cf124921200e7&amp;tk=tt_chain_token" TargetMode="External"/><Relationship Id="rId1249" Type="http://schemas.openxmlformats.org/officeDocument/2006/relationships/hyperlink" Target="https://www.tiktok.com/@terapeutaliviapinheiro/video/7574595264749538578" TargetMode="External"/><Relationship Id="rId415" Type="http://schemas.openxmlformats.org/officeDocument/2006/relationships/hyperlink" Target="https://www.tiktok.com/@psi.walace/video/7527803158802828600" TargetMode="External"/><Relationship Id="rId899" Type="http://schemas.openxmlformats.org/officeDocument/2006/relationships/hyperlink" Target="https://www.tiktok.com/@ritajorge59/video/7409053001735818502" TargetMode="External"/><Relationship Id="rId414" Type="http://schemas.openxmlformats.org/officeDocument/2006/relationships/hyperlink" Target="https://v16-webapp-prime.tiktok.com/video/tos/useast2a/tos-useast2a-ve-0068c003/o4SfeyTj7IEQIIaCEQCgBDDxFgfQACXFFEY4Wc/?a=1988&amp;bti=ODszNWYuMDE6&amp;ch=0&amp;cr=3&amp;dr=0&amp;lr=all&amp;cd=0%7C0%7C0%7C&amp;cv=1&amp;br=734&amp;bt=367&amp;cs=0&amp;ds=6&amp;ft=-Csk_mrMPD12NNBh5d-UxIS5hY6e3wv25ocAp&amp;mime_type=video_mp4&amp;qs=5&amp;rc=OzxkN2c6ZDc4PDQ1Zzs0ZEBpM3U0NnI5cnI1NDMzNzczM0A0LV41L19fNjExYDFfYWIxYSNtczZlMmQ0LnBhLS1kMTZzcw%3D%3D&amp;btag=e00090000&amp;expire=1764728633&amp;l=20251201102153319CD8E1EA373154CB8C&amp;ply_type=2&amp;policy=2&amp;signature=816cb1a6a51d6a8fcc498cc6547939db&amp;tk=tt_chain_token" TargetMode="External"/><Relationship Id="rId898" Type="http://schemas.openxmlformats.org/officeDocument/2006/relationships/hyperlink" Target="https://v16-webapp-prime.tiktok.com/video/tos/useast2a/tos-useast2a-ve-0068c002/oo9S2woafAIbs8XsQBIzWpA9aigkiCxhyRMEUz/?a=1988&amp;bti=ODszNWYuMDE6&amp;ch=0&amp;cr=3&amp;dr=0&amp;lr=all&amp;cd=0%7C0%7C0%7C&amp;cv=1&amp;br=2300&amp;bt=1150&amp;cs=0&amp;ds=3&amp;ft=-Csk_mrMPD12N5Dh5d-UxP12hY6e3wv25ocAp&amp;mime_type=video_mp4&amp;qs=0&amp;rc=ZWZmZzU7aDc6aTw1Nmc6OUBpampwOG05cnU2dTMzNzczM0AyX19jYi4yNjIxNV80LjFgYSNyMGttMmRjcDZgLS1kMTZzcw%3D%3D&amp;btag=e00090000&amp;expire=1764728548&amp;l=2025120110205711DA509A8B9B2F6AA181&amp;ply_type=2&amp;policy=2&amp;signature=355f3925be20e0a7a4972efc26cce545&amp;tk=tt_chain_token" TargetMode="External"/><Relationship Id="rId413" Type="http://schemas.openxmlformats.org/officeDocument/2006/relationships/hyperlink" Target="https://p77-sg.tiktokcdn.com/aweme/720x720/tos-alisg-v-2774/o8CZDEgpEsoAeWtxEBnAtQFAgpHQVBf148CJcS.jpeg" TargetMode="External"/><Relationship Id="rId897" Type="http://schemas.openxmlformats.org/officeDocument/2006/relationships/hyperlink" Target="https://p77-sign-va.tiktokcdn.com/tos-maliva-avt-0068/18079c46c06ed7b354e537e2c8d28c00~tplv-tiktokx-cropcenter:1080:1080.jpeg?dr=14579&amp;refresh_token=75f5687a&amp;x-expires=1764727200&amp;x-signature=dKKOlDg5s4YiMnxi85nHUby7Rnc%3D&amp;t=4d5b0474&amp;ps=13740610&amp;shp=a5d48078&amp;shcp=81f88b70&amp;idc=my" TargetMode="External"/><Relationship Id="rId412" Type="http://schemas.openxmlformats.org/officeDocument/2006/relationships/hyperlink" Target="https://sf16-ies-music-sg.tiktokcdn.com/obj/tos-alisg-ve-2774/oMyOHOoBzAh6qWbii1nknBIZWAFsflLwCsMz8X" TargetMode="External"/><Relationship Id="rId896" Type="http://schemas.openxmlformats.org/officeDocument/2006/relationships/hyperlink" Target="https://v16-webapp-prime.tiktok.com/video/tos/useast2a/tos-useast2a-v-27dcd7/o8CABUomJEGAAJkE6ASfBFP0DDYbBjE20YeUlQ/?a=1988&amp;bti=ODszNWYuMDE6&amp;ch=0&amp;cr=0&amp;dr=0&amp;er=0&amp;lr=default&amp;cd=0%7C0%7C0%7C0&amp;br=250&amp;bt=125&amp;ds=5&amp;ft=GNDpcInz7ThvzKvPXq8Zmo&amp;mime_type=audio_mpeg&amp;qs=13&amp;rc=M248ZnU5cjQ2dTMzNzU8M0BpM248ZnU5cjQ2dTMzNzU8M0AtcWktMmRrcTZgLS1kMTZzYSMtcWktMmRrcTZgLS1kMTZzcw%3D%3D&amp;btag=e00050000&amp;expire=1764559348&amp;l=2025120110205711DA509A8B9B2F6AA181&amp;ply_type=3&amp;policy=3&amp;signature=2aa91c75073620232146d7140da8815e&amp;tk=7571587458748974088" TargetMode="External"/><Relationship Id="rId419" Type="http://schemas.openxmlformats.org/officeDocument/2006/relationships/hyperlink" Target="https://v16-webapp-prime.tiktok.com/video/tos/alisg/tos-alisg-pve-0037/oMIrooSAeewSs7WXDDQiYFFQTNgCsAfhE1E88X/?a=1988&amp;bti=ODszNWYuMDE6&amp;ch=0&amp;cr=3&amp;dr=0&amp;lr=all&amp;cd=0%7C0%7C0%7C&amp;cv=1&amp;br=1198&amp;bt=599&amp;cs=0&amp;ds=3&amp;ft=-Csk_mrMPD12NSBh5d-Uxs12aY6e3wv252cAp&amp;mime_type=video_mp4&amp;qs=0&amp;rc=OGg8NDtlNDo7OzdnZGk6ZUBpamZzcWo5cmh4NzMzODgzNEA2MmIwNjUwNTExLzBjNDUzYSMyL2ZoMmRzaDJhLS1kLzFzcw%3D%3D&amp;btag=e00090000&amp;expire=1764728611&amp;l=2025120110215532A809179141715F3748&amp;ply_type=2&amp;policy=2&amp;signature=f4cc2c0cc0a40fcac435293bc92af19a&amp;tk=tt_chain_token" TargetMode="External"/><Relationship Id="rId418" Type="http://schemas.openxmlformats.org/officeDocument/2006/relationships/hyperlink" Target="https://p77-sign-va.tiktokcdn.com/tos-maliva-avt-0068/4949bb024f91e1b4bc8f1b459a9fc215~tplv-tiktokx-cropcenter:1080:1080.jpeg?dr=14579&amp;refresh_token=fd0492d3&amp;x-expires=1764727200&amp;x-signature=uY90EBP%2BwXVfvd%2BEh%2FCZP271Sw0%3D&amp;t=4d5b0474&amp;ps=13740610&amp;shp=a5d48078&amp;shcp=81f88b70&amp;idc=my" TargetMode="External"/><Relationship Id="rId417" Type="http://schemas.openxmlformats.org/officeDocument/2006/relationships/hyperlink" Target="https://v16-webapp-prime.tiktok.com/video/tos/alisg/tos-alisg-v-27dcd7/okIEB6krIerogYFCDLbDfD0TqvEFQdeAB4QSMS/?a=1988&amp;bti=ODszNWYuMDE6&amp;ch=0&amp;cr=0&amp;dr=0&amp;er=0&amp;lr=default&amp;cd=0%7C0%7C0%7C0&amp;br=250&amp;bt=125&amp;ft=GNDpcInz7ThjFKvPXq8Zmo&amp;mime_type=audio_mpeg&amp;qs=6&amp;rc=NzwzOjs7OTxpPDNkOTczaEBpMzY5N285cmV4NzMzODU8NEBjXjAxLWIzNjIxYy5eNGMyYSNuNWRzMmRzaTJhLS1kMS1zcw%3D%3D&amp;btag=e00090000&amp;expire=1764559411&amp;l=2025120110215532A809179141715F3748&amp;ply_type=3&amp;policy=3&amp;signature=d19ec3d48cd45be393cb8bdd9c2772cf&amp;tk=7571587458748974088" TargetMode="External"/><Relationship Id="rId416"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891" Type="http://schemas.openxmlformats.org/officeDocument/2006/relationships/hyperlink" Target="https://v16-webapp-prime.tiktok.com/video/tos/useast2a/tos-useast2a-v-27dcd7/o0EUjFofyBAKBiDvEfh4AJAQE7I0O4pLjDDCJM/?a=1988&amp;bti=ODszNWYuMDE6&amp;ch=0&amp;cr=0&amp;dr=0&amp;er=0&amp;lr=default&amp;cd=0%7C0%7C0%7C0&amp;br=250&amp;bt=125&amp;ds=5&amp;ft=GNDpcInz7ThvFKvPXq8Zmo&amp;mime_type=audio_mpeg&amp;qs=13&amp;rc=M2Rkd245cmxsNjMzNzU8M0BpM2Rkd245cmxsNjMzNzU8M0A0MzFzMmRzLmVhLS1kMTZzYSM0MzFzMmRzLmVhLS1kMTZzcw%3D%3D&amp;btag=e00050000&amp;expire=1764559430&amp;l=2025120110220104295D62D2C47867A675&amp;ply_type=3&amp;policy=3&amp;signature=cabb4304fb584c0fe740381aa076dfc7&amp;tk=7571587458748974088" TargetMode="External"/><Relationship Id="rId890" Type="http://schemas.openxmlformats.org/officeDocument/2006/relationships/hyperlink" Target="https://p16-sign-va.tiktokcdn.com/tos-maliva-avt-0068/13a628e0ffd8c13e59721b894863e44e~tplv-tiktokx-cropcenter:100:100.jpeg?dr=14579&amp;refresh_token=9b946d69&amp;x-expires=1764727200&amp;x-signature=i8rn3BLE8WdMKQwsUv0v78zP6jY%3D&amp;t=4d5b0474&amp;ps=13740610&amp;shp=a5d48078&amp;shcp=81f88b70&amp;idc=my" TargetMode="External"/><Relationship Id="rId1240" Type="http://schemas.openxmlformats.org/officeDocument/2006/relationships/hyperlink" Target="https://p16-sign-va.tiktokcdn.com/tos-maliva-avt-0068/7c37b76173649fc5b2582a6d66b305c7~tplv-tiktokx-cropcenter:100:100.jpeg?dr=14579&amp;refresh_token=cc22c390&amp;x-expires=1764727200&amp;x-signature=S52AJpoc7PrSv7t4Z5qn92df5PY%3D&amp;t=4d5b0474&amp;ps=13740610&amp;shp=a5d48078&amp;shcp=81f88b70&amp;idc=my" TargetMode="External"/><Relationship Id="rId1241" Type="http://schemas.openxmlformats.org/officeDocument/2006/relationships/hyperlink" Target="https://sf16-ies-music-sg.tiktokcdn.com/obj/tos-alisg-ve-2774/ooQ6cZBoa5mlRFzu14fDFggtQ9BfCTygVYDOEp" TargetMode="External"/><Relationship Id="rId411"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895" Type="http://schemas.openxmlformats.org/officeDocument/2006/relationships/hyperlink" Target="https://p16-sign-va.tiktokcdn.com/tos-maliva-avt-0068/18079c46c06ed7b354e537e2c8d28c00~tplv-tiktokx-cropcenter:100:100.jpeg?dr=14579&amp;refresh_token=a1a0038b&amp;x-expires=1764727200&amp;x-signature=P2LzYNuV000X5B7ThdTkyeYwLxk%3D&amp;t=4d5b0474&amp;ps=13740610&amp;shp=a5d48078&amp;shcp=81f88b70&amp;idc=my" TargetMode="External"/><Relationship Id="rId1242" Type="http://schemas.openxmlformats.org/officeDocument/2006/relationships/hyperlink" Target="https://p77-sg.tiktokcdn.com/aweme/720x720/tos-alisg-v-2774/oQcWjf9n9w2sBBAEALwiBmAorAciEtvm0FbHAD.jpeg" TargetMode="External"/><Relationship Id="rId410" Type="http://schemas.openxmlformats.org/officeDocument/2006/relationships/hyperlink" Target="https://www.tiktok.com/@psi.walace/video/7576787282724719892" TargetMode="External"/><Relationship Id="rId894" Type="http://schemas.openxmlformats.org/officeDocument/2006/relationships/hyperlink" Target="https://www.tiktok.com/@igorpsicologo/video/7557920607778721035" TargetMode="External"/><Relationship Id="rId1243" Type="http://schemas.openxmlformats.org/officeDocument/2006/relationships/hyperlink" Target="https://v16-webapp-prime.tiktok.com/video/tos/maliva/tos-maliva-ve-0068c801-us/oYR4GUJtfzeQR2GeFARSvIt8dW2AeWgMBikEUG/?a=1988&amp;bti=ODszNWYuMDE6&amp;ch=0&amp;cr=3&amp;dr=0&amp;lr=all&amp;cd=0%7C0%7C0%7C&amp;cv=1&amp;br=1426&amp;bt=713&amp;cs=0&amp;ds=3&amp;ft=-Csk_mrMPD12NaDh5d-Uxq42hY6e3wv25IcAp&amp;mime_type=video_mp4&amp;qs=0&amp;rc=ZmZkaDNmNjNnNjc1aTNlaEBpamVwdWs5cmU2bjMzNzczM0A2LjRiM2IxXy8xLzMzYjQtYSNuZXAvMmRrX3NgLS1kMTZzcw%3D%3D&amp;btag=e00098000&amp;expire=1764728708&amp;l=202512011021380CC83080A64AA152B5B8&amp;ply_type=2&amp;policy=2&amp;signature=cfc4b318298e2a0b350f4d115237feec&amp;tk=tt_chain_token" TargetMode="External"/><Relationship Id="rId893" Type="http://schemas.openxmlformats.org/officeDocument/2006/relationships/hyperlink" Target="https://v16-webapp-prime.tiktok.com/video/tos/useast2a/tos-useast2a-ve-0068c002/oowDFBzlwEg9ETajIQQcEf4pJR4GoEAEkBfRQ5/?a=1988&amp;bti=ODszNWYuMDE6&amp;ch=0&amp;cr=3&amp;dr=0&amp;lr=all&amp;cd=0%7C0%7C0%7C&amp;cv=1&amp;br=2538&amp;bt=1269&amp;cs=0&amp;ds=3&amp;ft=-Csk_mrMPD12NOBh5d-Uxbt2hY6e3wv25HcAp&amp;mime_type=video_mp4&amp;qs=0&amp;rc=ZWdoOmdmZGk2ZTg0ZjtoM0BpMzc6O2o5cmRqNjMzNzczM0AuLmFgYjNeNWExMmNiMS9fYSNwcmc2MmRjYWVhLS1kMTZzcw%3D%3D&amp;btag=e00090000&amp;expire=1764728631&amp;l=2025120110220104295D62D2C47867A675&amp;ply_type=2&amp;policy=2&amp;signature=3f13c1de87ec6d67d9a4253f93dd1257&amp;tk=tt_chain_token" TargetMode="External"/><Relationship Id="rId1244" Type="http://schemas.openxmlformats.org/officeDocument/2006/relationships/hyperlink" Target="https://www.tiktok.com/@comomecurei/video/7295327958296841478" TargetMode="External"/><Relationship Id="rId892" Type="http://schemas.openxmlformats.org/officeDocument/2006/relationships/hyperlink" Target="https://p16-sign-va.tiktokcdn.com/tos-maliva-avt-0068/13a628e0ffd8c13e59721b894863e44e~tplv-tiktokx-cropcenter:1080:1080.jpeg?dr=14579&amp;refresh_token=b115c4c5&amp;x-expires=1764727200&amp;x-signature=Qh7mfqvMKxnYDhCmglOAaVSqz10%3D&amp;t=4d5b0474&amp;ps=13740610&amp;shp=a5d48078&amp;shcp=81f88b70&amp;idc=my" TargetMode="External"/><Relationship Id="rId1245" Type="http://schemas.openxmlformats.org/officeDocument/2006/relationships/hyperlink" Target="https://p16-sign-va.tiktokcdn.com/tos-maliva-avt-0068/91bee1dd715ee641a4d76c69ee7d8a48~tplv-tiktokx-cropcenter:100:100.jpeg?dr=14579&amp;refresh_token=e1582f0d&amp;x-expires=1764727200&amp;x-signature=mUrG%2FnnQ1NKiCHkYf4RqpgP0to0%3D&amp;t=4d5b0474&amp;ps=13740610&amp;shp=a5d48078&amp;shcp=81f88b70&amp;idc=my" TargetMode="External"/><Relationship Id="rId1279" Type="http://schemas.openxmlformats.org/officeDocument/2006/relationships/hyperlink" Target="https://www.tiktok.com/@drdanieltales/video/7411174844793916677" TargetMode="External"/><Relationship Id="rId448" Type="http://schemas.openxmlformats.org/officeDocument/2006/relationships/hyperlink" Target="https://p77-sg.tiktokcdn.com/aweme/720x720/tiktok-obj/image/tiktok_song_default_cover.jpeg.jpeg" TargetMode="External"/><Relationship Id="rId447" Type="http://schemas.openxmlformats.org/officeDocument/2006/relationships/hyperlink" Target="https://sf16-ies-music-sg.tiktokcdn.com/obj/tos-alisg-ve-2774/owZyMWsUIAgkNi6BVYHWUApiNxaGivMQOIPHr" TargetMode="External"/><Relationship Id="rId446" Type="http://schemas.openxmlformats.org/officeDocument/2006/relationships/hyperlink" Target="https://p77-sign-va.tiktokcdn.com/tos-maliva-avt-0068/1b1ab6d65ae96fbe11db1ee88f115e37~tplv-tiktokx-cropcenter:100:100.jpeg?dr=14579&amp;refresh_token=cac818f6&amp;x-expires=1764727200&amp;x-signature=NI2d6KV0X9X9UsCVtNfyRso4FTI%3D&amp;t=4d5b0474&amp;ps=13740610&amp;shp=a5d48078&amp;shcp=81f88b70&amp;idc=my" TargetMode="External"/><Relationship Id="rId445" Type="http://schemas.openxmlformats.org/officeDocument/2006/relationships/hyperlink" Target="https://www.tiktok.com/@luisandradepaideautista/video/7559962560343051532" TargetMode="External"/><Relationship Id="rId449" Type="http://schemas.openxmlformats.org/officeDocument/2006/relationships/hyperlink" Target="https://v16-webapp-prime.tiktok.com/video/tos/useast2a/tos-useast2a-ve-0068c003/osRC3kxAUrEBEBQVhRDGZEi5SaiI6VHQIxWQP/?a=1988&amp;bti=ODszNWYuMDE6&amp;ch=0&amp;cr=3&amp;dr=0&amp;lr=all&amp;cd=0%7C0%7C0%7C&amp;cv=1&amp;br=2134&amp;bt=1067&amp;cs=0&amp;ds=3&amp;ft=-Csk_mrMPD12NGDh5d-UxSc2hY6e3wv25DcAp&amp;mime_type=video_mp4&amp;qs=0&amp;rc=aTs8NTc2aWY4ODxnaTs4aUBpMzlsb3M5cmtmNDMzNzczM0BhLzNjXzVeXzMxMi9hMmIyYSMuNTU1MmQ0NHFhLS1kMTZzcw%3D%3D&amp;btag=e00090000&amp;expire=1764728642&amp;l=202512011021508D2E02B19879BA6D89C0&amp;ply_type=2&amp;policy=2&amp;signature=f340c589e89d4af563065c6ffcbb3110&amp;tk=tt_chain_token" TargetMode="External"/><Relationship Id="rId1270" Type="http://schemas.openxmlformats.org/officeDocument/2006/relationships/hyperlink" Target="https://p77-sign-va.tiktokcdn.com/tos-maliva-avt-0068/433505c341713a94d8cfecbc28e821d5~tplv-tiktokx-cropcenter:100:100.jpeg?dr=14579&amp;refresh_token=ff1ddde0&amp;x-expires=1764727200&amp;x-signature=i0R59VJr2%2B1PaFR1iOBTK1Rd0yE%3D&amp;t=4d5b0474&amp;ps=13740610&amp;shp=a5d48078&amp;shcp=81f88b70&amp;idc=my" TargetMode="External"/><Relationship Id="rId440" Type="http://schemas.openxmlformats.org/officeDocument/2006/relationships/hyperlink" Target="https://www.tiktok.com/@psi.walace/video/7519548755490704646" TargetMode="External"/><Relationship Id="rId1271" Type="http://schemas.openxmlformats.org/officeDocument/2006/relationships/hyperlink" Target="https://sf16-ies-music-sg.tiktokcdn.com/obj/tos-alisg-ve-2774/o4U21zgOfCQJ7hZedDZmTPBG8EBQFtHxb3qYR4" TargetMode="External"/><Relationship Id="rId1272" Type="http://schemas.openxmlformats.org/officeDocument/2006/relationships/hyperlink" Target="https://p16-sg.tiktokcdn.com/aweme/720x720/tos-alisg-v-2774/443e43fd468f4d7a93eaf00493c1dcef.jpeg" TargetMode="External"/><Relationship Id="rId1273" Type="http://schemas.openxmlformats.org/officeDocument/2006/relationships/hyperlink" Target="https://v16-webapp-prime.tiktok.com/video/tos/alisg/tos-alisg-ve-37c813-sg/o0AA8QkzyAgBL3zfhFPsNAI2Cg8lNktooIEKc8/?a=1988&amp;bti=ODszNWYuMDE6&amp;ch=0&amp;cr=3&amp;dr=0&amp;lr=all&amp;cd=0%7C0%7C0%7C&amp;cv=1&amp;br=1734&amp;bt=867&amp;cs=0&amp;ds=3&amp;ft=ytpHh9DfxxOusd.YtDKt8lcLVWOuRx_HFKKMNOWCuJETJDz7T&amp;mime_type=video_mp4&amp;qs=0&amp;rc=OWg8aTxoOzw3MzY7ZDVkOkBpM2VtZDQ6ZnhybjMzNzczM0BhYF5hYTMuNS4xYmEwYzReYSMtMzRvcjQwLWZgLS1kMTZzcw%3D%3D&amp;btag=e00088000&amp;expire=1764728470&amp;l=202512011020211DC26370CAB01566B5CA&amp;ply_type=2&amp;policy=2&amp;signature=c92bd8ca2a67df6e9f19dbd61863452e&amp;tk=tt_chain_token" TargetMode="External"/><Relationship Id="rId1274" Type="http://schemas.openxmlformats.org/officeDocument/2006/relationships/hyperlink" Target="https://www.tiktok.com/@daianesilva8200/video/7288372944240200966" TargetMode="External"/><Relationship Id="rId444" Type="http://schemas.openxmlformats.org/officeDocument/2006/relationships/hyperlink" Target="https://v16-webapp-prime.tiktok.com/video/tos/useast2a/tos-useast2a-ve-0068c003/oYCcIuA0goiERbIKDizbfQuAqmmBdi1DTkdysC/?a=1988&amp;bti=ODszNWYuMDE6&amp;ch=0&amp;cr=3&amp;dr=0&amp;lr=all&amp;cd=0%7C0%7C0%7C&amp;cv=1&amp;br=1354&amp;bt=677&amp;cs=0&amp;ds=3&amp;ft=I~da4oKyD12NvaMWS.IxRYjNWlBF-UjNSkopiX&amp;mime_type=video_mp4&amp;qs=0&amp;rc=O2Q6ODRpZztoOjU7ZmQ1aEBpM2hrOm85cm05NjMzNzczM0A0NV42YTZiNmExMTY2MF9fYSMybzIuMmRjMGlhLS1kMTZzcw%3D%3D&amp;btag=e00088000&amp;expire=1764728566&amp;l=2025120110220384643B3986DED954E961&amp;ply_type=2&amp;policy=2&amp;signature=4988db2e6d1afd9c44f3019e717aabcc&amp;tk=tt_chain_token" TargetMode="External"/><Relationship Id="rId1275" Type="http://schemas.openxmlformats.org/officeDocument/2006/relationships/hyperlink" Target="https://p16-sign-va.tiktokcdn.com/tos-maliva-avt-0068/351617397cb25a2a8754aa256e7690b2~tplv-tiktokx-cropcenter:100:100.jpeg?dr=14579&amp;refresh_token=aee6df8a&amp;x-expires=1764727200&amp;x-signature=yw2519Sp51sjirOA0%2BlTRbjdXgQ%3D&amp;t=4d5b0474&amp;ps=13740610&amp;shp=a5d48078&amp;shcp=81f88b70&amp;idc=my" TargetMode="External"/><Relationship Id="rId443" Type="http://schemas.openxmlformats.org/officeDocument/2006/relationships/hyperlink" Target="https://p77-sign-va.tiktokcdn.com/tos-maliva-avt-0068/51a8ec821dc3dd7c6bd487cdce57a3f8~tplv-tiktokx-cropcenter:1080:1080.jpeg?dr=14579&amp;refresh_token=9652be81&amp;x-expires=1764727200&amp;x-signature=5jKICeyC6CLW7lIqjjkVue51Ptc%3D&amp;t=4d5b0474&amp;ps=13740610&amp;shp=a5d48078&amp;shcp=81f88b70&amp;idc=my" TargetMode="External"/><Relationship Id="rId1276" Type="http://schemas.openxmlformats.org/officeDocument/2006/relationships/hyperlink" Target="https://v16-webapp-prime.tiktok.com/video/tos/useast2a/tos-useast2a-v-27dcd7/oEDEzyvEE7eUJV2BEZ0DfB2JhNCFAAcQAMomEL/?a=1988&amp;bti=ODszNWYuMDE6&amp;ch=0&amp;cr=0&amp;dr=0&amp;er=0&amp;lr=default&amp;cd=0%7C0%7C0%7C0&amp;br=250&amp;bt=125&amp;ds=5&amp;ft=GNDpcInz7ThuzKvPXq8Zmo&amp;mime_type=audio_mpeg&amp;qs=13&amp;rc=MzdobHg5cm12dTMzNzU8M0BpMzdobHg5cm12dTMzNzU8M0BvcnJxMmRjZGBgLS1kMTZzYSNvcnJxMmRjZGBgLS1kMTZzcw%3D%3D&amp;btag=e00048000&amp;expire=1764559342&amp;l=202512011021508D2E02B19879BA6D89C0&amp;ply_type=3&amp;policy=3&amp;signature=e86fd6fb3896f8f62879a41b4b745afd&amp;tk=7571587458748974088" TargetMode="External"/><Relationship Id="rId442" Type="http://schemas.openxmlformats.org/officeDocument/2006/relationships/hyperlink" Target="https://v16-webapp-prime.tiktok.com/video/tos/useast2a/tos-useast2a-v-27dcd7/ooIJn6EHKAM1yUJeUtHswRQIDfCAFBAKpBAomI/?a=1988&amp;bti=ODszNWYuMDE6&amp;ch=0&amp;cr=0&amp;dr=0&amp;er=0&amp;lr=default&amp;cd=0%7C0%7C0%7C0&amp;br=250&amp;bt=125&amp;ds=5&amp;ft=GNDpcInz7ThcFKvPXq8Zmo&amp;mime_type=audio_mpeg&amp;qs=13&amp;rc=MzhvOG05cnU5NjMzNzU8M0BpMzhvOG05cnU5NjMzNzU8M0AvNmhnMmQ0MGlhLS1kMTZzYSMvNmhnMmQ0MGlhLS1kMTZzcw%3D%3D&amp;btag=e00048000&amp;expire=1764559366&amp;l=2025120110220384643B3986DED954E961&amp;ply_type=3&amp;policy=3&amp;signature=e07fb0e6eed260ae4bec9553d5a2bfe6&amp;tk=7571587458748974088" TargetMode="External"/><Relationship Id="rId1277" Type="http://schemas.openxmlformats.org/officeDocument/2006/relationships/hyperlink" Target="https://p77-sign-va.tiktokcdn.com/tos-maliva-avt-0068/351617397cb25a2a8754aa256e7690b2~tplv-tiktokx-cropcenter:1080:1080.jpeg?dr=14579&amp;refresh_token=a00df101&amp;x-expires=1764727200&amp;x-signature=nl6LcutM2NFiUL717hwHtVzY21w%3D&amp;t=4d5b0474&amp;ps=13740610&amp;shp=a5d48078&amp;shcp=81f88b70&amp;idc=my" TargetMode="External"/><Relationship Id="rId441" Type="http://schemas.openxmlformats.org/officeDocument/2006/relationships/hyperlink" Target="https://p16-sign-va.tiktokcdn.com/tos-maliva-avt-0068/51a8ec821dc3dd7c6bd487cdce57a3f8~tplv-tiktokx-cropcenter:100:100.jpeg?dr=14579&amp;refresh_token=a16d1a61&amp;x-expires=1764727200&amp;x-signature=o6FAarguzF8UO0u03K3%2FsFlULAM%3D&amp;t=4d5b0474&amp;ps=13740610&amp;shp=a5d48078&amp;shcp=81f88b70&amp;idc=my" TargetMode="External"/><Relationship Id="rId1278" Type="http://schemas.openxmlformats.org/officeDocument/2006/relationships/hyperlink" Target="https://v16-webapp-prime.tiktok.com/video/tos/useast2a/tos-useast2a-ve-0068c003/oksggMJDmBy4tx8FEMScOAIfEBkZf2WQCREFb4/?a=1988&amp;bti=ODszNWYuMDE6&amp;ch=0&amp;cr=3&amp;dr=0&amp;lr=all&amp;cd=0%7C0%7C0%7C&amp;cv=1&amp;br=380&amp;bt=190&amp;cs=0&amp;ds=6&amp;ft=-Csk_mrMPD12NGDh5d-UxSc2hY6e3wv25DcAp&amp;mime_type=video_mp4&amp;qs=5&amp;rc=Zjg6ZWY2M2doNzRoNDhkOkBpM2dtanY5cmh2dTMzNzczM0AxMDY0Xl8tXy0xYWBgYjQ0YSNqbWhjMmQ0ZGBgLS1kMTZzcw%3D%3D&amp;btag=e00088000&amp;expire=1764728542&amp;l=202512011021508D2E02B19879BA6D89C0&amp;ply_type=2&amp;policy=2&amp;signature=2ac49bf6bd02d32c6edddd2e8d6313ae&amp;tk=tt_chain_token" TargetMode="External"/><Relationship Id="rId1268" Type="http://schemas.openxmlformats.org/officeDocument/2006/relationships/hyperlink" Target="https://v16-webapp-prime.tiktok.com/video/tos/useast2a/tos-useast2a-ve-0068c003/ooocCUinEQ3g28BAiS7GsPamhApQ5EdPzIl4v/?a=1988&amp;bti=ODszNWYuMDE6&amp;ch=0&amp;cr=3&amp;dr=0&amp;lr=all&amp;cd=0%7C0%7C0%7C&amp;cv=1&amp;br=782&amp;bt=391&amp;cs=0&amp;ds=3&amp;ft=-Csk_mrMPD12N3Dh5d-UxIS5hY6e3wv25ocAp&amp;mime_type=video_mp4&amp;qs=0&amp;rc=OzczODQ3Z2c8ODVkODpmNkBpM3NxcnA5cjk2NDMzNzgzM0AwYjQwMS5gNTExXzItLy41YSNiZV9rMmQ0bWhhLS1kLzZzcw%3D%3D&amp;btag=e00090000&amp;expire=1764728569&amp;l=20251201102147CB7160225F86D969BC26&amp;ply_type=2&amp;policy=2&amp;signature=fa35b056ac28ae526bba2e73df6e1831&amp;tk=tt_chain_token" TargetMode="External"/><Relationship Id="rId1269" Type="http://schemas.openxmlformats.org/officeDocument/2006/relationships/hyperlink" Target="https://www.tiktok.com/@lorenatdahta/video/7523331671614131512" TargetMode="External"/><Relationship Id="rId437" Type="http://schemas.openxmlformats.org/officeDocument/2006/relationships/hyperlink" Target="https://sf16-ies-music-sg.tiktokcdn.com/obj/tos-alisg-ve-2774/oMUBYBZgAjzmzh5LASirQiSPI9QEDAgMWPiVN" TargetMode="External"/><Relationship Id="rId436" Type="http://schemas.openxmlformats.org/officeDocument/2006/relationships/hyperlink" Target="https://p16-sign-va.tiktokcdn.com/tos-maliva-avt-0068/1b1ab6d65ae96fbe11db1ee88f115e37~tplv-tiktokx-cropcenter:100:100.jpeg?dr=14579&amp;refresh_token=43cfe800&amp;x-expires=1764727200&amp;x-signature=ZU2gQXOVNldFJRfGDCCcGmcfhB4%3D&amp;t=4d5b0474&amp;ps=13740610&amp;shp=a5d48078&amp;shcp=81f88b70&amp;idc=my" TargetMode="External"/><Relationship Id="rId435" Type="http://schemas.openxmlformats.org/officeDocument/2006/relationships/hyperlink" Target="https://www.tiktok.com/@liberdade.mentall/video/7488485939438767365" TargetMode="External"/><Relationship Id="rId434" Type="http://schemas.openxmlformats.org/officeDocument/2006/relationships/hyperlink" Target="https://v16-webapp-prime.tiktok.com/video/tos/useast2a/tos-useast2a-pve-0068/oQweCOeGSIuRjrPIVcJaz2eOsCoAxIQBLQHdEg/?a=1988&amp;bti=ODszNWYuMDE6&amp;ch=0&amp;cr=3&amp;dr=0&amp;lr=all&amp;cd=0%7C0%7C0%7C&amp;cv=1&amp;br=1246&amp;bt=623&amp;cs=0&amp;ds=3&amp;ft=-Csk_mrMPD12NOBh5d-Uxbt2hY6e3wv25HcAp&amp;mime_type=video_mp4&amp;qs=0&amp;rc=NGQ4ZWUzZWRlaWc2Mzw4NEBpM3h3cXU5cjY6eTMzNzczM0AvLjIzXmAvNTExLmBfMTYwYSNhX2xmMmRrMWpgLS1kMTZzcw%3D%3D&amp;btag=e00090000&amp;expire=1764728614&amp;l=2025120110220104295D62D2C47867A675&amp;ply_type=2&amp;policy=2&amp;signature=cbfcc382f62d079d22c22c8e5c468572&amp;tk=tt_chain_token" TargetMode="External"/><Relationship Id="rId439" Type="http://schemas.openxmlformats.org/officeDocument/2006/relationships/hyperlink" Target="https://v16-webapp-prime.tiktok.com/video/tos/useast2a/tos-useast2a-pve-0068/oQaUHUiD7Qtr9NBAiSnFX4aB3BBQSExvwIEW9/?a=1988&amp;bti=ODszNWYuMDE6&amp;ch=0&amp;cr=3&amp;dr=0&amp;lr=all&amp;cd=0%7C0%7C0%7C&amp;cv=1&amp;br=1092&amp;bt=546&amp;cs=0&amp;ds=3&amp;ft=-Csk_mrMPD12NyDh5d-UxO72hY6e3wv257cAp&amp;mime_type=video_mp4&amp;qs=0&amp;rc=O2loaTVpNTZnaTo1aDk1ZkBpM2w4d3c5cjRmNDMzNzczM0AwNTFeYDYxX2MxNmM2Ll4tYSNeYHJyMmRrbmFhLS1kMTZzcw%3D%3D&amp;btag=e00090000&amp;expire=1764728578&amp;l=20251201102104F69A53E45B65A94E5B1C&amp;ply_type=2&amp;policy=2&amp;signature=8555e5453ca380ce02de4fbc1818f945&amp;tk=tt_chain_token" TargetMode="External"/><Relationship Id="rId438" Type="http://schemas.openxmlformats.org/officeDocument/2006/relationships/hyperlink" Target="https://p77-sg.tiktokcdn.com/aweme/720x720/tos-alisg-v-2774/oUG8AAGLIKPebIIr4eMBrqUMeeVeAAi7ABVAL2.jpeg" TargetMode="External"/><Relationship Id="rId1260" Type="http://schemas.openxmlformats.org/officeDocument/2006/relationships/hyperlink" Target="https://p77-sign-va.tiktokcdn.com/tos-maliva-avt-0068/889071946a8680cf43388c6e7048691b~tplv-tiktokx-cropcenter:100:100.jpeg?dr=14579&amp;refresh_token=3ab7503a&amp;x-expires=1764727200&amp;x-signature=GBbwjiAo5Wv%2FsOCvpc7ZIOmpk5I%3D&amp;t=4d5b0474&amp;ps=13740610&amp;shp=a5d48078&amp;shcp=81f88b70&amp;idc=my" TargetMode="External"/><Relationship Id="rId1261" Type="http://schemas.openxmlformats.org/officeDocument/2006/relationships/hyperlink" Target="https://v16-webapp-prime.tiktok.com/video/tos/useast2a/tos-useast2a-v-27dcd7/oMNq5iAEkByD5ZKDIoAIB7ZOEfSInFgi7YEApA/?a=1988&amp;bti=ODszNWYuMDE6&amp;ch=0&amp;cr=0&amp;dr=0&amp;er=0&amp;lr=default&amp;cd=0%7C0%7C0%7C0&amp;br=250&amp;bt=125&amp;ds=5&amp;ft=GNDpcInz7ThyPKvPXq8Zmo&amp;mime_type=audio_mpeg&amp;qs=13&amp;rc=M2w3bHM5cjdscTMzNzU8M0BpM2w3bHM5cjdscTMzNzU8M0BpcDBnMmRjMDNgLS1kMTZzYSNpcDBnMmRjMDNgLS1kMTZzcw%3D%3D&amp;btag=e00078000&amp;expire=1764559244&amp;l=202512011020211DC26370CAB01566B5CA&amp;ply_type=3&amp;policy=3&amp;signature=e4837865faf08770ba43e926c9a22929&amp;tk=7571587458748974088" TargetMode="External"/><Relationship Id="rId1262" Type="http://schemas.openxmlformats.org/officeDocument/2006/relationships/hyperlink" Target="https://p16-sign-va.tiktokcdn.com/tos-maliva-avt-0068/889071946a8680cf43388c6e7048691b~tplv-tiktokx-cropcenter:1080:1080.jpeg?dr=14579&amp;refresh_token=a287fa1e&amp;x-expires=1764727200&amp;x-signature=TINjCYF1WGXL6U%2BvTDHKaCAUvaE%3D&amp;t=4d5b0474&amp;ps=13740610&amp;shp=a5d48078&amp;shcp=81f88b70&amp;idc=my" TargetMode="External"/><Relationship Id="rId1263" Type="http://schemas.openxmlformats.org/officeDocument/2006/relationships/hyperlink" Target="https://webapp-va.tiktok.com/1c233ea52170a2e5e28f42eb57490aeb/692f9e7c/kmoat/mps/logo/v2/r/p/v09044g40000cn6i30nog65pmfhjqokg/229a272922174a8db059133f6f296fab/abf565848893e6abc63cf79db99a3b70/mp4/main.mp4?a=1988&amp;bti=ODszNWYuMDE6&amp;ch=0&amp;cr=3&amp;dr=0&amp;lr=all&amp;cd=0%7C0%7C0%7C&amp;br=0&amp;bt=0&amp;cs=0&amp;ds=3&amp;eid=1286&amp;ft=g3QHn9DfxxOusd.YtDKt8lcLVWOuRx_HFKKMNOWCuJETJDz7T&amp;mime_type=video_mp4&amp;qs=0&amp;rc=cnF8b2hsc2d3SkBwaHIxaDFybndmZWk8aWk2PDNnZDo1PDpkNUBpanJtaXM5cjNscTMzNzczM0BjRl5Nc3FePmJKYSNvYF90aHFmOiNeMy8zMC4yXzUxLi8vLzYvYSNobmVqMmRrMDNgLS1kMTZzcw%3D%3D&amp;btag=e000b8000&amp;definition=720p&amp;du=23&amp;item_id=7335556234138995974&amp;l=202512011020211DC26370CAB01566B5CA&amp;logo_type=tiktok_m&amp;ply_type=2&amp;policy=eyJ2bSI6MiwiY2siOiJ0dF9jaGFpbl90b2tlbiJ9&amp;user_text=isaquecampos21" TargetMode="External"/><Relationship Id="rId433" Type="http://schemas.openxmlformats.org/officeDocument/2006/relationships/hyperlink" Target="https://p16-sign-va.tiktokcdn.com/tos-maliva-avt-0068/4949bb024f91e1b4bc8f1b459a9fc215~tplv-tiktokx-cropcenter:1080:1080.jpeg?dr=14579&amp;refresh_token=c92f6bbc&amp;x-expires=1764727200&amp;x-signature=kqT8Sh%2BWqJoEp3tEQDAfIgiavbE%3D&amp;t=4d5b0474&amp;ps=13740610&amp;shp=a5d48078&amp;shcp=81f88b70&amp;idc=my" TargetMode="External"/><Relationship Id="rId1264" Type="http://schemas.openxmlformats.org/officeDocument/2006/relationships/hyperlink" Target="https://www.tiktok.com/@isaquecampos21/video/7335556234138995974" TargetMode="External"/><Relationship Id="rId432" Type="http://schemas.openxmlformats.org/officeDocument/2006/relationships/hyperlink" Target="https://v16-webapp-prime.tiktok.com/video/tos/useast2a/tos-useast2a-v-27dcd7/osAMA1feTPIuDSCRCeGsRSLOAlc2gEbEcpcAEo/?a=1988&amp;bti=ODszNWYuMDE6&amp;ch=0&amp;cr=0&amp;dr=0&amp;er=0&amp;lr=default&amp;cd=0%7C0%7C0%7C0&amp;br=250&amp;bt=125&amp;ds=5&amp;ft=GNDpcInz7ThvFKvPXq8Zmo&amp;mime_type=audio_mpeg&amp;qs=13&amp;rc=ajl2anA5cnA6eTMzNzU8M0Bpajl2anA5cnA6eTMzNzU8M0BjZS5vMmRrMWpgLS1kMTZzYSNjZS5vMmRrMWpgLS1kMTZzcw%3D%3D&amp;btag=e00050000&amp;expire=1764559413&amp;l=2025120110220104295D62D2C47867A675&amp;ply_type=3&amp;policy=3&amp;signature=6c9df3b0505a69a807c1d9fd2f5cb802&amp;tk=7571587458748974088" TargetMode="External"/><Relationship Id="rId1265" Type="http://schemas.openxmlformats.org/officeDocument/2006/relationships/hyperlink" Target="https://p77-sign-va.tiktokcdn.com/tos-maliva-avt-0068/924cd2a569ead49e262b2573224c311d~tplv-tiktokx-cropcenter:100:100.jpeg?dr=14579&amp;refresh_token=7cf73781&amp;x-expires=1764727200&amp;x-signature=bThaw9XTMMBggQoc7uI1iUcXr2g%3D&amp;t=4d5b0474&amp;ps=13740610&amp;shp=a5d48078&amp;shcp=81f88b70&amp;idc=my" TargetMode="External"/><Relationship Id="rId431" Type="http://schemas.openxmlformats.org/officeDocument/2006/relationships/hyperlink" Target="https://p77-sign-va.tiktokcdn.com/tos-maliva-avt-0068/4949bb024f91e1b4bc8f1b459a9fc215~tplv-tiktokx-cropcenter:100:100.jpeg?dr=14579&amp;refresh_token=4e3e790e&amp;x-expires=1764727200&amp;x-signature=JyO%2B3x4gcaWyV7CFsaASI6XISpk%3D&amp;t=4d5b0474&amp;ps=13740610&amp;shp=a5d48078&amp;shcp=81f88b70&amp;idc=my" TargetMode="External"/><Relationship Id="rId1266" Type="http://schemas.openxmlformats.org/officeDocument/2006/relationships/hyperlink" Target="https://v16-webapp-prime.tiktok.com/video/tos/useast2a/tos-useast2a-v-27dcd7/o4CAeQHCR4yQokWTfsh38EESUfg85pTgi20BLM/?a=1988&amp;bti=ODszNWYuMDE6&amp;ch=0&amp;cr=0&amp;dr=0&amp;er=0&amp;lr=default&amp;cd=0%7C0%7C0%7C0&amp;br=250&amp;bt=125&amp;ft=GNDpcInz7ThizKvPXq8Zmo&amp;mime_type=audio_mpeg&amp;qs=6&amp;rc=OjQ8PDU3ZmU2ZjU7ZTlkZUBpajhkNWw5cm82NDMzNzU8M0BiLmM0Nl8vNmExLzFiMTUwYSNnYi1hMmQ0cGhhLS1kMTZzcw%3D%3D&amp;btag=e00090000&amp;expire=1764559369&amp;l=20251201102147CB7160225F86D969BC26&amp;ply_type=3&amp;policy=3&amp;signature=dc263fbd069d6aed2aeffe6b2be2718b&amp;tk=7571587458748974088" TargetMode="External"/><Relationship Id="rId430" Type="http://schemas.openxmlformats.org/officeDocument/2006/relationships/hyperlink" Target="https://www.tiktok.com/@lorenatdahta/video/7221912457990671621" TargetMode="External"/><Relationship Id="rId1267" Type="http://schemas.openxmlformats.org/officeDocument/2006/relationships/hyperlink" Target="https://p77-sign-va.tiktokcdn.com/tos-maliva-avt-0068/924cd2a569ead49e262b2573224c311d~tplv-tiktokx-cropcenter:1080:1080.jpeg?dr=14579&amp;refresh_token=300d38cc&amp;x-expires=1764727200&amp;x-signature=WUruUJlAL%2BNR0IWd0zz8U22K7aU%3D&amp;t=4d5b0474&amp;ps=13740610&amp;shp=a5d48078&amp;shcp=81f88b70&amp;idc=m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ltashabilidades.sd" TargetMode="External"/><Relationship Id="rId2" Type="http://schemas.openxmlformats.org/officeDocument/2006/relationships/hyperlink" Target="http://natan.ferreira.de"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L1" s="2" t="s">
        <v>36</v>
      </c>
    </row>
    <row r="2">
      <c r="A2" s="2" t="s">
        <v>40</v>
      </c>
      <c r="B2" s="2" t="s">
        <v>40</v>
      </c>
      <c r="C2" s="2" t="s">
        <v>41</v>
      </c>
      <c r="D2" s="2" t="s">
        <v>42</v>
      </c>
      <c r="E2" s="2">
        <v>199000.0</v>
      </c>
      <c r="F2" s="2">
        <v>7235.0</v>
      </c>
      <c r="G2" s="2">
        <v>276.0</v>
      </c>
      <c r="H2" s="8" t="s">
        <v>43</v>
      </c>
      <c r="I2" s="2" t="s">
        <v>45</v>
      </c>
      <c r="J2" s="2" t="s">
        <v>46</v>
      </c>
      <c r="K2" s="10">
        <v>45082.88267361111</v>
      </c>
      <c r="L2" s="2">
        <v>1.685999463E9</v>
      </c>
      <c r="M2" s="2" t="s">
        <v>47</v>
      </c>
      <c r="N2" s="2" t="s">
        <v>47</v>
      </c>
      <c r="O2" s="2" t="s">
        <v>47</v>
      </c>
      <c r="P2" s="2" t="s">
        <v>47</v>
      </c>
      <c r="Q2" s="2" t="s">
        <v>47</v>
      </c>
      <c r="R2" s="2" t="s">
        <v>48</v>
      </c>
      <c r="S2" s="2" t="s">
        <v>51</v>
      </c>
      <c r="T2" s="8" t="s">
        <v>52</v>
      </c>
      <c r="U2" s="8" t="s">
        <v>54</v>
      </c>
      <c r="V2" s="2" t="s">
        <v>56</v>
      </c>
      <c r="W2" s="8" t="s">
        <v>57</v>
      </c>
      <c r="X2" s="8" t="s">
        <v>58</v>
      </c>
      <c r="Z2" s="2">
        <v>1100000.0</v>
      </c>
      <c r="AA2" s="2">
        <v>24600.0</v>
      </c>
      <c r="AB2" s="2">
        <v>54700.0</v>
      </c>
      <c r="AC2" s="2">
        <v>1.24E7</v>
      </c>
      <c r="AD2" s="2" t="s">
        <v>59</v>
      </c>
      <c r="AE2" s="2" t="s">
        <v>59</v>
      </c>
      <c r="AL2" s="6">
        <f>IFERROR(__xludf.DUMMYFUNCTION("IF(
  TRIM(AD2)="""",
  0,
  COUNTA(
    SPLIT(
      REGEXREPLACE(AD2,""\s*,\s*"","",""),
      "",""
    )
  )
)"),1.0)</f>
        <v>1</v>
      </c>
    </row>
    <row r="3">
      <c r="A3" s="2" t="s">
        <v>61</v>
      </c>
      <c r="B3" s="2" t="s">
        <v>61</v>
      </c>
      <c r="C3" s="2" t="s">
        <v>62</v>
      </c>
      <c r="D3" s="2" t="s">
        <v>63</v>
      </c>
      <c r="E3" s="2">
        <v>223100.0</v>
      </c>
      <c r="F3" s="2">
        <v>17.0</v>
      </c>
      <c r="G3" s="2">
        <v>795.0</v>
      </c>
      <c r="H3" s="8" t="s">
        <v>64</v>
      </c>
      <c r="I3" s="2" t="s">
        <v>65</v>
      </c>
      <c r="K3" s="10">
        <v>44845.785949074074</v>
      </c>
      <c r="L3" s="2">
        <v>1.665514306E9</v>
      </c>
      <c r="M3" s="2" t="s">
        <v>47</v>
      </c>
      <c r="N3" s="2" t="s">
        <v>47</v>
      </c>
      <c r="O3" s="2" t="s">
        <v>47</v>
      </c>
      <c r="P3" s="2" t="s">
        <v>47</v>
      </c>
      <c r="Q3" s="2" t="s">
        <v>47</v>
      </c>
      <c r="R3" s="2" t="s">
        <v>48</v>
      </c>
      <c r="S3" s="2" t="s">
        <v>66</v>
      </c>
      <c r="T3" s="8" t="s">
        <v>67</v>
      </c>
      <c r="U3" s="8" t="s">
        <v>72</v>
      </c>
      <c r="V3" s="2" t="s">
        <v>63</v>
      </c>
      <c r="W3" s="8" t="s">
        <v>78</v>
      </c>
      <c r="X3" s="8" t="s">
        <v>81</v>
      </c>
      <c r="Z3" s="2">
        <v>1100000.0</v>
      </c>
      <c r="AA3" s="2">
        <v>7804.0</v>
      </c>
      <c r="AB3" s="2">
        <v>23100.0</v>
      </c>
      <c r="AC3" s="2">
        <v>8600000.0</v>
      </c>
      <c r="AD3" s="2" t="s">
        <v>82</v>
      </c>
      <c r="AE3" s="2" t="s">
        <v>82</v>
      </c>
      <c r="AL3" s="6">
        <f>IFERROR(__xludf.DUMMYFUNCTION("IF(
  TRIM(AD3)="""",
  0,
  COUNTA(
    SPLIT(
      REGEXREPLACE(AD3,""\s*,\s*"","",""),
      "",""
    )
  )
)"),3.0)</f>
        <v>3</v>
      </c>
    </row>
    <row r="4">
      <c r="A4" s="2" t="s">
        <v>68</v>
      </c>
      <c r="B4" s="2" t="s">
        <v>68</v>
      </c>
      <c r="C4" s="2" t="s">
        <v>69</v>
      </c>
      <c r="D4" s="2" t="s">
        <v>70</v>
      </c>
      <c r="E4" s="2">
        <v>175800.0</v>
      </c>
      <c r="F4" s="2">
        <v>886.0</v>
      </c>
      <c r="G4" s="2">
        <v>767.0</v>
      </c>
      <c r="H4" s="8" t="s">
        <v>84</v>
      </c>
      <c r="I4" s="2" t="s">
        <v>73</v>
      </c>
      <c r="J4" s="2" t="s">
        <v>74</v>
      </c>
      <c r="K4" s="10">
        <v>45096.6024537037</v>
      </c>
      <c r="L4" s="2">
        <v>1.687184852E9</v>
      </c>
      <c r="M4" s="2" t="s">
        <v>47</v>
      </c>
      <c r="N4" s="2" t="s">
        <v>47</v>
      </c>
      <c r="O4" s="2" t="s">
        <v>47</v>
      </c>
      <c r="P4" s="2" t="s">
        <v>47</v>
      </c>
      <c r="Q4" s="2" t="s">
        <v>47</v>
      </c>
      <c r="R4" s="2" t="s">
        <v>75</v>
      </c>
      <c r="S4" s="2" t="s">
        <v>76</v>
      </c>
      <c r="U4" s="8" t="s">
        <v>90</v>
      </c>
      <c r="V4" s="2" t="s">
        <v>79</v>
      </c>
      <c r="W4" s="8" t="s">
        <v>94</v>
      </c>
      <c r="X4" s="8" t="s">
        <v>83</v>
      </c>
      <c r="Z4" s="2">
        <v>721900.0</v>
      </c>
      <c r="AA4" s="2">
        <v>11000.0</v>
      </c>
      <c r="AB4" s="2">
        <v>39900.0</v>
      </c>
      <c r="AC4" s="2">
        <v>7900000.0</v>
      </c>
      <c r="AH4" s="2" t="s">
        <v>97</v>
      </c>
      <c r="AL4" s="6">
        <f>IFERROR(__xludf.DUMMYFUNCTION("IF(
  TRIM(AD4)="""",
  0,
  COUNTA(
    SPLIT(
      REGEXREPLACE(AD4,""\s*,\s*"","",""),
      "",""
    )
  )
)"),0.0)</f>
        <v>0</v>
      </c>
    </row>
    <row r="5">
      <c r="A5" s="2" t="s">
        <v>98</v>
      </c>
      <c r="B5" s="2" t="s">
        <v>98</v>
      </c>
      <c r="C5" s="2" t="s">
        <v>99</v>
      </c>
      <c r="D5" s="2" t="s">
        <v>100</v>
      </c>
      <c r="E5" s="2">
        <v>3600000.0</v>
      </c>
      <c r="F5" s="2">
        <v>6660.0</v>
      </c>
      <c r="G5" s="2">
        <v>946.0</v>
      </c>
      <c r="H5" s="8" t="s">
        <v>101</v>
      </c>
      <c r="I5" s="2" t="s">
        <v>104</v>
      </c>
      <c r="J5" s="2" t="s">
        <v>105</v>
      </c>
      <c r="K5" s="10">
        <v>44712.62769675926</v>
      </c>
      <c r="L5" s="2">
        <v>1.654009433E9</v>
      </c>
      <c r="M5" s="2" t="s">
        <v>47</v>
      </c>
      <c r="N5" s="2" t="s">
        <v>47</v>
      </c>
      <c r="O5" s="2" t="s">
        <v>47</v>
      </c>
      <c r="P5" s="2" t="s">
        <v>47</v>
      </c>
      <c r="Q5" s="2" t="s">
        <v>47</v>
      </c>
      <c r="R5" s="2" t="s">
        <v>48</v>
      </c>
      <c r="S5" s="2" t="s">
        <v>109</v>
      </c>
      <c r="T5" s="8" t="s">
        <v>111</v>
      </c>
      <c r="U5" s="8" t="s">
        <v>115</v>
      </c>
      <c r="V5" s="2" t="s">
        <v>100</v>
      </c>
      <c r="W5" s="8" t="s">
        <v>116</v>
      </c>
      <c r="X5" s="8" t="s">
        <v>119</v>
      </c>
      <c r="Z5" s="2">
        <v>656100.0</v>
      </c>
      <c r="AA5" s="2">
        <v>7561.0</v>
      </c>
      <c r="AB5" s="2">
        <v>13200.0</v>
      </c>
      <c r="AC5" s="2">
        <v>4100000.0</v>
      </c>
      <c r="AD5" s="2" t="s">
        <v>120</v>
      </c>
      <c r="AE5" s="2" t="s">
        <v>120</v>
      </c>
      <c r="AH5" s="2" t="s">
        <v>121</v>
      </c>
      <c r="AL5" s="6">
        <f>IFERROR(__xludf.DUMMYFUNCTION("IF(
  TRIM(AD5)="""",
  0,
  COUNTA(
    SPLIT(
      REGEXREPLACE(AD5,""\s*,\s*"","",""),
      "",""
    )
  )
)"),3.0)</f>
        <v>3</v>
      </c>
    </row>
    <row r="6">
      <c r="A6" s="2" t="s">
        <v>122</v>
      </c>
      <c r="B6" s="2" t="s">
        <v>122</v>
      </c>
      <c r="C6" s="2" t="s">
        <v>123</v>
      </c>
      <c r="D6" s="2" t="s">
        <v>124</v>
      </c>
      <c r="E6" s="2">
        <v>252600.0</v>
      </c>
      <c r="F6" s="2">
        <v>353.0</v>
      </c>
      <c r="G6" s="2">
        <v>674.0</v>
      </c>
      <c r="H6" s="8" t="s">
        <v>125</v>
      </c>
      <c r="I6" s="2" t="s">
        <v>128</v>
      </c>
      <c r="J6" s="2" t="s">
        <v>129</v>
      </c>
      <c r="K6" s="10">
        <v>45339.67197916667</v>
      </c>
      <c r="L6" s="2">
        <v>1.708186059E9</v>
      </c>
      <c r="M6" s="2" t="s">
        <v>47</v>
      </c>
      <c r="N6" s="2" t="s">
        <v>47</v>
      </c>
      <c r="O6" s="2" t="s">
        <v>47</v>
      </c>
      <c r="P6" s="2" t="s">
        <v>47</v>
      </c>
      <c r="Q6" s="2" t="s">
        <v>47</v>
      </c>
      <c r="R6" s="2" t="s">
        <v>132</v>
      </c>
      <c r="S6" s="2" t="s">
        <v>133</v>
      </c>
      <c r="T6" s="8" t="s">
        <v>134</v>
      </c>
      <c r="U6" s="8" t="s">
        <v>137</v>
      </c>
      <c r="V6" s="2" t="s">
        <v>138</v>
      </c>
      <c r="W6" s="8" t="s">
        <v>139</v>
      </c>
      <c r="X6" s="8" t="s">
        <v>142</v>
      </c>
      <c r="Z6" s="2">
        <v>649500.0</v>
      </c>
      <c r="AA6" s="2">
        <v>9905.0</v>
      </c>
      <c r="AB6" s="2">
        <v>35300.0</v>
      </c>
      <c r="AC6" s="2">
        <v>7700000.0</v>
      </c>
      <c r="AD6" s="2" t="s">
        <v>143</v>
      </c>
      <c r="AE6" s="2" t="s">
        <v>143</v>
      </c>
      <c r="AH6" s="2" t="s">
        <v>144</v>
      </c>
      <c r="AL6" s="6">
        <f>IFERROR(__xludf.DUMMYFUNCTION("IF(
  TRIM(AD6)="""",
  0,
  COUNTA(
    SPLIT(
      REGEXREPLACE(AD6,""\s*,\s*"","",""),
      "",""
    )
  )
)"),14.0)</f>
        <v>14</v>
      </c>
    </row>
    <row r="7">
      <c r="A7" s="2" t="s">
        <v>145</v>
      </c>
      <c r="B7" s="2" t="s">
        <v>145</v>
      </c>
      <c r="C7" s="2" t="s">
        <v>146</v>
      </c>
      <c r="D7" s="2" t="s">
        <v>147</v>
      </c>
      <c r="E7" s="2">
        <v>47200.0</v>
      </c>
      <c r="F7" s="2">
        <v>15700.0</v>
      </c>
      <c r="G7" s="2">
        <v>130.0</v>
      </c>
      <c r="H7" s="8" t="s">
        <v>148</v>
      </c>
      <c r="I7" s="2" t="s">
        <v>154</v>
      </c>
      <c r="K7" s="10">
        <v>44917.45989583333</v>
      </c>
      <c r="L7" s="2">
        <v>1.671706935E9</v>
      </c>
      <c r="M7" s="2" t="s">
        <v>47</v>
      </c>
      <c r="N7" s="2" t="s">
        <v>47</v>
      </c>
      <c r="O7" s="2" t="s">
        <v>47</v>
      </c>
      <c r="P7" s="2" t="s">
        <v>47</v>
      </c>
      <c r="Q7" s="2" t="s">
        <v>47</v>
      </c>
      <c r="R7" s="2" t="s">
        <v>48</v>
      </c>
      <c r="S7" s="2" t="s">
        <v>155</v>
      </c>
      <c r="T7" s="8" t="s">
        <v>156</v>
      </c>
      <c r="U7" s="8" t="s">
        <v>161</v>
      </c>
      <c r="V7" s="2" t="s">
        <v>147</v>
      </c>
      <c r="W7" s="8" t="s">
        <v>163</v>
      </c>
      <c r="X7" s="8" t="s">
        <v>164</v>
      </c>
      <c r="Z7" s="2">
        <v>587400.0</v>
      </c>
      <c r="AA7" s="2">
        <v>11300.0</v>
      </c>
      <c r="AB7" s="2">
        <v>78600.0</v>
      </c>
      <c r="AC7" s="2">
        <v>8900000.0</v>
      </c>
      <c r="AD7" s="2" t="s">
        <v>166</v>
      </c>
      <c r="AE7" s="2" t="s">
        <v>167</v>
      </c>
      <c r="AL7" s="6">
        <f>IFERROR(__xludf.DUMMYFUNCTION("IF(
  TRIM(AD7)="""",
  0,
  COUNTA(
    SPLIT(
      REGEXREPLACE(AD7,""\s*,\s*"","",""),
      "",""
    )
  )
)"),10.0)</f>
        <v>10</v>
      </c>
    </row>
    <row r="8">
      <c r="A8" s="2" t="s">
        <v>168</v>
      </c>
      <c r="B8" s="2" t="s">
        <v>168</v>
      </c>
      <c r="C8" s="2" t="s">
        <v>169</v>
      </c>
      <c r="D8" s="2" t="s">
        <v>56</v>
      </c>
      <c r="E8" s="2">
        <v>995400.0</v>
      </c>
      <c r="F8" s="2">
        <v>396.0</v>
      </c>
      <c r="G8" s="2">
        <v>1457.0</v>
      </c>
      <c r="H8" s="8" t="s">
        <v>170</v>
      </c>
      <c r="I8" s="2" t="s">
        <v>172</v>
      </c>
      <c r="J8" s="2" t="s">
        <v>173</v>
      </c>
      <c r="K8" s="10">
        <v>45016.627222222225</v>
      </c>
      <c r="L8" s="2">
        <v>1.680274992E9</v>
      </c>
      <c r="M8" s="2" t="s">
        <v>47</v>
      </c>
      <c r="N8" s="2" t="s">
        <v>47</v>
      </c>
      <c r="O8" s="2" t="s">
        <v>47</v>
      </c>
      <c r="P8" s="2" t="s">
        <v>47</v>
      </c>
      <c r="Q8" s="2" t="s">
        <v>47</v>
      </c>
      <c r="R8" s="2" t="s">
        <v>48</v>
      </c>
      <c r="S8" s="2" t="s">
        <v>174</v>
      </c>
      <c r="T8" s="8" t="s">
        <v>175</v>
      </c>
      <c r="U8" s="8" t="s">
        <v>180</v>
      </c>
      <c r="V8" s="2" t="s">
        <v>56</v>
      </c>
      <c r="W8" s="8" t="s">
        <v>181</v>
      </c>
      <c r="X8" s="8" t="s">
        <v>183</v>
      </c>
      <c r="Z8" s="2">
        <v>423600.0</v>
      </c>
      <c r="AA8" s="2">
        <v>3706.0</v>
      </c>
      <c r="AB8" s="2">
        <v>21300.0</v>
      </c>
      <c r="AC8" s="2">
        <v>6100000.0</v>
      </c>
      <c r="AD8" s="2" t="s">
        <v>184</v>
      </c>
      <c r="AE8" s="2" t="s">
        <v>184</v>
      </c>
      <c r="AL8" s="6">
        <f>IFERROR(__xludf.DUMMYFUNCTION("IF(
  TRIM(AD8)="""",
  0,
  COUNTA(
    SPLIT(
      REGEXREPLACE(AD8,""\s*,\s*"","",""),
      "",""
    )
  )
)"),5.0)</f>
        <v>5</v>
      </c>
    </row>
    <row r="9">
      <c r="A9" s="2" t="s">
        <v>185</v>
      </c>
      <c r="B9" s="2" t="s">
        <v>185</v>
      </c>
      <c r="C9" s="2" t="s">
        <v>186</v>
      </c>
      <c r="D9" s="2" t="s">
        <v>187</v>
      </c>
      <c r="E9" s="2">
        <v>21300.0</v>
      </c>
      <c r="F9" s="2">
        <v>836.0</v>
      </c>
      <c r="G9" s="2">
        <v>88.0</v>
      </c>
      <c r="H9" s="8" t="s">
        <v>188</v>
      </c>
      <c r="I9" s="2" t="s">
        <v>189</v>
      </c>
      <c r="K9" s="10">
        <v>45393.08049768519</v>
      </c>
      <c r="L9" s="2">
        <v>1.712800555E9</v>
      </c>
      <c r="M9" s="2" t="s">
        <v>47</v>
      </c>
      <c r="N9" s="2" t="s">
        <v>47</v>
      </c>
      <c r="O9" s="2" t="s">
        <v>47</v>
      </c>
      <c r="P9" s="2" t="s">
        <v>47</v>
      </c>
      <c r="Q9" s="2" t="s">
        <v>47</v>
      </c>
      <c r="R9" s="2" t="s">
        <v>190</v>
      </c>
      <c r="S9" s="2" t="s">
        <v>191</v>
      </c>
      <c r="T9" s="8" t="s">
        <v>192</v>
      </c>
      <c r="U9" s="8" t="s">
        <v>194</v>
      </c>
      <c r="V9" s="2" t="s">
        <v>195</v>
      </c>
      <c r="W9" s="8" t="s">
        <v>196</v>
      </c>
      <c r="X9" s="8" t="s">
        <v>201</v>
      </c>
      <c r="Z9" s="2">
        <v>290800.0</v>
      </c>
      <c r="AA9" s="2">
        <v>7419.0</v>
      </c>
      <c r="AB9" s="2">
        <v>30700.0</v>
      </c>
      <c r="AC9" s="2">
        <v>5200000.0</v>
      </c>
      <c r="AD9" s="2" t="s">
        <v>205</v>
      </c>
      <c r="AE9" s="2" t="s">
        <v>205</v>
      </c>
      <c r="AL9" s="6">
        <f>IFERROR(__xludf.DUMMYFUNCTION("IF(
  TRIM(AD9)="""",
  0,
  COUNTA(
    SPLIT(
      REGEXREPLACE(AD9,""\s*,\s*"","",""),
      "",""
    )
  )
)"),5.0)</f>
        <v>5</v>
      </c>
    </row>
    <row r="10">
      <c r="A10" s="2" t="s">
        <v>208</v>
      </c>
      <c r="B10" s="2" t="s">
        <v>208</v>
      </c>
      <c r="C10" s="2" t="s">
        <v>209</v>
      </c>
      <c r="D10" s="2" t="s">
        <v>209</v>
      </c>
      <c r="E10" s="2">
        <v>488800.0</v>
      </c>
      <c r="F10" s="2">
        <v>68.0</v>
      </c>
      <c r="G10" s="2">
        <v>168.0</v>
      </c>
      <c r="H10" s="8" t="s">
        <v>210</v>
      </c>
      <c r="I10" s="2" t="s">
        <v>211</v>
      </c>
      <c r="J10" s="2" t="s">
        <v>212</v>
      </c>
      <c r="K10" s="10">
        <v>45081.74354166666</v>
      </c>
      <c r="L10" s="2">
        <v>1.685901042E9</v>
      </c>
      <c r="M10" s="2" t="s">
        <v>47</v>
      </c>
      <c r="N10" s="2" t="s">
        <v>47</v>
      </c>
      <c r="O10" s="2" t="s">
        <v>47</v>
      </c>
      <c r="P10" s="2" t="s">
        <v>47</v>
      </c>
      <c r="Q10" s="2" t="s">
        <v>47</v>
      </c>
      <c r="R10" s="2" t="s">
        <v>48</v>
      </c>
      <c r="S10" s="2" t="s">
        <v>213</v>
      </c>
      <c r="T10" s="8" t="s">
        <v>214</v>
      </c>
      <c r="U10" s="8" t="s">
        <v>216</v>
      </c>
      <c r="V10" s="2" t="s">
        <v>209</v>
      </c>
      <c r="W10" s="8" t="s">
        <v>217</v>
      </c>
      <c r="X10" s="8" t="s">
        <v>219</v>
      </c>
      <c r="Z10" s="2">
        <v>273200.0</v>
      </c>
      <c r="AA10" s="2">
        <v>5024.0</v>
      </c>
      <c r="AB10" s="2">
        <v>26700.0</v>
      </c>
      <c r="AC10" s="2">
        <v>2200000.0</v>
      </c>
      <c r="AD10" s="2" t="s">
        <v>220</v>
      </c>
      <c r="AE10" s="2" t="s">
        <v>220</v>
      </c>
      <c r="AL10" s="6">
        <f>IFERROR(__xludf.DUMMYFUNCTION("IF(
  TRIM(AD10)="""",
  0,
  COUNTA(
    SPLIT(
      REGEXREPLACE(AD10,""\s*,\s*"","",""),
      "",""
    )
  )
)"),5.0)</f>
        <v>5</v>
      </c>
    </row>
    <row r="11">
      <c r="A11" s="2" t="s">
        <v>221</v>
      </c>
      <c r="B11" s="2" t="s">
        <v>221</v>
      </c>
      <c r="C11" s="2" t="s">
        <v>222</v>
      </c>
      <c r="D11" s="2" t="s">
        <v>223</v>
      </c>
      <c r="E11" s="2">
        <v>11900.0</v>
      </c>
      <c r="F11" s="2">
        <v>51800.0</v>
      </c>
      <c r="G11" s="2">
        <v>158.0</v>
      </c>
      <c r="H11" s="8" t="s">
        <v>224</v>
      </c>
      <c r="I11" s="2" t="s">
        <v>225</v>
      </c>
      <c r="J11" s="2" t="s">
        <v>226</v>
      </c>
      <c r="K11" s="10">
        <v>45533.59100694444</v>
      </c>
      <c r="L11" s="2">
        <v>1.724940663E9</v>
      </c>
      <c r="M11" s="2" t="s">
        <v>47</v>
      </c>
      <c r="N11" s="2" t="s">
        <v>47</v>
      </c>
      <c r="O11" s="2" t="s">
        <v>47</v>
      </c>
      <c r="P11" s="2" t="s">
        <v>47</v>
      </c>
      <c r="Q11" s="2" t="s">
        <v>47</v>
      </c>
      <c r="R11" s="2" t="s">
        <v>48</v>
      </c>
      <c r="S11" s="2" t="s">
        <v>227</v>
      </c>
      <c r="T11" s="8" t="s">
        <v>228</v>
      </c>
      <c r="U11" s="8" t="s">
        <v>230</v>
      </c>
      <c r="V11" s="2" t="s">
        <v>235</v>
      </c>
      <c r="X11" s="8" t="s">
        <v>236</v>
      </c>
      <c r="Z11" s="2">
        <v>264000.0</v>
      </c>
      <c r="AA11" s="2">
        <v>0.0</v>
      </c>
      <c r="AB11" s="2">
        <v>27100.0</v>
      </c>
      <c r="AC11" s="2">
        <v>1600000.0</v>
      </c>
      <c r="AD11" s="2" t="s">
        <v>237</v>
      </c>
      <c r="AE11" s="2" t="s">
        <v>237</v>
      </c>
      <c r="AL11" s="6">
        <f>IFERROR(__xludf.DUMMYFUNCTION("IF(
  TRIM(AD11)="""",
  0,
  COUNTA(
    SPLIT(
      REGEXREPLACE(AD11,""\s*,\s*"","",""),
      "",""
    )
  )
)"),6.0)</f>
        <v>6</v>
      </c>
    </row>
    <row r="12">
      <c r="A12" s="2" t="s">
        <v>238</v>
      </c>
      <c r="B12" s="2" t="s">
        <v>238</v>
      </c>
      <c r="C12" s="2" t="s">
        <v>239</v>
      </c>
      <c r="D12" s="2" t="s">
        <v>239</v>
      </c>
      <c r="E12" s="2">
        <v>29300.0</v>
      </c>
      <c r="F12" s="2">
        <v>135.0</v>
      </c>
      <c r="G12" s="2">
        <v>74.0</v>
      </c>
      <c r="H12" s="8" t="s">
        <v>240</v>
      </c>
      <c r="I12" s="2" t="s">
        <v>244</v>
      </c>
      <c r="J12" s="2" t="s">
        <v>245</v>
      </c>
      <c r="K12" s="10">
        <v>45133.64530092593</v>
      </c>
      <c r="L12" s="2">
        <v>1.690385354E9</v>
      </c>
      <c r="M12" s="2" t="s">
        <v>47</v>
      </c>
      <c r="N12" s="2" t="s">
        <v>47</v>
      </c>
      <c r="O12" s="2" t="s">
        <v>47</v>
      </c>
      <c r="P12" s="2" t="s">
        <v>47</v>
      </c>
      <c r="Q12" s="2" t="s">
        <v>47</v>
      </c>
      <c r="R12" s="2" t="s">
        <v>246</v>
      </c>
      <c r="S12" s="2" t="s">
        <v>247</v>
      </c>
      <c r="T12" s="8" t="s">
        <v>248</v>
      </c>
      <c r="U12" s="8" t="s">
        <v>249</v>
      </c>
      <c r="V12" s="2" t="s">
        <v>251</v>
      </c>
      <c r="W12" s="8" t="s">
        <v>252</v>
      </c>
      <c r="X12" s="8" t="s">
        <v>253</v>
      </c>
      <c r="Z12" s="2">
        <v>261000.0</v>
      </c>
      <c r="AA12" s="2">
        <v>4440.0</v>
      </c>
      <c r="AB12" s="2">
        <v>16100.0</v>
      </c>
      <c r="AC12" s="2">
        <v>2700000.0</v>
      </c>
      <c r="AD12" s="2" t="s">
        <v>255</v>
      </c>
      <c r="AE12" s="2" t="s">
        <v>255</v>
      </c>
      <c r="AH12" s="2" t="s">
        <v>256</v>
      </c>
      <c r="AL12" s="6">
        <f>IFERROR(__xludf.DUMMYFUNCTION("IF(
  TRIM(AD12)="""",
  0,
  COUNTA(
    SPLIT(
      REGEXREPLACE(AD12,""\s*,\s*"","",""),
      "",""
    )
  )
)"),7.0)</f>
        <v>7</v>
      </c>
    </row>
    <row r="13">
      <c r="A13" s="2" t="s">
        <v>257</v>
      </c>
      <c r="B13" s="2" t="s">
        <v>257</v>
      </c>
      <c r="C13" s="2" t="s">
        <v>258</v>
      </c>
      <c r="D13" s="2" t="s">
        <v>259</v>
      </c>
      <c r="E13" s="2">
        <v>16100.0</v>
      </c>
      <c r="F13" s="2">
        <v>12900.0</v>
      </c>
      <c r="G13" s="2">
        <v>200.0</v>
      </c>
      <c r="H13" s="8" t="s">
        <v>260</v>
      </c>
      <c r="I13" s="2" t="s">
        <v>261</v>
      </c>
      <c r="J13" s="2" t="s">
        <v>262</v>
      </c>
      <c r="K13" s="10">
        <v>45348.78747685185</v>
      </c>
      <c r="L13" s="2">
        <v>1.708973638E9</v>
      </c>
      <c r="M13" s="2" t="s">
        <v>47</v>
      </c>
      <c r="N13" s="2" t="s">
        <v>47</v>
      </c>
      <c r="O13" s="2" t="s">
        <v>47</v>
      </c>
      <c r="P13" s="2" t="s">
        <v>47</v>
      </c>
      <c r="Q13" s="2" t="s">
        <v>47</v>
      </c>
      <c r="R13" s="2" t="s">
        <v>48</v>
      </c>
      <c r="S13" s="2" t="s">
        <v>263</v>
      </c>
      <c r="T13" s="8" t="s">
        <v>264</v>
      </c>
      <c r="U13" s="8" t="s">
        <v>265</v>
      </c>
      <c r="V13" s="2" t="s">
        <v>259</v>
      </c>
      <c r="W13" s="8" t="s">
        <v>267</v>
      </c>
      <c r="X13" s="8" t="s">
        <v>272</v>
      </c>
      <c r="Z13" s="2">
        <v>247100.0</v>
      </c>
      <c r="AA13" s="2">
        <v>3167.0</v>
      </c>
      <c r="AB13" s="2">
        <v>12400.0</v>
      </c>
      <c r="AC13" s="2">
        <v>1600000.0</v>
      </c>
      <c r="AD13" s="2" t="s">
        <v>273</v>
      </c>
      <c r="AE13" s="2" t="s">
        <v>273</v>
      </c>
      <c r="AH13" s="2" t="s">
        <v>274</v>
      </c>
      <c r="AL13" s="6">
        <f>IFERROR(__xludf.DUMMYFUNCTION("IF(
  TRIM(AD13)="""",
  0,
  COUNTA(
    SPLIT(
      REGEXREPLACE(AD13,""\s*,\s*"","",""),
      "",""
    )
  )
)"),5.0)</f>
        <v>5</v>
      </c>
    </row>
    <row r="14">
      <c r="A14" s="2" t="s">
        <v>275</v>
      </c>
      <c r="B14" s="2" t="s">
        <v>275</v>
      </c>
      <c r="C14" s="2" t="s">
        <v>276</v>
      </c>
      <c r="D14" s="2" t="s">
        <v>277</v>
      </c>
      <c r="E14" s="2">
        <v>342900.0</v>
      </c>
      <c r="F14" s="2">
        <v>339.0</v>
      </c>
      <c r="G14" s="2">
        <v>487.0</v>
      </c>
      <c r="H14" s="8" t="s">
        <v>278</v>
      </c>
      <c r="I14" s="2" t="s">
        <v>284</v>
      </c>
      <c r="J14" s="2" t="s">
        <v>285</v>
      </c>
      <c r="K14" s="10">
        <v>45531.00618055555</v>
      </c>
      <c r="L14" s="2">
        <v>1.724717334E9</v>
      </c>
      <c r="M14" s="2" t="s">
        <v>47</v>
      </c>
      <c r="N14" s="2" t="s">
        <v>47</v>
      </c>
      <c r="O14" s="2" t="s">
        <v>47</v>
      </c>
      <c r="P14" s="2" t="s">
        <v>47</v>
      </c>
      <c r="Q14" s="2" t="s">
        <v>47</v>
      </c>
      <c r="R14" s="2" t="s">
        <v>48</v>
      </c>
      <c r="S14" s="2" t="s">
        <v>286</v>
      </c>
      <c r="T14" s="8" t="s">
        <v>287</v>
      </c>
      <c r="U14" s="8" t="s">
        <v>290</v>
      </c>
      <c r="V14" s="2" t="s">
        <v>277</v>
      </c>
      <c r="W14" s="8" t="s">
        <v>292</v>
      </c>
      <c r="X14" s="8" t="s">
        <v>293</v>
      </c>
      <c r="Z14" s="2">
        <v>236700.0</v>
      </c>
      <c r="AA14" s="2">
        <v>7291.0</v>
      </c>
      <c r="AB14" s="2">
        <v>36600.0</v>
      </c>
      <c r="AC14" s="2">
        <v>3600000.0</v>
      </c>
      <c r="AD14" s="2" t="s">
        <v>294</v>
      </c>
      <c r="AE14" s="2" t="s">
        <v>294</v>
      </c>
      <c r="AL14" s="6">
        <f>IFERROR(__xludf.DUMMYFUNCTION("IF(
  TRIM(AD14)="""",
  0,
  COUNTA(
    SPLIT(
      REGEXREPLACE(AD14,""\s*,\s*"","",""),
      "",""
    )
  )
)"),7.0)</f>
        <v>7</v>
      </c>
    </row>
    <row r="15">
      <c r="A15" s="2" t="s">
        <v>295</v>
      </c>
      <c r="B15" s="2" t="s">
        <v>295</v>
      </c>
      <c r="C15" s="2" t="s">
        <v>296</v>
      </c>
      <c r="D15" s="2" t="s">
        <v>297</v>
      </c>
      <c r="E15" s="2">
        <v>81500.0</v>
      </c>
      <c r="F15" s="2">
        <v>1722.0</v>
      </c>
      <c r="G15" s="2">
        <v>37.0</v>
      </c>
      <c r="H15" s="8" t="s">
        <v>299</v>
      </c>
      <c r="I15" s="2" t="s">
        <v>301</v>
      </c>
      <c r="K15" s="10">
        <v>45468.92145833333</v>
      </c>
      <c r="L15" s="2">
        <v>1.719353214E9</v>
      </c>
      <c r="M15" s="2" t="s">
        <v>47</v>
      </c>
      <c r="N15" s="2" t="s">
        <v>47</v>
      </c>
      <c r="O15" s="2" t="s">
        <v>47</v>
      </c>
      <c r="P15" s="2" t="s">
        <v>47</v>
      </c>
      <c r="Q15" s="2" t="s">
        <v>47</v>
      </c>
      <c r="R15" s="2" t="s">
        <v>48</v>
      </c>
      <c r="S15" s="2" t="s">
        <v>302</v>
      </c>
      <c r="T15" s="8" t="s">
        <v>303</v>
      </c>
      <c r="U15" s="8" t="s">
        <v>308</v>
      </c>
      <c r="V15" s="2" t="s">
        <v>297</v>
      </c>
      <c r="W15" s="8" t="s">
        <v>309</v>
      </c>
      <c r="X15" s="8" t="s">
        <v>315</v>
      </c>
      <c r="Z15" s="2">
        <v>234600.0</v>
      </c>
      <c r="AA15" s="2">
        <v>4511.0</v>
      </c>
      <c r="AB15" s="2">
        <v>35900.0</v>
      </c>
      <c r="AC15" s="2">
        <v>3900000.0</v>
      </c>
      <c r="AD15" s="2" t="s">
        <v>318</v>
      </c>
      <c r="AE15" s="2" t="s">
        <v>318</v>
      </c>
      <c r="AL15" s="6">
        <f>IFERROR(__xludf.DUMMYFUNCTION("IF(
  TRIM(AD15)="""",
  0,
  COUNTA(
    SPLIT(
      REGEXREPLACE(AD15,""\s*,\s*"","",""),
      "",""
    )
  )
)"),5.0)</f>
        <v>5</v>
      </c>
    </row>
    <row r="16">
      <c r="A16" s="2" t="s">
        <v>319</v>
      </c>
      <c r="B16" s="2" t="s">
        <v>319</v>
      </c>
      <c r="C16" s="2" t="s">
        <v>69</v>
      </c>
      <c r="D16" s="2" t="s">
        <v>70</v>
      </c>
      <c r="E16" s="2">
        <v>175800.0</v>
      </c>
      <c r="F16" s="2">
        <v>886.0</v>
      </c>
      <c r="G16" s="2">
        <v>767.0</v>
      </c>
      <c r="H16" s="8" t="s">
        <v>320</v>
      </c>
      <c r="I16" s="2" t="s">
        <v>321</v>
      </c>
      <c r="K16" s="10">
        <v>45127.681550925925</v>
      </c>
      <c r="L16" s="2">
        <v>1.689870086E9</v>
      </c>
      <c r="M16" s="2" t="s">
        <v>47</v>
      </c>
      <c r="N16" s="2" t="s">
        <v>47</v>
      </c>
      <c r="O16" s="2" t="s">
        <v>47</v>
      </c>
      <c r="P16" s="2" t="s">
        <v>47</v>
      </c>
      <c r="Q16" s="2" t="s">
        <v>47</v>
      </c>
      <c r="R16" s="2" t="s">
        <v>322</v>
      </c>
      <c r="S16" s="2" t="s">
        <v>323</v>
      </c>
      <c r="U16" s="8" t="s">
        <v>324</v>
      </c>
      <c r="V16" s="2" t="s">
        <v>325</v>
      </c>
      <c r="W16" s="8" t="s">
        <v>326</v>
      </c>
      <c r="X16" s="8" t="s">
        <v>328</v>
      </c>
      <c r="Z16" s="2">
        <v>232800.0</v>
      </c>
      <c r="AA16" s="2">
        <v>3494.0</v>
      </c>
      <c r="AB16" s="2">
        <v>17700.0</v>
      </c>
      <c r="AC16" s="2">
        <v>2300000.0</v>
      </c>
      <c r="AD16" s="2" t="s">
        <v>331</v>
      </c>
      <c r="AE16" s="2" t="s">
        <v>331</v>
      </c>
      <c r="AL16" s="6">
        <f>IFERROR(__xludf.DUMMYFUNCTION("IF(
  TRIM(AD16)="""",
  0,
  COUNTA(
    SPLIT(
      REGEXREPLACE(AD16,""\s*,\s*"","",""),
      "",""
    )
  )
)"),3.0)</f>
        <v>3</v>
      </c>
    </row>
    <row r="17">
      <c r="A17" s="2" t="s">
        <v>332</v>
      </c>
      <c r="B17" s="2" t="s">
        <v>332</v>
      </c>
      <c r="C17" s="2" t="s">
        <v>333</v>
      </c>
      <c r="D17" s="2" t="s">
        <v>334</v>
      </c>
      <c r="E17" s="2">
        <v>154600.0</v>
      </c>
      <c r="F17" s="2">
        <v>91700.0</v>
      </c>
      <c r="G17" s="2">
        <v>783.0</v>
      </c>
      <c r="H17" s="8" t="s">
        <v>335</v>
      </c>
      <c r="I17" s="2" t="s">
        <v>336</v>
      </c>
      <c r="J17" s="2" t="s">
        <v>337</v>
      </c>
      <c r="K17" s="10">
        <v>45664.003842592596</v>
      </c>
      <c r="L17" s="2">
        <v>1.736208332E9</v>
      </c>
      <c r="M17" s="2" t="s">
        <v>47</v>
      </c>
      <c r="N17" s="2" t="s">
        <v>47</v>
      </c>
      <c r="O17" s="2" t="s">
        <v>47</v>
      </c>
      <c r="P17" s="2" t="s">
        <v>47</v>
      </c>
      <c r="Q17" s="2" t="s">
        <v>47</v>
      </c>
      <c r="R17" s="2" t="s">
        <v>338</v>
      </c>
      <c r="S17" s="2" t="s">
        <v>339</v>
      </c>
      <c r="T17" s="8" t="s">
        <v>340</v>
      </c>
      <c r="U17" s="8" t="s">
        <v>343</v>
      </c>
      <c r="V17" s="2" t="s">
        <v>345</v>
      </c>
      <c r="W17" s="8" t="s">
        <v>346</v>
      </c>
      <c r="X17" s="8" t="s">
        <v>348</v>
      </c>
      <c r="Z17" s="2">
        <v>223800.0</v>
      </c>
      <c r="AA17" s="2">
        <v>14100.0</v>
      </c>
      <c r="AB17" s="2">
        <v>25900.0</v>
      </c>
      <c r="AC17" s="2">
        <v>3400000.0</v>
      </c>
      <c r="AD17" s="2" t="s">
        <v>349</v>
      </c>
      <c r="AE17" s="2" t="s">
        <v>349</v>
      </c>
      <c r="AL17" s="6">
        <f>IFERROR(__xludf.DUMMYFUNCTION("IF(
  TRIM(AD17)="""",
  0,
  COUNTA(
    SPLIT(
      REGEXREPLACE(AD17,""\s*,\s*"","",""),
      "",""
    )
  )
)"),2.0)</f>
        <v>2</v>
      </c>
    </row>
    <row r="18">
      <c r="A18" s="2" t="s">
        <v>350</v>
      </c>
      <c r="B18" s="2" t="s">
        <v>350</v>
      </c>
      <c r="C18" s="2" t="s">
        <v>69</v>
      </c>
      <c r="D18" s="2" t="s">
        <v>70</v>
      </c>
      <c r="E18" s="2">
        <v>175800.0</v>
      </c>
      <c r="F18" s="2">
        <v>886.0</v>
      </c>
      <c r="G18" s="2">
        <v>767.0</v>
      </c>
      <c r="H18" s="8" t="s">
        <v>320</v>
      </c>
      <c r="I18" s="2" t="s">
        <v>351</v>
      </c>
      <c r="K18" s="10">
        <v>45466.97326388889</v>
      </c>
      <c r="L18" s="2">
        <v>1.71918489E9</v>
      </c>
      <c r="M18" s="2" t="s">
        <v>47</v>
      </c>
      <c r="N18" s="2" t="s">
        <v>47</v>
      </c>
      <c r="O18" s="2" t="s">
        <v>47</v>
      </c>
      <c r="P18" s="2" t="s">
        <v>47</v>
      </c>
      <c r="Q18" s="2" t="s">
        <v>47</v>
      </c>
      <c r="R18" s="2" t="s">
        <v>352</v>
      </c>
      <c r="S18" s="2" t="s">
        <v>353</v>
      </c>
      <c r="T18" s="8" t="s">
        <v>354</v>
      </c>
      <c r="U18" s="8" t="s">
        <v>356</v>
      </c>
      <c r="V18" s="2" t="s">
        <v>358</v>
      </c>
      <c r="W18" s="8" t="s">
        <v>359</v>
      </c>
      <c r="X18" s="8" t="s">
        <v>360</v>
      </c>
      <c r="Z18" s="2">
        <v>196100.0</v>
      </c>
      <c r="AA18" s="2">
        <v>2192.0</v>
      </c>
      <c r="AB18" s="2">
        <v>26800.0</v>
      </c>
      <c r="AC18" s="2">
        <v>1900000.0</v>
      </c>
      <c r="AD18" s="2" t="s">
        <v>361</v>
      </c>
      <c r="AE18" s="2" t="s">
        <v>361</v>
      </c>
      <c r="AL18" s="6">
        <f>IFERROR(__xludf.DUMMYFUNCTION("IF(
  TRIM(AD18)="""",
  0,
  COUNTA(
    SPLIT(
      REGEXREPLACE(AD18,""\s*,\s*"","",""),
      "",""
    )
  )
)"),5.0)</f>
        <v>5</v>
      </c>
    </row>
    <row r="19">
      <c r="A19" s="2" t="s">
        <v>362</v>
      </c>
      <c r="B19" s="2" t="s">
        <v>362</v>
      </c>
      <c r="C19" s="2" t="s">
        <v>169</v>
      </c>
      <c r="D19" s="2" t="s">
        <v>56</v>
      </c>
      <c r="E19" s="2">
        <v>995400.0</v>
      </c>
      <c r="F19" s="2">
        <v>396.0</v>
      </c>
      <c r="G19" s="2">
        <v>1457.0</v>
      </c>
      <c r="H19" s="8" t="s">
        <v>170</v>
      </c>
      <c r="I19" s="2" t="s">
        <v>363</v>
      </c>
      <c r="K19" s="10">
        <v>45106.85915509259</v>
      </c>
      <c r="L19" s="2">
        <v>1.688071031E9</v>
      </c>
      <c r="M19" s="2" t="s">
        <v>47</v>
      </c>
      <c r="N19" s="2" t="s">
        <v>47</v>
      </c>
      <c r="O19" s="2" t="s">
        <v>47</v>
      </c>
      <c r="P19" s="2" t="s">
        <v>47</v>
      </c>
      <c r="Q19" s="2" t="s">
        <v>47</v>
      </c>
      <c r="R19" s="2" t="s">
        <v>364</v>
      </c>
      <c r="S19" s="2" t="s">
        <v>365</v>
      </c>
      <c r="T19" s="8" t="s">
        <v>366</v>
      </c>
      <c r="U19" s="8" t="s">
        <v>367</v>
      </c>
      <c r="V19" s="2" t="s">
        <v>369</v>
      </c>
      <c r="W19" s="8" t="s">
        <v>370</v>
      </c>
      <c r="X19" s="8" t="s">
        <v>375</v>
      </c>
      <c r="Z19" s="2">
        <v>194000.0</v>
      </c>
      <c r="AA19" s="2">
        <v>3571.0</v>
      </c>
      <c r="AB19" s="2">
        <v>15900.0</v>
      </c>
      <c r="AC19" s="2">
        <v>3600000.0</v>
      </c>
      <c r="AD19" s="2" t="s">
        <v>376</v>
      </c>
      <c r="AE19" s="2" t="s">
        <v>376</v>
      </c>
      <c r="AL19" s="6">
        <f>IFERROR(__xludf.DUMMYFUNCTION("IF(
  TRIM(AD19)="""",
  0,
  COUNTA(
    SPLIT(
      REGEXREPLACE(AD19,""\s*,\s*"","",""),
      "",""
    )
  )
)"),13.0)</f>
        <v>13</v>
      </c>
    </row>
    <row r="20">
      <c r="A20" s="2" t="s">
        <v>377</v>
      </c>
      <c r="B20" s="2" t="s">
        <v>377</v>
      </c>
      <c r="C20" s="2" t="s">
        <v>378</v>
      </c>
      <c r="D20" s="2" t="s">
        <v>379</v>
      </c>
      <c r="E20" s="2">
        <v>48000.0</v>
      </c>
      <c r="F20" s="2">
        <v>2038.0</v>
      </c>
      <c r="G20" s="2">
        <v>318.0</v>
      </c>
      <c r="H20" s="8" t="s">
        <v>380</v>
      </c>
      <c r="I20" s="2" t="s">
        <v>382</v>
      </c>
      <c r="J20" s="2" t="s">
        <v>383</v>
      </c>
      <c r="K20" s="10">
        <v>45463.68105324074</v>
      </c>
      <c r="L20" s="2">
        <v>1.718900443E9</v>
      </c>
      <c r="M20" s="2" t="s">
        <v>47</v>
      </c>
      <c r="N20" s="2" t="s">
        <v>47</v>
      </c>
      <c r="O20" s="2" t="s">
        <v>47</v>
      </c>
      <c r="P20" s="2" t="s">
        <v>47</v>
      </c>
      <c r="Q20" s="2" t="s">
        <v>47</v>
      </c>
      <c r="R20" s="2" t="s">
        <v>48</v>
      </c>
      <c r="S20" s="2" t="s">
        <v>384</v>
      </c>
      <c r="T20" s="8" t="s">
        <v>385</v>
      </c>
      <c r="U20" s="8" t="s">
        <v>389</v>
      </c>
      <c r="V20" s="2" t="s">
        <v>390</v>
      </c>
      <c r="W20" s="8" t="s">
        <v>391</v>
      </c>
      <c r="X20" s="8" t="s">
        <v>393</v>
      </c>
      <c r="Z20" s="2">
        <v>177300.0</v>
      </c>
      <c r="AA20" s="2">
        <v>12400.0</v>
      </c>
      <c r="AB20" s="2">
        <v>51200.0</v>
      </c>
      <c r="AC20" s="2">
        <v>4100000.0</v>
      </c>
      <c r="AD20" s="2" t="s">
        <v>395</v>
      </c>
      <c r="AE20" s="2" t="s">
        <v>396</v>
      </c>
      <c r="AH20" s="2" t="s">
        <v>274</v>
      </c>
      <c r="AL20" s="6">
        <f>IFERROR(__xludf.DUMMYFUNCTION("IF(
  TRIM(AD20)="""",
  0,
  COUNTA(
    SPLIT(
      REGEXREPLACE(AD20,""\s*,\s*"","",""),
      "",""
    )
  )
)"),19.0)</f>
        <v>19</v>
      </c>
    </row>
    <row r="21">
      <c r="A21" s="2" t="s">
        <v>397</v>
      </c>
      <c r="B21" s="2" t="s">
        <v>397</v>
      </c>
      <c r="C21" s="2" t="s">
        <v>296</v>
      </c>
      <c r="D21" s="2" t="s">
        <v>297</v>
      </c>
      <c r="E21" s="2">
        <v>81500.0</v>
      </c>
      <c r="F21" s="2">
        <v>1722.0</v>
      </c>
      <c r="G21" s="2">
        <v>37.0</v>
      </c>
      <c r="H21" s="8" t="s">
        <v>299</v>
      </c>
      <c r="I21" s="2" t="s">
        <v>398</v>
      </c>
      <c r="J21" s="2" t="s">
        <v>399</v>
      </c>
      <c r="K21" s="10">
        <v>45456.89424768519</v>
      </c>
      <c r="L21" s="2">
        <v>1.718314063E9</v>
      </c>
      <c r="M21" s="2" t="s">
        <v>47</v>
      </c>
      <c r="N21" s="2" t="s">
        <v>47</v>
      </c>
      <c r="O21" s="2" t="s">
        <v>47</v>
      </c>
      <c r="P21" s="2" t="s">
        <v>47</v>
      </c>
      <c r="Q21" s="2" t="s">
        <v>47</v>
      </c>
      <c r="R21" s="2" t="s">
        <v>48</v>
      </c>
      <c r="S21" s="2" t="s">
        <v>400</v>
      </c>
      <c r="T21" s="8" t="s">
        <v>401</v>
      </c>
      <c r="U21" s="8" t="s">
        <v>402</v>
      </c>
      <c r="V21" s="2" t="s">
        <v>297</v>
      </c>
      <c r="W21" s="8" t="s">
        <v>403</v>
      </c>
      <c r="X21" s="8" t="s">
        <v>405</v>
      </c>
      <c r="Z21" s="2">
        <v>165500.0</v>
      </c>
      <c r="AA21" s="2">
        <v>6751.0</v>
      </c>
      <c r="AB21" s="2">
        <v>29700.0</v>
      </c>
      <c r="AC21" s="2">
        <v>2500000.0</v>
      </c>
      <c r="AD21" s="2" t="s">
        <v>406</v>
      </c>
      <c r="AE21" s="2" t="s">
        <v>406</v>
      </c>
      <c r="AL21" s="6">
        <f>IFERROR(__xludf.DUMMYFUNCTION("IF(
  TRIM(AD21)="""",
  0,
  COUNTA(
    SPLIT(
      REGEXREPLACE(AD21,""\s*,\s*"","",""),
      "",""
    )
  )
)"),6.0)</f>
        <v>6</v>
      </c>
    </row>
    <row r="22">
      <c r="A22" s="2" t="s">
        <v>408</v>
      </c>
      <c r="B22" s="2" t="s">
        <v>408</v>
      </c>
      <c r="C22" s="2" t="s">
        <v>409</v>
      </c>
      <c r="D22" s="2" t="s">
        <v>410</v>
      </c>
      <c r="E22" s="2">
        <v>199700.0</v>
      </c>
      <c r="F22" s="2">
        <v>735.0</v>
      </c>
      <c r="G22" s="2">
        <v>145.0</v>
      </c>
      <c r="H22" s="8" t="s">
        <v>411</v>
      </c>
      <c r="I22" s="2" t="s">
        <v>413</v>
      </c>
      <c r="J22" s="2" t="s">
        <v>414</v>
      </c>
      <c r="K22" s="10">
        <v>45830.54032407407</v>
      </c>
      <c r="L22" s="2">
        <v>1.750597084E9</v>
      </c>
      <c r="M22" s="2" t="s">
        <v>47</v>
      </c>
      <c r="N22" s="2" t="s">
        <v>47</v>
      </c>
      <c r="O22" s="2" t="s">
        <v>47</v>
      </c>
      <c r="P22" s="2" t="s">
        <v>47</v>
      </c>
      <c r="Q22" s="2" t="s">
        <v>47</v>
      </c>
      <c r="R22" s="2" t="s">
        <v>48</v>
      </c>
      <c r="S22" s="2" t="s">
        <v>415</v>
      </c>
      <c r="T22" s="8" t="s">
        <v>416</v>
      </c>
      <c r="U22" s="8" t="s">
        <v>418</v>
      </c>
      <c r="V22" s="2" t="s">
        <v>410</v>
      </c>
      <c r="W22" s="8" t="s">
        <v>421</v>
      </c>
      <c r="X22" s="8" t="s">
        <v>422</v>
      </c>
      <c r="Z22" s="2">
        <v>164000.0</v>
      </c>
      <c r="AA22" s="2">
        <v>2513.0</v>
      </c>
      <c r="AB22" s="2">
        <v>80800.0</v>
      </c>
      <c r="AC22" s="2">
        <v>3600000.0</v>
      </c>
      <c r="AD22" s="2" t="s">
        <v>423</v>
      </c>
      <c r="AE22" s="2" t="s">
        <v>423</v>
      </c>
      <c r="AL22" s="6">
        <f>IFERROR(__xludf.DUMMYFUNCTION("IF(
  TRIM(AD22)="""",
  0,
  COUNTA(
    SPLIT(
      REGEXREPLACE(AD22,""\s*,\s*"","",""),
      "",""
    )
  )
)"),15.0)</f>
        <v>15</v>
      </c>
    </row>
    <row r="23">
      <c r="A23" s="2" t="s">
        <v>425</v>
      </c>
      <c r="B23" s="2" t="s">
        <v>425</v>
      </c>
      <c r="C23" s="2" t="s">
        <v>426</v>
      </c>
      <c r="D23" s="2" t="s">
        <v>427</v>
      </c>
      <c r="E23" s="2">
        <v>3700000.0</v>
      </c>
      <c r="F23" s="2">
        <v>64500.0</v>
      </c>
      <c r="G23" s="2">
        <v>1317.0</v>
      </c>
      <c r="H23" s="8" t="s">
        <v>428</v>
      </c>
      <c r="I23" s="2" t="s">
        <v>429</v>
      </c>
      <c r="J23" s="2" t="s">
        <v>430</v>
      </c>
      <c r="K23" s="10">
        <v>44419.965532407405</v>
      </c>
      <c r="L23" s="2">
        <v>1.628723422E9</v>
      </c>
      <c r="M23" s="2" t="s">
        <v>47</v>
      </c>
      <c r="N23" s="2" t="s">
        <v>47</v>
      </c>
      <c r="O23" s="2" t="s">
        <v>47</v>
      </c>
      <c r="P23" s="2" t="s">
        <v>47</v>
      </c>
      <c r="Q23" s="2" t="s">
        <v>47</v>
      </c>
      <c r="R23" s="2" t="s">
        <v>204</v>
      </c>
      <c r="S23" s="2" t="s">
        <v>431</v>
      </c>
      <c r="T23" s="8" t="s">
        <v>432</v>
      </c>
      <c r="U23" s="8" t="s">
        <v>434</v>
      </c>
      <c r="V23" s="2" t="s">
        <v>427</v>
      </c>
      <c r="W23" s="8" t="s">
        <v>439</v>
      </c>
      <c r="X23" s="8" t="s">
        <v>441</v>
      </c>
      <c r="Z23" s="2">
        <v>156200.0</v>
      </c>
      <c r="AA23" s="2">
        <v>5394.0</v>
      </c>
      <c r="AB23" s="2">
        <v>12400.0</v>
      </c>
      <c r="AC23" s="2">
        <v>1200000.0</v>
      </c>
      <c r="AD23" s="2" t="s">
        <v>445</v>
      </c>
      <c r="AE23" s="2" t="s">
        <v>445</v>
      </c>
      <c r="AL23" s="6">
        <f>IFERROR(__xludf.DUMMYFUNCTION("IF(
  TRIM(AD23)="""",
  0,
  COUNTA(
    SPLIT(
      REGEXREPLACE(AD23,""\s*,\s*"","",""),
      "",""
    )
  )
)"),3.0)</f>
        <v>3</v>
      </c>
    </row>
    <row r="24">
      <c r="A24" s="2" t="s">
        <v>106</v>
      </c>
      <c r="B24" s="2" t="s">
        <v>106</v>
      </c>
      <c r="C24" s="2" t="s">
        <v>107</v>
      </c>
      <c r="D24" s="2" t="s">
        <v>108</v>
      </c>
      <c r="E24" s="2">
        <v>1300000.0</v>
      </c>
      <c r="F24" s="2">
        <v>93.0</v>
      </c>
      <c r="G24" s="2">
        <v>1698.0</v>
      </c>
      <c r="H24" s="8" t="s">
        <v>446</v>
      </c>
      <c r="I24" s="2" t="s">
        <v>112</v>
      </c>
      <c r="K24" s="10">
        <v>45836.916921296295</v>
      </c>
      <c r="L24" s="2">
        <v>1.751148022E9</v>
      </c>
      <c r="M24" s="2" t="s">
        <v>47</v>
      </c>
      <c r="N24" s="2" t="s">
        <v>47</v>
      </c>
      <c r="O24" s="2" t="s">
        <v>47</v>
      </c>
      <c r="P24" s="2" t="s">
        <v>47</v>
      </c>
      <c r="Q24" s="2" t="s">
        <v>47</v>
      </c>
      <c r="R24" s="2" t="s">
        <v>48</v>
      </c>
      <c r="S24" s="2" t="s">
        <v>113</v>
      </c>
      <c r="T24" s="8" t="s">
        <v>447</v>
      </c>
      <c r="U24" s="8" t="s">
        <v>449</v>
      </c>
      <c r="V24" s="2" t="s">
        <v>108</v>
      </c>
      <c r="W24" s="8" t="s">
        <v>450</v>
      </c>
      <c r="X24" s="8" t="s">
        <v>126</v>
      </c>
      <c r="Z24" s="2">
        <v>145600.0</v>
      </c>
      <c r="AA24" s="2">
        <v>859.0</v>
      </c>
      <c r="AB24" s="2">
        <v>13400.0</v>
      </c>
      <c r="AC24" s="2">
        <v>1800000.0</v>
      </c>
      <c r="AH24" s="2" t="s">
        <v>144</v>
      </c>
      <c r="AL24" s="6">
        <f>IFERROR(__xludf.DUMMYFUNCTION("IF(
  TRIM(AD24)="""",
  0,
  COUNTA(
    SPLIT(
      REGEXREPLACE(AD24,""\s*,\s*"","",""),
      "",""
    )
  )
)"),0.0)</f>
        <v>0</v>
      </c>
    </row>
    <row r="25">
      <c r="A25" s="2" t="s">
        <v>452</v>
      </c>
      <c r="B25" s="2" t="s">
        <v>452</v>
      </c>
      <c r="C25" s="2" t="s">
        <v>453</v>
      </c>
      <c r="D25" s="2" t="s">
        <v>454</v>
      </c>
      <c r="E25" s="2">
        <v>212300.0</v>
      </c>
      <c r="F25" s="2">
        <v>197.0</v>
      </c>
      <c r="G25" s="2">
        <v>165.0</v>
      </c>
      <c r="H25" s="8" t="s">
        <v>455</v>
      </c>
      <c r="I25" s="2" t="s">
        <v>456</v>
      </c>
      <c r="K25" s="10">
        <v>45802.666041666664</v>
      </c>
      <c r="L25" s="2">
        <v>1.748188746E9</v>
      </c>
      <c r="M25" s="2" t="s">
        <v>47</v>
      </c>
      <c r="N25" s="2" t="s">
        <v>47</v>
      </c>
      <c r="O25" s="2" t="s">
        <v>47</v>
      </c>
      <c r="P25" s="2" t="s">
        <v>47</v>
      </c>
      <c r="Q25" s="2" t="s">
        <v>47</v>
      </c>
      <c r="R25" s="2" t="s">
        <v>48</v>
      </c>
      <c r="S25" s="2" t="s">
        <v>457</v>
      </c>
      <c r="T25" s="8" t="s">
        <v>458</v>
      </c>
      <c r="U25" s="8" t="s">
        <v>463</v>
      </c>
      <c r="V25" s="2" t="s">
        <v>454</v>
      </c>
      <c r="W25" s="8" t="s">
        <v>465</v>
      </c>
      <c r="X25" s="8" t="s">
        <v>466</v>
      </c>
      <c r="Z25" s="2">
        <v>142400.0</v>
      </c>
      <c r="AA25" s="2">
        <v>744.0</v>
      </c>
      <c r="AB25" s="2">
        <v>23200.0</v>
      </c>
      <c r="AC25" s="2">
        <v>2100000.0</v>
      </c>
      <c r="AD25" s="2" t="s">
        <v>468</v>
      </c>
      <c r="AE25" s="2" t="s">
        <v>468</v>
      </c>
      <c r="AL25" s="6">
        <f>IFERROR(__xludf.DUMMYFUNCTION("IF(
  TRIM(AD25)="""",
  0,
  COUNTA(
    SPLIT(
      REGEXREPLACE(AD25,""\s*,\s*"","",""),
      "",""
    )
  )
)"),7.0)</f>
        <v>7</v>
      </c>
    </row>
    <row r="26">
      <c r="A26" s="2" t="s">
        <v>469</v>
      </c>
      <c r="B26" s="2" t="s">
        <v>469</v>
      </c>
      <c r="C26" s="2" t="s">
        <v>471</v>
      </c>
      <c r="D26" s="2" t="s">
        <v>472</v>
      </c>
      <c r="E26" s="2">
        <v>216300.0</v>
      </c>
      <c r="F26" s="2">
        <v>2.0</v>
      </c>
      <c r="G26" s="2">
        <v>379.0</v>
      </c>
      <c r="H26" s="8" t="s">
        <v>474</v>
      </c>
      <c r="I26" s="2" t="s">
        <v>475</v>
      </c>
      <c r="K26" s="10">
        <v>45245.646631944444</v>
      </c>
      <c r="L26" s="2">
        <v>1.700062269E9</v>
      </c>
      <c r="M26" s="2" t="s">
        <v>47</v>
      </c>
      <c r="N26" s="2" t="s">
        <v>47</v>
      </c>
      <c r="O26" s="2" t="s">
        <v>47</v>
      </c>
      <c r="P26" s="2" t="s">
        <v>47</v>
      </c>
      <c r="Q26" s="2" t="s">
        <v>47</v>
      </c>
      <c r="R26" s="2" t="s">
        <v>476</v>
      </c>
      <c r="S26" s="2" t="s">
        <v>477</v>
      </c>
      <c r="T26" s="8" t="s">
        <v>478</v>
      </c>
      <c r="U26" s="8" t="s">
        <v>479</v>
      </c>
      <c r="V26" s="2" t="s">
        <v>480</v>
      </c>
      <c r="W26" s="8" t="s">
        <v>481</v>
      </c>
      <c r="X26" s="8" t="s">
        <v>483</v>
      </c>
      <c r="Z26" s="2">
        <v>141800.0</v>
      </c>
      <c r="AA26" s="2">
        <v>1524.0</v>
      </c>
      <c r="AB26" s="2">
        <v>14600.0</v>
      </c>
      <c r="AC26" s="2">
        <v>1400000.0</v>
      </c>
      <c r="AD26" s="2" t="s">
        <v>484</v>
      </c>
      <c r="AE26" s="2" t="s">
        <v>484</v>
      </c>
      <c r="AL26" s="6">
        <f>IFERROR(__xludf.DUMMYFUNCTION("IF(
  TRIM(AD26)="""",
  0,
  COUNTA(
    SPLIT(
      REGEXREPLACE(AD26,""\s*,\s*"","",""),
      "",""
    )
  )
)"),3.0)</f>
        <v>3</v>
      </c>
    </row>
    <row r="27">
      <c r="A27" s="2" t="s">
        <v>485</v>
      </c>
      <c r="B27" s="2" t="s">
        <v>485</v>
      </c>
      <c r="C27" s="2" t="s">
        <v>486</v>
      </c>
      <c r="D27" s="2" t="s">
        <v>487</v>
      </c>
      <c r="E27" s="2">
        <v>2156.0</v>
      </c>
      <c r="F27" s="2">
        <v>4476.0</v>
      </c>
      <c r="G27" s="2">
        <v>178.0</v>
      </c>
      <c r="H27" s="8" t="s">
        <v>488</v>
      </c>
      <c r="I27" s="2" t="s">
        <v>490</v>
      </c>
      <c r="K27" s="10">
        <v>45586.87688657407</v>
      </c>
      <c r="L27" s="2">
        <v>1.729544563E9</v>
      </c>
      <c r="M27" s="2" t="s">
        <v>47</v>
      </c>
      <c r="N27" s="2" t="s">
        <v>47</v>
      </c>
      <c r="O27" s="2" t="s">
        <v>47</v>
      </c>
      <c r="P27" s="2" t="s">
        <v>47</v>
      </c>
      <c r="Q27" s="2" t="s">
        <v>47</v>
      </c>
      <c r="R27" s="2" t="s">
        <v>48</v>
      </c>
      <c r="S27" s="2" t="s">
        <v>491</v>
      </c>
      <c r="T27" s="8" t="s">
        <v>492</v>
      </c>
      <c r="U27" s="8" t="s">
        <v>493</v>
      </c>
      <c r="V27" s="2" t="s">
        <v>487</v>
      </c>
      <c r="W27" s="8" t="s">
        <v>494</v>
      </c>
      <c r="X27" s="8" t="s">
        <v>498</v>
      </c>
      <c r="Z27" s="2">
        <v>141500.0</v>
      </c>
      <c r="AA27" s="2">
        <v>10500.0</v>
      </c>
      <c r="AB27" s="2">
        <v>16800.0</v>
      </c>
      <c r="AC27" s="2">
        <v>1800000.0</v>
      </c>
      <c r="AD27" s="2" t="s">
        <v>500</v>
      </c>
      <c r="AE27" s="2" t="s">
        <v>500</v>
      </c>
      <c r="AH27" s="2" t="s">
        <v>97</v>
      </c>
      <c r="AL27" s="6">
        <f>IFERROR(__xludf.DUMMYFUNCTION("IF(
  TRIM(AD27)="""",
  0,
  COUNTA(
    SPLIT(
      REGEXREPLACE(AD27,""\s*,\s*"","",""),
      "",""
    )
  )
)"),9.0)</f>
        <v>9</v>
      </c>
    </row>
    <row r="28">
      <c r="A28" s="2" t="s">
        <v>501</v>
      </c>
      <c r="B28" s="2" t="s">
        <v>501</v>
      </c>
      <c r="C28" s="2" t="s">
        <v>502</v>
      </c>
      <c r="D28" s="2" t="s">
        <v>503</v>
      </c>
      <c r="E28" s="2">
        <v>593700.0</v>
      </c>
      <c r="F28" s="2">
        <v>37400.0</v>
      </c>
      <c r="G28" s="2">
        <v>120.0</v>
      </c>
      <c r="H28" s="8" t="s">
        <v>504</v>
      </c>
      <c r="I28" s="2" t="s">
        <v>505</v>
      </c>
      <c r="K28" s="10">
        <v>44676.62332175926</v>
      </c>
      <c r="L28" s="2">
        <v>1.650898655E9</v>
      </c>
      <c r="M28" s="2" t="s">
        <v>47</v>
      </c>
      <c r="N28" s="2" t="s">
        <v>47</v>
      </c>
      <c r="O28" s="2" t="s">
        <v>47</v>
      </c>
      <c r="P28" s="2" t="s">
        <v>47</v>
      </c>
      <c r="Q28" s="2" t="s">
        <v>47</v>
      </c>
      <c r="R28" s="2" t="s">
        <v>48</v>
      </c>
      <c r="S28" s="2" t="s">
        <v>506</v>
      </c>
      <c r="T28" s="8" t="s">
        <v>507</v>
      </c>
      <c r="U28" s="8" t="s">
        <v>512</v>
      </c>
      <c r="V28" s="2" t="s">
        <v>503</v>
      </c>
      <c r="W28" s="8" t="s">
        <v>513</v>
      </c>
      <c r="X28" s="8" t="s">
        <v>515</v>
      </c>
      <c r="Z28" s="2">
        <v>140500.0</v>
      </c>
      <c r="AA28" s="2">
        <v>943.0</v>
      </c>
      <c r="AB28" s="2">
        <v>5941.0</v>
      </c>
      <c r="AC28" s="2">
        <v>1000000.0</v>
      </c>
      <c r="AD28" s="2" t="s">
        <v>516</v>
      </c>
      <c r="AE28" s="2" t="s">
        <v>516</v>
      </c>
      <c r="AL28" s="6">
        <f>IFERROR(__xludf.DUMMYFUNCTION("IF(
  TRIM(AD28)="""",
  0,
  COUNTA(
    SPLIT(
      REGEXREPLACE(AD28,""\s*,\s*"","",""),
      "",""
    )
  )
)"),1.0)</f>
        <v>1</v>
      </c>
    </row>
    <row r="29">
      <c r="A29" s="2" t="s">
        <v>517</v>
      </c>
      <c r="B29" s="2" t="s">
        <v>517</v>
      </c>
      <c r="C29" s="2" t="s">
        <v>518</v>
      </c>
      <c r="D29" s="2" t="s">
        <v>519</v>
      </c>
      <c r="E29" s="2">
        <v>300900.0</v>
      </c>
      <c r="F29" s="2">
        <v>21400.0</v>
      </c>
      <c r="G29" s="2">
        <v>277.0</v>
      </c>
      <c r="H29" s="8" t="s">
        <v>520</v>
      </c>
      <c r="I29" s="2" t="s">
        <v>521</v>
      </c>
      <c r="J29" s="2" t="s">
        <v>522</v>
      </c>
      <c r="K29" s="10">
        <v>45171.63244212963</v>
      </c>
      <c r="L29" s="2">
        <v>1.693667443E9</v>
      </c>
      <c r="M29" s="2" t="s">
        <v>47</v>
      </c>
      <c r="N29" s="2" t="s">
        <v>47</v>
      </c>
      <c r="O29" s="2" t="s">
        <v>47</v>
      </c>
      <c r="P29" s="2" t="s">
        <v>47</v>
      </c>
      <c r="Q29" s="2" t="s">
        <v>47</v>
      </c>
      <c r="R29" s="2" t="s">
        <v>48</v>
      </c>
      <c r="S29" s="2" t="s">
        <v>523</v>
      </c>
      <c r="T29" s="8" t="s">
        <v>524</v>
      </c>
      <c r="U29" s="8" t="s">
        <v>526</v>
      </c>
      <c r="V29" s="2" t="s">
        <v>519</v>
      </c>
      <c r="W29" s="8" t="s">
        <v>527</v>
      </c>
      <c r="X29" s="8" t="s">
        <v>529</v>
      </c>
      <c r="Z29" s="2">
        <v>136900.0</v>
      </c>
      <c r="AA29" s="2">
        <v>5003.0</v>
      </c>
      <c r="AB29" s="2">
        <v>34600.0</v>
      </c>
      <c r="AC29" s="2">
        <v>1800000.0</v>
      </c>
      <c r="AD29" s="2" t="s">
        <v>530</v>
      </c>
      <c r="AE29" s="2" t="s">
        <v>530</v>
      </c>
      <c r="AL29" s="6">
        <f>IFERROR(__xludf.DUMMYFUNCTION("IF(
  TRIM(AD29)="""",
  0,
  COUNTA(
    SPLIT(
      REGEXREPLACE(AD29,""\s*,\s*"","",""),
      "",""
    )
  )
)"),6.0)</f>
        <v>6</v>
      </c>
    </row>
    <row r="30">
      <c r="A30" s="2" t="s">
        <v>532</v>
      </c>
      <c r="B30" s="2" t="s">
        <v>532</v>
      </c>
      <c r="C30" s="2" t="s">
        <v>276</v>
      </c>
      <c r="D30" s="2" t="s">
        <v>277</v>
      </c>
      <c r="E30" s="2">
        <v>342900.0</v>
      </c>
      <c r="F30" s="2">
        <v>339.0</v>
      </c>
      <c r="G30" s="2">
        <v>487.0</v>
      </c>
      <c r="H30" s="8" t="s">
        <v>278</v>
      </c>
      <c r="I30" s="2" t="s">
        <v>534</v>
      </c>
      <c r="J30" s="2" t="s">
        <v>535</v>
      </c>
      <c r="K30" s="10">
        <v>45736.03658564815</v>
      </c>
      <c r="L30" s="2">
        <v>1.742431961E9</v>
      </c>
      <c r="M30" s="2" t="s">
        <v>47</v>
      </c>
      <c r="N30" s="2" t="s">
        <v>47</v>
      </c>
      <c r="O30" s="2" t="s">
        <v>47</v>
      </c>
      <c r="P30" s="2" t="s">
        <v>47</v>
      </c>
      <c r="Q30" s="2" t="s">
        <v>47</v>
      </c>
      <c r="R30" s="2" t="s">
        <v>48</v>
      </c>
      <c r="S30" s="2" t="s">
        <v>536</v>
      </c>
      <c r="T30" s="8" t="s">
        <v>537</v>
      </c>
      <c r="U30" s="8" t="s">
        <v>538</v>
      </c>
      <c r="V30" s="2" t="s">
        <v>277</v>
      </c>
      <c r="W30" s="8" t="s">
        <v>542</v>
      </c>
      <c r="X30" s="8" t="s">
        <v>543</v>
      </c>
      <c r="Z30" s="2">
        <v>132100.0</v>
      </c>
      <c r="AA30" s="2">
        <v>1690.0</v>
      </c>
      <c r="AB30" s="2">
        <v>31100.0</v>
      </c>
      <c r="AC30" s="2">
        <v>1900000.0</v>
      </c>
      <c r="AD30" s="2" t="s">
        <v>544</v>
      </c>
      <c r="AE30" s="2" t="s">
        <v>544</v>
      </c>
      <c r="AL30" s="6">
        <f>IFERROR(__xludf.DUMMYFUNCTION("IF(
  TRIM(AD30)="""",
  0,
  COUNTA(
    SPLIT(
      REGEXREPLACE(AD30,""\s*,\s*"","",""),
      "",""
    )
  )
)"),8.0)</f>
        <v>8</v>
      </c>
    </row>
    <row r="31">
      <c r="A31" s="2" t="s">
        <v>127</v>
      </c>
      <c r="B31" s="2" t="s">
        <v>127</v>
      </c>
      <c r="C31" s="2" t="s">
        <v>107</v>
      </c>
      <c r="D31" s="2" t="s">
        <v>108</v>
      </c>
      <c r="E31" s="2">
        <v>1300000.0</v>
      </c>
      <c r="F31" s="2">
        <v>93.0</v>
      </c>
      <c r="G31" s="2">
        <v>1698.0</v>
      </c>
      <c r="H31" s="8" t="s">
        <v>545</v>
      </c>
      <c r="I31" s="2" t="s">
        <v>130</v>
      </c>
      <c r="J31" s="2" t="s">
        <v>131</v>
      </c>
      <c r="K31" s="10">
        <v>45186.07309027778</v>
      </c>
      <c r="L31" s="2">
        <v>1.694915115E9</v>
      </c>
      <c r="M31" s="2" t="s">
        <v>47</v>
      </c>
      <c r="N31" s="2" t="s">
        <v>47</v>
      </c>
      <c r="O31" s="2" t="s">
        <v>47</v>
      </c>
      <c r="P31" s="2" t="s">
        <v>47</v>
      </c>
      <c r="Q31" s="2" t="s">
        <v>47</v>
      </c>
      <c r="R31" s="2" t="s">
        <v>48</v>
      </c>
      <c r="S31" s="2" t="s">
        <v>135</v>
      </c>
      <c r="T31" s="8" t="s">
        <v>547</v>
      </c>
      <c r="U31" s="8" t="s">
        <v>549</v>
      </c>
      <c r="V31" s="2" t="s">
        <v>108</v>
      </c>
      <c r="W31" s="8" t="s">
        <v>550</v>
      </c>
      <c r="X31" s="8" t="s">
        <v>149</v>
      </c>
      <c r="Z31" s="2">
        <v>126100.0</v>
      </c>
      <c r="AA31" s="2">
        <v>1060.0</v>
      </c>
      <c r="AB31" s="2">
        <v>11600.0</v>
      </c>
      <c r="AC31" s="2">
        <v>1500000.0</v>
      </c>
      <c r="AL31" s="6">
        <f>IFERROR(__xludf.DUMMYFUNCTION("IF(
  TRIM(AD31)="""",
  0,
  COUNTA(
    SPLIT(
      REGEXREPLACE(AD31,""\s*,\s*"","",""),
      "",""
    )
  )
)"),0.0)</f>
        <v>0</v>
      </c>
    </row>
    <row r="32">
      <c r="A32" s="2" t="s">
        <v>552</v>
      </c>
      <c r="B32" s="2" t="s">
        <v>552</v>
      </c>
      <c r="C32" s="2" t="s">
        <v>553</v>
      </c>
      <c r="D32" s="2" t="s">
        <v>554</v>
      </c>
      <c r="E32" s="2">
        <v>97800.0</v>
      </c>
      <c r="F32" s="2">
        <v>577.0</v>
      </c>
      <c r="G32" s="2">
        <v>44.0</v>
      </c>
      <c r="H32" s="8" t="s">
        <v>555</v>
      </c>
      <c r="I32" s="2" t="s">
        <v>557</v>
      </c>
      <c r="J32" s="2" t="s">
        <v>279</v>
      </c>
      <c r="K32" s="10">
        <v>45805.857511574075</v>
      </c>
      <c r="L32" s="2">
        <v>1.748464489E9</v>
      </c>
      <c r="M32" s="2" t="s">
        <v>47</v>
      </c>
      <c r="N32" s="2" t="s">
        <v>47</v>
      </c>
      <c r="O32" s="2" t="s">
        <v>47</v>
      </c>
      <c r="P32" s="2" t="s">
        <v>47</v>
      </c>
      <c r="Q32" s="2" t="s">
        <v>47</v>
      </c>
      <c r="R32" s="2" t="s">
        <v>48</v>
      </c>
      <c r="S32" s="2" t="s">
        <v>558</v>
      </c>
      <c r="T32" s="8" t="s">
        <v>559</v>
      </c>
      <c r="U32" s="8" t="s">
        <v>563</v>
      </c>
      <c r="V32" s="2" t="s">
        <v>554</v>
      </c>
      <c r="W32" s="8" t="s">
        <v>564</v>
      </c>
      <c r="X32" s="8" t="s">
        <v>565</v>
      </c>
      <c r="Z32" s="2">
        <v>120900.0</v>
      </c>
      <c r="AA32" s="2">
        <v>1651.0</v>
      </c>
      <c r="AB32" s="2">
        <v>58800.0</v>
      </c>
      <c r="AC32" s="2">
        <v>3700000.0</v>
      </c>
      <c r="AD32" s="2" t="s">
        <v>567</v>
      </c>
      <c r="AE32" s="2" t="s">
        <v>567</v>
      </c>
      <c r="AL32" s="6">
        <f>IFERROR(__xludf.DUMMYFUNCTION("IF(
  TRIM(AD32)="""",
  0,
  COUNTA(
    SPLIT(
      REGEXREPLACE(AD32,""\s*,\s*"","",""),
      "",""
    )
  )
)"),19.0)</f>
        <v>19</v>
      </c>
    </row>
    <row r="33">
      <c r="A33" s="2" t="s">
        <v>568</v>
      </c>
      <c r="B33" s="2" t="s">
        <v>568</v>
      </c>
      <c r="C33" s="2" t="s">
        <v>409</v>
      </c>
      <c r="D33" s="2" t="s">
        <v>410</v>
      </c>
      <c r="E33" s="2">
        <v>199700.0</v>
      </c>
      <c r="F33" s="2">
        <v>735.0</v>
      </c>
      <c r="G33" s="2">
        <v>145.0</v>
      </c>
      <c r="H33" s="8" t="s">
        <v>569</v>
      </c>
      <c r="I33" s="2" t="s">
        <v>570</v>
      </c>
      <c r="J33" s="2" t="s">
        <v>571</v>
      </c>
      <c r="K33" s="10">
        <v>45734.978738425925</v>
      </c>
      <c r="L33" s="2">
        <v>1.742340563E9</v>
      </c>
      <c r="M33" s="2" t="s">
        <v>47</v>
      </c>
      <c r="N33" s="2" t="s">
        <v>47</v>
      </c>
      <c r="O33" s="2" t="s">
        <v>47</v>
      </c>
      <c r="P33" s="2" t="s">
        <v>47</v>
      </c>
      <c r="Q33" s="2" t="s">
        <v>47</v>
      </c>
      <c r="R33" s="2" t="s">
        <v>48</v>
      </c>
      <c r="S33" s="2" t="s">
        <v>572</v>
      </c>
      <c r="T33" s="8" t="s">
        <v>573</v>
      </c>
      <c r="U33" s="8" t="s">
        <v>574</v>
      </c>
      <c r="V33" s="2" t="s">
        <v>410</v>
      </c>
      <c r="W33" s="8" t="s">
        <v>576</v>
      </c>
      <c r="X33" s="8" t="s">
        <v>581</v>
      </c>
      <c r="Z33" s="2">
        <v>118300.0</v>
      </c>
      <c r="AA33" s="2">
        <v>2339.0</v>
      </c>
      <c r="AB33" s="2">
        <v>44400.0</v>
      </c>
      <c r="AC33" s="2">
        <v>2200000.0</v>
      </c>
      <c r="AD33" s="2" t="s">
        <v>582</v>
      </c>
      <c r="AE33" s="2" t="s">
        <v>582</v>
      </c>
      <c r="AH33" s="2" t="s">
        <v>256</v>
      </c>
      <c r="AL33" s="6">
        <f>IFERROR(__xludf.DUMMYFUNCTION("IF(
  TRIM(AD33)="""",
  0,
  COUNTA(
    SPLIT(
      REGEXREPLACE(AD33,""\s*,\s*"","",""),
      "",""
    )
  )
)"),12.0)</f>
        <v>12</v>
      </c>
    </row>
    <row r="34">
      <c r="A34" s="2" t="s">
        <v>583</v>
      </c>
      <c r="B34" s="2" t="s">
        <v>583</v>
      </c>
      <c r="C34" s="2" t="s">
        <v>169</v>
      </c>
      <c r="D34" s="2" t="s">
        <v>56</v>
      </c>
      <c r="E34" s="2">
        <v>995400.0</v>
      </c>
      <c r="F34" s="2">
        <v>396.0</v>
      </c>
      <c r="G34" s="2">
        <v>1457.0</v>
      </c>
      <c r="H34" s="8" t="s">
        <v>170</v>
      </c>
      <c r="I34" s="2" t="s">
        <v>584</v>
      </c>
      <c r="K34" s="10">
        <v>45064.60841435185</v>
      </c>
      <c r="L34" s="2">
        <v>1.684420567E9</v>
      </c>
      <c r="M34" s="2" t="s">
        <v>47</v>
      </c>
      <c r="N34" s="2" t="s">
        <v>47</v>
      </c>
      <c r="O34" s="2" t="s">
        <v>47</v>
      </c>
      <c r="P34" s="2" t="s">
        <v>47</v>
      </c>
      <c r="Q34" s="2" t="s">
        <v>47</v>
      </c>
      <c r="R34" s="2" t="s">
        <v>585</v>
      </c>
      <c r="S34" s="2" t="s">
        <v>586</v>
      </c>
      <c r="T34" s="8" t="s">
        <v>587</v>
      </c>
      <c r="U34" s="8" t="s">
        <v>588</v>
      </c>
      <c r="V34" s="2" t="s">
        <v>592</v>
      </c>
      <c r="W34" s="8" t="s">
        <v>593</v>
      </c>
      <c r="X34" s="8" t="s">
        <v>594</v>
      </c>
      <c r="Z34" s="2">
        <v>109000.0</v>
      </c>
      <c r="AA34" s="2">
        <v>1266.0</v>
      </c>
      <c r="AB34" s="2">
        <v>7479.0</v>
      </c>
      <c r="AC34" s="2">
        <v>977300.0</v>
      </c>
      <c r="AD34" s="2" t="s">
        <v>595</v>
      </c>
      <c r="AE34" s="2" t="s">
        <v>595</v>
      </c>
      <c r="AL34" s="6">
        <f>IFERROR(__xludf.DUMMYFUNCTION("IF(
  TRIM(AD34)="""",
  0,
  COUNTA(
    SPLIT(
      REGEXREPLACE(AD34,""\s*,\s*"","",""),
      "",""
    )
  )
)"),12.0)</f>
        <v>12</v>
      </c>
    </row>
    <row r="35">
      <c r="A35" s="2" t="s">
        <v>596</v>
      </c>
      <c r="B35" s="2" t="s">
        <v>596</v>
      </c>
      <c r="C35" s="2" t="s">
        <v>597</v>
      </c>
      <c r="D35" s="2" t="s">
        <v>597</v>
      </c>
      <c r="E35" s="2">
        <v>4700000.0</v>
      </c>
      <c r="F35" s="2">
        <v>36600.0</v>
      </c>
      <c r="G35" s="2">
        <v>2010.0</v>
      </c>
      <c r="H35" s="8" t="s">
        <v>598</v>
      </c>
      <c r="I35" s="2" t="s">
        <v>600</v>
      </c>
      <c r="K35" s="10">
        <v>44861.63769675926</v>
      </c>
      <c r="L35" s="2">
        <v>1.666883897E9</v>
      </c>
      <c r="M35" s="2" t="s">
        <v>47</v>
      </c>
      <c r="N35" s="2" t="s">
        <v>47</v>
      </c>
      <c r="O35" s="2" t="s">
        <v>47</v>
      </c>
      <c r="P35" s="2" t="s">
        <v>47</v>
      </c>
      <c r="Q35" s="2" t="s">
        <v>47</v>
      </c>
      <c r="R35" s="2" t="s">
        <v>601</v>
      </c>
      <c r="S35" s="2" t="s">
        <v>602</v>
      </c>
      <c r="T35" s="8" t="s">
        <v>603</v>
      </c>
      <c r="U35" s="8" t="s">
        <v>604</v>
      </c>
      <c r="V35" s="2" t="s">
        <v>605</v>
      </c>
      <c r="W35" s="8" t="s">
        <v>606</v>
      </c>
      <c r="X35" s="8" t="s">
        <v>608</v>
      </c>
      <c r="Z35" s="2">
        <v>108900.0</v>
      </c>
      <c r="AA35" s="2">
        <v>2139.0</v>
      </c>
      <c r="AB35" s="2">
        <v>2079.0</v>
      </c>
      <c r="AC35" s="2">
        <v>1400000.0</v>
      </c>
      <c r="AD35" s="2" t="s">
        <v>612</v>
      </c>
      <c r="AE35" s="2" t="s">
        <v>612</v>
      </c>
      <c r="AH35" s="2" t="s">
        <v>256</v>
      </c>
      <c r="AL35" s="6">
        <f>IFERROR(__xludf.DUMMYFUNCTION("IF(
  TRIM(AD35)="""",
  0,
  COUNTA(
    SPLIT(
      REGEXREPLACE(AD35,""\s*,\s*"","",""),
      "",""
    )
  )
)"),2.0)</f>
        <v>2</v>
      </c>
    </row>
    <row r="36">
      <c r="A36" s="2" t="s">
        <v>614</v>
      </c>
      <c r="B36" s="2" t="s">
        <v>614</v>
      </c>
      <c r="C36" s="2" t="s">
        <v>615</v>
      </c>
      <c r="D36" s="2" t="s">
        <v>616</v>
      </c>
      <c r="E36" s="2">
        <v>13900.0</v>
      </c>
      <c r="F36" s="2">
        <v>12200.0</v>
      </c>
      <c r="G36" s="2">
        <v>397.0</v>
      </c>
      <c r="H36" s="8" t="s">
        <v>617</v>
      </c>
      <c r="I36" s="2" t="s">
        <v>618</v>
      </c>
      <c r="K36" s="10">
        <v>45572.97381944444</v>
      </c>
      <c r="L36" s="2">
        <v>1.728343338E9</v>
      </c>
      <c r="M36" s="2" t="s">
        <v>47</v>
      </c>
      <c r="N36" s="2" t="s">
        <v>47</v>
      </c>
      <c r="O36" s="2" t="s">
        <v>47</v>
      </c>
      <c r="P36" s="2" t="s">
        <v>47</v>
      </c>
      <c r="Q36" s="2" t="s">
        <v>47</v>
      </c>
      <c r="R36" s="2" t="s">
        <v>48</v>
      </c>
      <c r="S36" s="2" t="s">
        <v>619</v>
      </c>
      <c r="T36" s="8" t="s">
        <v>620</v>
      </c>
      <c r="U36" s="8" t="s">
        <v>624</v>
      </c>
      <c r="V36" s="2" t="s">
        <v>616</v>
      </c>
      <c r="W36" s="8" t="s">
        <v>625</v>
      </c>
      <c r="X36" s="8" t="s">
        <v>627</v>
      </c>
      <c r="Z36" s="2">
        <v>108200.0</v>
      </c>
      <c r="AA36" s="2">
        <v>2492.0</v>
      </c>
      <c r="AB36" s="2">
        <v>26100.0</v>
      </c>
      <c r="AC36" s="2">
        <v>1300000.0</v>
      </c>
      <c r="AD36" s="2" t="s">
        <v>628</v>
      </c>
      <c r="AE36" s="2" t="s">
        <v>628</v>
      </c>
      <c r="AL36" s="6">
        <f>IFERROR(__xludf.DUMMYFUNCTION("IF(
  TRIM(AD36)="""",
  0,
  COUNTA(
    SPLIT(
      REGEXREPLACE(AD36,""\s*,\s*"","",""),
      "",""
    )
  )
)"),9.0)</f>
        <v>9</v>
      </c>
    </row>
    <row r="37">
      <c r="A37" s="2" t="s">
        <v>629</v>
      </c>
      <c r="B37" s="2" t="s">
        <v>629</v>
      </c>
      <c r="C37" s="2" t="s">
        <v>630</v>
      </c>
      <c r="D37" s="2" t="s">
        <v>631</v>
      </c>
      <c r="E37" s="2">
        <v>6013.0</v>
      </c>
      <c r="F37" s="2">
        <v>0.0</v>
      </c>
      <c r="G37" s="2">
        <v>366.0</v>
      </c>
      <c r="H37" s="8" t="s">
        <v>632</v>
      </c>
      <c r="I37" s="2" t="s">
        <v>633</v>
      </c>
      <c r="K37" s="10">
        <v>45918.502430555556</v>
      </c>
      <c r="L37" s="2">
        <v>1.75819701E9</v>
      </c>
      <c r="M37" s="2" t="s">
        <v>47</v>
      </c>
      <c r="N37" s="2" t="s">
        <v>47</v>
      </c>
      <c r="O37" s="2" t="s">
        <v>47</v>
      </c>
      <c r="P37" s="2" t="s">
        <v>47</v>
      </c>
      <c r="Q37" s="2" t="s">
        <v>47</v>
      </c>
      <c r="R37" s="2" t="s">
        <v>634</v>
      </c>
      <c r="S37" s="2" t="s">
        <v>635</v>
      </c>
      <c r="T37" s="8" t="s">
        <v>636</v>
      </c>
      <c r="U37" s="8" t="s">
        <v>638</v>
      </c>
      <c r="V37" s="2" t="s">
        <v>631</v>
      </c>
      <c r="W37" s="8" t="s">
        <v>639</v>
      </c>
      <c r="X37" s="8" t="s">
        <v>641</v>
      </c>
      <c r="Z37" s="2">
        <v>108000.0</v>
      </c>
      <c r="AA37" s="2">
        <v>1265.0</v>
      </c>
      <c r="AB37" s="2">
        <v>21400.0</v>
      </c>
      <c r="AC37" s="2">
        <v>1200000.0</v>
      </c>
      <c r="AD37" s="2" t="s">
        <v>644</v>
      </c>
      <c r="AE37" s="2" t="s">
        <v>644</v>
      </c>
      <c r="AL37" s="6">
        <f>IFERROR(__xludf.DUMMYFUNCTION("IF(
  TRIM(AD37)="""",
  0,
  COUNTA(
    SPLIT(
      REGEXREPLACE(AD37,""\s*,\s*"","",""),
      "",""
    )
  )
)"),4.0)</f>
        <v>4</v>
      </c>
    </row>
    <row r="38">
      <c r="A38" s="2" t="s">
        <v>647</v>
      </c>
      <c r="B38" s="2" t="s">
        <v>647</v>
      </c>
      <c r="C38" s="2" t="s">
        <v>648</v>
      </c>
      <c r="D38" s="2" t="s">
        <v>649</v>
      </c>
      <c r="E38" s="2">
        <v>612800.0</v>
      </c>
      <c r="F38" s="2">
        <v>10300.0</v>
      </c>
      <c r="G38" s="2">
        <v>317.0</v>
      </c>
      <c r="H38" s="8" t="s">
        <v>650</v>
      </c>
      <c r="I38" s="2" t="s">
        <v>651</v>
      </c>
      <c r="J38" s="2" t="s">
        <v>652</v>
      </c>
      <c r="K38" s="10">
        <v>44930.00880787037</v>
      </c>
      <c r="L38" s="2">
        <v>1.672791161E9</v>
      </c>
      <c r="M38" s="2" t="s">
        <v>47</v>
      </c>
      <c r="N38" s="2" t="s">
        <v>47</v>
      </c>
      <c r="O38" s="2" t="s">
        <v>47</v>
      </c>
      <c r="P38" s="2" t="s">
        <v>47</v>
      </c>
      <c r="Q38" s="2" t="s">
        <v>47</v>
      </c>
      <c r="R38" s="2" t="s">
        <v>48</v>
      </c>
      <c r="S38" s="2" t="s">
        <v>653</v>
      </c>
      <c r="T38" s="8" t="s">
        <v>654</v>
      </c>
      <c r="U38" s="8" t="s">
        <v>657</v>
      </c>
      <c r="V38" s="2" t="s">
        <v>649</v>
      </c>
      <c r="W38" s="8" t="s">
        <v>658</v>
      </c>
      <c r="X38" s="8" t="s">
        <v>660</v>
      </c>
      <c r="Z38" s="2">
        <v>105400.0</v>
      </c>
      <c r="AA38" s="2">
        <v>2033.0</v>
      </c>
      <c r="AB38" s="2">
        <v>8969.0</v>
      </c>
      <c r="AC38" s="2">
        <v>1800000.0</v>
      </c>
      <c r="AD38" s="2" t="s">
        <v>661</v>
      </c>
      <c r="AE38" s="2" t="s">
        <v>661</v>
      </c>
      <c r="AH38" s="2" t="s">
        <v>97</v>
      </c>
      <c r="AL38" s="6">
        <f>IFERROR(__xludf.DUMMYFUNCTION("IF(
  TRIM(AD38)="""",
  0,
  COUNTA(
    SPLIT(
      REGEXREPLACE(AD38,""\s*,\s*"","",""),
      "",""
    )
  )
)"),2.0)</f>
        <v>2</v>
      </c>
    </row>
    <row r="39">
      <c r="A39" s="2" t="s">
        <v>662</v>
      </c>
      <c r="B39" s="2" t="s">
        <v>662</v>
      </c>
      <c r="C39" s="2" t="s">
        <v>296</v>
      </c>
      <c r="D39" s="2" t="s">
        <v>297</v>
      </c>
      <c r="E39" s="2">
        <v>81500.0</v>
      </c>
      <c r="F39" s="2">
        <v>1722.0</v>
      </c>
      <c r="G39" s="2">
        <v>37.0</v>
      </c>
      <c r="H39" s="8" t="s">
        <v>299</v>
      </c>
      <c r="I39" s="2" t="s">
        <v>663</v>
      </c>
      <c r="K39" s="10">
        <v>45447.9784375</v>
      </c>
      <c r="L39" s="2">
        <v>1.717543737E9</v>
      </c>
      <c r="M39" s="2" t="s">
        <v>47</v>
      </c>
      <c r="N39" s="2" t="s">
        <v>47</v>
      </c>
      <c r="O39" s="2" t="s">
        <v>47</v>
      </c>
      <c r="P39" s="2" t="s">
        <v>47</v>
      </c>
      <c r="Q39" s="2" t="s">
        <v>47</v>
      </c>
      <c r="R39" s="2" t="s">
        <v>48</v>
      </c>
      <c r="S39" s="2" t="s">
        <v>664</v>
      </c>
      <c r="T39" s="8" t="s">
        <v>665</v>
      </c>
      <c r="U39" s="8" t="s">
        <v>402</v>
      </c>
      <c r="V39" s="2" t="s">
        <v>297</v>
      </c>
      <c r="W39" s="8" t="s">
        <v>672</v>
      </c>
      <c r="X39" s="8" t="s">
        <v>674</v>
      </c>
      <c r="Z39" s="2">
        <v>104800.0</v>
      </c>
      <c r="AA39" s="2">
        <v>2454.0</v>
      </c>
      <c r="AB39" s="2">
        <v>15800.0</v>
      </c>
      <c r="AC39" s="2">
        <v>1000000.0</v>
      </c>
      <c r="AD39" s="2" t="s">
        <v>676</v>
      </c>
      <c r="AE39" s="2" t="s">
        <v>676</v>
      </c>
      <c r="AH39" s="2" t="s">
        <v>256</v>
      </c>
      <c r="AL39" s="6">
        <f>IFERROR(__xludf.DUMMYFUNCTION("IF(
  TRIM(AD39)="""",
  0,
  COUNTA(
    SPLIT(
      REGEXREPLACE(AD39,""\s*,\s*"","",""),
      "",""
    )
  )
)"),4.0)</f>
        <v>4</v>
      </c>
    </row>
    <row r="40">
      <c r="A40" s="2" t="s">
        <v>677</v>
      </c>
      <c r="B40" s="2" t="s">
        <v>677</v>
      </c>
      <c r="C40" s="2" t="s">
        <v>678</v>
      </c>
      <c r="D40" s="2" t="s">
        <v>679</v>
      </c>
      <c r="E40" s="2">
        <v>131000.0</v>
      </c>
      <c r="F40" s="2">
        <v>518.0</v>
      </c>
      <c r="G40" s="2">
        <v>468.0</v>
      </c>
      <c r="H40" s="8" t="s">
        <v>680</v>
      </c>
      <c r="I40" s="2" t="s">
        <v>681</v>
      </c>
      <c r="K40" s="10">
        <v>45170.9375</v>
      </c>
      <c r="L40" s="2">
        <v>1.6936074E9</v>
      </c>
      <c r="M40" s="2" t="s">
        <v>47</v>
      </c>
      <c r="N40" s="2" t="s">
        <v>47</v>
      </c>
      <c r="O40" s="2" t="s">
        <v>47</v>
      </c>
      <c r="P40" s="2" t="s">
        <v>47</v>
      </c>
      <c r="Q40" s="2" t="s">
        <v>47</v>
      </c>
      <c r="R40" s="2" t="s">
        <v>682</v>
      </c>
      <c r="S40" s="2" t="s">
        <v>683</v>
      </c>
      <c r="T40" s="8" t="s">
        <v>684</v>
      </c>
      <c r="U40" s="8" t="s">
        <v>685</v>
      </c>
      <c r="V40" s="2" t="s">
        <v>679</v>
      </c>
      <c r="W40" s="8" t="s">
        <v>687</v>
      </c>
      <c r="X40" s="8" t="s">
        <v>689</v>
      </c>
      <c r="Z40" s="2">
        <v>99700.0</v>
      </c>
      <c r="AA40" s="2">
        <v>3030.0</v>
      </c>
      <c r="AB40" s="2">
        <v>35700.0</v>
      </c>
      <c r="AC40" s="2">
        <v>2000000.0</v>
      </c>
      <c r="AD40" s="2" t="s">
        <v>690</v>
      </c>
      <c r="AE40" s="2" t="s">
        <v>690</v>
      </c>
      <c r="AL40" s="6">
        <f>IFERROR(__xludf.DUMMYFUNCTION("IF(
  TRIM(AD40)="""",
  0,
  COUNTA(
    SPLIT(
      REGEXREPLACE(AD40,""\s*,\s*"","",""),
      "",""
    )
  )
)"),7.0)</f>
        <v>7</v>
      </c>
    </row>
    <row r="41">
      <c r="A41" s="2" t="s">
        <v>691</v>
      </c>
      <c r="B41" s="2" t="s">
        <v>691</v>
      </c>
      <c r="C41" s="2" t="s">
        <v>276</v>
      </c>
      <c r="D41" s="2" t="s">
        <v>277</v>
      </c>
      <c r="E41" s="2">
        <v>342900.0</v>
      </c>
      <c r="F41" s="2">
        <v>339.0</v>
      </c>
      <c r="G41" s="2">
        <v>487.0</v>
      </c>
      <c r="H41" s="8" t="s">
        <v>278</v>
      </c>
      <c r="I41" s="2" t="s">
        <v>692</v>
      </c>
      <c r="J41" s="2" t="s">
        <v>693</v>
      </c>
      <c r="K41" s="10">
        <v>45697.02311342592</v>
      </c>
      <c r="L41" s="2">
        <v>1.739061197E9</v>
      </c>
      <c r="M41" s="2" t="s">
        <v>47</v>
      </c>
      <c r="N41" s="2" t="s">
        <v>47</v>
      </c>
      <c r="O41" s="2" t="s">
        <v>47</v>
      </c>
      <c r="P41" s="2" t="s">
        <v>47</v>
      </c>
      <c r="Q41" s="2" t="s">
        <v>47</v>
      </c>
      <c r="R41" s="2" t="s">
        <v>48</v>
      </c>
      <c r="S41" s="2" t="s">
        <v>694</v>
      </c>
      <c r="T41" s="8" t="s">
        <v>695</v>
      </c>
      <c r="U41" s="8" t="s">
        <v>538</v>
      </c>
      <c r="V41" s="2" t="s">
        <v>277</v>
      </c>
      <c r="W41" s="8" t="s">
        <v>696</v>
      </c>
      <c r="X41" s="8" t="s">
        <v>699</v>
      </c>
      <c r="Z41" s="2">
        <v>99200.0</v>
      </c>
      <c r="AA41" s="2">
        <v>3952.0</v>
      </c>
      <c r="AB41" s="2">
        <v>18900.0</v>
      </c>
      <c r="AC41" s="2">
        <v>1100000.0</v>
      </c>
      <c r="AD41" s="2" t="s">
        <v>702</v>
      </c>
      <c r="AE41" s="2" t="s">
        <v>702</v>
      </c>
      <c r="AL41" s="6">
        <f>IFERROR(__xludf.DUMMYFUNCTION("IF(
  TRIM(AD41)="""",
  0,
  COUNTA(
    SPLIT(
      REGEXREPLACE(AD41,""\s*,\s*"","",""),
      "",""
    )
  )
)"),10.0)</f>
        <v>10</v>
      </c>
    </row>
    <row r="42">
      <c r="A42" s="2" t="s">
        <v>703</v>
      </c>
      <c r="B42" s="2" t="s">
        <v>703</v>
      </c>
      <c r="C42" s="2" t="s">
        <v>704</v>
      </c>
      <c r="D42" s="2" t="s">
        <v>704</v>
      </c>
      <c r="E42" s="2">
        <v>23500.0</v>
      </c>
      <c r="F42" s="2">
        <v>0.0</v>
      </c>
      <c r="G42" s="2">
        <v>191.0</v>
      </c>
      <c r="H42" s="8" t="s">
        <v>705</v>
      </c>
      <c r="I42" s="2" t="s">
        <v>706</v>
      </c>
      <c r="K42" s="10">
        <v>45920.821388888886</v>
      </c>
      <c r="L42" s="2">
        <v>1.758397368E9</v>
      </c>
      <c r="M42" s="2" t="s">
        <v>47</v>
      </c>
      <c r="N42" s="2" t="s">
        <v>47</v>
      </c>
      <c r="O42" s="2" t="s">
        <v>47</v>
      </c>
      <c r="P42" s="2" t="s">
        <v>47</v>
      </c>
      <c r="Q42" s="2" t="s">
        <v>47</v>
      </c>
      <c r="R42" s="2" t="s">
        <v>48</v>
      </c>
      <c r="S42" s="2" t="s">
        <v>707</v>
      </c>
      <c r="T42" s="8" t="s">
        <v>708</v>
      </c>
      <c r="U42" s="8" t="s">
        <v>710</v>
      </c>
      <c r="V42" s="2" t="s">
        <v>704</v>
      </c>
      <c r="W42" s="8" t="s">
        <v>711</v>
      </c>
      <c r="X42" s="8" t="s">
        <v>713</v>
      </c>
      <c r="Z42" s="2">
        <v>98600.0</v>
      </c>
      <c r="AA42" s="2">
        <v>1567.0</v>
      </c>
      <c r="AB42" s="2">
        <v>27900.0</v>
      </c>
      <c r="AC42" s="2">
        <v>2000000.0</v>
      </c>
      <c r="AD42" s="2" t="s">
        <v>714</v>
      </c>
      <c r="AE42" s="2" t="s">
        <v>714</v>
      </c>
      <c r="AL42" s="6">
        <f>IFERROR(__xludf.DUMMYFUNCTION("IF(
  TRIM(AD42)="""",
  0,
  COUNTA(
    SPLIT(
      REGEXREPLACE(AD42,""\s*,\s*"","",""),
      "",""
    )
  )
)"),1.0)</f>
        <v>1</v>
      </c>
    </row>
    <row r="43">
      <c r="A43" s="2" t="s">
        <v>715</v>
      </c>
      <c r="B43" s="2" t="s">
        <v>715</v>
      </c>
      <c r="C43" s="2" t="s">
        <v>716</v>
      </c>
      <c r="D43" s="2" t="s">
        <v>717</v>
      </c>
      <c r="E43" s="2">
        <v>92600.0</v>
      </c>
      <c r="F43" s="2">
        <v>2572.0</v>
      </c>
      <c r="G43" s="2">
        <v>116.0</v>
      </c>
      <c r="H43" s="8" t="s">
        <v>718</v>
      </c>
      <c r="I43" s="2" t="s">
        <v>720</v>
      </c>
      <c r="J43" s="2" t="s">
        <v>721</v>
      </c>
      <c r="K43" s="10">
        <v>45441.633356481485</v>
      </c>
      <c r="L43" s="2">
        <v>1.716995522E9</v>
      </c>
      <c r="M43" s="2" t="s">
        <v>47</v>
      </c>
      <c r="N43" s="2" t="s">
        <v>47</v>
      </c>
      <c r="O43" s="2" t="s">
        <v>47</v>
      </c>
      <c r="P43" s="2" t="s">
        <v>47</v>
      </c>
      <c r="Q43" s="2" t="s">
        <v>47</v>
      </c>
      <c r="R43" s="2" t="s">
        <v>48</v>
      </c>
      <c r="S43" s="2" t="s">
        <v>722</v>
      </c>
      <c r="T43" s="8" t="s">
        <v>723</v>
      </c>
      <c r="U43" s="8" t="s">
        <v>726</v>
      </c>
      <c r="V43" s="2" t="s">
        <v>717</v>
      </c>
      <c r="X43" s="8" t="s">
        <v>730</v>
      </c>
      <c r="Z43" s="2">
        <v>97100.0</v>
      </c>
      <c r="AA43" s="2">
        <v>2157.0</v>
      </c>
      <c r="AB43" s="2">
        <v>9287.0</v>
      </c>
      <c r="AC43" s="2">
        <v>1200000.0</v>
      </c>
      <c r="AD43" s="2" t="s">
        <v>731</v>
      </c>
      <c r="AE43" s="2" t="s">
        <v>731</v>
      </c>
      <c r="AL43" s="6">
        <f>IFERROR(__xludf.DUMMYFUNCTION("IF(
  TRIM(AD43)="""",
  0,
  COUNTA(
    SPLIT(
      REGEXREPLACE(AD43,""\s*,\s*"","",""),
      "",""
    )
  )
)"),5.0)</f>
        <v>5</v>
      </c>
    </row>
    <row r="44">
      <c r="A44" s="2" t="s">
        <v>732</v>
      </c>
      <c r="B44" s="2" t="s">
        <v>732</v>
      </c>
      <c r="C44" s="2" t="s">
        <v>123</v>
      </c>
      <c r="D44" s="2" t="s">
        <v>124</v>
      </c>
      <c r="E44" s="2">
        <v>252600.0</v>
      </c>
      <c r="F44" s="2">
        <v>353.0</v>
      </c>
      <c r="G44" s="2">
        <v>674.0</v>
      </c>
      <c r="H44" s="8" t="s">
        <v>125</v>
      </c>
      <c r="I44" s="2" t="s">
        <v>733</v>
      </c>
      <c r="J44" s="2" t="s">
        <v>734</v>
      </c>
      <c r="K44" s="10">
        <v>45176.64258101852</v>
      </c>
      <c r="L44" s="2">
        <v>1.694100319E9</v>
      </c>
      <c r="M44" s="2" t="s">
        <v>47</v>
      </c>
      <c r="N44" s="2" t="s">
        <v>47</v>
      </c>
      <c r="O44" s="2" t="s">
        <v>47</v>
      </c>
      <c r="P44" s="2" t="s">
        <v>47</v>
      </c>
      <c r="Q44" s="2" t="s">
        <v>47</v>
      </c>
      <c r="R44" s="2" t="s">
        <v>48</v>
      </c>
      <c r="S44" s="2" t="s">
        <v>735</v>
      </c>
      <c r="T44" s="8" t="s">
        <v>736</v>
      </c>
      <c r="U44" s="8" t="s">
        <v>738</v>
      </c>
      <c r="V44" s="2" t="s">
        <v>124</v>
      </c>
      <c r="W44" s="8" t="s">
        <v>740</v>
      </c>
      <c r="X44" s="8" t="s">
        <v>741</v>
      </c>
      <c r="Z44" s="2">
        <v>97100.0</v>
      </c>
      <c r="AA44" s="2">
        <v>1744.0</v>
      </c>
      <c r="AB44" s="2">
        <v>17800.0</v>
      </c>
      <c r="AC44" s="2">
        <v>1100000.0</v>
      </c>
      <c r="AD44" s="2" t="s">
        <v>743</v>
      </c>
      <c r="AE44" s="2" t="s">
        <v>744</v>
      </c>
      <c r="AL44" s="6">
        <f>IFERROR(__xludf.DUMMYFUNCTION("IF(
  TRIM(AD44)="""",
  0,
  COUNTA(
    SPLIT(
      REGEXREPLACE(AD44,""\s*,\s*"","",""),
      "",""
    )
  )
)"),21.0)</f>
        <v>21</v>
      </c>
    </row>
    <row r="45">
      <c r="A45" s="2" t="s">
        <v>745</v>
      </c>
      <c r="B45" s="2" t="s">
        <v>745</v>
      </c>
      <c r="C45" s="2" t="s">
        <v>497</v>
      </c>
      <c r="D45" s="2" t="s">
        <v>497</v>
      </c>
      <c r="E45" s="2">
        <v>210400.0</v>
      </c>
      <c r="F45" s="2">
        <v>1015.0</v>
      </c>
      <c r="G45" s="2">
        <v>461.0</v>
      </c>
      <c r="H45" s="8" t="s">
        <v>747</v>
      </c>
      <c r="I45" s="2" t="s">
        <v>751</v>
      </c>
      <c r="J45" s="2" t="s">
        <v>752</v>
      </c>
      <c r="K45" s="10">
        <v>44930.08614583333</v>
      </c>
      <c r="L45" s="2">
        <v>1.672797843E9</v>
      </c>
      <c r="M45" s="2" t="s">
        <v>47</v>
      </c>
      <c r="N45" s="2" t="s">
        <v>47</v>
      </c>
      <c r="O45" s="2" t="s">
        <v>47</v>
      </c>
      <c r="P45" s="2" t="s">
        <v>47</v>
      </c>
      <c r="Q45" s="2" t="s">
        <v>47</v>
      </c>
      <c r="R45" s="2" t="s">
        <v>48</v>
      </c>
      <c r="S45" s="2" t="s">
        <v>753</v>
      </c>
      <c r="T45" s="8" t="s">
        <v>754</v>
      </c>
      <c r="U45" s="8" t="s">
        <v>758</v>
      </c>
      <c r="V45" s="2" t="s">
        <v>497</v>
      </c>
      <c r="W45" s="8" t="s">
        <v>760</v>
      </c>
      <c r="X45" s="8" t="s">
        <v>762</v>
      </c>
      <c r="Z45" s="2">
        <v>85900.0</v>
      </c>
      <c r="AA45" s="2">
        <v>1432.0</v>
      </c>
      <c r="AB45" s="2">
        <v>5813.0</v>
      </c>
      <c r="AC45" s="2">
        <v>1100000.0</v>
      </c>
      <c r="AD45" s="2" t="s">
        <v>763</v>
      </c>
      <c r="AE45" s="2" t="s">
        <v>763</v>
      </c>
      <c r="AL45" s="6">
        <f>IFERROR(__xludf.DUMMYFUNCTION("IF(
  TRIM(AD45)="""",
  0,
  COUNTA(
    SPLIT(
      REGEXREPLACE(AD45,""\s*,\s*"","",""),
      "",""
    )
  )
)"),4.0)</f>
        <v>4</v>
      </c>
    </row>
    <row r="46">
      <c r="A46" s="2" t="s">
        <v>764</v>
      </c>
      <c r="B46" s="2" t="s">
        <v>764</v>
      </c>
      <c r="C46" s="2" t="s">
        <v>765</v>
      </c>
      <c r="D46" s="2" t="s">
        <v>766</v>
      </c>
      <c r="E46" s="2">
        <v>161000.0</v>
      </c>
      <c r="F46" s="2">
        <v>21300.0</v>
      </c>
      <c r="G46" s="2">
        <v>456.0</v>
      </c>
      <c r="H46" s="8" t="s">
        <v>767</v>
      </c>
      <c r="I46" s="2" t="s">
        <v>769</v>
      </c>
      <c r="J46" s="2" t="s">
        <v>770</v>
      </c>
      <c r="K46" s="10">
        <v>44967.7716087963</v>
      </c>
      <c r="L46" s="2">
        <v>1.676053867E9</v>
      </c>
      <c r="M46" s="2" t="s">
        <v>47</v>
      </c>
      <c r="N46" s="2" t="s">
        <v>47</v>
      </c>
      <c r="O46" s="2" t="s">
        <v>47</v>
      </c>
      <c r="P46" s="2" t="s">
        <v>47</v>
      </c>
      <c r="Q46" s="2" t="s">
        <v>47</v>
      </c>
      <c r="R46" s="2" t="s">
        <v>771</v>
      </c>
      <c r="S46" s="2" t="s">
        <v>772</v>
      </c>
      <c r="T46" s="8" t="s">
        <v>773</v>
      </c>
      <c r="U46" s="8" t="s">
        <v>778</v>
      </c>
      <c r="V46" s="2" t="s">
        <v>779</v>
      </c>
      <c r="W46" s="8" t="s">
        <v>780</v>
      </c>
      <c r="X46" s="8" t="s">
        <v>785</v>
      </c>
      <c r="Z46" s="2">
        <v>84100.0</v>
      </c>
      <c r="AA46" s="2">
        <v>4284.0</v>
      </c>
      <c r="AB46" s="2">
        <v>9769.0</v>
      </c>
      <c r="AC46" s="2">
        <v>2100000.0</v>
      </c>
      <c r="AD46" s="2" t="s">
        <v>786</v>
      </c>
      <c r="AE46" s="2" t="s">
        <v>786</v>
      </c>
      <c r="AL46" s="6">
        <f>IFERROR(__xludf.DUMMYFUNCTION("IF(
  TRIM(AD46)="""",
  0,
  COUNTA(
    SPLIT(
      REGEXREPLACE(AD46,""\s*,\s*"","",""),
      "",""
    )
  )
)"),9.0)</f>
        <v>9</v>
      </c>
    </row>
    <row r="47">
      <c r="A47" s="2" t="s">
        <v>787</v>
      </c>
      <c r="B47" s="2" t="s">
        <v>787</v>
      </c>
      <c r="C47" s="2" t="s">
        <v>788</v>
      </c>
      <c r="D47" s="2" t="s">
        <v>789</v>
      </c>
      <c r="E47" s="2">
        <v>1300000.0</v>
      </c>
      <c r="F47" s="2">
        <v>1027.0</v>
      </c>
      <c r="G47" s="2">
        <v>938.0</v>
      </c>
      <c r="H47" s="8" t="s">
        <v>790</v>
      </c>
      <c r="I47" s="2" t="s">
        <v>792</v>
      </c>
      <c r="K47" s="10">
        <v>45092.6306712963</v>
      </c>
      <c r="L47" s="2">
        <v>1.68684169E9</v>
      </c>
      <c r="M47" s="2" t="s">
        <v>47</v>
      </c>
      <c r="N47" s="2" t="s">
        <v>47</v>
      </c>
      <c r="O47" s="2" t="s">
        <v>47</v>
      </c>
      <c r="P47" s="2" t="s">
        <v>47</v>
      </c>
      <c r="Q47" s="2" t="s">
        <v>47</v>
      </c>
      <c r="R47" s="2" t="s">
        <v>48</v>
      </c>
      <c r="S47" s="2" t="s">
        <v>793</v>
      </c>
      <c r="T47" s="8" t="s">
        <v>795</v>
      </c>
      <c r="U47" s="8" t="s">
        <v>796</v>
      </c>
      <c r="V47" s="2" t="s">
        <v>789</v>
      </c>
      <c r="W47" s="8" t="s">
        <v>801</v>
      </c>
      <c r="X47" s="8" t="s">
        <v>805</v>
      </c>
      <c r="Z47" s="2">
        <v>83200.0</v>
      </c>
      <c r="AA47" s="2">
        <v>1608.0</v>
      </c>
      <c r="AB47" s="2">
        <v>10800.0</v>
      </c>
      <c r="AC47" s="2">
        <v>756500.0</v>
      </c>
      <c r="AD47" s="2" t="s">
        <v>806</v>
      </c>
      <c r="AE47" s="2" t="s">
        <v>806</v>
      </c>
      <c r="AH47" s="2" t="s">
        <v>256</v>
      </c>
      <c r="AL47" s="6">
        <f>IFERROR(__xludf.DUMMYFUNCTION("IF(
  TRIM(AD47)="""",
  0,
  COUNTA(
    SPLIT(
      REGEXREPLACE(AD47,""\s*,\s*"","",""),
      "",""
    )
  )
)"),4.0)</f>
        <v>4</v>
      </c>
    </row>
    <row r="48">
      <c r="A48" s="2" t="s">
        <v>807</v>
      </c>
      <c r="B48" s="2" t="s">
        <v>807</v>
      </c>
      <c r="C48" s="2" t="s">
        <v>788</v>
      </c>
      <c r="D48" s="2" t="s">
        <v>789</v>
      </c>
      <c r="E48" s="2">
        <v>1300000.0</v>
      </c>
      <c r="F48" s="2">
        <v>1027.0</v>
      </c>
      <c r="G48" s="2">
        <v>938.0</v>
      </c>
      <c r="H48" s="8" t="s">
        <v>790</v>
      </c>
      <c r="I48" s="2" t="s">
        <v>808</v>
      </c>
      <c r="K48" s="10">
        <v>45500.4753125</v>
      </c>
      <c r="L48" s="2">
        <v>1.722079467E9</v>
      </c>
      <c r="M48" s="2" t="s">
        <v>47</v>
      </c>
      <c r="N48" s="2" t="s">
        <v>47</v>
      </c>
      <c r="O48" s="2" t="s">
        <v>47</v>
      </c>
      <c r="P48" s="2" t="s">
        <v>47</v>
      </c>
      <c r="Q48" s="2" t="s">
        <v>47</v>
      </c>
      <c r="R48" s="2" t="s">
        <v>48</v>
      </c>
      <c r="S48" s="2" t="s">
        <v>809</v>
      </c>
      <c r="T48" s="8" t="s">
        <v>810</v>
      </c>
      <c r="U48" s="8" t="s">
        <v>796</v>
      </c>
      <c r="V48" s="2" t="s">
        <v>789</v>
      </c>
      <c r="W48" s="8" t="s">
        <v>813</v>
      </c>
      <c r="X48" s="8" t="s">
        <v>815</v>
      </c>
      <c r="Z48" s="2">
        <v>82800.0</v>
      </c>
      <c r="AA48" s="2">
        <v>1076.0</v>
      </c>
      <c r="AB48" s="2">
        <v>9765.0</v>
      </c>
      <c r="AC48" s="2">
        <v>644300.0</v>
      </c>
      <c r="AD48" s="2" t="s">
        <v>817</v>
      </c>
      <c r="AE48" s="2" t="s">
        <v>817</v>
      </c>
      <c r="AL48" s="6">
        <f>IFERROR(__xludf.DUMMYFUNCTION("IF(
  TRIM(AD48)="""",
  0,
  COUNTA(
    SPLIT(
      REGEXREPLACE(AD48,""\s*,\s*"","",""),
      "",""
    )
  )
)"),4.0)</f>
        <v>4</v>
      </c>
    </row>
    <row r="49">
      <c r="A49" s="2" t="s">
        <v>818</v>
      </c>
      <c r="B49" s="2" t="s">
        <v>818</v>
      </c>
      <c r="C49" s="2" t="s">
        <v>819</v>
      </c>
      <c r="D49" s="2" t="s">
        <v>820</v>
      </c>
      <c r="E49" s="2">
        <v>135200.0</v>
      </c>
      <c r="F49" s="2">
        <v>30800.0</v>
      </c>
      <c r="G49" s="2">
        <v>263.0</v>
      </c>
      <c r="H49" s="8" t="s">
        <v>821</v>
      </c>
      <c r="I49" s="2" t="s">
        <v>823</v>
      </c>
      <c r="K49" s="10">
        <v>45690.96873842592</v>
      </c>
      <c r="L49" s="2">
        <v>1.738538099E9</v>
      </c>
      <c r="M49" s="2" t="s">
        <v>47</v>
      </c>
      <c r="N49" s="2" t="s">
        <v>47</v>
      </c>
      <c r="O49" s="2" t="s">
        <v>47</v>
      </c>
      <c r="P49" s="2" t="s">
        <v>47</v>
      </c>
      <c r="Q49" s="2" t="s">
        <v>47</v>
      </c>
      <c r="R49" s="2" t="s">
        <v>48</v>
      </c>
      <c r="S49" s="2" t="s">
        <v>824</v>
      </c>
      <c r="T49" s="8" t="s">
        <v>825</v>
      </c>
      <c r="U49" s="8" t="s">
        <v>827</v>
      </c>
      <c r="V49" s="2" t="s">
        <v>820</v>
      </c>
      <c r="W49" s="8" t="s">
        <v>828</v>
      </c>
      <c r="X49" s="8" t="s">
        <v>830</v>
      </c>
      <c r="Z49" s="2">
        <v>79200.0</v>
      </c>
      <c r="AA49" s="2">
        <v>1413.0</v>
      </c>
      <c r="AB49" s="2">
        <v>7649.0</v>
      </c>
      <c r="AC49" s="2">
        <v>806100.0</v>
      </c>
      <c r="AD49" s="2" t="s">
        <v>831</v>
      </c>
      <c r="AE49" s="2" t="s">
        <v>832</v>
      </c>
      <c r="AL49" s="6">
        <f>IFERROR(__xludf.DUMMYFUNCTION("IF(
  TRIM(AD49)="""",
  0,
  COUNTA(
    SPLIT(
      REGEXREPLACE(AD49,""\s*,\s*"","",""),
      "",""
    )
  )
)"),7.0)</f>
        <v>7</v>
      </c>
    </row>
    <row r="50">
      <c r="A50" s="2" t="s">
        <v>833</v>
      </c>
      <c r="B50" s="2" t="s">
        <v>833</v>
      </c>
      <c r="C50" s="2" t="s">
        <v>834</v>
      </c>
      <c r="D50" s="2" t="s">
        <v>835</v>
      </c>
      <c r="E50" s="2">
        <v>14300.0</v>
      </c>
      <c r="F50" s="2">
        <v>209.0</v>
      </c>
      <c r="G50" s="2">
        <v>242.0</v>
      </c>
      <c r="H50" s="8" t="s">
        <v>837</v>
      </c>
      <c r="I50" s="2" t="s">
        <v>839</v>
      </c>
      <c r="K50" s="10">
        <v>45736.62813657407</v>
      </c>
      <c r="L50" s="2">
        <v>1.742483071E9</v>
      </c>
      <c r="M50" s="2" t="s">
        <v>47</v>
      </c>
      <c r="N50" s="2" t="s">
        <v>47</v>
      </c>
      <c r="O50" s="2" t="s">
        <v>47</v>
      </c>
      <c r="P50" s="2" t="s">
        <v>47</v>
      </c>
      <c r="Q50" s="2" t="s">
        <v>47</v>
      </c>
      <c r="R50" s="2" t="s">
        <v>48</v>
      </c>
      <c r="S50" s="2" t="s">
        <v>840</v>
      </c>
      <c r="T50" s="8" t="s">
        <v>841</v>
      </c>
      <c r="U50" s="8" t="s">
        <v>843</v>
      </c>
      <c r="V50" s="2" t="s">
        <v>835</v>
      </c>
      <c r="W50" s="8" t="s">
        <v>845</v>
      </c>
      <c r="X50" s="8" t="s">
        <v>847</v>
      </c>
      <c r="Z50" s="2">
        <v>78200.0</v>
      </c>
      <c r="AA50" s="2">
        <v>1970.0</v>
      </c>
      <c r="AB50" s="2">
        <v>9727.0</v>
      </c>
      <c r="AC50" s="2">
        <v>1100000.0</v>
      </c>
      <c r="AD50" s="2" t="s">
        <v>848</v>
      </c>
      <c r="AE50" s="2" t="s">
        <v>848</v>
      </c>
      <c r="AH50" s="2" t="s">
        <v>256</v>
      </c>
      <c r="AL50" s="6">
        <f>IFERROR(__xludf.DUMMYFUNCTION("IF(
  TRIM(AD50)="""",
  0,
  COUNTA(
    SPLIT(
      REGEXREPLACE(AD50,""\s*,\s*"","",""),
      "",""
    )
  )
)"),4.0)</f>
        <v>4</v>
      </c>
    </row>
    <row r="51">
      <c r="A51" s="2" t="s">
        <v>849</v>
      </c>
      <c r="B51" s="2" t="s">
        <v>849</v>
      </c>
      <c r="C51" s="2" t="s">
        <v>296</v>
      </c>
      <c r="D51" s="2" t="s">
        <v>297</v>
      </c>
      <c r="E51" s="2">
        <v>81500.0</v>
      </c>
      <c r="F51" s="2">
        <v>1722.0</v>
      </c>
      <c r="G51" s="2">
        <v>37.0</v>
      </c>
      <c r="H51" s="8" t="s">
        <v>299</v>
      </c>
      <c r="I51" s="2" t="s">
        <v>850</v>
      </c>
      <c r="J51" s="2" t="s">
        <v>851</v>
      </c>
      <c r="K51" s="10">
        <v>45455.90765046296</v>
      </c>
      <c r="L51" s="2">
        <v>1.718228821E9</v>
      </c>
      <c r="M51" s="2" t="s">
        <v>47</v>
      </c>
      <c r="N51" s="2" t="s">
        <v>47</v>
      </c>
      <c r="O51" s="2" t="s">
        <v>47</v>
      </c>
      <c r="P51" s="2" t="s">
        <v>47</v>
      </c>
      <c r="Q51" s="2" t="s">
        <v>47</v>
      </c>
      <c r="R51" s="2" t="s">
        <v>48</v>
      </c>
      <c r="S51" s="2" t="s">
        <v>852</v>
      </c>
      <c r="T51" s="8" t="s">
        <v>853</v>
      </c>
      <c r="U51" s="8" t="s">
        <v>402</v>
      </c>
      <c r="V51" s="2" t="s">
        <v>297</v>
      </c>
      <c r="W51" s="8" t="s">
        <v>855</v>
      </c>
      <c r="X51" s="8" t="s">
        <v>857</v>
      </c>
      <c r="Z51" s="2">
        <v>75800.0</v>
      </c>
      <c r="AA51" s="2">
        <v>2842.0</v>
      </c>
      <c r="AB51" s="2">
        <v>6395.0</v>
      </c>
      <c r="AC51" s="2">
        <v>664500.0</v>
      </c>
      <c r="AD51" s="2" t="s">
        <v>858</v>
      </c>
      <c r="AE51" s="2" t="s">
        <v>858</v>
      </c>
      <c r="AL51" s="6">
        <f>IFERROR(__xludf.DUMMYFUNCTION("IF(
  TRIM(AD51)="""",
  0,
  COUNTA(
    SPLIT(
      REGEXREPLACE(AD51,""\s*,\s*"","",""),
      "",""
    )
  )
)"),5.0)</f>
        <v>5</v>
      </c>
    </row>
    <row r="52">
      <c r="A52" s="2" t="s">
        <v>859</v>
      </c>
      <c r="B52" s="2" t="s">
        <v>859</v>
      </c>
      <c r="C52" s="2" t="s">
        <v>860</v>
      </c>
      <c r="D52" s="2" t="s">
        <v>861</v>
      </c>
      <c r="E52" s="2">
        <v>22200.0</v>
      </c>
      <c r="F52" s="2">
        <v>174.0</v>
      </c>
      <c r="G52" s="2">
        <v>137.0</v>
      </c>
      <c r="H52" s="8" t="s">
        <v>862</v>
      </c>
      <c r="I52" s="2" t="s">
        <v>864</v>
      </c>
      <c r="K52" s="10">
        <v>45862.05966435185</v>
      </c>
      <c r="L52" s="2">
        <v>1.753320355E9</v>
      </c>
      <c r="M52" s="2" t="s">
        <v>47</v>
      </c>
      <c r="N52" s="2" t="s">
        <v>47</v>
      </c>
      <c r="O52" s="2" t="s">
        <v>47</v>
      </c>
      <c r="P52" s="2" t="s">
        <v>47</v>
      </c>
      <c r="Q52" s="2" t="s">
        <v>47</v>
      </c>
      <c r="R52" s="2" t="s">
        <v>48</v>
      </c>
      <c r="S52" s="2" t="s">
        <v>865</v>
      </c>
      <c r="T52" s="8" t="s">
        <v>867</v>
      </c>
      <c r="U52" s="8" t="s">
        <v>868</v>
      </c>
      <c r="V52" s="2" t="s">
        <v>861</v>
      </c>
      <c r="W52" s="8" t="s">
        <v>869</v>
      </c>
      <c r="X52" s="8" t="s">
        <v>877</v>
      </c>
      <c r="Z52" s="2">
        <v>74100.0</v>
      </c>
      <c r="AA52" s="2">
        <v>711.0</v>
      </c>
      <c r="AB52" s="2">
        <v>11600.0</v>
      </c>
      <c r="AC52" s="2">
        <v>925600.0</v>
      </c>
      <c r="AD52" s="2" t="s">
        <v>878</v>
      </c>
      <c r="AE52" s="2" t="s">
        <v>878</v>
      </c>
      <c r="AH52" s="2" t="s">
        <v>274</v>
      </c>
      <c r="AL52" s="6">
        <f>IFERROR(__xludf.DUMMYFUNCTION("IF(
  TRIM(AD52)="""",
  0,
  COUNTA(
    SPLIT(
      REGEXREPLACE(AD52,""\s*,\s*"","",""),
      "",""
    )
  )
)"),7.0)</f>
        <v>7</v>
      </c>
    </row>
    <row r="53">
      <c r="A53" s="2" t="s">
        <v>879</v>
      </c>
      <c r="B53" s="2" t="s">
        <v>879</v>
      </c>
      <c r="C53" s="2" t="s">
        <v>239</v>
      </c>
      <c r="D53" s="2" t="s">
        <v>239</v>
      </c>
      <c r="E53" s="2">
        <v>29300.0</v>
      </c>
      <c r="F53" s="2">
        <v>135.0</v>
      </c>
      <c r="G53" s="2">
        <v>74.0</v>
      </c>
      <c r="H53" s="8" t="s">
        <v>880</v>
      </c>
      <c r="I53" s="2" t="s">
        <v>881</v>
      </c>
      <c r="J53" s="2" t="s">
        <v>882</v>
      </c>
      <c r="K53" s="10">
        <v>45160.64540509259</v>
      </c>
      <c r="L53" s="2">
        <v>1.692718163E9</v>
      </c>
      <c r="M53" s="2" t="s">
        <v>47</v>
      </c>
      <c r="N53" s="2" t="s">
        <v>47</v>
      </c>
      <c r="O53" s="2" t="s">
        <v>47</v>
      </c>
      <c r="P53" s="2" t="s">
        <v>47</v>
      </c>
      <c r="Q53" s="2" t="s">
        <v>47</v>
      </c>
      <c r="R53" s="2" t="s">
        <v>883</v>
      </c>
      <c r="S53" s="2" t="s">
        <v>885</v>
      </c>
      <c r="T53" s="8" t="s">
        <v>886</v>
      </c>
      <c r="U53" s="8" t="s">
        <v>888</v>
      </c>
      <c r="V53" s="2" t="s">
        <v>889</v>
      </c>
      <c r="W53" s="8" t="s">
        <v>890</v>
      </c>
      <c r="X53" s="8" t="s">
        <v>896</v>
      </c>
      <c r="Z53" s="2">
        <v>74000.0</v>
      </c>
      <c r="AA53" s="2">
        <v>2145.0</v>
      </c>
      <c r="AB53" s="2">
        <v>8573.0</v>
      </c>
      <c r="AC53" s="2">
        <v>771400.0</v>
      </c>
      <c r="AD53" s="2" t="s">
        <v>897</v>
      </c>
      <c r="AE53" s="2" t="s">
        <v>897</v>
      </c>
      <c r="AH53" s="2" t="s">
        <v>144</v>
      </c>
      <c r="AL53" s="6">
        <f>IFERROR(__xludf.DUMMYFUNCTION("IF(
  TRIM(AD53)="""",
  0,
  COUNTA(
    SPLIT(
      REGEXREPLACE(AD53,""\s*,\s*"","",""),
      "",""
    )
  )
)"),6.0)</f>
        <v>6</v>
      </c>
    </row>
    <row r="54">
      <c r="A54" s="2" t="s">
        <v>898</v>
      </c>
      <c r="B54" s="2" t="s">
        <v>898</v>
      </c>
      <c r="C54" s="2" t="s">
        <v>899</v>
      </c>
      <c r="D54" s="2" t="s">
        <v>900</v>
      </c>
      <c r="E54" s="2">
        <v>104100.0</v>
      </c>
      <c r="F54" s="2">
        <v>1656.0</v>
      </c>
      <c r="G54" s="2">
        <v>76.0</v>
      </c>
      <c r="H54" s="8" t="s">
        <v>901</v>
      </c>
      <c r="I54" s="2" t="s">
        <v>906</v>
      </c>
      <c r="J54" s="2" t="s">
        <v>907</v>
      </c>
      <c r="K54" s="10">
        <v>45119.99613425926</v>
      </c>
      <c r="L54" s="2">
        <v>1.689206066E9</v>
      </c>
      <c r="M54" s="2" t="s">
        <v>47</v>
      </c>
      <c r="N54" s="2" t="s">
        <v>47</v>
      </c>
      <c r="O54" s="2" t="s">
        <v>47</v>
      </c>
      <c r="P54" s="2" t="s">
        <v>47</v>
      </c>
      <c r="Q54" s="2" t="s">
        <v>47</v>
      </c>
      <c r="R54" s="2" t="s">
        <v>908</v>
      </c>
      <c r="S54" s="2" t="s">
        <v>909</v>
      </c>
      <c r="T54" s="8" t="s">
        <v>910</v>
      </c>
      <c r="U54" s="8" t="s">
        <v>911</v>
      </c>
      <c r="V54" s="2" t="s">
        <v>912</v>
      </c>
      <c r="W54" s="8" t="s">
        <v>913</v>
      </c>
      <c r="X54" s="8" t="s">
        <v>916</v>
      </c>
      <c r="Z54" s="2">
        <v>70500.0</v>
      </c>
      <c r="AA54" s="2">
        <v>2002.0</v>
      </c>
      <c r="AB54" s="2">
        <v>11000.0</v>
      </c>
      <c r="AC54" s="2">
        <v>781900.0</v>
      </c>
      <c r="AD54" s="2" t="s">
        <v>917</v>
      </c>
      <c r="AE54" s="2" t="s">
        <v>917</v>
      </c>
      <c r="AH54" s="2" t="s">
        <v>918</v>
      </c>
      <c r="AL54" s="6">
        <f>IFERROR(__xludf.DUMMYFUNCTION("IF(
  TRIM(AD54)="""",
  0,
  COUNTA(
    SPLIT(
      REGEXREPLACE(AD54,""\s*,\s*"","",""),
      "",""
    )
  )
)"),12.0)</f>
        <v>12</v>
      </c>
    </row>
    <row r="55">
      <c r="A55" s="2" t="s">
        <v>919</v>
      </c>
      <c r="B55" s="2" t="s">
        <v>919</v>
      </c>
      <c r="C55" s="2" t="s">
        <v>920</v>
      </c>
      <c r="D55" s="2" t="s">
        <v>921</v>
      </c>
      <c r="E55" s="2">
        <v>296100.0</v>
      </c>
      <c r="F55" s="2">
        <v>1905.0</v>
      </c>
      <c r="G55" s="2">
        <v>1402.0</v>
      </c>
      <c r="H55" s="8" t="s">
        <v>922</v>
      </c>
      <c r="I55" s="2" t="s">
        <v>924</v>
      </c>
      <c r="K55" s="10">
        <v>45862.93439814815</v>
      </c>
      <c r="L55" s="2">
        <v>1.753395932E9</v>
      </c>
      <c r="M55" s="2" t="s">
        <v>47</v>
      </c>
      <c r="N55" s="2" t="s">
        <v>47</v>
      </c>
      <c r="O55" s="2" t="s">
        <v>47</v>
      </c>
      <c r="P55" s="2" t="s">
        <v>47</v>
      </c>
      <c r="Q55" s="2" t="s">
        <v>47</v>
      </c>
      <c r="R55" s="2" t="s">
        <v>48</v>
      </c>
      <c r="S55" s="2" t="s">
        <v>925</v>
      </c>
      <c r="T55" s="8" t="s">
        <v>926</v>
      </c>
      <c r="U55" s="8" t="s">
        <v>932</v>
      </c>
      <c r="V55" s="2" t="s">
        <v>921</v>
      </c>
      <c r="W55" s="8" t="s">
        <v>934</v>
      </c>
      <c r="X55" s="8" t="s">
        <v>936</v>
      </c>
      <c r="Z55" s="2">
        <v>69000.0</v>
      </c>
      <c r="AA55" s="2">
        <v>1382.0</v>
      </c>
      <c r="AB55" s="2">
        <v>37300.0</v>
      </c>
      <c r="AC55" s="2">
        <v>1800000.0</v>
      </c>
      <c r="AD55" s="2" t="s">
        <v>937</v>
      </c>
      <c r="AE55" s="2" t="s">
        <v>937</v>
      </c>
      <c r="AL55" s="6">
        <f>IFERROR(__xludf.DUMMYFUNCTION("IF(
  TRIM(AD55)="""",
  0,
  COUNTA(
    SPLIT(
      REGEXREPLACE(AD55,""\s*,\s*"","",""),
      "",""
    )
  )
)"),4.0)</f>
        <v>4</v>
      </c>
    </row>
    <row r="56">
      <c r="A56" s="2" t="s">
        <v>939</v>
      </c>
      <c r="B56" s="2" t="s">
        <v>939</v>
      </c>
      <c r="C56" s="2" t="s">
        <v>940</v>
      </c>
      <c r="D56" s="2" t="s">
        <v>940</v>
      </c>
      <c r="E56" s="2">
        <v>24100.0</v>
      </c>
      <c r="F56" s="2">
        <v>6292.0</v>
      </c>
      <c r="G56" s="2">
        <v>1467.0</v>
      </c>
      <c r="H56" s="8" t="s">
        <v>941</v>
      </c>
      <c r="I56" s="2" t="s">
        <v>946</v>
      </c>
      <c r="J56" s="2" t="s">
        <v>947</v>
      </c>
      <c r="K56" s="10">
        <v>45360.70167824074</v>
      </c>
      <c r="L56" s="2">
        <v>1.710003025E9</v>
      </c>
      <c r="M56" s="2" t="s">
        <v>47</v>
      </c>
      <c r="N56" s="2" t="s">
        <v>47</v>
      </c>
      <c r="O56" s="2" t="s">
        <v>47</v>
      </c>
      <c r="P56" s="2" t="s">
        <v>47</v>
      </c>
      <c r="Q56" s="2" t="s">
        <v>47</v>
      </c>
      <c r="R56" s="2" t="s">
        <v>948</v>
      </c>
      <c r="S56" s="2" t="s">
        <v>949</v>
      </c>
      <c r="T56" s="8" t="s">
        <v>950</v>
      </c>
      <c r="U56" s="8" t="s">
        <v>953</v>
      </c>
      <c r="V56" s="2" t="s">
        <v>954</v>
      </c>
      <c r="X56" s="8" t="s">
        <v>955</v>
      </c>
      <c r="Z56" s="2">
        <v>68900.0</v>
      </c>
      <c r="AA56" s="2">
        <v>1872.0</v>
      </c>
      <c r="AB56" s="2">
        <v>16100.0</v>
      </c>
      <c r="AC56" s="2">
        <v>2000000.0</v>
      </c>
      <c r="AD56" s="2" t="s">
        <v>956</v>
      </c>
      <c r="AE56" s="2" t="s">
        <v>956</v>
      </c>
      <c r="AL56" s="6">
        <f>IFERROR(__xludf.DUMMYFUNCTION("IF(
  TRIM(AD56)="""",
  0,
  COUNTA(
    SPLIT(
      REGEXREPLACE(AD56,""\s*,\s*"","",""),
      "",""
    )
  )
)"),6.0)</f>
        <v>6</v>
      </c>
    </row>
    <row r="57">
      <c r="A57" s="2" t="s">
        <v>957</v>
      </c>
      <c r="B57" s="2" t="s">
        <v>957</v>
      </c>
      <c r="C57" s="2" t="s">
        <v>819</v>
      </c>
      <c r="D57" s="2" t="s">
        <v>820</v>
      </c>
      <c r="E57" s="2">
        <v>135200.0</v>
      </c>
      <c r="F57" s="2">
        <v>30800.0</v>
      </c>
      <c r="G57" s="2">
        <v>263.0</v>
      </c>
      <c r="H57" s="8" t="s">
        <v>958</v>
      </c>
      <c r="I57" s="2" t="s">
        <v>964</v>
      </c>
      <c r="J57" s="2" t="s">
        <v>965</v>
      </c>
      <c r="K57" s="10">
        <v>45321.54997685185</v>
      </c>
      <c r="L57" s="2">
        <v>1.706620318E9</v>
      </c>
      <c r="M57" s="2" t="s">
        <v>47</v>
      </c>
      <c r="N57" s="2" t="s">
        <v>47</v>
      </c>
      <c r="O57" s="2" t="s">
        <v>47</v>
      </c>
      <c r="P57" s="2" t="s">
        <v>47</v>
      </c>
      <c r="Q57" s="2" t="s">
        <v>47</v>
      </c>
      <c r="R57" s="2" t="s">
        <v>48</v>
      </c>
      <c r="S57" s="2" t="s">
        <v>966</v>
      </c>
      <c r="T57" s="8" t="s">
        <v>967</v>
      </c>
      <c r="U57" s="8" t="s">
        <v>827</v>
      </c>
      <c r="V57" s="2" t="s">
        <v>820</v>
      </c>
      <c r="W57" s="8" t="s">
        <v>971</v>
      </c>
      <c r="X57" s="8" t="s">
        <v>973</v>
      </c>
      <c r="Z57" s="2">
        <v>68600.0</v>
      </c>
      <c r="AA57" s="2">
        <v>1607.0</v>
      </c>
      <c r="AB57" s="2">
        <v>6831.0</v>
      </c>
      <c r="AC57" s="2">
        <v>674800.0</v>
      </c>
      <c r="AD57" s="2" t="s">
        <v>975</v>
      </c>
      <c r="AE57" s="2" t="s">
        <v>975</v>
      </c>
      <c r="AL57" s="6">
        <f>IFERROR(__xludf.DUMMYFUNCTION("IF(
  TRIM(AD57)="""",
  0,
  COUNTA(
    SPLIT(
      REGEXREPLACE(AD57,""\s*,\s*"","",""),
      "",""
    )
  )
)"),9.0)</f>
        <v>9</v>
      </c>
    </row>
    <row r="58">
      <c r="A58" s="2" t="s">
        <v>976</v>
      </c>
      <c r="B58" s="2" t="s">
        <v>976</v>
      </c>
      <c r="C58" s="2" t="s">
        <v>169</v>
      </c>
      <c r="D58" s="2" t="s">
        <v>56</v>
      </c>
      <c r="E58" s="2">
        <v>995400.0</v>
      </c>
      <c r="F58" s="2">
        <v>396.0</v>
      </c>
      <c r="G58" s="2">
        <v>1457.0</v>
      </c>
      <c r="H58" s="8" t="s">
        <v>170</v>
      </c>
      <c r="I58" s="2" t="s">
        <v>977</v>
      </c>
      <c r="K58" s="10">
        <v>45076.61806712963</v>
      </c>
      <c r="L58" s="2">
        <v>1.685458201E9</v>
      </c>
      <c r="M58" s="2" t="s">
        <v>47</v>
      </c>
      <c r="N58" s="2" t="s">
        <v>47</v>
      </c>
      <c r="O58" s="2" t="s">
        <v>47</v>
      </c>
      <c r="P58" s="2" t="s">
        <v>47</v>
      </c>
      <c r="Q58" s="2" t="s">
        <v>47</v>
      </c>
      <c r="R58" s="2" t="s">
        <v>48</v>
      </c>
      <c r="S58" s="2" t="s">
        <v>978</v>
      </c>
      <c r="T58" s="8" t="s">
        <v>979</v>
      </c>
      <c r="U58" s="8" t="s">
        <v>54</v>
      </c>
      <c r="V58" s="2" t="s">
        <v>56</v>
      </c>
      <c r="W58" s="8" t="s">
        <v>982</v>
      </c>
      <c r="X58" s="8" t="s">
        <v>984</v>
      </c>
      <c r="Z58" s="2">
        <v>68500.0</v>
      </c>
      <c r="AA58" s="2">
        <v>1811.0</v>
      </c>
      <c r="AB58" s="2">
        <v>6700.0</v>
      </c>
      <c r="AC58" s="2">
        <v>500800.0</v>
      </c>
      <c r="AD58" s="2" t="s">
        <v>985</v>
      </c>
      <c r="AE58" s="2" t="s">
        <v>985</v>
      </c>
      <c r="AL58" s="6">
        <f>IFERROR(__xludf.DUMMYFUNCTION("IF(
  TRIM(AD58)="""",
  0,
  COUNTA(
    SPLIT(
      REGEXREPLACE(AD58,""\s*,\s*"","",""),
      "",""
    )
  )
)"),7.0)</f>
        <v>7</v>
      </c>
    </row>
    <row r="59">
      <c r="A59" s="2" t="s">
        <v>986</v>
      </c>
      <c r="B59" s="2" t="s">
        <v>986</v>
      </c>
      <c r="C59" s="2" t="s">
        <v>987</v>
      </c>
      <c r="D59" s="2" t="s">
        <v>988</v>
      </c>
      <c r="E59" s="2">
        <v>155300.0</v>
      </c>
      <c r="F59" s="2">
        <v>65100.0</v>
      </c>
      <c r="G59" s="2">
        <v>1013.0</v>
      </c>
      <c r="H59" s="8" t="s">
        <v>989</v>
      </c>
      <c r="I59" s="2" t="s">
        <v>992</v>
      </c>
      <c r="K59" s="10">
        <v>45861.919328703705</v>
      </c>
      <c r="L59" s="2">
        <v>1.75330823E9</v>
      </c>
      <c r="M59" s="2" t="s">
        <v>47</v>
      </c>
      <c r="N59" s="2" t="s">
        <v>47</v>
      </c>
      <c r="O59" s="2" t="s">
        <v>47</v>
      </c>
      <c r="P59" s="2" t="s">
        <v>47</v>
      </c>
      <c r="Q59" s="2" t="s">
        <v>47</v>
      </c>
      <c r="R59" s="2" t="s">
        <v>48</v>
      </c>
      <c r="S59" s="2" t="s">
        <v>993</v>
      </c>
      <c r="T59" s="8" t="s">
        <v>994</v>
      </c>
      <c r="U59" s="8" t="s">
        <v>995</v>
      </c>
      <c r="V59" s="2" t="s">
        <v>988</v>
      </c>
      <c r="W59" s="8" t="s">
        <v>998</v>
      </c>
      <c r="X59" s="8" t="s">
        <v>1002</v>
      </c>
      <c r="Z59" s="2">
        <v>66600.0</v>
      </c>
      <c r="AA59" s="2">
        <v>4000.0</v>
      </c>
      <c r="AB59" s="2">
        <v>14200.0</v>
      </c>
      <c r="AC59" s="2">
        <v>2000000.0</v>
      </c>
      <c r="AD59" s="2" t="s">
        <v>1003</v>
      </c>
      <c r="AE59" s="2" t="s">
        <v>1003</v>
      </c>
      <c r="AL59" s="6">
        <f>IFERROR(__xludf.DUMMYFUNCTION("IF(
  TRIM(AD59)="""",
  0,
  COUNTA(
    SPLIT(
      REGEXREPLACE(AD59,""\s*,\s*"","",""),
      "",""
    )
  )
)"),3.0)</f>
        <v>3</v>
      </c>
    </row>
    <row r="60">
      <c r="A60" s="2" t="s">
        <v>1004</v>
      </c>
      <c r="B60" s="2" t="s">
        <v>1004</v>
      </c>
      <c r="C60" s="2" t="s">
        <v>69</v>
      </c>
      <c r="D60" s="2" t="s">
        <v>70</v>
      </c>
      <c r="E60" s="2">
        <v>175800.0</v>
      </c>
      <c r="F60" s="2">
        <v>886.0</v>
      </c>
      <c r="G60" s="2">
        <v>767.0</v>
      </c>
      <c r="H60" s="8" t="s">
        <v>320</v>
      </c>
      <c r="I60" s="2" t="s">
        <v>1005</v>
      </c>
      <c r="J60" s="2" t="s">
        <v>1006</v>
      </c>
      <c r="K60" s="10">
        <v>45087.60314814815</v>
      </c>
      <c r="L60" s="2">
        <v>1.686407312E9</v>
      </c>
      <c r="M60" s="2" t="s">
        <v>47</v>
      </c>
      <c r="N60" s="2" t="s">
        <v>47</v>
      </c>
      <c r="O60" s="2" t="s">
        <v>47</v>
      </c>
      <c r="P60" s="2" t="s">
        <v>47</v>
      </c>
      <c r="Q60" s="2" t="s">
        <v>47</v>
      </c>
      <c r="R60" s="2" t="s">
        <v>48</v>
      </c>
      <c r="S60" s="2" t="s">
        <v>1007</v>
      </c>
      <c r="T60" s="8" t="s">
        <v>1008</v>
      </c>
      <c r="U60" s="8" t="s">
        <v>1010</v>
      </c>
      <c r="V60" s="2" t="s">
        <v>70</v>
      </c>
      <c r="W60" s="8" t="s">
        <v>1012</v>
      </c>
      <c r="X60" s="8" t="s">
        <v>1018</v>
      </c>
      <c r="Z60" s="2">
        <v>63200.0</v>
      </c>
      <c r="AA60" s="2">
        <v>1767.0</v>
      </c>
      <c r="AB60" s="2">
        <v>7264.0</v>
      </c>
      <c r="AC60" s="2">
        <v>496200.0</v>
      </c>
      <c r="AD60" s="2" t="s">
        <v>1022</v>
      </c>
      <c r="AE60" s="2" t="s">
        <v>1022</v>
      </c>
      <c r="AL60" s="6">
        <f>IFERROR(__xludf.DUMMYFUNCTION("IF(
  TRIM(AD60)="""",
  0,
  COUNTA(
    SPLIT(
      REGEXREPLACE(AD60,""\s*,\s*"","",""),
      "",""
    )
  )
)"),3.0)</f>
        <v>3</v>
      </c>
    </row>
    <row r="61">
      <c r="A61" s="2" t="s">
        <v>1023</v>
      </c>
      <c r="B61" s="2" t="s">
        <v>1023</v>
      </c>
      <c r="C61" s="2" t="s">
        <v>1024</v>
      </c>
      <c r="D61" s="2" t="s">
        <v>1025</v>
      </c>
      <c r="E61" s="2">
        <v>19600.0</v>
      </c>
      <c r="F61" s="2">
        <v>334.0</v>
      </c>
      <c r="G61" s="2">
        <v>221.0</v>
      </c>
      <c r="H61" s="8" t="s">
        <v>1026</v>
      </c>
      <c r="I61" s="2" t="s">
        <v>1027</v>
      </c>
      <c r="K61" s="10">
        <v>45725.49465277778</v>
      </c>
      <c r="L61" s="2">
        <v>1.741521138E9</v>
      </c>
      <c r="M61" s="2" t="s">
        <v>47</v>
      </c>
      <c r="N61" s="2" t="s">
        <v>47</v>
      </c>
      <c r="O61" s="2" t="s">
        <v>47</v>
      </c>
      <c r="P61" s="2" t="s">
        <v>47</v>
      </c>
      <c r="Q61" s="2" t="s">
        <v>47</v>
      </c>
      <c r="R61" s="2" t="s">
        <v>204</v>
      </c>
      <c r="S61" s="2" t="s">
        <v>1028</v>
      </c>
      <c r="T61" s="8" t="s">
        <v>1029</v>
      </c>
      <c r="U61" s="8" t="s">
        <v>1032</v>
      </c>
      <c r="V61" s="2" t="s">
        <v>1033</v>
      </c>
      <c r="W61" s="8" t="s">
        <v>1034</v>
      </c>
      <c r="X61" s="8" t="s">
        <v>1041</v>
      </c>
      <c r="Z61" s="2">
        <v>62600.0</v>
      </c>
      <c r="AA61" s="2">
        <v>1189.0</v>
      </c>
      <c r="AB61" s="2">
        <v>16100.0</v>
      </c>
      <c r="AC61" s="2">
        <v>1800000.0</v>
      </c>
      <c r="AD61" s="2" t="s">
        <v>1042</v>
      </c>
      <c r="AE61" s="2" t="s">
        <v>1042</v>
      </c>
      <c r="AL61" s="6">
        <f>IFERROR(__xludf.DUMMYFUNCTION("IF(
  TRIM(AD61)="""",
  0,
  COUNTA(
    SPLIT(
      REGEXREPLACE(AD61,""\s*,\s*"","",""),
      "",""
    )
  )
)"),5.0)</f>
        <v>5</v>
      </c>
    </row>
    <row r="62">
      <c r="A62" s="2" t="s">
        <v>1043</v>
      </c>
      <c r="B62" s="2" t="s">
        <v>1043</v>
      </c>
      <c r="C62" s="2" t="s">
        <v>69</v>
      </c>
      <c r="D62" s="2" t="s">
        <v>70</v>
      </c>
      <c r="E62" s="2">
        <v>175800.0</v>
      </c>
      <c r="F62" s="2">
        <v>886.0</v>
      </c>
      <c r="G62" s="2">
        <v>767.0</v>
      </c>
      <c r="H62" s="8" t="s">
        <v>84</v>
      </c>
      <c r="I62" s="2" t="s">
        <v>1047</v>
      </c>
      <c r="K62" s="10">
        <v>45347.02329861111</v>
      </c>
      <c r="L62" s="2">
        <v>1.708821213E9</v>
      </c>
      <c r="M62" s="2" t="s">
        <v>47</v>
      </c>
      <c r="N62" s="2" t="s">
        <v>47</v>
      </c>
      <c r="O62" s="2" t="s">
        <v>47</v>
      </c>
      <c r="P62" s="2" t="s">
        <v>47</v>
      </c>
      <c r="Q62" s="2" t="s">
        <v>47</v>
      </c>
      <c r="R62" s="2" t="s">
        <v>48</v>
      </c>
      <c r="S62" s="2" t="s">
        <v>1049</v>
      </c>
      <c r="T62" s="8" t="s">
        <v>1050</v>
      </c>
      <c r="U62" s="8" t="s">
        <v>1052</v>
      </c>
      <c r="V62" s="2" t="s">
        <v>70</v>
      </c>
      <c r="W62" s="8" t="s">
        <v>1053</v>
      </c>
      <c r="X62" s="8" t="s">
        <v>1055</v>
      </c>
      <c r="Z62" s="2">
        <v>58200.0</v>
      </c>
      <c r="AA62" s="2">
        <v>1021.0</v>
      </c>
      <c r="AB62" s="2">
        <v>17300.0</v>
      </c>
      <c r="AC62" s="2">
        <v>975400.0</v>
      </c>
      <c r="AD62" s="2" t="s">
        <v>1057</v>
      </c>
      <c r="AE62" s="2" t="s">
        <v>1057</v>
      </c>
      <c r="AL62" s="6">
        <f>IFERROR(__xludf.DUMMYFUNCTION("IF(
  TRIM(AD62)="""",
  0,
  COUNTA(
    SPLIT(
      REGEXREPLACE(AD62,""\s*,\s*"","",""),
      "",""
    )
  )
)"),4.0)</f>
        <v>4</v>
      </c>
    </row>
    <row r="63">
      <c r="A63" s="2" t="s">
        <v>1060</v>
      </c>
      <c r="B63" s="2" t="s">
        <v>1060</v>
      </c>
      <c r="C63" s="2" t="s">
        <v>276</v>
      </c>
      <c r="D63" s="2" t="s">
        <v>277</v>
      </c>
      <c r="E63" s="2">
        <v>342900.0</v>
      </c>
      <c r="F63" s="2">
        <v>339.0</v>
      </c>
      <c r="G63" s="2">
        <v>487.0</v>
      </c>
      <c r="H63" s="8" t="s">
        <v>1061</v>
      </c>
      <c r="I63" s="2" t="s">
        <v>1066</v>
      </c>
      <c r="J63" s="2" t="s">
        <v>1067</v>
      </c>
      <c r="K63" s="10">
        <v>45946.028495370374</v>
      </c>
      <c r="L63" s="2">
        <v>1.760575262E9</v>
      </c>
      <c r="M63" s="2" t="s">
        <v>47</v>
      </c>
      <c r="N63" s="2" t="s">
        <v>47</v>
      </c>
      <c r="O63" s="2" t="s">
        <v>47</v>
      </c>
      <c r="P63" s="2" t="s">
        <v>47</v>
      </c>
      <c r="Q63" s="2" t="s">
        <v>47</v>
      </c>
      <c r="R63" s="2" t="s">
        <v>48</v>
      </c>
      <c r="S63" s="2" t="s">
        <v>1068</v>
      </c>
      <c r="T63" s="8" t="s">
        <v>1069</v>
      </c>
      <c r="U63" s="8" t="s">
        <v>290</v>
      </c>
      <c r="V63" s="2" t="s">
        <v>277</v>
      </c>
      <c r="W63" s="8" t="s">
        <v>1073</v>
      </c>
      <c r="X63" s="8" t="s">
        <v>1076</v>
      </c>
      <c r="Z63" s="2">
        <v>58100.0</v>
      </c>
      <c r="AA63" s="2">
        <v>1150.0</v>
      </c>
      <c r="AB63" s="2">
        <v>14800.0</v>
      </c>
      <c r="AC63" s="2">
        <v>1200000.0</v>
      </c>
      <c r="AD63" s="2" t="s">
        <v>1077</v>
      </c>
      <c r="AE63" s="2" t="s">
        <v>1077</v>
      </c>
      <c r="AL63" s="6">
        <f>IFERROR(__xludf.DUMMYFUNCTION("IF(
  TRIM(AD63)="""",
  0,
  COUNTA(
    SPLIT(
      REGEXREPLACE(AD63,""\s*,\s*"","",""),
      "",""
    )
  )
)"),5.0)</f>
        <v>5</v>
      </c>
    </row>
    <row r="64">
      <c r="A64" s="2" t="s">
        <v>231</v>
      </c>
      <c r="B64" s="2" t="s">
        <v>231</v>
      </c>
      <c r="C64" s="2" t="s">
        <v>232</v>
      </c>
      <c r="D64" s="2" t="s">
        <v>233</v>
      </c>
      <c r="E64" s="2">
        <v>2700000.0</v>
      </c>
      <c r="F64" s="2">
        <v>1032.0</v>
      </c>
      <c r="G64" s="2">
        <v>1172.0</v>
      </c>
      <c r="H64" s="8" t="s">
        <v>1078</v>
      </c>
      <c r="I64" s="2" t="s">
        <v>241</v>
      </c>
      <c r="K64" s="10">
        <v>45634.62079861111</v>
      </c>
      <c r="L64" s="2">
        <v>1.733669637E9</v>
      </c>
      <c r="M64" s="2" t="s">
        <v>47</v>
      </c>
      <c r="N64" s="2" t="s">
        <v>47</v>
      </c>
      <c r="O64" s="2" t="s">
        <v>47</v>
      </c>
      <c r="P64" s="2" t="s">
        <v>47</v>
      </c>
      <c r="Q64" s="2" t="s">
        <v>47</v>
      </c>
      <c r="R64" s="2" t="s">
        <v>48</v>
      </c>
      <c r="S64" s="2" t="s">
        <v>242</v>
      </c>
      <c r="T64" s="8" t="s">
        <v>1080</v>
      </c>
      <c r="U64" s="8" t="s">
        <v>1089</v>
      </c>
      <c r="V64" s="2" t="s">
        <v>233</v>
      </c>
      <c r="W64" s="8" t="s">
        <v>1090</v>
      </c>
      <c r="X64" s="8" t="s">
        <v>266</v>
      </c>
      <c r="Z64" s="2">
        <v>53100.0</v>
      </c>
      <c r="AA64" s="2">
        <v>1594.0</v>
      </c>
      <c r="AB64" s="2">
        <v>2646.0</v>
      </c>
      <c r="AC64" s="2">
        <v>974500.0</v>
      </c>
      <c r="AL64" s="6">
        <f>IFERROR(__xludf.DUMMYFUNCTION("IF(
  TRIM(AD64)="""",
  0,
  COUNTA(
    SPLIT(
      REGEXREPLACE(AD64,""\s*,\s*"","",""),
      "",""
    )
  )
)"),0.0)</f>
        <v>0</v>
      </c>
    </row>
    <row r="65">
      <c r="A65" s="2" t="s">
        <v>1093</v>
      </c>
      <c r="B65" s="2" t="s">
        <v>1093</v>
      </c>
      <c r="C65" s="2" t="s">
        <v>296</v>
      </c>
      <c r="D65" s="2" t="s">
        <v>297</v>
      </c>
      <c r="E65" s="2">
        <v>81500.0</v>
      </c>
      <c r="F65" s="2">
        <v>1722.0</v>
      </c>
      <c r="G65" s="2">
        <v>37.0</v>
      </c>
      <c r="H65" s="8" t="s">
        <v>1094</v>
      </c>
      <c r="I65" s="2" t="s">
        <v>1095</v>
      </c>
      <c r="K65" s="10">
        <v>45491.95199074074</v>
      </c>
      <c r="L65" s="2">
        <v>1.721343052E9</v>
      </c>
      <c r="M65" s="2" t="s">
        <v>47</v>
      </c>
      <c r="N65" s="2" t="s">
        <v>47</v>
      </c>
      <c r="O65" s="2" t="s">
        <v>47</v>
      </c>
      <c r="P65" s="2" t="s">
        <v>47</v>
      </c>
      <c r="Q65" s="2" t="s">
        <v>47</v>
      </c>
      <c r="R65" s="2" t="s">
        <v>48</v>
      </c>
      <c r="S65" s="2" t="s">
        <v>1096</v>
      </c>
      <c r="T65" s="8" t="s">
        <v>1097</v>
      </c>
      <c r="U65" s="8" t="s">
        <v>402</v>
      </c>
      <c r="V65" s="2" t="s">
        <v>297</v>
      </c>
      <c r="W65" s="8" t="s">
        <v>1104</v>
      </c>
      <c r="X65" s="8" t="s">
        <v>1106</v>
      </c>
      <c r="Z65" s="2">
        <v>53100.0</v>
      </c>
      <c r="AA65" s="2">
        <v>2523.0</v>
      </c>
      <c r="AB65" s="2">
        <v>7411.0</v>
      </c>
      <c r="AC65" s="2">
        <v>738200.0</v>
      </c>
      <c r="AD65" s="2" t="s">
        <v>1110</v>
      </c>
      <c r="AE65" s="2" t="s">
        <v>1110</v>
      </c>
      <c r="AH65" s="2" t="s">
        <v>918</v>
      </c>
      <c r="AL65" s="6">
        <f>IFERROR(__xludf.DUMMYFUNCTION("IF(
  TRIM(AD65)="""",
  0,
  COUNTA(
    SPLIT(
      REGEXREPLACE(AD65,""\s*,\s*"","",""),
      "",""
    )
  )
)"),4.0)</f>
        <v>4</v>
      </c>
    </row>
    <row r="66">
      <c r="A66" s="2" t="s">
        <v>1111</v>
      </c>
      <c r="B66" s="2" t="s">
        <v>1111</v>
      </c>
      <c r="C66" s="2" t="s">
        <v>69</v>
      </c>
      <c r="D66" s="2" t="s">
        <v>70</v>
      </c>
      <c r="E66" s="2">
        <v>175800.0</v>
      </c>
      <c r="F66" s="2">
        <v>886.0</v>
      </c>
      <c r="G66" s="2">
        <v>767.0</v>
      </c>
      <c r="H66" s="8" t="s">
        <v>320</v>
      </c>
      <c r="I66" s="2" t="s">
        <v>1112</v>
      </c>
      <c r="K66" s="10">
        <v>45484.016805555555</v>
      </c>
      <c r="L66" s="2">
        <v>1.720657452E9</v>
      </c>
      <c r="M66" s="2" t="s">
        <v>47</v>
      </c>
      <c r="N66" s="2" t="s">
        <v>47</v>
      </c>
      <c r="O66" s="2" t="s">
        <v>47</v>
      </c>
      <c r="P66" s="2" t="s">
        <v>47</v>
      </c>
      <c r="Q66" s="2" t="s">
        <v>47</v>
      </c>
      <c r="R66" s="2" t="s">
        <v>1113</v>
      </c>
      <c r="S66" s="2" t="s">
        <v>1114</v>
      </c>
      <c r="T66" s="8" t="s">
        <v>1115</v>
      </c>
      <c r="U66" s="8" t="s">
        <v>1116</v>
      </c>
      <c r="V66" s="2" t="s">
        <v>1117</v>
      </c>
      <c r="W66" s="8" t="s">
        <v>1118</v>
      </c>
      <c r="X66" s="8" t="s">
        <v>1120</v>
      </c>
      <c r="Z66" s="2">
        <v>52300.0</v>
      </c>
      <c r="AA66" s="2">
        <v>545.0</v>
      </c>
      <c r="AB66" s="2">
        <v>3659.0</v>
      </c>
      <c r="AC66" s="2">
        <v>609200.0</v>
      </c>
      <c r="AD66" s="2" t="s">
        <v>1122</v>
      </c>
      <c r="AE66" s="2" t="s">
        <v>1122</v>
      </c>
      <c r="AL66" s="6">
        <f>IFERROR(__xludf.DUMMYFUNCTION("IF(
  TRIM(AD66)="""",
  0,
  COUNTA(
    SPLIT(
      REGEXREPLACE(AD66,""\s*,\s*"","",""),
      "",""
    )
  )
)"),5.0)</f>
        <v>5</v>
      </c>
    </row>
    <row r="67">
      <c r="A67" s="2" t="s">
        <v>1123</v>
      </c>
      <c r="B67" s="2" t="s">
        <v>1123</v>
      </c>
      <c r="C67" s="2" t="s">
        <v>1124</v>
      </c>
      <c r="D67" s="2" t="s">
        <v>1125</v>
      </c>
      <c r="E67" s="2">
        <v>733300.0</v>
      </c>
      <c r="F67" s="2">
        <v>3309.0</v>
      </c>
      <c r="G67" s="2">
        <v>1366.0</v>
      </c>
      <c r="H67" s="8" t="s">
        <v>1126</v>
      </c>
      <c r="I67" s="2" t="s">
        <v>1127</v>
      </c>
      <c r="K67" s="10">
        <v>44944.63449074074</v>
      </c>
      <c r="L67" s="2">
        <v>1.67405482E9</v>
      </c>
      <c r="M67" s="2" t="s">
        <v>47</v>
      </c>
      <c r="N67" s="2" t="s">
        <v>47</v>
      </c>
      <c r="O67" s="2" t="s">
        <v>47</v>
      </c>
      <c r="P67" s="2" t="s">
        <v>47</v>
      </c>
      <c r="Q67" s="2" t="s">
        <v>47</v>
      </c>
      <c r="R67" s="2" t="s">
        <v>48</v>
      </c>
      <c r="S67" s="2" t="s">
        <v>1128</v>
      </c>
      <c r="T67" s="8" t="s">
        <v>1129</v>
      </c>
      <c r="U67" s="8" t="s">
        <v>1132</v>
      </c>
      <c r="V67" s="2" t="s">
        <v>1125</v>
      </c>
      <c r="W67" s="8" t="s">
        <v>1137</v>
      </c>
      <c r="X67" s="8" t="s">
        <v>1142</v>
      </c>
      <c r="Z67" s="2">
        <v>51700.0</v>
      </c>
      <c r="AA67" s="2">
        <v>826.0</v>
      </c>
      <c r="AB67" s="2">
        <v>10100.0</v>
      </c>
      <c r="AC67" s="2">
        <v>642700.0</v>
      </c>
      <c r="AD67" s="2" t="s">
        <v>1143</v>
      </c>
      <c r="AE67" s="2" t="s">
        <v>1143</v>
      </c>
      <c r="AL67" s="6">
        <f>IFERROR(__xludf.DUMMYFUNCTION("IF(
  TRIM(AD67)="""",
  0,
  COUNTA(
    SPLIT(
      REGEXREPLACE(AD67,""\s*,\s*"","",""),
      "",""
    )
  )
)"),5.0)</f>
        <v>5</v>
      </c>
    </row>
    <row r="68">
      <c r="A68" s="2" t="s">
        <v>1144</v>
      </c>
      <c r="B68" s="2" t="s">
        <v>1144</v>
      </c>
      <c r="C68" s="2" t="s">
        <v>1145</v>
      </c>
      <c r="D68" s="2" t="s">
        <v>1146</v>
      </c>
      <c r="E68" s="2">
        <v>77400.0</v>
      </c>
      <c r="F68" s="2">
        <v>652.0</v>
      </c>
      <c r="G68" s="2">
        <v>260.0</v>
      </c>
      <c r="H68" s="8" t="s">
        <v>1147</v>
      </c>
      <c r="I68" s="2" t="s">
        <v>1149</v>
      </c>
      <c r="J68" s="2" t="s">
        <v>1150</v>
      </c>
      <c r="K68" s="10">
        <v>45961.89488425926</v>
      </c>
      <c r="L68" s="2">
        <v>1.761946118E9</v>
      </c>
      <c r="M68" s="2" t="s">
        <v>47</v>
      </c>
      <c r="N68" s="2" t="s">
        <v>47</v>
      </c>
      <c r="O68" s="2" t="s">
        <v>47</v>
      </c>
      <c r="P68" s="2" t="s">
        <v>47</v>
      </c>
      <c r="Q68" s="2" t="s">
        <v>47</v>
      </c>
      <c r="R68" s="2" t="s">
        <v>1151</v>
      </c>
      <c r="S68" s="2" t="s">
        <v>1152</v>
      </c>
      <c r="T68" s="8" t="s">
        <v>1153</v>
      </c>
      <c r="U68" s="8" t="s">
        <v>911</v>
      </c>
      <c r="V68" s="2" t="s">
        <v>912</v>
      </c>
      <c r="W68" s="8" t="s">
        <v>1155</v>
      </c>
      <c r="X68" s="8" t="s">
        <v>1157</v>
      </c>
      <c r="Z68" s="2">
        <v>50700.0</v>
      </c>
      <c r="AA68" s="2">
        <v>1585.0</v>
      </c>
      <c r="AB68" s="2">
        <v>12600.0</v>
      </c>
      <c r="AC68" s="2">
        <v>527700.0</v>
      </c>
      <c r="AD68" s="2" t="s">
        <v>1163</v>
      </c>
      <c r="AE68" s="2" t="s">
        <v>1163</v>
      </c>
      <c r="AL68" s="6">
        <f>IFERROR(__xludf.DUMMYFUNCTION("IF(
  TRIM(AD68)="""",
  0,
  COUNTA(
    SPLIT(
      REGEXREPLACE(AD68,""\s*,\s*"","",""),
      "",""
    )
  )
)"),4.0)</f>
        <v>4</v>
      </c>
    </row>
    <row r="69">
      <c r="A69" s="2" t="s">
        <v>1164</v>
      </c>
      <c r="B69" s="2" t="s">
        <v>1164</v>
      </c>
      <c r="C69" s="2" t="s">
        <v>716</v>
      </c>
      <c r="D69" s="2" t="s">
        <v>717</v>
      </c>
      <c r="E69" s="2">
        <v>92600.0</v>
      </c>
      <c r="F69" s="2">
        <v>2572.0</v>
      </c>
      <c r="G69" s="2">
        <v>116.0</v>
      </c>
      <c r="H69" s="8" t="s">
        <v>1165</v>
      </c>
      <c r="I69" s="2" t="s">
        <v>1169</v>
      </c>
      <c r="J69" s="2" t="s">
        <v>1170</v>
      </c>
      <c r="K69" s="10">
        <v>45264.75895833333</v>
      </c>
      <c r="L69" s="2">
        <v>1.701713574E9</v>
      </c>
      <c r="M69" s="2" t="s">
        <v>47</v>
      </c>
      <c r="N69" s="2" t="s">
        <v>47</v>
      </c>
      <c r="O69" s="2" t="s">
        <v>47</v>
      </c>
      <c r="P69" s="2" t="s">
        <v>47</v>
      </c>
      <c r="Q69" s="2" t="s">
        <v>47</v>
      </c>
      <c r="R69" s="2" t="s">
        <v>48</v>
      </c>
      <c r="S69" s="2" t="s">
        <v>1171</v>
      </c>
      <c r="T69" s="8" t="s">
        <v>1172</v>
      </c>
      <c r="U69" s="8" t="s">
        <v>726</v>
      </c>
      <c r="V69" s="2" t="s">
        <v>717</v>
      </c>
      <c r="X69" s="8" t="s">
        <v>1174</v>
      </c>
      <c r="Z69" s="2">
        <v>49600.0</v>
      </c>
      <c r="AA69" s="2">
        <v>435.0</v>
      </c>
      <c r="AB69" s="2">
        <v>4619.0</v>
      </c>
      <c r="AC69" s="2">
        <v>773100.0</v>
      </c>
      <c r="AD69" s="2" t="s">
        <v>1175</v>
      </c>
      <c r="AE69" s="2" t="s">
        <v>1176</v>
      </c>
      <c r="AL69" s="6">
        <f>IFERROR(__xludf.DUMMYFUNCTION("IF(
  TRIM(AD69)="""",
  0,
  COUNTA(
    SPLIT(
      REGEXREPLACE(AD69,""\s*,\s*"","",""),
      "",""
    )
  )
)"),8.0)</f>
        <v>8</v>
      </c>
    </row>
    <row r="70">
      <c r="A70" s="2" t="s">
        <v>1178</v>
      </c>
      <c r="B70" s="2" t="s">
        <v>1178</v>
      </c>
      <c r="C70" s="2" t="s">
        <v>1179</v>
      </c>
      <c r="D70" s="2" t="s">
        <v>1180</v>
      </c>
      <c r="E70" s="2">
        <v>47900.0</v>
      </c>
      <c r="F70" s="2">
        <v>17100.0</v>
      </c>
      <c r="G70" s="2">
        <v>448.0</v>
      </c>
      <c r="H70" s="8" t="s">
        <v>1181</v>
      </c>
      <c r="I70" s="2" t="s">
        <v>1182</v>
      </c>
      <c r="J70" s="2" t="s">
        <v>1183</v>
      </c>
      <c r="K70" s="10">
        <v>45551.8774537037</v>
      </c>
      <c r="L70" s="2">
        <v>1.726520612E9</v>
      </c>
      <c r="M70" s="2" t="s">
        <v>47</v>
      </c>
      <c r="N70" s="2" t="s">
        <v>47</v>
      </c>
      <c r="O70" s="2" t="s">
        <v>47</v>
      </c>
      <c r="P70" s="2" t="s">
        <v>47</v>
      </c>
      <c r="Q70" s="2" t="s">
        <v>47</v>
      </c>
      <c r="R70" s="2" t="s">
        <v>48</v>
      </c>
      <c r="S70" s="2" t="s">
        <v>1184</v>
      </c>
      <c r="T70" s="8" t="s">
        <v>1185</v>
      </c>
      <c r="U70" s="8" t="s">
        <v>1187</v>
      </c>
      <c r="V70" s="2" t="s">
        <v>1180</v>
      </c>
      <c r="W70" s="8" t="s">
        <v>1190</v>
      </c>
      <c r="X70" s="8" t="s">
        <v>1192</v>
      </c>
      <c r="Z70" s="2">
        <v>49500.0</v>
      </c>
      <c r="AA70" s="2">
        <v>952.0</v>
      </c>
      <c r="AB70" s="2">
        <v>9944.0</v>
      </c>
      <c r="AC70" s="2">
        <v>1400000.0</v>
      </c>
      <c r="AD70" s="2" t="s">
        <v>1193</v>
      </c>
      <c r="AE70" s="2" t="s">
        <v>1193</v>
      </c>
      <c r="AL70" s="6">
        <f>IFERROR(__xludf.DUMMYFUNCTION("IF(
  TRIM(AD70)="""",
  0,
  COUNTA(
    SPLIT(
      REGEXREPLACE(AD70,""\s*,\s*"","",""),
      "",""
    )
  )
)"),13.0)</f>
        <v>13</v>
      </c>
    </row>
    <row r="71">
      <c r="A71" s="2" t="s">
        <v>1194</v>
      </c>
      <c r="B71" s="2" t="s">
        <v>1194</v>
      </c>
      <c r="C71" s="2" t="s">
        <v>276</v>
      </c>
      <c r="D71" s="2" t="s">
        <v>277</v>
      </c>
      <c r="E71" s="2">
        <v>342900.0</v>
      </c>
      <c r="F71" s="2">
        <v>339.0</v>
      </c>
      <c r="G71" s="2">
        <v>487.0</v>
      </c>
      <c r="H71" s="8" t="s">
        <v>1061</v>
      </c>
      <c r="I71" s="2" t="s">
        <v>1195</v>
      </c>
      <c r="J71" s="2" t="s">
        <v>1196</v>
      </c>
      <c r="K71" s="10">
        <v>45784.0384375</v>
      </c>
      <c r="L71" s="2">
        <v>1.746579321E9</v>
      </c>
      <c r="M71" s="2" t="s">
        <v>47</v>
      </c>
      <c r="N71" s="2" t="s">
        <v>47</v>
      </c>
      <c r="O71" s="2" t="s">
        <v>47</v>
      </c>
      <c r="P71" s="2" t="s">
        <v>47</v>
      </c>
      <c r="Q71" s="2" t="s">
        <v>47</v>
      </c>
      <c r="R71" s="2" t="s">
        <v>48</v>
      </c>
      <c r="S71" s="2" t="s">
        <v>1197</v>
      </c>
      <c r="T71" s="8" t="s">
        <v>1198</v>
      </c>
      <c r="U71" s="8" t="s">
        <v>290</v>
      </c>
      <c r="V71" s="2" t="s">
        <v>277</v>
      </c>
      <c r="W71" s="8" t="s">
        <v>1201</v>
      </c>
      <c r="X71" s="8" t="s">
        <v>1202</v>
      </c>
      <c r="Z71" s="2">
        <v>48400.0</v>
      </c>
      <c r="AA71" s="2">
        <v>801.0</v>
      </c>
      <c r="AB71" s="2">
        <v>12300.0</v>
      </c>
      <c r="AC71" s="2">
        <v>575000.0</v>
      </c>
      <c r="AD71" s="2" t="s">
        <v>1203</v>
      </c>
      <c r="AE71" s="2" t="s">
        <v>1203</v>
      </c>
      <c r="AL71" s="6">
        <f>IFERROR(__xludf.DUMMYFUNCTION("IF(
  TRIM(AD71)="""",
  0,
  COUNTA(
    SPLIT(
      REGEXREPLACE(AD71,""\s*,\s*"","",""),
      "",""
    )
  )
)"),10.0)</f>
        <v>10</v>
      </c>
    </row>
    <row r="72">
      <c r="A72" s="2" t="s">
        <v>1205</v>
      </c>
      <c r="B72" s="2" t="s">
        <v>1205</v>
      </c>
      <c r="C72" s="2" t="s">
        <v>1206</v>
      </c>
      <c r="D72" s="2" t="s">
        <v>1207</v>
      </c>
      <c r="E72" s="2">
        <v>34500.0</v>
      </c>
      <c r="F72" s="2">
        <v>3116.0</v>
      </c>
      <c r="G72" s="2">
        <v>148.0</v>
      </c>
      <c r="H72" s="8" t="s">
        <v>1208</v>
      </c>
      <c r="I72" s="2" t="s">
        <v>1210</v>
      </c>
      <c r="K72" s="10">
        <v>44801.635243055556</v>
      </c>
      <c r="L72" s="2">
        <v>1.661699685E9</v>
      </c>
      <c r="M72" s="2" t="s">
        <v>47</v>
      </c>
      <c r="N72" s="2" t="s">
        <v>47</v>
      </c>
      <c r="O72" s="2" t="s">
        <v>47</v>
      </c>
      <c r="P72" s="2" t="s">
        <v>47</v>
      </c>
      <c r="Q72" s="2" t="s">
        <v>47</v>
      </c>
      <c r="R72" s="2" t="s">
        <v>48</v>
      </c>
      <c r="S72" s="2" t="s">
        <v>1211</v>
      </c>
      <c r="T72" s="8" t="s">
        <v>1212</v>
      </c>
      <c r="U72" s="8" t="s">
        <v>1215</v>
      </c>
      <c r="V72" s="2" t="s">
        <v>1207</v>
      </c>
      <c r="W72" s="8" t="s">
        <v>1221</v>
      </c>
      <c r="X72" s="8" t="s">
        <v>1225</v>
      </c>
      <c r="Z72" s="2">
        <v>47900.0</v>
      </c>
      <c r="AA72" s="2">
        <v>1011.0</v>
      </c>
      <c r="AB72" s="2">
        <v>3355.0</v>
      </c>
      <c r="AC72" s="2">
        <v>862500.0</v>
      </c>
      <c r="AD72" s="2" t="s">
        <v>1226</v>
      </c>
      <c r="AE72" s="2" t="s">
        <v>1226</v>
      </c>
      <c r="AL72" s="6">
        <f>IFERROR(__xludf.DUMMYFUNCTION("IF(
  TRIM(AD72)="""",
  0,
  COUNTA(
    SPLIT(
      REGEXREPLACE(AD72,""\s*,\s*"","",""),
      "",""
    )
  )
)"),8.0)</f>
        <v>8</v>
      </c>
    </row>
    <row r="73">
      <c r="A73" s="2" t="s">
        <v>1228</v>
      </c>
      <c r="B73" s="2" t="s">
        <v>1228</v>
      </c>
      <c r="C73" s="2" t="s">
        <v>920</v>
      </c>
      <c r="D73" s="2" t="s">
        <v>921</v>
      </c>
      <c r="E73" s="2">
        <v>296100.0</v>
      </c>
      <c r="F73" s="2">
        <v>1905.0</v>
      </c>
      <c r="G73" s="2">
        <v>1402.0</v>
      </c>
      <c r="H73" s="8" t="s">
        <v>922</v>
      </c>
      <c r="I73" s="2" t="s">
        <v>1229</v>
      </c>
      <c r="K73" s="10">
        <v>45295.67731481481</v>
      </c>
      <c r="L73" s="2">
        <v>1.70438492E9</v>
      </c>
      <c r="M73" s="2" t="s">
        <v>47</v>
      </c>
      <c r="N73" s="2" t="s">
        <v>47</v>
      </c>
      <c r="O73" s="2" t="s">
        <v>47</v>
      </c>
      <c r="P73" s="2" t="s">
        <v>47</v>
      </c>
      <c r="Q73" s="2" t="s">
        <v>47</v>
      </c>
      <c r="R73" s="2" t="s">
        <v>48</v>
      </c>
      <c r="S73" s="2" t="s">
        <v>1230</v>
      </c>
      <c r="T73" s="8" t="s">
        <v>1231</v>
      </c>
      <c r="U73" s="8" t="s">
        <v>1233</v>
      </c>
      <c r="V73" s="2" t="s">
        <v>921</v>
      </c>
      <c r="W73" s="8" t="s">
        <v>1235</v>
      </c>
      <c r="X73" s="8" t="s">
        <v>1237</v>
      </c>
      <c r="Z73" s="2">
        <v>45600.0</v>
      </c>
      <c r="AA73" s="2">
        <v>1110.0</v>
      </c>
      <c r="AB73" s="2">
        <v>7637.0</v>
      </c>
      <c r="AC73" s="2">
        <v>978400.0</v>
      </c>
      <c r="AD73" s="2" t="s">
        <v>1238</v>
      </c>
      <c r="AE73" s="2" t="s">
        <v>1238</v>
      </c>
      <c r="AH73" s="2" t="s">
        <v>274</v>
      </c>
      <c r="AL73" s="6">
        <f>IFERROR(__xludf.DUMMYFUNCTION("IF(
  TRIM(AD73)="""",
  0,
  COUNTA(
    SPLIT(
      REGEXREPLACE(AD73,""\s*,\s*"","",""),
      "",""
    )
  )
)"),11.0)</f>
        <v>11</v>
      </c>
    </row>
    <row r="74">
      <c r="A74" s="2" t="s">
        <v>1239</v>
      </c>
      <c r="B74" s="2" t="s">
        <v>1239</v>
      </c>
      <c r="C74" s="2" t="s">
        <v>1240</v>
      </c>
      <c r="D74" s="2" t="s">
        <v>1241</v>
      </c>
      <c r="E74" s="2">
        <v>13400.0</v>
      </c>
      <c r="F74" s="2">
        <v>173.0</v>
      </c>
      <c r="G74" s="2">
        <v>234.0</v>
      </c>
      <c r="H74" s="8" t="s">
        <v>1242</v>
      </c>
      <c r="I74" s="2" t="s">
        <v>1243</v>
      </c>
      <c r="K74" s="10">
        <v>45914.102222222224</v>
      </c>
      <c r="L74" s="2">
        <v>1.757816832E9</v>
      </c>
      <c r="M74" s="2" t="s">
        <v>47</v>
      </c>
      <c r="N74" s="2" t="s">
        <v>47</v>
      </c>
      <c r="O74" s="2" t="s">
        <v>47</v>
      </c>
      <c r="P74" s="2" t="s">
        <v>47</v>
      </c>
      <c r="Q74" s="2" t="s">
        <v>47</v>
      </c>
      <c r="R74" s="2" t="s">
        <v>48</v>
      </c>
      <c r="S74" s="2" t="s">
        <v>1244</v>
      </c>
      <c r="T74" s="8" t="s">
        <v>1246</v>
      </c>
      <c r="U74" s="8" t="s">
        <v>1247</v>
      </c>
      <c r="V74" s="2" t="s">
        <v>1241</v>
      </c>
      <c r="W74" s="8" t="s">
        <v>1249</v>
      </c>
      <c r="X74" s="8" t="s">
        <v>1250</v>
      </c>
      <c r="Z74" s="2">
        <v>45500.0</v>
      </c>
      <c r="AA74" s="2">
        <v>1914.0</v>
      </c>
      <c r="AB74" s="2">
        <v>8870.0</v>
      </c>
      <c r="AC74" s="2">
        <v>1900000.0</v>
      </c>
      <c r="AD74" s="2" t="s">
        <v>1251</v>
      </c>
      <c r="AE74" s="2" t="s">
        <v>1251</v>
      </c>
      <c r="AL74" s="6">
        <f>IFERROR(__xludf.DUMMYFUNCTION("IF(
  TRIM(AD74)="""",
  0,
  COUNTA(
    SPLIT(
      REGEXREPLACE(AD74,""\s*,\s*"","",""),
      "",""
    )
  )
)"),5.0)</f>
        <v>5</v>
      </c>
    </row>
    <row r="75">
      <c r="A75" s="2" t="s">
        <v>1252</v>
      </c>
      <c r="B75" s="2" t="s">
        <v>1252</v>
      </c>
      <c r="C75" s="2" t="s">
        <v>1253</v>
      </c>
      <c r="D75" s="2" t="s">
        <v>1254</v>
      </c>
      <c r="E75" s="2">
        <v>11700.0</v>
      </c>
      <c r="F75" s="2">
        <v>37600.0</v>
      </c>
      <c r="G75" s="2">
        <v>372.0</v>
      </c>
      <c r="H75" s="8" t="s">
        <v>1255</v>
      </c>
      <c r="I75" s="2" t="s">
        <v>1257</v>
      </c>
      <c r="J75" s="2" t="s">
        <v>1258</v>
      </c>
      <c r="K75" s="10">
        <v>44838.84150462963</v>
      </c>
      <c r="L75" s="2">
        <v>1.664914306E9</v>
      </c>
      <c r="M75" s="2" t="s">
        <v>47</v>
      </c>
      <c r="N75" s="2" t="s">
        <v>47</v>
      </c>
      <c r="O75" s="2" t="s">
        <v>47</v>
      </c>
      <c r="P75" s="2" t="s">
        <v>47</v>
      </c>
      <c r="Q75" s="2" t="s">
        <v>47</v>
      </c>
      <c r="R75" s="2" t="s">
        <v>1259</v>
      </c>
      <c r="S75" s="2" t="s">
        <v>1260</v>
      </c>
      <c r="T75" s="8" t="s">
        <v>1261</v>
      </c>
      <c r="U75" s="8" t="s">
        <v>1263</v>
      </c>
      <c r="V75" s="2" t="s">
        <v>1264</v>
      </c>
      <c r="W75" s="8" t="s">
        <v>1265</v>
      </c>
      <c r="X75" s="8" t="s">
        <v>1267</v>
      </c>
      <c r="Z75" s="2">
        <v>45300.0</v>
      </c>
      <c r="AA75" s="2">
        <v>2275.0</v>
      </c>
      <c r="AB75" s="2">
        <v>14800.0</v>
      </c>
      <c r="AC75" s="2">
        <v>948200.0</v>
      </c>
      <c r="AD75" s="2" t="s">
        <v>1268</v>
      </c>
      <c r="AE75" s="2" t="s">
        <v>1269</v>
      </c>
      <c r="AH75" s="2" t="s">
        <v>918</v>
      </c>
      <c r="AL75" s="6">
        <f>IFERROR(__xludf.DUMMYFUNCTION("IF(
  TRIM(AD75)="""",
  0,
  COUNTA(
    SPLIT(
      REGEXREPLACE(AD75,""\s*,\s*"","",""),
      "",""
    )
  )
)"),11.0)</f>
        <v>11</v>
      </c>
    </row>
    <row r="76">
      <c r="A76" s="2" t="s">
        <v>1270</v>
      </c>
      <c r="B76" s="2" t="s">
        <v>1270</v>
      </c>
      <c r="C76" s="2" t="s">
        <v>987</v>
      </c>
      <c r="D76" s="2" t="s">
        <v>988</v>
      </c>
      <c r="E76" s="2">
        <v>155300.0</v>
      </c>
      <c r="F76" s="2">
        <v>65100.0</v>
      </c>
      <c r="G76" s="2">
        <v>1013.0</v>
      </c>
      <c r="H76" s="8" t="s">
        <v>1271</v>
      </c>
      <c r="I76" s="2" t="s">
        <v>1273</v>
      </c>
      <c r="K76" s="10">
        <v>45894.92228009259</v>
      </c>
      <c r="L76" s="2">
        <v>1.756159685E9</v>
      </c>
      <c r="M76" s="2" t="s">
        <v>47</v>
      </c>
      <c r="N76" s="2" t="s">
        <v>47</v>
      </c>
      <c r="O76" s="2" t="s">
        <v>47</v>
      </c>
      <c r="P76" s="2" t="s">
        <v>47</v>
      </c>
      <c r="Q76" s="2" t="s">
        <v>47</v>
      </c>
      <c r="R76" s="2" t="s">
        <v>48</v>
      </c>
      <c r="S76" s="2" t="s">
        <v>1274</v>
      </c>
      <c r="T76" s="8" t="s">
        <v>1275</v>
      </c>
      <c r="U76" s="8" t="s">
        <v>995</v>
      </c>
      <c r="V76" s="2" t="s">
        <v>988</v>
      </c>
      <c r="W76" s="8" t="s">
        <v>1277</v>
      </c>
      <c r="X76" s="8" t="s">
        <v>1279</v>
      </c>
      <c r="Z76" s="2">
        <v>44000.0</v>
      </c>
      <c r="AA76" s="2">
        <v>1124.0</v>
      </c>
      <c r="AB76" s="2">
        <v>5026.0</v>
      </c>
      <c r="AC76" s="2">
        <v>522700.0</v>
      </c>
      <c r="AD76" s="2" t="s">
        <v>1003</v>
      </c>
      <c r="AE76" s="2" t="s">
        <v>1003</v>
      </c>
      <c r="AH76" s="2" t="s">
        <v>144</v>
      </c>
      <c r="AL76" s="6">
        <f>IFERROR(__xludf.DUMMYFUNCTION("IF(
  TRIM(AD76)="""",
  0,
  COUNTA(
    SPLIT(
      REGEXREPLACE(AD76,""\s*,\s*"","",""),
      "",""
    )
  )
)"),3.0)</f>
        <v>3</v>
      </c>
    </row>
    <row r="77">
      <c r="A77" s="2" t="s">
        <v>1278</v>
      </c>
      <c r="B77" s="2" t="s">
        <v>1278</v>
      </c>
      <c r="C77" s="2" t="s">
        <v>920</v>
      </c>
      <c r="D77" s="2" t="s">
        <v>921</v>
      </c>
      <c r="E77" s="2">
        <v>296100.0</v>
      </c>
      <c r="F77" s="2">
        <v>1905.0</v>
      </c>
      <c r="G77" s="2">
        <v>1402.0</v>
      </c>
      <c r="H77" s="8" t="s">
        <v>922</v>
      </c>
      <c r="I77" s="2" t="s">
        <v>1281</v>
      </c>
      <c r="K77" s="10">
        <v>45966.01405092593</v>
      </c>
      <c r="L77" s="2">
        <v>1.762302014E9</v>
      </c>
      <c r="M77" s="2" t="s">
        <v>47</v>
      </c>
      <c r="N77" s="2" t="s">
        <v>47</v>
      </c>
      <c r="O77" s="2" t="s">
        <v>47</v>
      </c>
      <c r="P77" s="2" t="s">
        <v>47</v>
      </c>
      <c r="Q77" s="2" t="s">
        <v>47</v>
      </c>
      <c r="R77" s="2" t="s">
        <v>1282</v>
      </c>
      <c r="S77" s="2" t="s">
        <v>1283</v>
      </c>
      <c r="T77" s="8" t="s">
        <v>1284</v>
      </c>
      <c r="U77" s="8" t="s">
        <v>932</v>
      </c>
      <c r="V77" s="2" t="s">
        <v>921</v>
      </c>
      <c r="W77" s="8" t="s">
        <v>1286</v>
      </c>
      <c r="X77" s="8" t="s">
        <v>1288</v>
      </c>
      <c r="Z77" s="2">
        <v>42600.0</v>
      </c>
      <c r="AA77" s="2">
        <v>450.0</v>
      </c>
      <c r="AB77" s="2">
        <v>13100.0</v>
      </c>
      <c r="AC77" s="2">
        <v>878400.0</v>
      </c>
      <c r="AD77" s="2" t="s">
        <v>1289</v>
      </c>
      <c r="AE77" s="2" t="s">
        <v>1289</v>
      </c>
      <c r="AL77" s="6">
        <f>IFERROR(__xludf.DUMMYFUNCTION("IF(
  TRIM(AD77)="""",
  0,
  COUNTA(
    SPLIT(
      REGEXREPLACE(AD77,""\s*,\s*"","",""),
      "",""
    )
  )
)"),3.0)</f>
        <v>3</v>
      </c>
    </row>
    <row r="78">
      <c r="A78" s="2" t="s">
        <v>1291</v>
      </c>
      <c r="B78" s="2" t="s">
        <v>1291</v>
      </c>
      <c r="C78" s="2" t="s">
        <v>1292</v>
      </c>
      <c r="D78" s="2" t="s">
        <v>1293</v>
      </c>
      <c r="E78" s="2">
        <v>27000.0</v>
      </c>
      <c r="F78" s="2">
        <v>2774.0</v>
      </c>
      <c r="G78" s="2">
        <v>270.0</v>
      </c>
      <c r="H78" s="8" t="s">
        <v>1294</v>
      </c>
      <c r="I78" s="2" t="s">
        <v>1295</v>
      </c>
      <c r="K78" s="10">
        <v>44951.67361111111</v>
      </c>
      <c r="L78" s="2">
        <v>1.674663E9</v>
      </c>
      <c r="M78" s="2" t="s">
        <v>47</v>
      </c>
      <c r="N78" s="2" t="s">
        <v>47</v>
      </c>
      <c r="O78" s="2" t="s">
        <v>47</v>
      </c>
      <c r="P78" s="2" t="s">
        <v>47</v>
      </c>
      <c r="Q78" s="2" t="s">
        <v>47</v>
      </c>
      <c r="R78" s="2" t="s">
        <v>48</v>
      </c>
      <c r="S78" s="2" t="s">
        <v>1296</v>
      </c>
      <c r="T78" s="8" t="s">
        <v>1297</v>
      </c>
      <c r="U78" s="8" t="s">
        <v>1299</v>
      </c>
      <c r="V78" s="2" t="s">
        <v>1293</v>
      </c>
      <c r="W78" s="8" t="s">
        <v>1300</v>
      </c>
      <c r="X78" s="8" t="s">
        <v>1302</v>
      </c>
      <c r="Z78" s="2">
        <v>42400.0</v>
      </c>
      <c r="AA78" s="2">
        <v>554.0</v>
      </c>
      <c r="AB78" s="2">
        <v>13800.0</v>
      </c>
      <c r="AC78" s="2">
        <v>680300.0</v>
      </c>
      <c r="AD78" s="2" t="s">
        <v>1304</v>
      </c>
      <c r="AE78" s="2" t="s">
        <v>1304</v>
      </c>
      <c r="AL78" s="6">
        <f>IFERROR(__xludf.DUMMYFUNCTION("IF(
  TRIM(AD78)="""",
  0,
  COUNTA(
    SPLIT(
      REGEXREPLACE(AD78,""\s*,\s*"","",""),
      "",""
    )
  )
)"),8.0)</f>
        <v>8</v>
      </c>
    </row>
    <row r="79">
      <c r="A79" s="2" t="s">
        <v>870</v>
      </c>
      <c r="B79" s="2" t="s">
        <v>870</v>
      </c>
      <c r="C79" s="2" t="s">
        <v>871</v>
      </c>
      <c r="D79" s="2" t="s">
        <v>872</v>
      </c>
      <c r="E79" s="2">
        <v>622000.0</v>
      </c>
      <c r="F79" s="2">
        <v>7147.0</v>
      </c>
      <c r="G79" s="2">
        <v>298.0</v>
      </c>
      <c r="H79" s="8" t="s">
        <v>1305</v>
      </c>
      <c r="I79" s="2" t="s">
        <v>874</v>
      </c>
      <c r="K79" s="10">
        <v>45940.898043981484</v>
      </c>
      <c r="L79" s="2">
        <v>1.760131991E9</v>
      </c>
      <c r="M79" s="2" t="s">
        <v>47</v>
      </c>
      <c r="N79" s="2" t="s">
        <v>47</v>
      </c>
      <c r="O79" s="2" t="s">
        <v>47</v>
      </c>
      <c r="P79" s="2" t="s">
        <v>47</v>
      </c>
      <c r="Q79" s="2" t="s">
        <v>47</v>
      </c>
      <c r="R79" s="2" t="s">
        <v>48</v>
      </c>
      <c r="S79" s="2" t="s">
        <v>875</v>
      </c>
      <c r="T79" s="8" t="s">
        <v>1309</v>
      </c>
      <c r="U79" s="8" t="s">
        <v>1315</v>
      </c>
      <c r="V79" s="2" t="s">
        <v>872</v>
      </c>
      <c r="W79" s="8" t="s">
        <v>1317</v>
      </c>
      <c r="X79" s="8" t="s">
        <v>891</v>
      </c>
      <c r="Z79" s="2">
        <v>40300.0</v>
      </c>
      <c r="AA79" s="2">
        <v>573.0</v>
      </c>
      <c r="AB79" s="2">
        <v>2555.0</v>
      </c>
      <c r="AC79" s="2">
        <v>379800.0</v>
      </c>
      <c r="AD79" s="2" t="s">
        <v>59</v>
      </c>
      <c r="AE79" s="2" t="s">
        <v>59</v>
      </c>
      <c r="AL79" s="6">
        <f>IFERROR(__xludf.DUMMYFUNCTION("IF(
  TRIM(AD79)="""",
  0,
  COUNTA(
    SPLIT(
      REGEXREPLACE(AD79,""\s*,\s*"","",""),
      "",""
    )
  )
)"),1.0)</f>
        <v>1</v>
      </c>
    </row>
    <row r="80">
      <c r="A80" s="2" t="s">
        <v>1321</v>
      </c>
      <c r="B80" s="2" t="s">
        <v>1321</v>
      </c>
      <c r="C80" s="2" t="s">
        <v>920</v>
      </c>
      <c r="D80" s="2" t="s">
        <v>921</v>
      </c>
      <c r="E80" s="2">
        <v>296100.0</v>
      </c>
      <c r="F80" s="2">
        <v>1905.0</v>
      </c>
      <c r="G80" s="2">
        <v>1402.0</v>
      </c>
      <c r="H80" s="8" t="s">
        <v>1322</v>
      </c>
      <c r="I80" s="2" t="s">
        <v>1328</v>
      </c>
      <c r="K80" s="10">
        <v>45747.03859953704</v>
      </c>
      <c r="L80" s="2">
        <v>1.743382535E9</v>
      </c>
      <c r="M80" s="2" t="s">
        <v>47</v>
      </c>
      <c r="N80" s="2" t="s">
        <v>47</v>
      </c>
      <c r="O80" s="2" t="s">
        <v>47</v>
      </c>
      <c r="P80" s="2" t="s">
        <v>47</v>
      </c>
      <c r="Q80" s="2" t="s">
        <v>47</v>
      </c>
      <c r="R80" s="2" t="s">
        <v>48</v>
      </c>
      <c r="S80" s="2" t="s">
        <v>1329</v>
      </c>
      <c r="T80" s="8" t="s">
        <v>1330</v>
      </c>
      <c r="U80" s="8" t="s">
        <v>1233</v>
      </c>
      <c r="V80" s="2" t="s">
        <v>921</v>
      </c>
      <c r="W80" s="8" t="s">
        <v>1332</v>
      </c>
      <c r="X80" s="8" t="s">
        <v>1334</v>
      </c>
      <c r="Z80" s="2">
        <v>40100.0</v>
      </c>
      <c r="AA80" s="2">
        <v>2100.0</v>
      </c>
      <c r="AB80" s="2">
        <v>18500.0</v>
      </c>
      <c r="AC80" s="2">
        <v>744000.0</v>
      </c>
      <c r="AD80" s="2" t="s">
        <v>1289</v>
      </c>
      <c r="AE80" s="2" t="s">
        <v>1289</v>
      </c>
      <c r="AH80" s="2" t="s">
        <v>121</v>
      </c>
      <c r="AL80" s="6">
        <f>IFERROR(__xludf.DUMMYFUNCTION("IF(
  TRIM(AD80)="""",
  0,
  COUNTA(
    SPLIT(
      REGEXREPLACE(AD80,""\s*,\s*"","",""),
      "",""
    )
  )
)"),3.0)</f>
        <v>3</v>
      </c>
    </row>
    <row r="81">
      <c r="A81" s="2" t="s">
        <v>1324</v>
      </c>
      <c r="B81" s="2" t="s">
        <v>1324</v>
      </c>
      <c r="C81" s="2" t="s">
        <v>920</v>
      </c>
      <c r="D81" s="2" t="s">
        <v>921</v>
      </c>
      <c r="E81" s="2">
        <v>296100.0</v>
      </c>
      <c r="F81" s="2">
        <v>1905.0</v>
      </c>
      <c r="G81" s="2">
        <v>1402.0</v>
      </c>
      <c r="H81" s="8" t="s">
        <v>1322</v>
      </c>
      <c r="I81" s="2" t="s">
        <v>1325</v>
      </c>
      <c r="K81" s="10">
        <v>45875.96575231481</v>
      </c>
      <c r="L81" s="2">
        <v>1.754521841E9</v>
      </c>
      <c r="M81" s="2" t="s">
        <v>47</v>
      </c>
      <c r="N81" s="2" t="s">
        <v>47</v>
      </c>
      <c r="O81" s="2" t="s">
        <v>47</v>
      </c>
      <c r="P81" s="2" t="s">
        <v>47</v>
      </c>
      <c r="Q81" s="2" t="s">
        <v>47</v>
      </c>
      <c r="R81" s="2" t="s">
        <v>1282</v>
      </c>
      <c r="S81" s="2" t="s">
        <v>1326</v>
      </c>
      <c r="T81" s="8" t="s">
        <v>1335</v>
      </c>
      <c r="U81" s="8" t="s">
        <v>1233</v>
      </c>
      <c r="V81" s="2" t="s">
        <v>921</v>
      </c>
      <c r="W81" s="8" t="s">
        <v>1337</v>
      </c>
      <c r="X81" s="8" t="s">
        <v>1336</v>
      </c>
      <c r="Z81" s="2">
        <v>39800.0</v>
      </c>
      <c r="AA81" s="2">
        <v>363.0</v>
      </c>
      <c r="AB81" s="2">
        <v>7685.0</v>
      </c>
      <c r="AC81" s="2">
        <v>329500.0</v>
      </c>
      <c r="AD81" s="2" t="s">
        <v>1338</v>
      </c>
      <c r="AE81" s="2" t="s">
        <v>1338</v>
      </c>
      <c r="AL81" s="6">
        <f>IFERROR(__xludf.DUMMYFUNCTION("IF(
  TRIM(AD81)="""",
  0,
  COUNTA(
    SPLIT(
      REGEXREPLACE(AD81,""\s*,\s*"","",""),
      "",""
    )
  )
)"),3.0)</f>
        <v>3</v>
      </c>
    </row>
    <row r="82">
      <c r="A82" s="2" t="s">
        <v>1342</v>
      </c>
      <c r="B82" s="2" t="s">
        <v>1342</v>
      </c>
      <c r="C82" s="2" t="s">
        <v>1124</v>
      </c>
      <c r="D82" s="2" t="s">
        <v>1125</v>
      </c>
      <c r="E82" s="2">
        <v>733300.0</v>
      </c>
      <c r="F82" s="2">
        <v>3309.0</v>
      </c>
      <c r="G82" s="2">
        <v>1366.0</v>
      </c>
      <c r="H82" s="8" t="s">
        <v>1343</v>
      </c>
      <c r="I82" s="2" t="s">
        <v>1345</v>
      </c>
      <c r="K82" s="10">
        <v>44886.62694444445</v>
      </c>
      <c r="L82" s="2">
        <v>1.669042968E9</v>
      </c>
      <c r="M82" s="2" t="s">
        <v>47</v>
      </c>
      <c r="N82" s="2" t="s">
        <v>47</v>
      </c>
      <c r="O82" s="2" t="s">
        <v>47</v>
      </c>
      <c r="P82" s="2" t="s">
        <v>47</v>
      </c>
      <c r="Q82" s="2" t="s">
        <v>47</v>
      </c>
      <c r="R82" s="2" t="s">
        <v>48</v>
      </c>
      <c r="S82" s="2" t="s">
        <v>1346</v>
      </c>
      <c r="T82" s="8" t="s">
        <v>1347</v>
      </c>
      <c r="U82" s="8" t="s">
        <v>1348</v>
      </c>
      <c r="V82" s="2" t="s">
        <v>1125</v>
      </c>
      <c r="W82" s="8" t="s">
        <v>1350</v>
      </c>
      <c r="X82" s="8" t="s">
        <v>1355</v>
      </c>
      <c r="Z82" s="2">
        <v>39300.0</v>
      </c>
      <c r="AA82" s="2">
        <v>326.0</v>
      </c>
      <c r="AB82" s="2">
        <v>2413.0</v>
      </c>
      <c r="AC82" s="2">
        <v>684100.0</v>
      </c>
      <c r="AD82" s="2" t="s">
        <v>1143</v>
      </c>
      <c r="AE82" s="2" t="s">
        <v>1143</v>
      </c>
      <c r="AL82" s="6">
        <f>IFERROR(__xludf.DUMMYFUNCTION("IF(
  TRIM(AD82)="""",
  0,
  COUNTA(
    SPLIT(
      REGEXREPLACE(AD82,""\s*,\s*"","",""),
      "",""
    )
  )
)"),5.0)</f>
        <v>5</v>
      </c>
    </row>
    <row r="83">
      <c r="A83" s="2" t="s">
        <v>1339</v>
      </c>
      <c r="B83" s="2" t="s">
        <v>1339</v>
      </c>
      <c r="C83" s="2" t="s">
        <v>987</v>
      </c>
      <c r="D83" s="2" t="s">
        <v>988</v>
      </c>
      <c r="E83" s="2">
        <v>155300.0</v>
      </c>
      <c r="F83" s="2">
        <v>65100.0</v>
      </c>
      <c r="G83" s="2">
        <v>1013.0</v>
      </c>
      <c r="H83" s="8" t="s">
        <v>989</v>
      </c>
      <c r="I83" s="2" t="s">
        <v>1340</v>
      </c>
      <c r="K83" s="10">
        <v>45845.92072916667</v>
      </c>
      <c r="L83" s="2">
        <v>1.751925951E9</v>
      </c>
      <c r="M83" s="2" t="s">
        <v>47</v>
      </c>
      <c r="N83" s="2" t="s">
        <v>47</v>
      </c>
      <c r="O83" s="2" t="s">
        <v>47</v>
      </c>
      <c r="P83" s="2" t="s">
        <v>47</v>
      </c>
      <c r="Q83" s="2" t="s">
        <v>47</v>
      </c>
      <c r="R83" s="2" t="s">
        <v>1217</v>
      </c>
      <c r="S83" s="2" t="s">
        <v>1218</v>
      </c>
      <c r="T83" s="8" t="s">
        <v>1219</v>
      </c>
      <c r="U83" s="8" t="s">
        <v>1220</v>
      </c>
      <c r="V83" s="2" t="s">
        <v>1222</v>
      </c>
      <c r="W83" s="8" t="s">
        <v>1356</v>
      </c>
      <c r="X83" s="8" t="s">
        <v>1349</v>
      </c>
      <c r="Z83" s="2">
        <v>38800.0</v>
      </c>
      <c r="AA83" s="2">
        <v>977.0</v>
      </c>
      <c r="AB83" s="2">
        <v>4883.0</v>
      </c>
      <c r="AC83" s="2">
        <v>500500.0</v>
      </c>
      <c r="AD83" s="2" t="s">
        <v>1003</v>
      </c>
      <c r="AE83" s="2" t="s">
        <v>1003</v>
      </c>
      <c r="AL83" s="6">
        <f>IFERROR(__xludf.DUMMYFUNCTION("IF(
  TRIM(AD83)="""",
  0,
  COUNTA(
    SPLIT(
      REGEXREPLACE(AD83,""\s*,\s*"","",""),
      "",""
    )
  )
)"),3.0)</f>
        <v>3</v>
      </c>
    </row>
    <row r="84">
      <c r="A84" s="2" t="s">
        <v>1351</v>
      </c>
      <c r="B84" s="2" t="s">
        <v>1351</v>
      </c>
      <c r="C84" s="2" t="s">
        <v>920</v>
      </c>
      <c r="D84" s="2" t="s">
        <v>921</v>
      </c>
      <c r="E84" s="2">
        <v>296100.0</v>
      </c>
      <c r="F84" s="2">
        <v>1905.0</v>
      </c>
      <c r="G84" s="2">
        <v>1402.0</v>
      </c>
      <c r="H84" s="8" t="s">
        <v>1322</v>
      </c>
      <c r="I84" s="2" t="s">
        <v>1352</v>
      </c>
      <c r="K84" s="10">
        <v>45740.03791666667</v>
      </c>
      <c r="L84" s="2">
        <v>1.742777676E9</v>
      </c>
      <c r="M84" s="2" t="s">
        <v>47</v>
      </c>
      <c r="N84" s="2" t="s">
        <v>47</v>
      </c>
      <c r="O84" s="2" t="s">
        <v>47</v>
      </c>
      <c r="P84" s="2" t="s">
        <v>47</v>
      </c>
      <c r="Q84" s="2" t="s">
        <v>47</v>
      </c>
      <c r="R84" s="2" t="s">
        <v>48</v>
      </c>
      <c r="S84" s="2" t="s">
        <v>1353</v>
      </c>
      <c r="T84" s="8" t="s">
        <v>1358</v>
      </c>
      <c r="U84" s="8" t="s">
        <v>1233</v>
      </c>
      <c r="V84" s="2" t="s">
        <v>921</v>
      </c>
      <c r="W84" s="8" t="s">
        <v>1360</v>
      </c>
      <c r="X84" s="8" t="s">
        <v>1359</v>
      </c>
      <c r="Z84" s="2">
        <v>38300.0</v>
      </c>
      <c r="AA84" s="2">
        <v>853.0</v>
      </c>
      <c r="AB84" s="2">
        <v>8349.0</v>
      </c>
      <c r="AC84" s="2">
        <v>615900.0</v>
      </c>
      <c r="AD84" s="2" t="s">
        <v>1338</v>
      </c>
      <c r="AE84" s="2" t="s">
        <v>1338</v>
      </c>
      <c r="AL84" s="6">
        <f>IFERROR(__xludf.DUMMYFUNCTION("IF(
  TRIM(AD84)="""",
  0,
  COUNTA(
    SPLIT(
      REGEXREPLACE(AD84,""\s*,\s*"","",""),
      "",""
    )
  )
)"),3.0)</f>
        <v>3</v>
      </c>
    </row>
    <row r="85">
      <c r="A85" s="2" t="s">
        <v>1367</v>
      </c>
      <c r="B85" s="2" t="s">
        <v>1367</v>
      </c>
      <c r="C85" s="2" t="s">
        <v>1124</v>
      </c>
      <c r="D85" s="2" t="s">
        <v>1125</v>
      </c>
      <c r="E85" s="2">
        <v>733300.0</v>
      </c>
      <c r="F85" s="2">
        <v>3309.0</v>
      </c>
      <c r="G85" s="2">
        <v>1366.0</v>
      </c>
      <c r="H85" s="8" t="s">
        <v>1126</v>
      </c>
      <c r="I85" s="2" t="s">
        <v>1368</v>
      </c>
      <c r="K85" s="10">
        <v>44881.645474537036</v>
      </c>
      <c r="L85" s="2">
        <v>1.668612569E9</v>
      </c>
      <c r="M85" s="2" t="s">
        <v>47</v>
      </c>
      <c r="N85" s="2" t="s">
        <v>47</v>
      </c>
      <c r="O85" s="2" t="s">
        <v>47</v>
      </c>
      <c r="P85" s="2" t="s">
        <v>47</v>
      </c>
      <c r="Q85" s="2" t="s">
        <v>47</v>
      </c>
      <c r="R85" s="2" t="s">
        <v>48</v>
      </c>
      <c r="S85" s="2" t="s">
        <v>1369</v>
      </c>
      <c r="T85" s="8" t="s">
        <v>1370</v>
      </c>
      <c r="U85" s="8" t="s">
        <v>1348</v>
      </c>
      <c r="V85" s="2" t="s">
        <v>1125</v>
      </c>
      <c r="W85" s="8" t="s">
        <v>1371</v>
      </c>
      <c r="X85" s="8" t="s">
        <v>1373</v>
      </c>
      <c r="Z85" s="2">
        <v>37500.0</v>
      </c>
      <c r="AA85" s="2">
        <v>735.0</v>
      </c>
      <c r="AB85" s="2">
        <v>1693.0</v>
      </c>
      <c r="AC85" s="2">
        <v>296400.0</v>
      </c>
      <c r="AD85" s="2" t="s">
        <v>1143</v>
      </c>
      <c r="AE85" s="2" t="s">
        <v>1143</v>
      </c>
      <c r="AL85" s="6">
        <f>IFERROR(__xludf.DUMMYFUNCTION("IF(
  TRIM(AD85)="""",
  0,
  COUNTA(
    SPLIT(
      REGEXREPLACE(AD85,""\s*,\s*"","",""),
      "",""
    )
  )
)"),5.0)</f>
        <v>5</v>
      </c>
    </row>
    <row r="86">
      <c r="A86" s="2" t="s">
        <v>268</v>
      </c>
      <c r="B86" s="2" t="s">
        <v>268</v>
      </c>
      <c r="C86" s="2" t="s">
        <v>269</v>
      </c>
      <c r="D86" s="2" t="s">
        <v>270</v>
      </c>
      <c r="E86" s="2">
        <v>1.38E7</v>
      </c>
      <c r="F86" s="2">
        <v>4199.0</v>
      </c>
      <c r="G86" s="2">
        <v>2189.0</v>
      </c>
      <c r="H86" s="8" t="s">
        <v>1375</v>
      </c>
      <c r="I86" s="2" t="s">
        <v>279</v>
      </c>
      <c r="J86" s="2" t="s">
        <v>280</v>
      </c>
      <c r="K86" s="10">
        <v>45884.64591435185</v>
      </c>
      <c r="L86" s="2">
        <v>1.755271807E9</v>
      </c>
      <c r="M86" s="2" t="s">
        <v>47</v>
      </c>
      <c r="N86" s="2" t="s">
        <v>47</v>
      </c>
      <c r="O86" s="2" t="s">
        <v>47</v>
      </c>
      <c r="P86" s="2" t="s">
        <v>47</v>
      </c>
      <c r="Q86" s="2" t="s">
        <v>47</v>
      </c>
      <c r="R86" s="2" t="s">
        <v>281</v>
      </c>
      <c r="S86" s="2" t="s">
        <v>282</v>
      </c>
      <c r="T86" s="8" t="s">
        <v>283</v>
      </c>
      <c r="U86" s="8" t="s">
        <v>288</v>
      </c>
      <c r="V86" s="2" t="s">
        <v>289</v>
      </c>
      <c r="W86" s="8" t="s">
        <v>1377</v>
      </c>
      <c r="X86" s="8" t="s">
        <v>298</v>
      </c>
      <c r="Z86" s="2">
        <v>37100.0</v>
      </c>
      <c r="AA86" s="2">
        <v>227.0</v>
      </c>
      <c r="AB86" s="2">
        <v>1811.0</v>
      </c>
      <c r="AC86" s="2">
        <v>666500.0</v>
      </c>
      <c r="AH86" s="2" t="s">
        <v>256</v>
      </c>
      <c r="AL86" s="6">
        <f>IFERROR(__xludf.DUMMYFUNCTION("IF(
  TRIM(AD86)="""",
  0,
  COUNTA(
    SPLIT(
      REGEXREPLACE(AD86,""\s*,\s*"","",""),
      "",""
    )
  )
)"),0.0)</f>
        <v>0</v>
      </c>
    </row>
    <row r="87">
      <c r="A87" s="2" t="s">
        <v>1383</v>
      </c>
      <c r="B87" s="2" t="s">
        <v>1383</v>
      </c>
      <c r="C87" s="2" t="s">
        <v>123</v>
      </c>
      <c r="D87" s="2" t="s">
        <v>124</v>
      </c>
      <c r="E87" s="2">
        <v>252600.0</v>
      </c>
      <c r="F87" s="2">
        <v>353.0</v>
      </c>
      <c r="G87" s="2">
        <v>674.0</v>
      </c>
      <c r="H87" s="8" t="s">
        <v>125</v>
      </c>
      <c r="I87" s="2" t="s">
        <v>1384</v>
      </c>
      <c r="K87" s="10">
        <v>45751.5409375</v>
      </c>
      <c r="L87" s="2">
        <v>1.743771537E9</v>
      </c>
      <c r="M87" s="2" t="s">
        <v>47</v>
      </c>
      <c r="N87" s="2" t="s">
        <v>47</v>
      </c>
      <c r="O87" s="2" t="s">
        <v>47</v>
      </c>
      <c r="P87" s="2" t="s">
        <v>47</v>
      </c>
      <c r="Q87" s="2" t="s">
        <v>47</v>
      </c>
      <c r="R87" s="2" t="s">
        <v>48</v>
      </c>
      <c r="S87" s="2" t="s">
        <v>1385</v>
      </c>
      <c r="T87" s="8" t="s">
        <v>1386</v>
      </c>
      <c r="U87" s="8" t="s">
        <v>738</v>
      </c>
      <c r="V87" s="2" t="s">
        <v>124</v>
      </c>
      <c r="W87" s="8" t="s">
        <v>1391</v>
      </c>
      <c r="X87" s="8" t="s">
        <v>1393</v>
      </c>
      <c r="Z87" s="2">
        <v>36400.0</v>
      </c>
      <c r="AA87" s="2">
        <v>558.0</v>
      </c>
      <c r="AB87" s="2">
        <v>2522.0</v>
      </c>
      <c r="AC87" s="2">
        <v>454400.0</v>
      </c>
      <c r="AD87" s="2" t="s">
        <v>1394</v>
      </c>
      <c r="AE87" s="2" t="s">
        <v>1394</v>
      </c>
      <c r="AH87" s="2" t="s">
        <v>121</v>
      </c>
      <c r="AL87" s="6">
        <f>IFERROR(__xludf.DUMMYFUNCTION("IF(
  TRIM(AD87)="""",
  0,
  COUNTA(
    SPLIT(
      REGEXREPLACE(AD87,""\s*,\s*"","",""),
      "",""
    )
  )
)"),10.0)</f>
        <v>10</v>
      </c>
    </row>
    <row r="88">
      <c r="A88" s="2" t="s">
        <v>1395</v>
      </c>
      <c r="B88" s="2" t="s">
        <v>1395</v>
      </c>
      <c r="C88" s="2" t="s">
        <v>1396</v>
      </c>
      <c r="D88" s="2" t="s">
        <v>1397</v>
      </c>
      <c r="E88" s="2">
        <v>296800.0</v>
      </c>
      <c r="F88" s="2">
        <v>6254.0</v>
      </c>
      <c r="G88" s="2">
        <v>1317.0</v>
      </c>
      <c r="H88" s="8" t="s">
        <v>1398</v>
      </c>
      <c r="I88" s="2" t="s">
        <v>1400</v>
      </c>
      <c r="J88" s="2" t="s">
        <v>1401</v>
      </c>
      <c r="K88" s="10">
        <v>45700.60728009259</v>
      </c>
      <c r="L88" s="2">
        <v>1.739370869E9</v>
      </c>
      <c r="M88" s="2" t="s">
        <v>47</v>
      </c>
      <c r="N88" s="2" t="s">
        <v>47</v>
      </c>
      <c r="O88" s="2" t="s">
        <v>47</v>
      </c>
      <c r="P88" s="2" t="s">
        <v>47</v>
      </c>
      <c r="Q88" s="2" t="s">
        <v>47</v>
      </c>
      <c r="R88" s="2" t="s">
        <v>1402</v>
      </c>
      <c r="S88" s="2" t="s">
        <v>1403</v>
      </c>
      <c r="T88" s="8" t="s">
        <v>1404</v>
      </c>
      <c r="U88" s="8" t="s">
        <v>1405</v>
      </c>
      <c r="V88" s="2" t="s">
        <v>1407</v>
      </c>
      <c r="W88" s="8" t="s">
        <v>1408</v>
      </c>
      <c r="X88" s="8" t="s">
        <v>1415</v>
      </c>
      <c r="Z88" s="2">
        <v>35800.0</v>
      </c>
      <c r="AA88" s="2">
        <v>482.0</v>
      </c>
      <c r="AB88" s="2">
        <v>4641.0</v>
      </c>
      <c r="AC88" s="2">
        <v>648700.0</v>
      </c>
      <c r="AD88" s="2" t="s">
        <v>1417</v>
      </c>
      <c r="AE88" s="2" t="s">
        <v>1417</v>
      </c>
      <c r="AL88" s="6">
        <f>IFERROR(__xludf.DUMMYFUNCTION("IF(
  TRIM(AD88)="""",
  0,
  COUNTA(
    SPLIT(
      REGEXREPLACE(AD88,""\s*,\s*"","",""),
      "",""
    )
  )
)"),6.0)</f>
        <v>6</v>
      </c>
    </row>
    <row r="89">
      <c r="A89" s="2" t="s">
        <v>304</v>
      </c>
      <c r="B89" s="2" t="s">
        <v>304</v>
      </c>
      <c r="C89" s="2" t="s">
        <v>305</v>
      </c>
      <c r="D89" s="2" t="s">
        <v>306</v>
      </c>
      <c r="E89" s="2">
        <v>2600000.0</v>
      </c>
      <c r="F89" s="2">
        <v>7552.0</v>
      </c>
      <c r="G89" s="2">
        <v>1571.0</v>
      </c>
      <c r="H89" s="8" t="s">
        <v>1418</v>
      </c>
      <c r="I89" s="2" t="s">
        <v>310</v>
      </c>
      <c r="J89" s="2" t="s">
        <v>311</v>
      </c>
      <c r="K89" s="10">
        <v>45391.55197916667</v>
      </c>
      <c r="L89" s="2">
        <v>1.712668491E9</v>
      </c>
      <c r="M89" s="2" t="s">
        <v>47</v>
      </c>
      <c r="N89" s="2" t="s">
        <v>47</v>
      </c>
      <c r="O89" s="2" t="s">
        <v>47</v>
      </c>
      <c r="P89" s="2" t="s">
        <v>47</v>
      </c>
      <c r="Q89" s="2" t="s">
        <v>47</v>
      </c>
      <c r="R89" s="2" t="s">
        <v>312</v>
      </c>
      <c r="S89" s="2" t="s">
        <v>313</v>
      </c>
      <c r="U89" s="8" t="s">
        <v>1421</v>
      </c>
      <c r="V89" s="2" t="s">
        <v>316</v>
      </c>
      <c r="W89" s="8" t="s">
        <v>1422</v>
      </c>
      <c r="X89" s="8" t="s">
        <v>327</v>
      </c>
      <c r="Z89" s="2">
        <v>35500.0</v>
      </c>
      <c r="AA89" s="2">
        <v>2538.0</v>
      </c>
      <c r="AB89" s="2">
        <v>9679.0</v>
      </c>
      <c r="AC89" s="2">
        <v>1000000.0</v>
      </c>
      <c r="AL89" s="6">
        <f>IFERROR(__xludf.DUMMYFUNCTION("IF(
  TRIM(AD89)="""",
  0,
  COUNTA(
    SPLIT(
      REGEXREPLACE(AD89,""\s*,\s*"","",""),
      "",""
    )
  )
)"),0.0)</f>
        <v>0</v>
      </c>
    </row>
    <row r="90">
      <c r="A90" s="2" t="s">
        <v>1424</v>
      </c>
      <c r="B90" s="2" t="s">
        <v>1424</v>
      </c>
      <c r="C90" s="2" t="s">
        <v>69</v>
      </c>
      <c r="D90" s="2" t="s">
        <v>70</v>
      </c>
      <c r="E90" s="2">
        <v>175800.0</v>
      </c>
      <c r="F90" s="2">
        <v>886.0</v>
      </c>
      <c r="G90" s="2">
        <v>767.0</v>
      </c>
      <c r="H90" s="8" t="s">
        <v>84</v>
      </c>
      <c r="I90" s="2" t="s">
        <v>1426</v>
      </c>
      <c r="K90" s="10">
        <v>45391.00094907408</v>
      </c>
      <c r="L90" s="2">
        <v>1.712620882E9</v>
      </c>
      <c r="M90" s="2" t="s">
        <v>47</v>
      </c>
      <c r="N90" s="2" t="s">
        <v>47</v>
      </c>
      <c r="O90" s="2" t="s">
        <v>47</v>
      </c>
      <c r="P90" s="2" t="s">
        <v>47</v>
      </c>
      <c r="Q90" s="2" t="s">
        <v>47</v>
      </c>
      <c r="R90" s="2" t="s">
        <v>48</v>
      </c>
      <c r="S90" s="2" t="s">
        <v>1427</v>
      </c>
      <c r="T90" s="8" t="s">
        <v>1428</v>
      </c>
      <c r="U90" s="8" t="s">
        <v>1010</v>
      </c>
      <c r="V90" s="2" t="s">
        <v>70</v>
      </c>
      <c r="W90" s="8" t="s">
        <v>1432</v>
      </c>
      <c r="X90" s="8" t="s">
        <v>1434</v>
      </c>
      <c r="Z90" s="2">
        <v>35500.0</v>
      </c>
      <c r="AA90" s="2">
        <v>897.0</v>
      </c>
      <c r="AB90" s="2">
        <v>5528.0</v>
      </c>
      <c r="AC90" s="2">
        <v>330600.0</v>
      </c>
      <c r="AD90" s="2" t="s">
        <v>1436</v>
      </c>
      <c r="AE90" s="2" t="s">
        <v>1436</v>
      </c>
      <c r="AL90" s="6">
        <f>IFERROR(__xludf.DUMMYFUNCTION("IF(
  TRIM(AD90)="""",
  0,
  COUNTA(
    SPLIT(
      REGEXREPLACE(AD90,""\s*,\s*"","",""),
      "",""
    )
  )
)"),5.0)</f>
        <v>5</v>
      </c>
    </row>
    <row r="91">
      <c r="A91" s="2" t="s">
        <v>1437</v>
      </c>
      <c r="B91" s="2" t="s">
        <v>1437</v>
      </c>
      <c r="C91" s="2" t="s">
        <v>716</v>
      </c>
      <c r="D91" s="2" t="s">
        <v>717</v>
      </c>
      <c r="E91" s="2">
        <v>92600.0</v>
      </c>
      <c r="F91" s="2">
        <v>2572.0</v>
      </c>
      <c r="G91" s="2">
        <v>116.0</v>
      </c>
      <c r="H91" s="8" t="s">
        <v>1165</v>
      </c>
      <c r="I91" s="2" t="s">
        <v>1438</v>
      </c>
      <c r="J91" s="2" t="s">
        <v>1439</v>
      </c>
      <c r="K91" s="10">
        <v>45419.630532407406</v>
      </c>
      <c r="L91" s="2">
        <v>1.715094478E9</v>
      </c>
      <c r="M91" s="2" t="s">
        <v>47</v>
      </c>
      <c r="N91" s="2" t="s">
        <v>47</v>
      </c>
      <c r="O91" s="2" t="s">
        <v>47</v>
      </c>
      <c r="P91" s="2" t="s">
        <v>47</v>
      </c>
      <c r="Q91" s="2" t="s">
        <v>47</v>
      </c>
      <c r="R91" s="2" t="s">
        <v>48</v>
      </c>
      <c r="S91" s="2" t="s">
        <v>1440</v>
      </c>
      <c r="T91" s="8" t="s">
        <v>1441</v>
      </c>
      <c r="U91" s="8" t="s">
        <v>726</v>
      </c>
      <c r="V91" s="2" t="s">
        <v>717</v>
      </c>
      <c r="X91" s="8" t="s">
        <v>1446</v>
      </c>
      <c r="Z91" s="2">
        <v>35400.0</v>
      </c>
      <c r="AA91" s="2">
        <v>379.0</v>
      </c>
      <c r="AB91" s="2">
        <v>5003.0</v>
      </c>
      <c r="AC91" s="2">
        <v>503600.0</v>
      </c>
      <c r="AD91" s="2" t="s">
        <v>1447</v>
      </c>
      <c r="AE91" s="2" t="s">
        <v>1447</v>
      </c>
      <c r="AL91" s="6">
        <f>IFERROR(__xludf.DUMMYFUNCTION("IF(
  TRIM(AD91)="""",
  0,
  COUNTA(
    SPLIT(
      REGEXREPLACE(AD91,""\s*,\s*"","",""),
      "",""
    )
  )
)"),4.0)</f>
        <v>4</v>
      </c>
    </row>
    <row r="92">
      <c r="A92" s="2" t="s">
        <v>1448</v>
      </c>
      <c r="B92" s="2" t="s">
        <v>1448</v>
      </c>
      <c r="C92" s="2" t="s">
        <v>716</v>
      </c>
      <c r="D92" s="2" t="s">
        <v>717</v>
      </c>
      <c r="E92" s="2">
        <v>92600.0</v>
      </c>
      <c r="F92" s="2">
        <v>2572.0</v>
      </c>
      <c r="G92" s="2">
        <v>116.0</v>
      </c>
      <c r="H92" s="8" t="s">
        <v>1165</v>
      </c>
      <c r="I92" s="2" t="s">
        <v>1450</v>
      </c>
      <c r="J92" s="2" t="s">
        <v>1451</v>
      </c>
      <c r="K92" s="10">
        <v>45376.675462962965</v>
      </c>
      <c r="L92" s="2">
        <v>1.71138316E9</v>
      </c>
      <c r="M92" s="2" t="s">
        <v>47</v>
      </c>
      <c r="N92" s="2" t="s">
        <v>47</v>
      </c>
      <c r="O92" s="2" t="s">
        <v>47</v>
      </c>
      <c r="P92" s="2" t="s">
        <v>47</v>
      </c>
      <c r="Q92" s="2" t="s">
        <v>47</v>
      </c>
      <c r="R92" s="2" t="s">
        <v>908</v>
      </c>
      <c r="S92" s="2" t="s">
        <v>909</v>
      </c>
      <c r="T92" s="8" t="s">
        <v>910</v>
      </c>
      <c r="U92" s="8" t="s">
        <v>911</v>
      </c>
      <c r="V92" s="2" t="s">
        <v>912</v>
      </c>
      <c r="X92" s="8" t="s">
        <v>1452</v>
      </c>
      <c r="Z92" s="2">
        <v>35100.0</v>
      </c>
      <c r="AA92" s="2">
        <v>398.0</v>
      </c>
      <c r="AB92" s="2">
        <v>5052.0</v>
      </c>
      <c r="AC92" s="2">
        <v>484100.0</v>
      </c>
      <c r="AD92" s="2" t="s">
        <v>1453</v>
      </c>
      <c r="AE92" s="2" t="s">
        <v>1453</v>
      </c>
      <c r="AL92" s="6">
        <f>IFERROR(__xludf.DUMMYFUNCTION("IF(
  TRIM(AD92)="""",
  0,
  COUNTA(
    SPLIT(
      REGEXREPLACE(AD92,""\s*,\s*"","",""),
      "",""
    )
  )
)"),4.0)</f>
        <v>4</v>
      </c>
    </row>
    <row r="93">
      <c r="A93" s="2" t="s">
        <v>1454</v>
      </c>
      <c r="B93" s="2" t="s">
        <v>1454</v>
      </c>
      <c r="C93" s="2" t="s">
        <v>1455</v>
      </c>
      <c r="D93" s="2" t="s">
        <v>1456</v>
      </c>
      <c r="E93" s="2">
        <v>103500.0</v>
      </c>
      <c r="F93" s="2">
        <v>119.0</v>
      </c>
      <c r="G93" s="2">
        <v>341.0</v>
      </c>
      <c r="H93" s="8" t="s">
        <v>1457</v>
      </c>
      <c r="I93" s="2" t="s">
        <v>1459</v>
      </c>
      <c r="K93" s="10">
        <v>45644.92574074074</v>
      </c>
      <c r="L93" s="2">
        <v>1.734559984E9</v>
      </c>
      <c r="M93" s="2" t="s">
        <v>47</v>
      </c>
      <c r="N93" s="2" t="s">
        <v>47</v>
      </c>
      <c r="O93" s="2" t="s">
        <v>47</v>
      </c>
      <c r="P93" s="2" t="s">
        <v>47</v>
      </c>
      <c r="Q93" s="2" t="s">
        <v>47</v>
      </c>
      <c r="R93" s="2" t="s">
        <v>1460</v>
      </c>
      <c r="S93" s="2" t="s">
        <v>1461</v>
      </c>
      <c r="T93" s="8" t="s">
        <v>1462</v>
      </c>
      <c r="U93" s="8" t="s">
        <v>1464</v>
      </c>
      <c r="V93" s="2" t="s">
        <v>1468</v>
      </c>
      <c r="W93" s="8" t="s">
        <v>1469</v>
      </c>
      <c r="X93" s="8" t="s">
        <v>1471</v>
      </c>
      <c r="Z93" s="2">
        <v>34500.0</v>
      </c>
      <c r="AA93" s="2">
        <v>2177.0</v>
      </c>
      <c r="AB93" s="2">
        <v>5205.0</v>
      </c>
      <c r="AC93" s="2">
        <v>1200000.0</v>
      </c>
      <c r="AD93" s="2" t="s">
        <v>1472</v>
      </c>
      <c r="AE93" s="2" t="s">
        <v>1472</v>
      </c>
      <c r="AH93" s="2" t="s">
        <v>97</v>
      </c>
      <c r="AL93" s="6">
        <f>IFERROR(__xludf.DUMMYFUNCTION("IF(
  TRIM(AD93)="""",
  0,
  COUNTA(
    SPLIT(
      REGEXREPLACE(AD93,""\s*,\s*"","",""),
      "",""
    )
  )
)"),5.0)</f>
        <v>5</v>
      </c>
    </row>
    <row r="94">
      <c r="A94" s="2" t="s">
        <v>1473</v>
      </c>
      <c r="B94" s="2" t="s">
        <v>1473</v>
      </c>
      <c r="C94" s="2" t="s">
        <v>409</v>
      </c>
      <c r="D94" s="2" t="s">
        <v>410</v>
      </c>
      <c r="E94" s="2">
        <v>199700.0</v>
      </c>
      <c r="F94" s="2">
        <v>735.0</v>
      </c>
      <c r="G94" s="2">
        <v>145.0</v>
      </c>
      <c r="H94" s="8" t="s">
        <v>411</v>
      </c>
      <c r="I94" s="2" t="s">
        <v>1474</v>
      </c>
      <c r="J94" s="2" t="s">
        <v>1475</v>
      </c>
      <c r="K94" s="10">
        <v>45783.001539351855</v>
      </c>
      <c r="L94" s="2">
        <v>1.746489733E9</v>
      </c>
      <c r="M94" s="2" t="s">
        <v>47</v>
      </c>
      <c r="N94" s="2" t="s">
        <v>47</v>
      </c>
      <c r="O94" s="2" t="s">
        <v>47</v>
      </c>
      <c r="P94" s="2" t="s">
        <v>47</v>
      </c>
      <c r="Q94" s="2" t="s">
        <v>47</v>
      </c>
      <c r="R94" s="2" t="s">
        <v>48</v>
      </c>
      <c r="S94" s="2" t="s">
        <v>1476</v>
      </c>
      <c r="T94" s="8" t="s">
        <v>1477</v>
      </c>
      <c r="U94" s="8" t="s">
        <v>418</v>
      </c>
      <c r="V94" s="2" t="s">
        <v>410</v>
      </c>
      <c r="W94" s="8" t="s">
        <v>1479</v>
      </c>
      <c r="X94" s="8" t="s">
        <v>1487</v>
      </c>
      <c r="Z94" s="2">
        <v>34000.0</v>
      </c>
      <c r="AA94" s="2">
        <v>1980.0</v>
      </c>
      <c r="AB94" s="2">
        <v>13700.0</v>
      </c>
      <c r="AC94" s="2">
        <v>489500.0</v>
      </c>
      <c r="AD94" s="2" t="s">
        <v>1489</v>
      </c>
      <c r="AE94" s="2" t="s">
        <v>1489</v>
      </c>
      <c r="AL94" s="6">
        <f>IFERROR(__xludf.DUMMYFUNCTION("IF(
  TRIM(AD94)="""",
  0,
  COUNTA(
    SPLIT(
      REGEXREPLACE(AD94,""\s*,\s*"","",""),
      "",""
    )
  )
)"),14.0)</f>
        <v>14</v>
      </c>
    </row>
    <row r="95">
      <c r="A95" s="2" t="s">
        <v>1361</v>
      </c>
      <c r="B95" s="2" t="s">
        <v>1361</v>
      </c>
      <c r="C95" s="2" t="s">
        <v>1362</v>
      </c>
      <c r="D95" s="2" t="s">
        <v>1362</v>
      </c>
      <c r="E95" s="2">
        <v>6477.0</v>
      </c>
      <c r="F95" s="2">
        <v>52.0</v>
      </c>
      <c r="G95" s="2">
        <v>50.0</v>
      </c>
      <c r="H95" s="8" t="s">
        <v>1490</v>
      </c>
      <c r="I95" s="2" t="s">
        <v>1364</v>
      </c>
      <c r="K95" s="10">
        <v>45627.84483796296</v>
      </c>
      <c r="L95" s="2">
        <v>1.733084194E9</v>
      </c>
      <c r="M95" s="2" t="s">
        <v>47</v>
      </c>
      <c r="N95" s="2" t="s">
        <v>47</v>
      </c>
      <c r="O95" s="2" t="s">
        <v>47</v>
      </c>
      <c r="P95" s="2" t="s">
        <v>47</v>
      </c>
      <c r="Q95" s="2" t="s">
        <v>47</v>
      </c>
      <c r="R95" s="2" t="s">
        <v>48</v>
      </c>
      <c r="S95" s="2" t="s">
        <v>1365</v>
      </c>
      <c r="T95" s="8" t="s">
        <v>1492</v>
      </c>
      <c r="U95" s="8" t="s">
        <v>1494</v>
      </c>
      <c r="V95" s="2" t="s">
        <v>1362</v>
      </c>
      <c r="W95" s="8" t="s">
        <v>1496</v>
      </c>
      <c r="X95" s="8" t="s">
        <v>1376</v>
      </c>
      <c r="Z95" s="2">
        <v>33800.0</v>
      </c>
      <c r="AA95" s="2">
        <v>2028.0</v>
      </c>
      <c r="AB95" s="2">
        <v>9416.0</v>
      </c>
      <c r="AC95" s="2">
        <v>802900.0</v>
      </c>
      <c r="AD95" s="2" t="s">
        <v>1378</v>
      </c>
      <c r="AE95" s="2" t="s">
        <v>1378</v>
      </c>
      <c r="AL95" s="6">
        <f>IFERROR(__xludf.DUMMYFUNCTION("IF(
  TRIM(AD95)="""",
  0,
  COUNTA(
    SPLIT(
      REGEXREPLACE(AD95,""\s*,\s*"","",""),
      "",""
    )
  )
)"),3.0)</f>
        <v>3</v>
      </c>
    </row>
    <row r="96">
      <c r="A96" s="2" t="s">
        <v>1503</v>
      </c>
      <c r="B96" s="2" t="s">
        <v>1503</v>
      </c>
      <c r="C96" s="2" t="s">
        <v>1504</v>
      </c>
      <c r="D96" s="2" t="s">
        <v>1504</v>
      </c>
      <c r="E96" s="2">
        <v>19100.0</v>
      </c>
      <c r="F96" s="2">
        <v>638.0</v>
      </c>
      <c r="G96" s="2">
        <v>158.0</v>
      </c>
      <c r="H96" s="8" t="s">
        <v>1505</v>
      </c>
      <c r="I96" s="2" t="s">
        <v>1506</v>
      </c>
      <c r="J96" s="2" t="s">
        <v>1507</v>
      </c>
      <c r="K96" s="10">
        <v>45624.63358796296</v>
      </c>
      <c r="L96" s="2">
        <v>1.732806742E9</v>
      </c>
      <c r="M96" s="2" t="s">
        <v>47</v>
      </c>
      <c r="N96" s="2" t="s">
        <v>47</v>
      </c>
      <c r="O96" s="2" t="s">
        <v>47</v>
      </c>
      <c r="P96" s="2" t="s">
        <v>47</v>
      </c>
      <c r="Q96" s="2" t="s">
        <v>47</v>
      </c>
      <c r="R96" s="2" t="s">
        <v>48</v>
      </c>
      <c r="S96" s="2" t="s">
        <v>1508</v>
      </c>
      <c r="T96" s="8" t="s">
        <v>1509</v>
      </c>
      <c r="U96" s="8" t="s">
        <v>1515</v>
      </c>
      <c r="V96" s="2" t="s">
        <v>1504</v>
      </c>
      <c r="W96" s="8" t="s">
        <v>1516</v>
      </c>
      <c r="X96" s="8" t="s">
        <v>1518</v>
      </c>
      <c r="Z96" s="2">
        <v>33700.0</v>
      </c>
      <c r="AA96" s="2">
        <v>2361.0</v>
      </c>
      <c r="AB96" s="2">
        <v>11500.0</v>
      </c>
      <c r="AC96" s="2">
        <v>939500.0</v>
      </c>
      <c r="AD96" s="2" t="s">
        <v>1520</v>
      </c>
      <c r="AE96" s="2" t="s">
        <v>1520</v>
      </c>
      <c r="AL96" s="6">
        <f>IFERROR(__xludf.DUMMYFUNCTION("IF(
  TRIM(AD96)="""",
  0,
  COUNTA(
    SPLIT(
      REGEXREPLACE(AD96,""\s*,\s*"","",""),
      "",""
    )
  )
)"),12.0)</f>
        <v>12</v>
      </c>
    </row>
    <row r="97">
      <c r="A97" s="2" t="s">
        <v>329</v>
      </c>
      <c r="B97" s="2" t="s">
        <v>329</v>
      </c>
      <c r="C97" s="2" t="s">
        <v>69</v>
      </c>
      <c r="D97" s="2" t="s">
        <v>70</v>
      </c>
      <c r="E97" s="2">
        <v>175800.0</v>
      </c>
      <c r="F97" s="2">
        <v>886.0</v>
      </c>
      <c r="G97" s="2">
        <v>767.0</v>
      </c>
      <c r="H97" s="8" t="s">
        <v>84</v>
      </c>
      <c r="I97" s="2" t="s">
        <v>341</v>
      </c>
      <c r="J97" s="2" t="s">
        <v>342</v>
      </c>
      <c r="K97" s="10">
        <v>45053.651666666665</v>
      </c>
      <c r="L97" s="2">
        <v>1.683473904E9</v>
      </c>
      <c r="M97" s="2" t="s">
        <v>47</v>
      </c>
      <c r="N97" s="2" t="s">
        <v>47</v>
      </c>
      <c r="O97" s="2" t="s">
        <v>47</v>
      </c>
      <c r="P97" s="2" t="s">
        <v>47</v>
      </c>
      <c r="Q97" s="2" t="s">
        <v>47</v>
      </c>
      <c r="R97" s="2" t="s">
        <v>48</v>
      </c>
      <c r="S97" s="2" t="s">
        <v>344</v>
      </c>
      <c r="T97" s="8" t="s">
        <v>1521</v>
      </c>
      <c r="U97" s="8" t="s">
        <v>1052</v>
      </c>
      <c r="V97" s="2" t="s">
        <v>70</v>
      </c>
      <c r="W97" s="8" t="s">
        <v>1530</v>
      </c>
      <c r="X97" s="8" t="s">
        <v>368</v>
      </c>
      <c r="Z97" s="2">
        <v>33100.0</v>
      </c>
      <c r="AA97" s="2">
        <v>368.0</v>
      </c>
      <c r="AB97" s="2">
        <v>4989.0</v>
      </c>
      <c r="AC97" s="2">
        <v>587400.0</v>
      </c>
      <c r="AL97" s="6">
        <f>IFERROR(__xludf.DUMMYFUNCTION("IF(
  TRIM(AD97)="""",
  0,
  COUNTA(
    SPLIT(
      REGEXREPLACE(AD97,""\s*,\s*"","",""),
      "",""
    )
  )
)"),0.0)</f>
        <v>0</v>
      </c>
    </row>
    <row r="98">
      <c r="A98" s="2" t="s">
        <v>1532</v>
      </c>
      <c r="B98" s="2" t="s">
        <v>1532</v>
      </c>
      <c r="C98" s="2" t="s">
        <v>1206</v>
      </c>
      <c r="D98" s="2" t="s">
        <v>1207</v>
      </c>
      <c r="E98" s="2">
        <v>34500.0</v>
      </c>
      <c r="F98" s="2">
        <v>3116.0</v>
      </c>
      <c r="G98" s="2">
        <v>148.0</v>
      </c>
      <c r="H98" s="8" t="s">
        <v>1534</v>
      </c>
      <c r="I98" s="2" t="s">
        <v>1535</v>
      </c>
      <c r="K98" s="10">
        <v>44790.9825</v>
      </c>
      <c r="L98" s="2">
        <v>1.660779288E9</v>
      </c>
      <c r="M98" s="2" t="s">
        <v>47</v>
      </c>
      <c r="N98" s="2" t="s">
        <v>47</v>
      </c>
      <c r="O98" s="2" t="s">
        <v>47</v>
      </c>
      <c r="P98" s="2" t="s">
        <v>47</v>
      </c>
      <c r="Q98" s="2" t="s">
        <v>47</v>
      </c>
      <c r="R98" s="2" t="s">
        <v>48</v>
      </c>
      <c r="S98" s="2" t="s">
        <v>1536</v>
      </c>
      <c r="T98" s="8" t="s">
        <v>1537</v>
      </c>
      <c r="U98" s="8" t="s">
        <v>1539</v>
      </c>
      <c r="V98" s="2" t="s">
        <v>1207</v>
      </c>
      <c r="W98" s="8" t="s">
        <v>1543</v>
      </c>
      <c r="X98" s="8" t="s">
        <v>1546</v>
      </c>
      <c r="Z98" s="2">
        <v>32400.0</v>
      </c>
      <c r="AA98" s="2">
        <v>474.0</v>
      </c>
      <c r="AB98" s="2">
        <v>1792.0</v>
      </c>
      <c r="AC98" s="2">
        <v>387300.0</v>
      </c>
      <c r="AD98" s="2" t="s">
        <v>1548</v>
      </c>
      <c r="AE98" s="2" t="s">
        <v>1548</v>
      </c>
      <c r="AL98" s="6">
        <f>IFERROR(__xludf.DUMMYFUNCTION("IF(
  TRIM(AD98)="""",
  0,
  COUNTA(
    SPLIT(
      REGEXREPLACE(AD98,""\s*,\s*"","",""),
      "",""
    )
  )
)"),6.0)</f>
        <v>6</v>
      </c>
    </row>
    <row r="99">
      <c r="A99" s="2" t="s">
        <v>1549</v>
      </c>
      <c r="B99" s="2" t="s">
        <v>1549</v>
      </c>
      <c r="C99" s="2" t="s">
        <v>276</v>
      </c>
      <c r="D99" s="2" t="s">
        <v>277</v>
      </c>
      <c r="E99" s="2">
        <v>342900.0</v>
      </c>
      <c r="F99" s="2">
        <v>339.0</v>
      </c>
      <c r="G99" s="2">
        <v>487.0</v>
      </c>
      <c r="H99" s="8" t="s">
        <v>1061</v>
      </c>
      <c r="I99" s="2" t="s">
        <v>1550</v>
      </c>
      <c r="J99" s="2" t="s">
        <v>1551</v>
      </c>
      <c r="K99" s="10">
        <v>45878.89195601852</v>
      </c>
      <c r="L99" s="2">
        <v>1.754774665E9</v>
      </c>
      <c r="M99" s="2" t="s">
        <v>47</v>
      </c>
      <c r="N99" s="2" t="s">
        <v>47</v>
      </c>
      <c r="O99" s="2" t="s">
        <v>47</v>
      </c>
      <c r="P99" s="2" t="s">
        <v>47</v>
      </c>
      <c r="Q99" s="2" t="s">
        <v>47</v>
      </c>
      <c r="R99" s="2" t="s">
        <v>48</v>
      </c>
      <c r="S99" s="2" t="s">
        <v>1552</v>
      </c>
      <c r="T99" s="8" t="s">
        <v>1553</v>
      </c>
      <c r="U99" s="8" t="s">
        <v>290</v>
      </c>
      <c r="V99" s="2" t="s">
        <v>277</v>
      </c>
      <c r="W99" s="8" t="s">
        <v>1555</v>
      </c>
      <c r="X99" s="8" t="s">
        <v>1557</v>
      </c>
      <c r="Z99" s="2">
        <v>32200.0</v>
      </c>
      <c r="AA99" s="2">
        <v>635.0</v>
      </c>
      <c r="AB99" s="2">
        <v>6751.0</v>
      </c>
      <c r="AC99" s="2">
        <v>501600.0</v>
      </c>
      <c r="AD99" s="2" t="s">
        <v>1559</v>
      </c>
      <c r="AE99" s="2" t="s">
        <v>1559</v>
      </c>
      <c r="AH99" s="2" t="s">
        <v>1560</v>
      </c>
      <c r="AL99" s="6">
        <f>IFERROR(__xludf.DUMMYFUNCTION("IF(
  TRIM(AD99)="""",
  0,
  COUNTA(
    SPLIT(
      REGEXREPLACE(AD99,""\s*,\s*"","",""),
      "",""
    )
  )
)"),9.0)</f>
        <v>9</v>
      </c>
    </row>
    <row r="100">
      <c r="A100" s="2" t="s">
        <v>1562</v>
      </c>
      <c r="B100" s="2" t="s">
        <v>1562</v>
      </c>
      <c r="C100" s="2" t="s">
        <v>1563</v>
      </c>
      <c r="D100" s="2" t="s">
        <v>1564</v>
      </c>
      <c r="E100" s="2">
        <v>7360.0</v>
      </c>
      <c r="F100" s="2">
        <v>1.0</v>
      </c>
      <c r="G100" s="2">
        <v>32.0</v>
      </c>
      <c r="H100" s="8" t="s">
        <v>1565</v>
      </c>
      <c r="I100" s="2" t="s">
        <v>1566</v>
      </c>
      <c r="K100" s="10">
        <v>44907.82040509259</v>
      </c>
      <c r="L100" s="2">
        <v>1.670874083E9</v>
      </c>
      <c r="M100" s="2" t="s">
        <v>47</v>
      </c>
      <c r="N100" s="2" t="s">
        <v>47</v>
      </c>
      <c r="O100" s="2" t="s">
        <v>47</v>
      </c>
      <c r="P100" s="2" t="s">
        <v>47</v>
      </c>
      <c r="Q100" s="2" t="s">
        <v>47</v>
      </c>
      <c r="R100" s="2" t="s">
        <v>204</v>
      </c>
      <c r="S100" s="2" t="s">
        <v>1567</v>
      </c>
      <c r="T100" s="8" t="s">
        <v>1568</v>
      </c>
      <c r="U100" s="8" t="s">
        <v>1573</v>
      </c>
      <c r="V100" s="2" t="s">
        <v>1564</v>
      </c>
      <c r="W100" s="8" t="s">
        <v>1574</v>
      </c>
      <c r="X100" s="8" t="s">
        <v>1580</v>
      </c>
      <c r="Z100" s="2">
        <v>28600.0</v>
      </c>
      <c r="AA100" s="2">
        <v>872.0</v>
      </c>
      <c r="AB100" s="2">
        <v>9444.0</v>
      </c>
      <c r="AC100" s="2">
        <v>589100.0</v>
      </c>
      <c r="AD100" s="2" t="s">
        <v>1584</v>
      </c>
      <c r="AE100" s="2" t="s">
        <v>1584</v>
      </c>
      <c r="AL100" s="6">
        <f>IFERROR(__xludf.DUMMYFUNCTION("IF(
  TRIM(AD100)="""",
  0,
  COUNTA(
    SPLIT(
      REGEXREPLACE(AD100,""\s*,\s*"","",""),
      "",""
    )
  )
)"),9.0)</f>
        <v>9</v>
      </c>
    </row>
    <row r="101">
      <c r="A101" s="2" t="s">
        <v>1379</v>
      </c>
      <c r="B101" s="2" t="s">
        <v>1379</v>
      </c>
      <c r="C101" s="2" t="s">
        <v>1380</v>
      </c>
      <c r="D101" s="2" t="s">
        <v>1381</v>
      </c>
      <c r="E101" s="2">
        <v>13000.0</v>
      </c>
      <c r="F101" s="2">
        <v>8519.0</v>
      </c>
      <c r="G101" s="2">
        <v>225.0</v>
      </c>
      <c r="H101" s="8" t="s">
        <v>1585</v>
      </c>
      <c r="I101" s="2" t="s">
        <v>1387</v>
      </c>
      <c r="J101" s="2" t="s">
        <v>1388</v>
      </c>
      <c r="K101" s="10">
        <v>45180.629837962966</v>
      </c>
      <c r="L101" s="2">
        <v>1.694444818E9</v>
      </c>
      <c r="M101" s="2" t="s">
        <v>47</v>
      </c>
      <c r="N101" s="2" t="s">
        <v>47</v>
      </c>
      <c r="O101" s="2" t="s">
        <v>47</v>
      </c>
      <c r="P101" s="2" t="s">
        <v>47</v>
      </c>
      <c r="Q101" s="2" t="s">
        <v>47</v>
      </c>
      <c r="R101" s="2" t="s">
        <v>48</v>
      </c>
      <c r="S101" s="2" t="s">
        <v>1389</v>
      </c>
      <c r="T101" s="8" t="s">
        <v>1587</v>
      </c>
      <c r="U101" s="8" t="s">
        <v>1592</v>
      </c>
      <c r="V101" s="2" t="s">
        <v>1381</v>
      </c>
      <c r="W101" s="8" t="s">
        <v>1596</v>
      </c>
      <c r="X101" s="8" t="s">
        <v>1406</v>
      </c>
      <c r="Z101" s="2">
        <v>27400.0</v>
      </c>
      <c r="AA101" s="2">
        <v>1035.0</v>
      </c>
      <c r="AB101" s="2">
        <v>4887.0</v>
      </c>
      <c r="AC101" s="2">
        <v>375000.0</v>
      </c>
      <c r="AD101" s="2" t="s">
        <v>1409</v>
      </c>
      <c r="AE101" s="2" t="s">
        <v>1409</v>
      </c>
      <c r="AH101" s="2" t="s">
        <v>144</v>
      </c>
      <c r="AL101" s="6">
        <f>IFERROR(__xludf.DUMMYFUNCTION("IF(
  TRIM(AD101)="""",
  0,
  COUNTA(
    SPLIT(
      REGEXREPLACE(AD101,""\s*,\s*"","",""),
      "",""
    )
  )
)"),3.0)</f>
        <v>3</v>
      </c>
    </row>
    <row r="102">
      <c r="A102" s="2" t="s">
        <v>407</v>
      </c>
      <c r="B102" s="2" t="s">
        <v>407</v>
      </c>
      <c r="C102" s="2" t="s">
        <v>107</v>
      </c>
      <c r="D102" s="2" t="s">
        <v>108</v>
      </c>
      <c r="E102" s="2">
        <v>1300000.0</v>
      </c>
      <c r="F102" s="2">
        <v>93.0</v>
      </c>
      <c r="G102" s="2">
        <v>1698.0</v>
      </c>
      <c r="H102" s="8" t="s">
        <v>545</v>
      </c>
      <c r="I102" s="2" t="s">
        <v>417</v>
      </c>
      <c r="K102" s="10">
        <v>45641.928819444445</v>
      </c>
      <c r="L102" s="2">
        <v>1.73430105E9</v>
      </c>
      <c r="M102" s="2" t="s">
        <v>47</v>
      </c>
      <c r="N102" s="2" t="s">
        <v>47</v>
      </c>
      <c r="O102" s="2" t="s">
        <v>47</v>
      </c>
      <c r="P102" s="2" t="s">
        <v>47</v>
      </c>
      <c r="Q102" s="2" t="s">
        <v>47</v>
      </c>
      <c r="R102" s="2" t="s">
        <v>48</v>
      </c>
      <c r="S102" s="2" t="s">
        <v>419</v>
      </c>
      <c r="T102" s="8" t="s">
        <v>1602</v>
      </c>
      <c r="U102" s="8" t="s">
        <v>549</v>
      </c>
      <c r="V102" s="2" t="s">
        <v>108</v>
      </c>
      <c r="W102" s="8" t="s">
        <v>1613</v>
      </c>
      <c r="X102" s="8" t="s">
        <v>433</v>
      </c>
      <c r="Z102" s="2">
        <v>27200.0</v>
      </c>
      <c r="AA102" s="2">
        <v>230.0</v>
      </c>
      <c r="AB102" s="2">
        <v>3524.0</v>
      </c>
      <c r="AC102" s="2">
        <v>779700.0</v>
      </c>
      <c r="AH102" s="2" t="s">
        <v>274</v>
      </c>
      <c r="AL102" s="6">
        <f>IFERROR(__xludf.DUMMYFUNCTION("IF(
  TRIM(AD102)="""",
  0,
  COUNTA(
    SPLIT(
      REGEXREPLACE(AD102,""\s*,\s*"","",""),
      "",""
    )
  )
)"),0.0)</f>
        <v>0</v>
      </c>
    </row>
    <row r="103">
      <c r="A103" s="2" t="s">
        <v>1617</v>
      </c>
      <c r="B103" s="2" t="s">
        <v>1617</v>
      </c>
      <c r="C103" s="2" t="s">
        <v>123</v>
      </c>
      <c r="D103" s="2" t="s">
        <v>124</v>
      </c>
      <c r="E103" s="2">
        <v>252600.0</v>
      </c>
      <c r="F103" s="2">
        <v>353.0</v>
      </c>
      <c r="G103" s="2">
        <v>674.0</v>
      </c>
      <c r="H103" s="8" t="s">
        <v>1619</v>
      </c>
      <c r="I103" s="2" t="s">
        <v>1624</v>
      </c>
      <c r="K103" s="10">
        <v>45961.50927083333</v>
      </c>
      <c r="L103" s="2">
        <v>1.761912801E9</v>
      </c>
      <c r="M103" s="2" t="s">
        <v>47</v>
      </c>
      <c r="N103" s="2" t="s">
        <v>47</v>
      </c>
      <c r="O103" s="2" t="s">
        <v>47</v>
      </c>
      <c r="P103" s="2" t="s">
        <v>47</v>
      </c>
      <c r="Q103" s="2" t="s">
        <v>47</v>
      </c>
      <c r="R103" s="2" t="s">
        <v>48</v>
      </c>
      <c r="S103" s="2" t="s">
        <v>1625</v>
      </c>
      <c r="T103" s="8" t="s">
        <v>1626</v>
      </c>
      <c r="U103" s="8" t="s">
        <v>738</v>
      </c>
      <c r="V103" s="2" t="s">
        <v>124</v>
      </c>
      <c r="W103" s="8" t="s">
        <v>1628</v>
      </c>
      <c r="X103" s="8" t="s">
        <v>1637</v>
      </c>
      <c r="Z103" s="2">
        <v>26800.0</v>
      </c>
      <c r="AA103" s="2">
        <v>6315.0</v>
      </c>
      <c r="AB103" s="2">
        <v>3641.0</v>
      </c>
      <c r="AC103" s="2">
        <v>960500.0</v>
      </c>
      <c r="AD103" s="2" t="s">
        <v>1638</v>
      </c>
      <c r="AE103" s="2" t="s">
        <v>1638</v>
      </c>
      <c r="AL103" s="6">
        <f>IFERROR(__xludf.DUMMYFUNCTION("IF(
  TRIM(AD103)="""",
  0,
  COUNTA(
    SPLIT(
      REGEXREPLACE(AD103,""\s*,\s*"","",""),
      "",""
    )
  )
)"),5.0)</f>
        <v>5</v>
      </c>
    </row>
    <row r="104">
      <c r="A104" s="2" t="s">
        <v>1410</v>
      </c>
      <c r="B104" s="2" t="s">
        <v>1410</v>
      </c>
      <c r="C104" s="2" t="s">
        <v>987</v>
      </c>
      <c r="D104" s="2" t="s">
        <v>988</v>
      </c>
      <c r="E104" s="2">
        <v>155300.0</v>
      </c>
      <c r="F104" s="2">
        <v>65100.0</v>
      </c>
      <c r="G104" s="2">
        <v>1013.0</v>
      </c>
      <c r="H104" s="8" t="s">
        <v>989</v>
      </c>
      <c r="I104" s="2" t="s">
        <v>1411</v>
      </c>
      <c r="K104" s="10">
        <v>45824.921111111114</v>
      </c>
      <c r="L104" s="2">
        <v>1.750111584E9</v>
      </c>
      <c r="M104" s="2" t="s">
        <v>47</v>
      </c>
      <c r="N104" s="2" t="s">
        <v>47</v>
      </c>
      <c r="O104" s="2" t="s">
        <v>47</v>
      </c>
      <c r="P104" s="2" t="s">
        <v>47</v>
      </c>
      <c r="Q104" s="2" t="s">
        <v>47</v>
      </c>
      <c r="R104" s="2" t="s">
        <v>1412</v>
      </c>
      <c r="S104" s="2" t="s">
        <v>1413</v>
      </c>
      <c r="T104" s="8" t="s">
        <v>1414</v>
      </c>
      <c r="U104" s="8" t="s">
        <v>1416</v>
      </c>
      <c r="V104" s="2" t="s">
        <v>1419</v>
      </c>
      <c r="W104" s="8" t="s">
        <v>1640</v>
      </c>
      <c r="X104" s="8" t="s">
        <v>1423</v>
      </c>
      <c r="Z104" s="2">
        <v>26600.0</v>
      </c>
      <c r="AA104" s="2">
        <v>793.0</v>
      </c>
      <c r="AB104" s="2">
        <v>1700.0</v>
      </c>
      <c r="AC104" s="2">
        <v>702100.0</v>
      </c>
      <c r="AD104" s="2" t="s">
        <v>1003</v>
      </c>
      <c r="AE104" s="2" t="s">
        <v>1003</v>
      </c>
      <c r="AL104" s="6">
        <f>IFERROR(__xludf.DUMMYFUNCTION("IF(
  TRIM(AD104)="""",
  0,
  COUNTA(
    SPLIT(
      REGEXREPLACE(AD104,""\s*,\s*"","",""),
      "",""
    )
  )
)"),3.0)</f>
        <v>3</v>
      </c>
    </row>
    <row r="105">
      <c r="A105" s="2" t="s">
        <v>1645</v>
      </c>
      <c r="B105" s="2" t="s">
        <v>1645</v>
      </c>
      <c r="C105" s="2" t="s">
        <v>1646</v>
      </c>
      <c r="D105" s="2" t="s">
        <v>1647</v>
      </c>
      <c r="E105" s="2">
        <v>160800.0</v>
      </c>
      <c r="F105" s="2">
        <v>2283.0</v>
      </c>
      <c r="G105" s="2">
        <v>1538.0</v>
      </c>
      <c r="H105" s="8" t="s">
        <v>1648</v>
      </c>
      <c r="I105" s="2" t="s">
        <v>1652</v>
      </c>
      <c r="K105" s="10">
        <v>45115.89375</v>
      </c>
      <c r="L105" s="2">
        <v>1.68885162E9</v>
      </c>
      <c r="M105" s="2" t="s">
        <v>47</v>
      </c>
      <c r="N105" s="2" t="s">
        <v>47</v>
      </c>
      <c r="O105" s="2" t="s">
        <v>47</v>
      </c>
      <c r="P105" s="2" t="s">
        <v>47</v>
      </c>
      <c r="Q105" s="2" t="s">
        <v>47</v>
      </c>
      <c r="R105" s="2" t="s">
        <v>48</v>
      </c>
      <c r="S105" s="2" t="s">
        <v>1653</v>
      </c>
      <c r="T105" s="8" t="s">
        <v>1654</v>
      </c>
      <c r="U105" s="8" t="s">
        <v>1656</v>
      </c>
      <c r="V105" s="2" t="s">
        <v>1647</v>
      </c>
      <c r="W105" s="8" t="s">
        <v>1658</v>
      </c>
      <c r="X105" s="8" t="s">
        <v>1663</v>
      </c>
      <c r="Z105" s="2">
        <v>25900.0</v>
      </c>
      <c r="AA105" s="2">
        <v>994.0</v>
      </c>
      <c r="AB105" s="2">
        <v>6121.0</v>
      </c>
      <c r="AC105" s="2">
        <v>1100000.0</v>
      </c>
      <c r="AD105" s="2" t="s">
        <v>1664</v>
      </c>
      <c r="AE105" s="2" t="s">
        <v>1664</v>
      </c>
      <c r="AL105" s="6">
        <f>IFERROR(__xludf.DUMMYFUNCTION("IF(
  TRIM(AD105)="""",
  0,
  COUNTA(
    SPLIT(
      REGEXREPLACE(AD105,""\s*,\s*"","",""),
      "",""
    )
  )
)"),2.0)</f>
        <v>2</v>
      </c>
    </row>
    <row r="106">
      <c r="A106" s="2" t="s">
        <v>1665</v>
      </c>
      <c r="B106" s="2" t="s">
        <v>1665</v>
      </c>
      <c r="C106" s="2" t="s">
        <v>1666</v>
      </c>
      <c r="D106" s="2" t="s">
        <v>1667</v>
      </c>
      <c r="E106" s="2">
        <v>69800.0</v>
      </c>
      <c r="F106" s="2">
        <v>63.0</v>
      </c>
      <c r="G106" s="2">
        <v>263.0</v>
      </c>
      <c r="H106" s="8" t="s">
        <v>1668</v>
      </c>
      <c r="I106" s="2" t="s">
        <v>1670</v>
      </c>
      <c r="J106" s="2" t="s">
        <v>1671</v>
      </c>
      <c r="K106" s="10">
        <v>45359.62494212963</v>
      </c>
      <c r="L106" s="2">
        <v>1.709909995E9</v>
      </c>
      <c r="M106" s="2" t="s">
        <v>47</v>
      </c>
      <c r="N106" s="2" t="s">
        <v>47</v>
      </c>
      <c r="O106" s="2" t="s">
        <v>47</v>
      </c>
      <c r="P106" s="2" t="s">
        <v>47</v>
      </c>
      <c r="Q106" s="2" t="s">
        <v>47</v>
      </c>
      <c r="R106" s="2" t="s">
        <v>1672</v>
      </c>
      <c r="S106" s="2" t="s">
        <v>1673</v>
      </c>
      <c r="T106" s="8" t="s">
        <v>1674</v>
      </c>
      <c r="U106" s="8" t="s">
        <v>1675</v>
      </c>
      <c r="V106" s="2" t="s">
        <v>1676</v>
      </c>
      <c r="W106" s="8" t="s">
        <v>1677</v>
      </c>
      <c r="X106" s="8" t="s">
        <v>1683</v>
      </c>
      <c r="Z106" s="2">
        <v>25900.0</v>
      </c>
      <c r="AA106" s="2">
        <v>671.0</v>
      </c>
      <c r="AB106" s="2">
        <v>8424.0</v>
      </c>
      <c r="AC106" s="2">
        <v>512900.0</v>
      </c>
      <c r="AD106" s="2" t="s">
        <v>1684</v>
      </c>
      <c r="AE106" s="2" t="s">
        <v>1684</v>
      </c>
      <c r="AL106" s="6">
        <f>IFERROR(__xludf.DUMMYFUNCTION("IF(
  TRIM(AD106)="""",
  0,
  COUNTA(
    SPLIT(
      REGEXREPLACE(AD106,""\s*,\s*"","",""),
      "",""
    )
  )
)"),20.0)</f>
        <v>20</v>
      </c>
    </row>
    <row r="107">
      <c r="A107" s="2" t="s">
        <v>1425</v>
      </c>
      <c r="B107" s="2" t="s">
        <v>1425</v>
      </c>
      <c r="C107" s="2" t="s">
        <v>920</v>
      </c>
      <c r="D107" s="2" t="s">
        <v>921</v>
      </c>
      <c r="E107" s="2">
        <v>296100.0</v>
      </c>
      <c r="F107" s="2">
        <v>1905.0</v>
      </c>
      <c r="G107" s="2">
        <v>1402.0</v>
      </c>
      <c r="H107" s="8" t="s">
        <v>1322</v>
      </c>
      <c r="I107" s="2" t="s">
        <v>1429</v>
      </c>
      <c r="K107" s="10">
        <v>45747.96128472222</v>
      </c>
      <c r="L107" s="2">
        <v>1.743462255E9</v>
      </c>
      <c r="M107" s="2" t="s">
        <v>47</v>
      </c>
      <c r="N107" s="2" t="s">
        <v>47</v>
      </c>
      <c r="O107" s="2" t="s">
        <v>47</v>
      </c>
      <c r="P107" s="2" t="s">
        <v>47</v>
      </c>
      <c r="Q107" s="2" t="s">
        <v>47</v>
      </c>
      <c r="R107" s="2" t="s">
        <v>48</v>
      </c>
      <c r="S107" s="2" t="s">
        <v>1430</v>
      </c>
      <c r="T107" s="8" t="s">
        <v>1685</v>
      </c>
      <c r="U107" s="8" t="s">
        <v>1233</v>
      </c>
      <c r="V107" s="2" t="s">
        <v>921</v>
      </c>
      <c r="W107" s="8" t="s">
        <v>1688</v>
      </c>
      <c r="X107" s="8" t="s">
        <v>1435</v>
      </c>
      <c r="Z107" s="2">
        <v>25700.0</v>
      </c>
      <c r="AA107" s="2">
        <v>1255.0</v>
      </c>
      <c r="AB107" s="2">
        <v>8912.0</v>
      </c>
      <c r="AC107" s="2">
        <v>356200.0</v>
      </c>
      <c r="AD107" s="2" t="s">
        <v>1289</v>
      </c>
      <c r="AE107" s="2" t="s">
        <v>1289</v>
      </c>
      <c r="AL107" s="6">
        <f>IFERROR(__xludf.DUMMYFUNCTION("IF(
  TRIM(AD107)="""",
  0,
  COUNTA(
    SPLIT(
      REGEXREPLACE(AD107,""\s*,\s*"","",""),
      "",""
    )
  )
)"),3.0)</f>
        <v>3</v>
      </c>
    </row>
    <row r="108">
      <c r="A108" s="2" t="s">
        <v>1693</v>
      </c>
      <c r="B108" s="2" t="s">
        <v>1693</v>
      </c>
      <c r="C108" s="2" t="s">
        <v>276</v>
      </c>
      <c r="D108" s="2" t="s">
        <v>277</v>
      </c>
      <c r="E108" s="2">
        <v>342900.0</v>
      </c>
      <c r="F108" s="2">
        <v>339.0</v>
      </c>
      <c r="G108" s="2">
        <v>487.0</v>
      </c>
      <c r="H108" s="8" t="s">
        <v>1061</v>
      </c>
      <c r="I108" s="2" t="s">
        <v>1066</v>
      </c>
      <c r="J108" s="2" t="s">
        <v>1694</v>
      </c>
      <c r="K108" s="10">
        <v>45936.07787037037</v>
      </c>
      <c r="L108" s="2">
        <v>1.759715528E9</v>
      </c>
      <c r="M108" s="2" t="s">
        <v>47</v>
      </c>
      <c r="N108" s="2" t="s">
        <v>47</v>
      </c>
      <c r="O108" s="2" t="s">
        <v>47</v>
      </c>
      <c r="P108" s="2" t="s">
        <v>47</v>
      </c>
      <c r="Q108" s="2" t="s">
        <v>47</v>
      </c>
      <c r="R108" s="2" t="s">
        <v>48</v>
      </c>
      <c r="S108" s="2" t="s">
        <v>1696</v>
      </c>
      <c r="T108" s="8" t="s">
        <v>1697</v>
      </c>
      <c r="U108" s="8" t="s">
        <v>290</v>
      </c>
      <c r="V108" s="2" t="s">
        <v>277</v>
      </c>
      <c r="W108" s="8" t="s">
        <v>1699</v>
      </c>
      <c r="X108" s="8" t="s">
        <v>1704</v>
      </c>
      <c r="Z108" s="2">
        <v>24800.0</v>
      </c>
      <c r="AA108" s="2">
        <v>475.0</v>
      </c>
      <c r="AB108" s="2">
        <v>11700.0</v>
      </c>
      <c r="AC108" s="2">
        <v>352400.0</v>
      </c>
      <c r="AD108" s="2" t="s">
        <v>1077</v>
      </c>
      <c r="AE108" s="2" t="s">
        <v>1077</v>
      </c>
      <c r="AL108" s="6">
        <f>IFERROR(__xludf.DUMMYFUNCTION("IF(
  TRIM(AD108)="""",
  0,
  COUNTA(
    SPLIT(
      REGEXREPLACE(AD108,""\s*,\s*"","",""),
      "",""
    )
  )
)"),5.0)</f>
        <v>5</v>
      </c>
    </row>
    <row r="109">
      <c r="A109" s="2" t="s">
        <v>1705</v>
      </c>
      <c r="B109" s="2" t="s">
        <v>1705</v>
      </c>
      <c r="C109" s="2" t="s">
        <v>123</v>
      </c>
      <c r="D109" s="2" t="s">
        <v>124</v>
      </c>
      <c r="E109" s="2">
        <v>252600.0</v>
      </c>
      <c r="F109" s="2">
        <v>353.0</v>
      </c>
      <c r="G109" s="2">
        <v>674.0</v>
      </c>
      <c r="H109" s="8" t="s">
        <v>125</v>
      </c>
      <c r="I109" s="2" t="s">
        <v>1706</v>
      </c>
      <c r="K109" s="10">
        <v>45770.60706018518</v>
      </c>
      <c r="L109" s="2">
        <v>1.74541885E9</v>
      </c>
      <c r="M109" s="2" t="s">
        <v>47</v>
      </c>
      <c r="N109" s="2" t="s">
        <v>47</v>
      </c>
      <c r="O109" s="2" t="s">
        <v>47</v>
      </c>
      <c r="P109" s="2" t="s">
        <v>47</v>
      </c>
      <c r="Q109" s="2" t="s">
        <v>47</v>
      </c>
      <c r="R109" s="2" t="s">
        <v>48</v>
      </c>
      <c r="S109" s="2" t="s">
        <v>1707</v>
      </c>
      <c r="T109" s="8" t="s">
        <v>1708</v>
      </c>
      <c r="U109" s="8" t="s">
        <v>738</v>
      </c>
      <c r="V109" s="2" t="s">
        <v>124</v>
      </c>
      <c r="W109" s="8" t="s">
        <v>1710</v>
      </c>
      <c r="X109" s="8" t="s">
        <v>1714</v>
      </c>
      <c r="Z109" s="2">
        <v>24600.0</v>
      </c>
      <c r="AA109" s="2">
        <v>900.0</v>
      </c>
      <c r="AB109" s="2">
        <v>2176.0</v>
      </c>
      <c r="AC109" s="2">
        <v>384100.0</v>
      </c>
      <c r="AD109" s="2" t="s">
        <v>1394</v>
      </c>
      <c r="AE109" s="2" t="s">
        <v>1394</v>
      </c>
      <c r="AH109" s="2" t="s">
        <v>918</v>
      </c>
      <c r="AL109" s="6">
        <f>IFERROR(__xludf.DUMMYFUNCTION("IF(
  TRIM(AD109)="""",
  0,
  COUNTA(
    SPLIT(
      REGEXREPLACE(AD109,""\s*,\s*"","",""),
      "",""
    )
  )
)"),10.0)</f>
        <v>10</v>
      </c>
    </row>
    <row r="110">
      <c r="A110" s="2" t="s">
        <v>1717</v>
      </c>
      <c r="B110" s="2" t="s">
        <v>1717</v>
      </c>
      <c r="C110" s="2" t="s">
        <v>819</v>
      </c>
      <c r="D110" s="2" t="s">
        <v>820</v>
      </c>
      <c r="E110" s="2">
        <v>135200.0</v>
      </c>
      <c r="F110" s="2">
        <v>30800.0</v>
      </c>
      <c r="G110" s="2">
        <v>263.0</v>
      </c>
      <c r="H110" s="8" t="s">
        <v>958</v>
      </c>
      <c r="I110" s="2" t="s">
        <v>1718</v>
      </c>
      <c r="K110" s="10">
        <v>45819.65269675926</v>
      </c>
      <c r="L110" s="2">
        <v>1.749656393E9</v>
      </c>
      <c r="M110" s="2" t="s">
        <v>47</v>
      </c>
      <c r="N110" s="2" t="s">
        <v>47</v>
      </c>
      <c r="O110" s="2" t="s">
        <v>47</v>
      </c>
      <c r="P110" s="2" t="s">
        <v>47</v>
      </c>
      <c r="Q110" s="2" t="s">
        <v>47</v>
      </c>
      <c r="R110" s="2" t="s">
        <v>48</v>
      </c>
      <c r="S110" s="2" t="s">
        <v>1719</v>
      </c>
      <c r="T110" s="8" t="s">
        <v>1720</v>
      </c>
      <c r="U110" s="8" t="s">
        <v>827</v>
      </c>
      <c r="V110" s="2" t="s">
        <v>820</v>
      </c>
      <c r="W110" s="8" t="s">
        <v>1722</v>
      </c>
      <c r="X110" s="8" t="s">
        <v>1724</v>
      </c>
      <c r="Z110" s="2">
        <v>24400.0</v>
      </c>
      <c r="AA110" s="2">
        <v>658.0</v>
      </c>
      <c r="AB110" s="2">
        <v>2616.0</v>
      </c>
      <c r="AC110" s="2">
        <v>201500.0</v>
      </c>
      <c r="AD110" s="2" t="s">
        <v>1726</v>
      </c>
      <c r="AE110" s="2" t="s">
        <v>1726</v>
      </c>
      <c r="AL110" s="6">
        <f>IFERROR(__xludf.DUMMYFUNCTION("IF(
  TRIM(AD110)="""",
  0,
  COUNTA(
    SPLIT(
      REGEXREPLACE(AD110,""\s*,\s*"","",""),
      "",""
    )
  )
)"),9.0)</f>
        <v>9</v>
      </c>
    </row>
    <row r="111">
      <c r="A111" s="2" t="s">
        <v>435</v>
      </c>
      <c r="B111" s="2" t="s">
        <v>435</v>
      </c>
      <c r="C111" s="2" t="s">
        <v>436</v>
      </c>
      <c r="D111" s="2" t="s">
        <v>437</v>
      </c>
      <c r="E111" s="2">
        <v>7859.0</v>
      </c>
      <c r="F111" s="2">
        <v>133.0</v>
      </c>
      <c r="G111" s="2">
        <v>41.0</v>
      </c>
      <c r="H111" s="8" t="s">
        <v>1729</v>
      </c>
      <c r="I111" s="2" t="s">
        <v>440</v>
      </c>
      <c r="K111" s="10">
        <v>45855.0</v>
      </c>
      <c r="L111" s="2">
        <v>1.7527104E9</v>
      </c>
      <c r="M111" s="2" t="s">
        <v>47</v>
      </c>
      <c r="N111" s="2" t="s">
        <v>47</v>
      </c>
      <c r="O111" s="2" t="s">
        <v>47</v>
      </c>
      <c r="P111" s="2" t="s">
        <v>47</v>
      </c>
      <c r="Q111" s="2" t="s">
        <v>47</v>
      </c>
      <c r="R111" s="2" t="s">
        <v>442</v>
      </c>
      <c r="S111" s="2" t="s">
        <v>443</v>
      </c>
      <c r="T111" s="8" t="s">
        <v>1731</v>
      </c>
      <c r="U111" s="8" t="s">
        <v>1733</v>
      </c>
      <c r="V111" s="2" t="s">
        <v>437</v>
      </c>
      <c r="W111" s="8" t="s">
        <v>1734</v>
      </c>
      <c r="X111" s="8" t="s">
        <v>459</v>
      </c>
      <c r="Z111" s="2">
        <v>24100.0</v>
      </c>
      <c r="AA111" s="2">
        <v>234.0</v>
      </c>
      <c r="AB111" s="2">
        <v>4284.0</v>
      </c>
      <c r="AC111" s="2">
        <v>565300.0</v>
      </c>
      <c r="AL111" s="6">
        <f>IFERROR(__xludf.DUMMYFUNCTION("IF(
  TRIM(AD111)="""",
  0,
  COUNTA(
    SPLIT(
      REGEXREPLACE(AD111,""\s*,\s*"","",""),
      "",""
    )
  )
)"),0.0)</f>
        <v>0</v>
      </c>
    </row>
    <row r="112">
      <c r="A112" s="2" t="s">
        <v>1739</v>
      </c>
      <c r="B112" s="2" t="s">
        <v>1739</v>
      </c>
      <c r="C112" s="2" t="s">
        <v>1206</v>
      </c>
      <c r="D112" s="2" t="s">
        <v>1207</v>
      </c>
      <c r="E112" s="2">
        <v>34500.0</v>
      </c>
      <c r="F112" s="2">
        <v>3116.0</v>
      </c>
      <c r="G112" s="2">
        <v>148.0</v>
      </c>
      <c r="H112" s="8" t="s">
        <v>1534</v>
      </c>
      <c r="I112" s="2" t="s">
        <v>1740</v>
      </c>
      <c r="J112" s="2" t="s">
        <v>1741</v>
      </c>
      <c r="K112" s="10">
        <v>45187.70755787037</v>
      </c>
      <c r="L112" s="2">
        <v>1.695056333E9</v>
      </c>
      <c r="M112" s="2" t="s">
        <v>47</v>
      </c>
      <c r="N112" s="2" t="s">
        <v>47</v>
      </c>
      <c r="O112" s="2" t="s">
        <v>47</v>
      </c>
      <c r="P112" s="2" t="s">
        <v>47</v>
      </c>
      <c r="Q112" s="2" t="s">
        <v>47</v>
      </c>
      <c r="R112" s="2" t="s">
        <v>1742</v>
      </c>
      <c r="S112" s="2" t="s">
        <v>1743</v>
      </c>
      <c r="T112" s="8" t="s">
        <v>1744</v>
      </c>
      <c r="U112" s="8" t="s">
        <v>1745</v>
      </c>
      <c r="V112" s="2" t="s">
        <v>1746</v>
      </c>
      <c r="W112" s="8" t="s">
        <v>1747</v>
      </c>
      <c r="X112" s="8" t="s">
        <v>1753</v>
      </c>
      <c r="Z112" s="2">
        <v>23700.0</v>
      </c>
      <c r="AA112" s="2">
        <v>954.0</v>
      </c>
      <c r="AB112" s="2">
        <v>5042.0</v>
      </c>
      <c r="AC112" s="2">
        <v>280300.0</v>
      </c>
      <c r="AD112" s="2" t="s">
        <v>1754</v>
      </c>
      <c r="AE112" s="2" t="s">
        <v>1754</v>
      </c>
      <c r="AL112" s="6">
        <f>IFERROR(__xludf.DUMMYFUNCTION("IF(
  TRIM(AD112)="""",
  0,
  COUNTA(
    SPLIT(
      REGEXREPLACE(AD112,""\s*,\s*"","",""),
      "",""
    )
  )
)"),6.0)</f>
        <v>6</v>
      </c>
    </row>
    <row r="113">
      <c r="A113" s="2" t="s">
        <v>1755</v>
      </c>
      <c r="B113" s="2" t="s">
        <v>1755</v>
      </c>
      <c r="C113" s="2" t="s">
        <v>1756</v>
      </c>
      <c r="D113" s="2" t="s">
        <v>1757</v>
      </c>
      <c r="E113" s="2">
        <v>5289.0</v>
      </c>
      <c r="F113" s="2">
        <v>22400.0</v>
      </c>
      <c r="G113" s="2">
        <v>238.0</v>
      </c>
      <c r="H113" s="8" t="s">
        <v>1758</v>
      </c>
      <c r="I113" s="2" t="s">
        <v>1760</v>
      </c>
      <c r="K113" s="10">
        <v>45728.90625</v>
      </c>
      <c r="L113" s="2">
        <v>1.7418159E9</v>
      </c>
      <c r="M113" s="2" t="s">
        <v>47</v>
      </c>
      <c r="N113" s="2" t="s">
        <v>47</v>
      </c>
      <c r="O113" s="2" t="s">
        <v>47</v>
      </c>
      <c r="P113" s="2" t="s">
        <v>47</v>
      </c>
      <c r="Q113" s="2" t="s">
        <v>47</v>
      </c>
      <c r="R113" s="2" t="s">
        <v>1761</v>
      </c>
      <c r="S113" s="2" t="s">
        <v>1762</v>
      </c>
      <c r="T113" s="8" t="s">
        <v>1763</v>
      </c>
      <c r="U113" s="8" t="s">
        <v>1764</v>
      </c>
      <c r="V113" s="2" t="s">
        <v>1757</v>
      </c>
      <c r="W113" s="8" t="s">
        <v>1766</v>
      </c>
      <c r="X113" s="8" t="s">
        <v>1771</v>
      </c>
      <c r="Z113" s="2">
        <v>22800.0</v>
      </c>
      <c r="AA113" s="2">
        <v>541.0</v>
      </c>
      <c r="AB113" s="2">
        <v>1854.0</v>
      </c>
      <c r="AC113" s="2">
        <v>295900.0</v>
      </c>
      <c r="AD113" s="2" t="s">
        <v>1772</v>
      </c>
      <c r="AE113" s="2" t="s">
        <v>1772</v>
      </c>
      <c r="AL113" s="6">
        <f>IFERROR(__xludf.DUMMYFUNCTION("IF(
  TRIM(AD113)="""",
  0,
  COUNTA(
    SPLIT(
      REGEXREPLACE(AD113,""\s*,\s*"","",""),
      "",""
    )
  )
)"),6.0)</f>
        <v>6</v>
      </c>
    </row>
    <row r="114">
      <c r="A114" s="2" t="s">
        <v>1773</v>
      </c>
      <c r="B114" s="2" t="s">
        <v>1773</v>
      </c>
      <c r="C114" s="2" t="s">
        <v>920</v>
      </c>
      <c r="D114" s="2" t="s">
        <v>921</v>
      </c>
      <c r="E114" s="2">
        <v>296100.0</v>
      </c>
      <c r="F114" s="2">
        <v>1905.0</v>
      </c>
      <c r="G114" s="2">
        <v>1402.0</v>
      </c>
      <c r="H114" s="8" t="s">
        <v>1322</v>
      </c>
      <c r="I114" s="2" t="s">
        <v>1774</v>
      </c>
      <c r="K114" s="10">
        <v>45712.961701388886</v>
      </c>
      <c r="L114" s="2">
        <v>1.740438291E9</v>
      </c>
      <c r="M114" s="2" t="s">
        <v>47</v>
      </c>
      <c r="N114" s="2" t="s">
        <v>47</v>
      </c>
      <c r="O114" s="2" t="s">
        <v>47</v>
      </c>
      <c r="P114" s="2" t="s">
        <v>47</v>
      </c>
      <c r="Q114" s="2" t="s">
        <v>47</v>
      </c>
      <c r="R114" s="2" t="s">
        <v>48</v>
      </c>
      <c r="S114" s="2" t="s">
        <v>1775</v>
      </c>
      <c r="T114" s="8" t="s">
        <v>1776</v>
      </c>
      <c r="U114" s="8" t="s">
        <v>932</v>
      </c>
      <c r="V114" s="2" t="s">
        <v>921</v>
      </c>
      <c r="W114" s="8" t="s">
        <v>1778</v>
      </c>
      <c r="X114" s="8" t="s">
        <v>1785</v>
      </c>
      <c r="Z114" s="2">
        <v>22500.0</v>
      </c>
      <c r="AA114" s="2">
        <v>574.0</v>
      </c>
      <c r="AB114" s="2">
        <v>5356.0</v>
      </c>
      <c r="AC114" s="2">
        <v>429400.0</v>
      </c>
      <c r="AD114" s="2" t="s">
        <v>1289</v>
      </c>
      <c r="AE114" s="2" t="s">
        <v>1289</v>
      </c>
      <c r="AL114" s="6">
        <f>IFERROR(__xludf.DUMMYFUNCTION("IF(
  TRIM(AD114)="""",
  0,
  COUNTA(
    SPLIT(
      REGEXREPLACE(AD114,""\s*,\s*"","",""),
      "",""
    )
  )
)"),3.0)</f>
        <v>3</v>
      </c>
    </row>
    <row r="115">
      <c r="A115" s="2" t="s">
        <v>1786</v>
      </c>
      <c r="B115" s="2" t="s">
        <v>1786</v>
      </c>
      <c r="C115" s="2" t="s">
        <v>276</v>
      </c>
      <c r="D115" s="2" t="s">
        <v>277</v>
      </c>
      <c r="E115" s="2">
        <v>342900.0</v>
      </c>
      <c r="F115" s="2">
        <v>339.0</v>
      </c>
      <c r="G115" s="2">
        <v>487.0</v>
      </c>
      <c r="H115" s="8" t="s">
        <v>1061</v>
      </c>
      <c r="I115" s="2" t="s">
        <v>1788</v>
      </c>
      <c r="J115" s="2" t="s">
        <v>1789</v>
      </c>
      <c r="K115" s="10">
        <v>45811.0459837963</v>
      </c>
      <c r="L115" s="2">
        <v>1.748912773E9</v>
      </c>
      <c r="M115" s="2" t="s">
        <v>47</v>
      </c>
      <c r="N115" s="2" t="s">
        <v>47</v>
      </c>
      <c r="O115" s="2" t="s">
        <v>47</v>
      </c>
      <c r="P115" s="2" t="s">
        <v>47</v>
      </c>
      <c r="Q115" s="2" t="s">
        <v>47</v>
      </c>
      <c r="R115" s="2" t="s">
        <v>48</v>
      </c>
      <c r="S115" s="2" t="s">
        <v>1790</v>
      </c>
      <c r="T115" s="8" t="s">
        <v>1791</v>
      </c>
      <c r="U115" s="8" t="s">
        <v>290</v>
      </c>
      <c r="V115" s="2" t="s">
        <v>277</v>
      </c>
      <c r="W115" s="8" t="s">
        <v>1793</v>
      </c>
      <c r="X115" s="8" t="s">
        <v>1796</v>
      </c>
      <c r="Z115" s="2">
        <v>22500.0</v>
      </c>
      <c r="AA115" s="2">
        <v>455.0</v>
      </c>
      <c r="AB115" s="2">
        <v>5303.0</v>
      </c>
      <c r="AC115" s="2">
        <v>281100.0</v>
      </c>
      <c r="AD115" s="2" t="s">
        <v>1801</v>
      </c>
      <c r="AE115" s="2" t="s">
        <v>1801</v>
      </c>
      <c r="AL115" s="6">
        <f>IFERROR(__xludf.DUMMYFUNCTION("IF(
  TRIM(AD115)="""",
  0,
  COUNTA(
    SPLIT(
      REGEXREPLACE(AD115,""\s*,\s*"","",""),
      "",""
    )
  )
)"),9.0)</f>
        <v>9</v>
      </c>
    </row>
    <row r="116">
      <c r="A116" s="2" t="s">
        <v>1802</v>
      </c>
      <c r="B116" s="2" t="s">
        <v>1802</v>
      </c>
      <c r="C116" s="2" t="s">
        <v>169</v>
      </c>
      <c r="D116" s="2" t="s">
        <v>56</v>
      </c>
      <c r="E116" s="2">
        <v>995400.0</v>
      </c>
      <c r="F116" s="2">
        <v>396.0</v>
      </c>
      <c r="G116" s="2">
        <v>1457.0</v>
      </c>
      <c r="H116" s="8" t="s">
        <v>170</v>
      </c>
      <c r="I116" s="2" t="s">
        <v>1803</v>
      </c>
      <c r="K116" s="10">
        <v>45117.86071759259</v>
      </c>
      <c r="L116" s="2">
        <v>1.689021566E9</v>
      </c>
      <c r="M116" s="2" t="s">
        <v>47</v>
      </c>
      <c r="N116" s="2" t="s">
        <v>47</v>
      </c>
      <c r="O116" s="2" t="s">
        <v>47</v>
      </c>
      <c r="P116" s="2" t="s">
        <v>47</v>
      </c>
      <c r="Q116" s="2" t="s">
        <v>47</v>
      </c>
      <c r="R116" s="2" t="s">
        <v>48</v>
      </c>
      <c r="S116" s="2" t="s">
        <v>1804</v>
      </c>
      <c r="T116" s="8" t="s">
        <v>1805</v>
      </c>
      <c r="U116" s="8" t="s">
        <v>54</v>
      </c>
      <c r="V116" s="2" t="s">
        <v>56</v>
      </c>
      <c r="W116" s="8" t="s">
        <v>1807</v>
      </c>
      <c r="X116" s="8" t="s">
        <v>1812</v>
      </c>
      <c r="Z116" s="2">
        <v>22200.0</v>
      </c>
      <c r="AA116" s="2">
        <v>179.0</v>
      </c>
      <c r="AB116" s="2">
        <v>1087.0</v>
      </c>
      <c r="AC116" s="2">
        <v>203600.0</v>
      </c>
      <c r="AD116" s="2" t="s">
        <v>1813</v>
      </c>
      <c r="AE116" s="2" t="s">
        <v>1813</v>
      </c>
      <c r="AL116" s="6">
        <f>IFERROR(__xludf.DUMMYFUNCTION("IF(
  TRIM(AD116)="""",
  0,
  COUNTA(
    SPLIT(
      REGEXREPLACE(AD116,""\s*,\s*"","",""),
      "",""
    )
  )
)"),11.0)</f>
        <v>11</v>
      </c>
    </row>
    <row r="117">
      <c r="A117" s="2" t="s">
        <v>1814</v>
      </c>
      <c r="B117" s="2" t="s">
        <v>1814</v>
      </c>
      <c r="C117" s="2" t="s">
        <v>276</v>
      </c>
      <c r="D117" s="2" t="s">
        <v>277</v>
      </c>
      <c r="E117" s="2">
        <v>342900.0</v>
      </c>
      <c r="F117" s="2">
        <v>339.0</v>
      </c>
      <c r="G117" s="2">
        <v>487.0</v>
      </c>
      <c r="H117" s="8" t="s">
        <v>1061</v>
      </c>
      <c r="I117" s="2" t="s">
        <v>1816</v>
      </c>
      <c r="J117" s="2" t="s">
        <v>1817</v>
      </c>
      <c r="K117" s="10">
        <v>45713.029814814814</v>
      </c>
      <c r="L117" s="2">
        <v>1.740444176E9</v>
      </c>
      <c r="M117" s="2" t="s">
        <v>47</v>
      </c>
      <c r="N117" s="2" t="s">
        <v>47</v>
      </c>
      <c r="O117" s="2" t="s">
        <v>47</v>
      </c>
      <c r="P117" s="2" t="s">
        <v>47</v>
      </c>
      <c r="Q117" s="2" t="s">
        <v>47</v>
      </c>
      <c r="R117" s="2" t="s">
        <v>48</v>
      </c>
      <c r="S117" s="2" t="s">
        <v>1818</v>
      </c>
      <c r="T117" s="8" t="s">
        <v>1819</v>
      </c>
      <c r="U117" s="8" t="s">
        <v>290</v>
      </c>
      <c r="V117" s="2" t="s">
        <v>277</v>
      </c>
      <c r="W117" s="8" t="s">
        <v>1825</v>
      </c>
      <c r="X117" s="8" t="s">
        <v>1827</v>
      </c>
      <c r="Z117" s="2">
        <v>21300.0</v>
      </c>
      <c r="AA117" s="2">
        <v>833.0</v>
      </c>
      <c r="AB117" s="2">
        <v>4428.0</v>
      </c>
      <c r="AC117" s="2">
        <v>221100.0</v>
      </c>
      <c r="AD117" s="2" t="s">
        <v>1829</v>
      </c>
      <c r="AE117" s="2" t="s">
        <v>1829</v>
      </c>
      <c r="AL117" s="6">
        <f>IFERROR(__xludf.DUMMYFUNCTION("IF(
  TRIM(AD117)="""",
  0,
  COUNTA(
    SPLIT(
      REGEXREPLACE(AD117,""\s*,\s*"","",""),
      "",""
    )
  )
)"),10.0)</f>
        <v>10</v>
      </c>
    </row>
    <row r="118">
      <c r="A118" s="2" t="s">
        <v>1830</v>
      </c>
      <c r="B118" s="2" t="s">
        <v>1830</v>
      </c>
      <c r="C118" s="2" t="s">
        <v>276</v>
      </c>
      <c r="D118" s="2" t="s">
        <v>277</v>
      </c>
      <c r="E118" s="2">
        <v>342900.0</v>
      </c>
      <c r="F118" s="2">
        <v>339.0</v>
      </c>
      <c r="G118" s="2">
        <v>487.0</v>
      </c>
      <c r="H118" s="8" t="s">
        <v>278</v>
      </c>
      <c r="I118" s="2" t="s">
        <v>1831</v>
      </c>
      <c r="J118" s="2" t="s">
        <v>1832</v>
      </c>
      <c r="K118" s="10">
        <v>45835.01636574074</v>
      </c>
      <c r="L118" s="2">
        <v>1.750983814E9</v>
      </c>
      <c r="M118" s="2" t="s">
        <v>47</v>
      </c>
      <c r="N118" s="2" t="s">
        <v>47</v>
      </c>
      <c r="O118" s="2" t="s">
        <v>47</v>
      </c>
      <c r="P118" s="2" t="s">
        <v>47</v>
      </c>
      <c r="Q118" s="2" t="s">
        <v>47</v>
      </c>
      <c r="R118" s="2" t="s">
        <v>48</v>
      </c>
      <c r="S118" s="2" t="s">
        <v>1833</v>
      </c>
      <c r="T118" s="8" t="s">
        <v>1834</v>
      </c>
      <c r="U118" s="8" t="s">
        <v>290</v>
      </c>
      <c r="V118" s="2" t="s">
        <v>277</v>
      </c>
      <c r="W118" s="8" t="s">
        <v>1836</v>
      </c>
      <c r="X118" s="8" t="s">
        <v>1844</v>
      </c>
      <c r="Z118" s="2">
        <v>20900.0</v>
      </c>
      <c r="AA118" s="2">
        <v>239.0</v>
      </c>
      <c r="AB118" s="2">
        <v>6124.0</v>
      </c>
      <c r="AC118" s="2">
        <v>252100.0</v>
      </c>
      <c r="AD118" s="2" t="s">
        <v>1845</v>
      </c>
      <c r="AE118" s="2" t="s">
        <v>1845</v>
      </c>
      <c r="AL118" s="6">
        <f>IFERROR(__xludf.DUMMYFUNCTION("IF(
  TRIM(AD118)="""",
  0,
  COUNTA(
    SPLIT(
      REGEXREPLACE(AD118,""\s*,\s*"","",""),
      "",""
    )
  )
)"),10.0)</f>
        <v>10</v>
      </c>
    </row>
    <row r="119">
      <c r="A119" s="2" t="s">
        <v>1846</v>
      </c>
      <c r="B119" s="2" t="s">
        <v>1846</v>
      </c>
      <c r="C119" s="2" t="s">
        <v>276</v>
      </c>
      <c r="D119" s="2" t="s">
        <v>277</v>
      </c>
      <c r="E119" s="2">
        <v>342900.0</v>
      </c>
      <c r="F119" s="2">
        <v>339.0</v>
      </c>
      <c r="G119" s="2">
        <v>487.0</v>
      </c>
      <c r="H119" s="8" t="s">
        <v>278</v>
      </c>
      <c r="I119" s="2" t="s">
        <v>1848</v>
      </c>
      <c r="J119" s="2" t="s">
        <v>1849</v>
      </c>
      <c r="K119" s="10">
        <v>45824.0190162037</v>
      </c>
      <c r="L119" s="2">
        <v>1.750033643E9</v>
      </c>
      <c r="M119" s="2" t="s">
        <v>47</v>
      </c>
      <c r="N119" s="2" t="s">
        <v>47</v>
      </c>
      <c r="O119" s="2" t="s">
        <v>47</v>
      </c>
      <c r="P119" s="2" t="s">
        <v>47</v>
      </c>
      <c r="Q119" s="2" t="s">
        <v>47</v>
      </c>
      <c r="R119" s="2" t="s">
        <v>48</v>
      </c>
      <c r="S119" s="2" t="s">
        <v>1850</v>
      </c>
      <c r="T119" s="8" t="s">
        <v>1851</v>
      </c>
      <c r="U119" s="8" t="s">
        <v>538</v>
      </c>
      <c r="V119" s="2" t="s">
        <v>277</v>
      </c>
      <c r="W119" s="8" t="s">
        <v>1854</v>
      </c>
      <c r="X119" s="8" t="s">
        <v>1856</v>
      </c>
      <c r="Z119" s="2">
        <v>20000.0</v>
      </c>
      <c r="AA119" s="2">
        <v>1027.0</v>
      </c>
      <c r="AB119" s="2">
        <v>4784.0</v>
      </c>
      <c r="AC119" s="2">
        <v>236600.0</v>
      </c>
      <c r="AD119" s="2" t="s">
        <v>1859</v>
      </c>
      <c r="AE119" s="2" t="s">
        <v>1859</v>
      </c>
      <c r="AL119" s="6">
        <f>IFERROR(__xludf.DUMMYFUNCTION("IF(
  TRIM(AD119)="""",
  0,
  COUNTA(
    SPLIT(
      REGEXREPLACE(AD119,""\s*,\s*"","",""),
      "",""
    )
  )
)"),9.0)</f>
        <v>9</v>
      </c>
    </row>
    <row r="120">
      <c r="A120" s="2" t="s">
        <v>1863</v>
      </c>
      <c r="B120" s="2" t="s">
        <v>1863</v>
      </c>
      <c r="C120" s="2" t="s">
        <v>1864</v>
      </c>
      <c r="D120" s="2" t="s">
        <v>1865</v>
      </c>
      <c r="E120" s="2">
        <v>73000.0</v>
      </c>
      <c r="F120" s="2">
        <v>1595.0</v>
      </c>
      <c r="G120" s="2">
        <v>453.0</v>
      </c>
      <c r="H120" s="8" t="s">
        <v>1866</v>
      </c>
      <c r="I120" s="2" t="s">
        <v>1868</v>
      </c>
      <c r="J120" s="2" t="s">
        <v>1869</v>
      </c>
      <c r="K120" s="10">
        <v>45701.65828703704</v>
      </c>
      <c r="L120" s="2">
        <v>1.739461676E9</v>
      </c>
      <c r="M120" s="2" t="s">
        <v>47</v>
      </c>
      <c r="N120" s="2" t="s">
        <v>47</v>
      </c>
      <c r="O120" s="2" t="s">
        <v>47</v>
      </c>
      <c r="P120" s="2" t="s">
        <v>47</v>
      </c>
      <c r="Q120" s="2" t="s">
        <v>47</v>
      </c>
      <c r="R120" s="2" t="s">
        <v>48</v>
      </c>
      <c r="S120" s="2" t="s">
        <v>1870</v>
      </c>
      <c r="T120" s="8" t="s">
        <v>1871</v>
      </c>
      <c r="U120" s="8" t="s">
        <v>1874</v>
      </c>
      <c r="V120" s="2" t="s">
        <v>1875</v>
      </c>
      <c r="W120" s="8" t="s">
        <v>1876</v>
      </c>
      <c r="X120" s="8" t="s">
        <v>1877</v>
      </c>
      <c r="Z120" s="2">
        <v>19700.0</v>
      </c>
      <c r="AA120" s="2">
        <v>663.0</v>
      </c>
      <c r="AB120" s="2">
        <v>2583.0</v>
      </c>
      <c r="AC120" s="2">
        <v>318900.0</v>
      </c>
      <c r="AD120" s="2" t="s">
        <v>1878</v>
      </c>
      <c r="AE120" s="2" t="s">
        <v>1878</v>
      </c>
      <c r="AL120" s="6">
        <f>IFERROR(__xludf.DUMMYFUNCTION("IF(
  TRIM(AD120)="""",
  0,
  COUNTA(
    SPLIT(
      REGEXREPLACE(AD120,""\s*,\s*"","",""),
      "",""
    )
  )
)"),3.0)</f>
        <v>3</v>
      </c>
    </row>
    <row r="121">
      <c r="A121" s="2" t="s">
        <v>1879</v>
      </c>
      <c r="B121" s="2" t="s">
        <v>1879</v>
      </c>
      <c r="C121" s="2" t="s">
        <v>1880</v>
      </c>
      <c r="D121" s="2" t="s">
        <v>1880</v>
      </c>
      <c r="E121" s="2">
        <v>1075.0</v>
      </c>
      <c r="F121" s="2">
        <v>83.0</v>
      </c>
      <c r="G121" s="2">
        <v>135.0</v>
      </c>
      <c r="H121" s="8" t="s">
        <v>1881</v>
      </c>
      <c r="I121" s="2" t="s">
        <v>1882</v>
      </c>
      <c r="K121" s="10">
        <v>45423.541666666664</v>
      </c>
      <c r="L121" s="2">
        <v>1.7154324E9</v>
      </c>
      <c r="M121" s="2" t="s">
        <v>47</v>
      </c>
      <c r="N121" s="2" t="s">
        <v>47</v>
      </c>
      <c r="O121" s="2" t="s">
        <v>47</v>
      </c>
      <c r="P121" s="2" t="s">
        <v>47</v>
      </c>
      <c r="Q121" s="2" t="s">
        <v>47</v>
      </c>
      <c r="R121" s="2" t="s">
        <v>1883</v>
      </c>
      <c r="S121" s="2" t="s">
        <v>1884</v>
      </c>
      <c r="T121" s="8" t="s">
        <v>1885</v>
      </c>
      <c r="U121" s="8" t="s">
        <v>1887</v>
      </c>
      <c r="V121" s="2" t="s">
        <v>1880</v>
      </c>
      <c r="W121" s="8" t="s">
        <v>1892</v>
      </c>
      <c r="X121" s="8" t="s">
        <v>1893</v>
      </c>
      <c r="Z121" s="2">
        <v>19700.0</v>
      </c>
      <c r="AA121" s="2">
        <v>436.0</v>
      </c>
      <c r="AB121" s="2">
        <v>2047.0</v>
      </c>
      <c r="AC121" s="2">
        <v>879600.0</v>
      </c>
      <c r="AD121" s="2" t="s">
        <v>1894</v>
      </c>
      <c r="AE121" s="2" t="s">
        <v>1894</v>
      </c>
      <c r="AH121" s="2" t="s">
        <v>121</v>
      </c>
      <c r="AL121" s="6">
        <f>IFERROR(__xludf.DUMMYFUNCTION("IF(
  TRIM(AD121)="""",
  0,
  COUNTA(
    SPLIT(
      REGEXREPLACE(AD121,""\s*,\s*"","",""),
      "",""
    )
  )
)"),5.0)</f>
        <v>5</v>
      </c>
    </row>
    <row r="122">
      <c r="A122" s="2" t="s">
        <v>1895</v>
      </c>
      <c r="B122" s="2" t="s">
        <v>1895</v>
      </c>
      <c r="C122" s="2" t="s">
        <v>169</v>
      </c>
      <c r="D122" s="2" t="s">
        <v>56</v>
      </c>
      <c r="E122" s="2">
        <v>995400.0</v>
      </c>
      <c r="F122" s="2">
        <v>396.0</v>
      </c>
      <c r="G122" s="2">
        <v>1457.0</v>
      </c>
      <c r="H122" s="8" t="s">
        <v>170</v>
      </c>
      <c r="I122" s="2" t="s">
        <v>1897</v>
      </c>
      <c r="K122" s="10">
        <v>45251.59875</v>
      </c>
      <c r="L122" s="2">
        <v>1.700576532E9</v>
      </c>
      <c r="M122" s="2" t="s">
        <v>47</v>
      </c>
      <c r="N122" s="2" t="s">
        <v>47</v>
      </c>
      <c r="O122" s="2" t="s">
        <v>47</v>
      </c>
      <c r="P122" s="2" t="s">
        <v>47</v>
      </c>
      <c r="Q122" s="2" t="s">
        <v>47</v>
      </c>
      <c r="R122" s="2" t="s">
        <v>48</v>
      </c>
      <c r="S122" s="2" t="s">
        <v>1899</v>
      </c>
      <c r="T122" s="8" t="s">
        <v>1901</v>
      </c>
      <c r="U122" s="8" t="s">
        <v>180</v>
      </c>
      <c r="V122" s="2" t="s">
        <v>56</v>
      </c>
      <c r="W122" s="8" t="s">
        <v>1903</v>
      </c>
      <c r="X122" s="8" t="s">
        <v>1906</v>
      </c>
      <c r="Z122" s="2">
        <v>19700.0</v>
      </c>
      <c r="AA122" s="2">
        <v>297.0</v>
      </c>
      <c r="AB122" s="2">
        <v>1177.0</v>
      </c>
      <c r="AC122" s="2">
        <v>167300.0</v>
      </c>
      <c r="AD122" s="2" t="s">
        <v>1813</v>
      </c>
      <c r="AE122" s="2" t="s">
        <v>1813</v>
      </c>
      <c r="AH122" s="2" t="s">
        <v>918</v>
      </c>
      <c r="AL122" s="6">
        <f>IFERROR(__xludf.DUMMYFUNCTION("IF(
  TRIM(AD122)="""",
  0,
  COUNTA(
    SPLIT(
      REGEXREPLACE(AD122,""\s*,\s*"","",""),
      "",""
    )
  )
)"),11.0)</f>
        <v>11</v>
      </c>
    </row>
    <row r="123">
      <c r="A123" s="2" t="s">
        <v>1907</v>
      </c>
      <c r="B123" s="2" t="s">
        <v>1907</v>
      </c>
      <c r="C123" s="2" t="s">
        <v>69</v>
      </c>
      <c r="D123" s="2" t="s">
        <v>70</v>
      </c>
      <c r="E123" s="2">
        <v>175800.0</v>
      </c>
      <c r="F123" s="2">
        <v>886.0</v>
      </c>
      <c r="G123" s="2">
        <v>767.0</v>
      </c>
      <c r="H123" s="8" t="s">
        <v>84</v>
      </c>
      <c r="I123" s="2" t="s">
        <v>1908</v>
      </c>
      <c r="K123" s="10">
        <v>45499.01429398148</v>
      </c>
      <c r="L123" s="2">
        <v>1.721953235E9</v>
      </c>
      <c r="M123" s="2" t="s">
        <v>47</v>
      </c>
      <c r="N123" s="2" t="s">
        <v>47</v>
      </c>
      <c r="O123" s="2" t="s">
        <v>47</v>
      </c>
      <c r="P123" s="2" t="s">
        <v>47</v>
      </c>
      <c r="Q123" s="2" t="s">
        <v>47</v>
      </c>
      <c r="R123" s="2" t="s">
        <v>352</v>
      </c>
      <c r="S123" s="2" t="s">
        <v>1909</v>
      </c>
      <c r="T123" s="8" t="s">
        <v>1910</v>
      </c>
      <c r="U123" s="8" t="s">
        <v>356</v>
      </c>
      <c r="V123" s="2" t="s">
        <v>358</v>
      </c>
      <c r="W123" s="8" t="s">
        <v>1917</v>
      </c>
      <c r="X123" s="8" t="s">
        <v>1923</v>
      </c>
      <c r="Z123" s="2">
        <v>19300.0</v>
      </c>
      <c r="AA123" s="2">
        <v>685.0</v>
      </c>
      <c r="AB123" s="2">
        <v>1596.0</v>
      </c>
      <c r="AC123" s="2">
        <v>147000.0</v>
      </c>
      <c r="AD123" s="2" t="s">
        <v>1924</v>
      </c>
      <c r="AE123" s="2" t="s">
        <v>1924</v>
      </c>
      <c r="AL123" s="6">
        <f>IFERROR(__xludf.DUMMYFUNCTION("IF(
  TRIM(AD123)="""",
  0,
  COUNTA(
    SPLIT(
      REGEXREPLACE(AD123,""\s*,\s*"","",""),
      "",""
    )
  )
)"),5.0)</f>
        <v>5</v>
      </c>
    </row>
    <row r="124">
      <c r="A124" s="2" t="s">
        <v>1463</v>
      </c>
      <c r="B124" s="2" t="s">
        <v>1463</v>
      </c>
      <c r="C124" s="2" t="s">
        <v>920</v>
      </c>
      <c r="D124" s="2" t="s">
        <v>921</v>
      </c>
      <c r="E124" s="2">
        <v>296100.0</v>
      </c>
      <c r="F124" s="2">
        <v>1905.0</v>
      </c>
      <c r="G124" s="2">
        <v>1402.0</v>
      </c>
      <c r="H124" s="8" t="s">
        <v>1322</v>
      </c>
      <c r="I124" s="2" t="s">
        <v>1465</v>
      </c>
      <c r="K124" s="10">
        <v>45746.045902777776</v>
      </c>
      <c r="L124" s="2">
        <v>1.743296766E9</v>
      </c>
      <c r="M124" s="2" t="s">
        <v>47</v>
      </c>
      <c r="N124" s="2" t="s">
        <v>47</v>
      </c>
      <c r="O124" s="2" t="s">
        <v>47</v>
      </c>
      <c r="P124" s="2" t="s">
        <v>47</v>
      </c>
      <c r="Q124" s="2" t="s">
        <v>47</v>
      </c>
      <c r="R124" s="2" t="s">
        <v>48</v>
      </c>
      <c r="S124" s="2" t="s">
        <v>1466</v>
      </c>
      <c r="T124" s="8" t="s">
        <v>1925</v>
      </c>
      <c r="U124" s="8" t="s">
        <v>1233</v>
      </c>
      <c r="V124" s="2" t="s">
        <v>921</v>
      </c>
      <c r="W124" s="8" t="s">
        <v>1928</v>
      </c>
      <c r="X124" s="8" t="s">
        <v>1478</v>
      </c>
      <c r="Z124" s="2">
        <v>18400.0</v>
      </c>
      <c r="AA124" s="2">
        <v>746.0</v>
      </c>
      <c r="AB124" s="2">
        <v>8825.0</v>
      </c>
      <c r="AC124" s="2">
        <v>301600.0</v>
      </c>
      <c r="AD124" s="2" t="s">
        <v>1289</v>
      </c>
      <c r="AE124" s="2" t="s">
        <v>1289</v>
      </c>
      <c r="AH124" s="2" t="s">
        <v>121</v>
      </c>
      <c r="AL124" s="6">
        <f>IFERROR(__xludf.DUMMYFUNCTION("IF(
  TRIM(AD124)="""",
  0,
  COUNTA(
    SPLIT(
      REGEXREPLACE(AD124,""\s*,\s*"","",""),
      "",""
    )
  )
)"),3.0)</f>
        <v>3</v>
      </c>
    </row>
    <row r="125">
      <c r="A125" s="2" t="s">
        <v>1931</v>
      </c>
      <c r="B125" s="2" t="s">
        <v>1931</v>
      </c>
      <c r="C125" s="2" t="s">
        <v>69</v>
      </c>
      <c r="D125" s="2" t="s">
        <v>70</v>
      </c>
      <c r="E125" s="2">
        <v>175800.0</v>
      </c>
      <c r="F125" s="2">
        <v>886.0</v>
      </c>
      <c r="G125" s="2">
        <v>767.0</v>
      </c>
      <c r="H125" s="8" t="s">
        <v>320</v>
      </c>
      <c r="I125" s="2" t="s">
        <v>1935</v>
      </c>
      <c r="J125" s="2" t="s">
        <v>1936</v>
      </c>
      <c r="K125" s="10">
        <v>45027.61039351852</v>
      </c>
      <c r="L125" s="2">
        <v>1.681223938E9</v>
      </c>
      <c r="M125" s="2" t="s">
        <v>47</v>
      </c>
      <c r="N125" s="2" t="s">
        <v>47</v>
      </c>
      <c r="O125" s="2" t="s">
        <v>47</v>
      </c>
      <c r="P125" s="2" t="s">
        <v>47</v>
      </c>
      <c r="Q125" s="2" t="s">
        <v>47</v>
      </c>
      <c r="R125" s="2" t="s">
        <v>48</v>
      </c>
      <c r="S125" s="2" t="s">
        <v>1938</v>
      </c>
      <c r="T125" s="8" t="s">
        <v>1939</v>
      </c>
      <c r="U125" s="8" t="s">
        <v>1052</v>
      </c>
      <c r="V125" s="2" t="s">
        <v>70</v>
      </c>
      <c r="W125" s="8" t="s">
        <v>1944</v>
      </c>
      <c r="X125" s="8" t="s">
        <v>1946</v>
      </c>
      <c r="Z125" s="2">
        <v>18300.0</v>
      </c>
      <c r="AA125" s="2">
        <v>339.0</v>
      </c>
      <c r="AB125" s="2">
        <v>5795.0</v>
      </c>
      <c r="AC125" s="2">
        <v>362100.0</v>
      </c>
      <c r="AD125" s="2" t="s">
        <v>1947</v>
      </c>
      <c r="AE125" s="2" t="s">
        <v>1947</v>
      </c>
      <c r="AL125" s="6">
        <f>IFERROR(__xludf.DUMMYFUNCTION("IF(
  TRIM(AD125)="""",
  0,
  COUNTA(
    SPLIT(
      REGEXREPLACE(AD125,""\s*,\s*"","",""),
      "",""
    )
  )
)"),4.0)</f>
        <v>4</v>
      </c>
    </row>
    <row r="126">
      <c r="A126" s="2" t="s">
        <v>1948</v>
      </c>
      <c r="B126" s="2" t="s">
        <v>1948</v>
      </c>
      <c r="C126" s="2" t="s">
        <v>1577</v>
      </c>
      <c r="D126" s="2" t="s">
        <v>1578</v>
      </c>
      <c r="E126" s="2">
        <v>22500.0</v>
      </c>
      <c r="F126" s="2">
        <v>12.0</v>
      </c>
      <c r="G126" s="2">
        <v>99.0</v>
      </c>
      <c r="H126" s="8" t="s">
        <v>1950</v>
      </c>
      <c r="I126" s="2" t="s">
        <v>1951</v>
      </c>
      <c r="K126" s="10">
        <v>45717.92259259259</v>
      </c>
      <c r="L126" s="2">
        <v>1.740866912E9</v>
      </c>
      <c r="M126" s="2" t="s">
        <v>47</v>
      </c>
      <c r="N126" s="2" t="s">
        <v>47</v>
      </c>
      <c r="O126" s="2" t="s">
        <v>47</v>
      </c>
      <c r="P126" s="2" t="s">
        <v>47</v>
      </c>
      <c r="Q126" s="2" t="s">
        <v>47</v>
      </c>
      <c r="R126" s="2" t="s">
        <v>48</v>
      </c>
      <c r="S126" s="2" t="s">
        <v>1952</v>
      </c>
      <c r="T126" s="8" t="s">
        <v>1953</v>
      </c>
      <c r="U126" s="8" t="s">
        <v>1959</v>
      </c>
      <c r="V126" s="2" t="s">
        <v>1578</v>
      </c>
      <c r="W126" s="8" t="s">
        <v>1961</v>
      </c>
      <c r="X126" s="8" t="s">
        <v>1965</v>
      </c>
      <c r="Z126" s="2">
        <v>18300.0</v>
      </c>
      <c r="AA126" s="2">
        <v>312.0</v>
      </c>
      <c r="AB126" s="2">
        <v>2670.0</v>
      </c>
      <c r="AC126" s="2">
        <v>442900.0</v>
      </c>
      <c r="AD126" s="2" t="s">
        <v>1966</v>
      </c>
      <c r="AE126" s="2" t="s">
        <v>1966</v>
      </c>
      <c r="AH126" s="2" t="s">
        <v>1560</v>
      </c>
      <c r="AL126" s="6">
        <f>IFERROR(__xludf.DUMMYFUNCTION("IF(
  TRIM(AD126)="""",
  0,
  COUNTA(
    SPLIT(
      REGEXREPLACE(AD126,""\s*,\s*"","",""),
      "",""
    )
  )
)"),4.0)</f>
        <v>4</v>
      </c>
    </row>
    <row r="127">
      <c r="A127" s="2" t="s">
        <v>1967</v>
      </c>
      <c r="B127" s="2" t="s">
        <v>1967</v>
      </c>
      <c r="C127" s="2" t="s">
        <v>1968</v>
      </c>
      <c r="D127" s="2" t="s">
        <v>1969</v>
      </c>
      <c r="E127" s="2">
        <v>121100.0</v>
      </c>
      <c r="F127" s="2">
        <v>7046.0</v>
      </c>
      <c r="G127" s="2">
        <v>1435.0</v>
      </c>
      <c r="H127" s="8" t="s">
        <v>1970</v>
      </c>
      <c r="I127" s="2" t="s">
        <v>1972</v>
      </c>
      <c r="J127" s="2" t="s">
        <v>1973</v>
      </c>
      <c r="K127" s="10">
        <v>45787.84644675926</v>
      </c>
      <c r="L127" s="2">
        <v>1.746908333E9</v>
      </c>
      <c r="M127" s="2" t="s">
        <v>47</v>
      </c>
      <c r="N127" s="2" t="s">
        <v>47</v>
      </c>
      <c r="O127" s="2" t="s">
        <v>47</v>
      </c>
      <c r="P127" s="2" t="s">
        <v>47</v>
      </c>
      <c r="Q127" s="2" t="s">
        <v>47</v>
      </c>
      <c r="R127" s="2" t="s">
        <v>1974</v>
      </c>
      <c r="S127" s="2" t="s">
        <v>1975</v>
      </c>
      <c r="T127" s="8" t="s">
        <v>1976</v>
      </c>
      <c r="U127" s="8" t="s">
        <v>1977</v>
      </c>
      <c r="V127" s="2" t="s">
        <v>1978</v>
      </c>
      <c r="W127" s="8" t="s">
        <v>1979</v>
      </c>
      <c r="X127" s="8" t="s">
        <v>1981</v>
      </c>
      <c r="Z127" s="2">
        <v>18000.0</v>
      </c>
      <c r="AA127" s="2">
        <v>475.0</v>
      </c>
      <c r="AB127" s="2">
        <v>3250.0</v>
      </c>
      <c r="AC127" s="2">
        <v>193300.0</v>
      </c>
      <c r="AD127" s="2" t="s">
        <v>1982</v>
      </c>
      <c r="AE127" s="2" t="s">
        <v>1982</v>
      </c>
      <c r="AL127" s="6">
        <f>IFERROR(__xludf.DUMMYFUNCTION("IF(
  TRIM(AD127)="""",
  0,
  COUNTA(
    SPLIT(
      REGEXREPLACE(AD127,""\s*,\s*"","",""),
      "",""
    )
  )
)"),4.0)</f>
        <v>4</v>
      </c>
    </row>
    <row r="128">
      <c r="A128" s="2" t="s">
        <v>1983</v>
      </c>
      <c r="B128" s="2" t="s">
        <v>1983</v>
      </c>
      <c r="C128" s="2" t="s">
        <v>497</v>
      </c>
      <c r="D128" s="2" t="s">
        <v>497</v>
      </c>
      <c r="E128" s="2">
        <v>210400.0</v>
      </c>
      <c r="F128" s="2">
        <v>1015.0</v>
      </c>
      <c r="G128" s="2">
        <v>461.0</v>
      </c>
      <c r="H128" s="8" t="s">
        <v>1984</v>
      </c>
      <c r="I128" s="2" t="s">
        <v>1986</v>
      </c>
      <c r="K128" s="10">
        <v>45554.493101851855</v>
      </c>
      <c r="L128" s="2">
        <v>1.726746604E9</v>
      </c>
      <c r="M128" s="2" t="s">
        <v>47</v>
      </c>
      <c r="N128" s="2" t="s">
        <v>47</v>
      </c>
      <c r="O128" s="2" t="s">
        <v>47</v>
      </c>
      <c r="P128" s="2" t="s">
        <v>47</v>
      </c>
      <c r="Q128" s="2" t="s">
        <v>47</v>
      </c>
      <c r="R128" s="2" t="s">
        <v>48</v>
      </c>
      <c r="S128" s="2" t="s">
        <v>1987</v>
      </c>
      <c r="T128" s="8" t="s">
        <v>1988</v>
      </c>
      <c r="U128" s="8" t="s">
        <v>758</v>
      </c>
      <c r="V128" s="2" t="s">
        <v>497</v>
      </c>
      <c r="W128" s="8" t="s">
        <v>1992</v>
      </c>
      <c r="X128" s="8" t="s">
        <v>1996</v>
      </c>
      <c r="Z128" s="2">
        <v>17800.0</v>
      </c>
      <c r="AA128" s="2">
        <v>555.0</v>
      </c>
      <c r="AB128" s="2">
        <v>2287.0</v>
      </c>
      <c r="AC128" s="2">
        <v>215200.0</v>
      </c>
      <c r="AD128" s="2" t="s">
        <v>1997</v>
      </c>
      <c r="AE128" s="2" t="s">
        <v>1998</v>
      </c>
      <c r="AL128" s="6">
        <f>IFERROR(__xludf.DUMMYFUNCTION("IF(
  TRIM(AD128)="""",
  0,
  COUNTA(
    SPLIT(
      REGEXREPLACE(AD128,""\s*,\s*"","",""),
      "",""
    )
  )
)"),17.0)</f>
        <v>17</v>
      </c>
    </row>
    <row r="129">
      <c r="A129" s="2" t="s">
        <v>1999</v>
      </c>
      <c r="B129" s="2" t="s">
        <v>1999</v>
      </c>
      <c r="C129" s="2" t="s">
        <v>1206</v>
      </c>
      <c r="D129" s="2" t="s">
        <v>1207</v>
      </c>
      <c r="E129" s="2">
        <v>34500.0</v>
      </c>
      <c r="F129" s="2">
        <v>3116.0</v>
      </c>
      <c r="G129" s="2">
        <v>148.0</v>
      </c>
      <c r="H129" s="8" t="s">
        <v>1208</v>
      </c>
      <c r="I129" s="2" t="s">
        <v>2000</v>
      </c>
      <c r="J129" s="2" t="s">
        <v>2001</v>
      </c>
      <c r="K129" s="10">
        <v>45020.53487268519</v>
      </c>
      <c r="L129" s="2">
        <v>1.680612613E9</v>
      </c>
      <c r="M129" s="2" t="s">
        <v>47</v>
      </c>
      <c r="N129" s="2" t="s">
        <v>47</v>
      </c>
      <c r="O129" s="2" t="s">
        <v>47</v>
      </c>
      <c r="P129" s="2" t="s">
        <v>47</v>
      </c>
      <c r="Q129" s="2" t="s">
        <v>47</v>
      </c>
      <c r="R129" s="2" t="s">
        <v>48</v>
      </c>
      <c r="S129" s="2" t="s">
        <v>2002</v>
      </c>
      <c r="T129" s="8" t="s">
        <v>2003</v>
      </c>
      <c r="U129" s="8" t="s">
        <v>1215</v>
      </c>
      <c r="V129" s="2" t="s">
        <v>1207</v>
      </c>
      <c r="W129" s="8" t="s">
        <v>2005</v>
      </c>
      <c r="X129" s="8" t="s">
        <v>2006</v>
      </c>
      <c r="Z129" s="2">
        <v>17700.0</v>
      </c>
      <c r="AA129" s="2">
        <v>221.0</v>
      </c>
      <c r="AB129" s="2">
        <v>1070.0</v>
      </c>
      <c r="AC129" s="2">
        <v>287300.0</v>
      </c>
      <c r="AD129" s="2" t="s">
        <v>2008</v>
      </c>
      <c r="AE129" s="2" t="s">
        <v>2008</v>
      </c>
      <c r="AL129" s="6">
        <f>IFERROR(__xludf.DUMMYFUNCTION("IF(
  TRIM(AD129)="""",
  0,
  COUNTA(
    SPLIT(
      REGEXREPLACE(AD129,""\s*,\s*"","",""),
      "",""
    )
  )
)"),5.0)</f>
        <v>5</v>
      </c>
    </row>
    <row r="130">
      <c r="A130" s="2" t="s">
        <v>2009</v>
      </c>
      <c r="B130" s="2" t="s">
        <v>2009</v>
      </c>
      <c r="C130" s="2" t="s">
        <v>2010</v>
      </c>
      <c r="D130" s="2" t="s">
        <v>2011</v>
      </c>
      <c r="E130" s="2">
        <v>161600.0</v>
      </c>
      <c r="F130" s="2">
        <v>6370.0</v>
      </c>
      <c r="G130" s="2">
        <v>1500.0</v>
      </c>
      <c r="H130" s="8" t="s">
        <v>2013</v>
      </c>
      <c r="I130" s="2" t="s">
        <v>2019</v>
      </c>
      <c r="J130" s="2" t="s">
        <v>2020</v>
      </c>
      <c r="K130" s="10">
        <v>45534.90957175926</v>
      </c>
      <c r="L130" s="2">
        <v>1.725054587E9</v>
      </c>
      <c r="M130" s="2" t="s">
        <v>47</v>
      </c>
      <c r="N130" s="2" t="s">
        <v>47</v>
      </c>
      <c r="O130" s="2" t="s">
        <v>47</v>
      </c>
      <c r="P130" s="2" t="s">
        <v>47</v>
      </c>
      <c r="Q130" s="2" t="s">
        <v>47</v>
      </c>
      <c r="R130" s="2" t="s">
        <v>48</v>
      </c>
      <c r="S130" s="2" t="s">
        <v>2021</v>
      </c>
      <c r="T130" s="8" t="s">
        <v>2022</v>
      </c>
      <c r="U130" s="8" t="s">
        <v>2027</v>
      </c>
      <c r="V130" s="2" t="s">
        <v>2011</v>
      </c>
      <c r="W130" s="8" t="s">
        <v>2029</v>
      </c>
      <c r="X130" s="8" t="s">
        <v>2031</v>
      </c>
      <c r="Z130" s="2">
        <v>17700.0</v>
      </c>
      <c r="AA130" s="2">
        <v>747.0</v>
      </c>
      <c r="AB130" s="2">
        <v>3499.0</v>
      </c>
      <c r="AC130" s="2">
        <v>218900.0</v>
      </c>
      <c r="AD130" s="2" t="s">
        <v>2032</v>
      </c>
      <c r="AE130" s="2" t="s">
        <v>2032</v>
      </c>
      <c r="AL130" s="6">
        <f>IFERROR(__xludf.DUMMYFUNCTION("IF(
  TRIM(AD130)="""",
  0,
  COUNTA(
    SPLIT(
      REGEXREPLACE(AD130,""\s*,\s*"","",""),
      "",""
    )
  )
)"),5.0)</f>
        <v>5</v>
      </c>
    </row>
    <row r="131">
      <c r="A131" s="2" t="s">
        <v>1511</v>
      </c>
      <c r="B131" s="2" t="s">
        <v>1511</v>
      </c>
      <c r="C131" s="2" t="s">
        <v>920</v>
      </c>
      <c r="D131" s="2" t="s">
        <v>921</v>
      </c>
      <c r="E131" s="2">
        <v>296100.0</v>
      </c>
      <c r="F131" s="2">
        <v>1905.0</v>
      </c>
      <c r="G131" s="2">
        <v>1402.0</v>
      </c>
      <c r="H131" s="8" t="s">
        <v>1322</v>
      </c>
      <c r="I131" s="2" t="s">
        <v>1512</v>
      </c>
      <c r="K131" s="10">
        <v>45749.984872685185</v>
      </c>
      <c r="L131" s="2">
        <v>1.743637093E9</v>
      </c>
      <c r="M131" s="2" t="s">
        <v>47</v>
      </c>
      <c r="N131" s="2" t="s">
        <v>47</v>
      </c>
      <c r="O131" s="2" t="s">
        <v>47</v>
      </c>
      <c r="P131" s="2" t="s">
        <v>47</v>
      </c>
      <c r="Q131" s="2" t="s">
        <v>47</v>
      </c>
      <c r="R131" s="2" t="s">
        <v>48</v>
      </c>
      <c r="S131" s="2" t="s">
        <v>1513</v>
      </c>
      <c r="T131" s="8" t="s">
        <v>2033</v>
      </c>
      <c r="U131" s="8" t="s">
        <v>932</v>
      </c>
      <c r="V131" s="2" t="s">
        <v>921</v>
      </c>
      <c r="W131" s="8" t="s">
        <v>2041</v>
      </c>
      <c r="X131" s="8" t="s">
        <v>1519</v>
      </c>
      <c r="Z131" s="2">
        <v>17600.0</v>
      </c>
      <c r="AA131" s="2">
        <v>565.0</v>
      </c>
      <c r="AB131" s="2">
        <v>4923.0</v>
      </c>
      <c r="AC131" s="2">
        <v>224500.0</v>
      </c>
      <c r="AD131" s="2" t="s">
        <v>1289</v>
      </c>
      <c r="AE131" s="2" t="s">
        <v>1289</v>
      </c>
      <c r="AL131" s="6">
        <f>IFERROR(__xludf.DUMMYFUNCTION("IF(
  TRIM(AD131)="""",
  0,
  COUNTA(
    SPLIT(
      REGEXREPLACE(AD131,""\s*,\s*"","",""),
      "",""
    )
  )
)"),3.0)</f>
        <v>3</v>
      </c>
    </row>
    <row r="132">
      <c r="A132" s="2" t="s">
        <v>2043</v>
      </c>
      <c r="B132" s="2" t="s">
        <v>2043</v>
      </c>
      <c r="C132" s="2" t="s">
        <v>123</v>
      </c>
      <c r="D132" s="2" t="s">
        <v>124</v>
      </c>
      <c r="E132" s="2">
        <v>252600.0</v>
      </c>
      <c r="F132" s="2">
        <v>353.0</v>
      </c>
      <c r="G132" s="2">
        <v>674.0</v>
      </c>
      <c r="H132" s="8" t="s">
        <v>125</v>
      </c>
      <c r="I132" s="2" t="s">
        <v>2045</v>
      </c>
      <c r="K132" s="10">
        <v>45805.59361111111</v>
      </c>
      <c r="L132" s="2">
        <v>1.748441688E9</v>
      </c>
      <c r="M132" s="2" t="s">
        <v>47</v>
      </c>
      <c r="N132" s="2" t="s">
        <v>47</v>
      </c>
      <c r="O132" s="2" t="s">
        <v>47</v>
      </c>
      <c r="P132" s="2" t="s">
        <v>47</v>
      </c>
      <c r="Q132" s="2" t="s">
        <v>47</v>
      </c>
      <c r="R132" s="2" t="s">
        <v>48</v>
      </c>
      <c r="S132" s="2" t="s">
        <v>2046</v>
      </c>
      <c r="T132" s="8" t="s">
        <v>2047</v>
      </c>
      <c r="U132" s="8" t="s">
        <v>2048</v>
      </c>
      <c r="V132" s="2" t="s">
        <v>124</v>
      </c>
      <c r="W132" s="8" t="s">
        <v>2050</v>
      </c>
      <c r="X132" s="8" t="s">
        <v>2056</v>
      </c>
      <c r="Z132" s="2">
        <v>17600.0</v>
      </c>
      <c r="AA132" s="2">
        <v>391.0</v>
      </c>
      <c r="AB132" s="2">
        <v>4877.0</v>
      </c>
      <c r="AC132" s="2">
        <v>166400.0</v>
      </c>
      <c r="AD132" s="2" t="s">
        <v>2057</v>
      </c>
      <c r="AE132" s="2" t="s">
        <v>2057</v>
      </c>
      <c r="AL132" s="6">
        <f>IFERROR(__xludf.DUMMYFUNCTION("IF(
  TRIM(AD132)="""",
  0,
  COUNTA(
    SPLIT(
      REGEXREPLACE(AD132,""\s*,\s*"","",""),
      "",""
    )
  )
)"),7.0)</f>
        <v>7</v>
      </c>
    </row>
    <row r="133">
      <c r="A133" s="2" t="s">
        <v>2058</v>
      </c>
      <c r="B133" s="2" t="s">
        <v>2058</v>
      </c>
      <c r="C133" s="2" t="s">
        <v>2059</v>
      </c>
      <c r="D133" s="2" t="s">
        <v>2060</v>
      </c>
      <c r="E133" s="2">
        <v>2918.0</v>
      </c>
      <c r="F133" s="2">
        <v>130.0</v>
      </c>
      <c r="G133" s="2">
        <v>20.0</v>
      </c>
      <c r="H133" s="8" t="s">
        <v>2061</v>
      </c>
      <c r="I133" s="2" t="s">
        <v>2062</v>
      </c>
      <c r="K133" s="10">
        <v>45625.9949537037</v>
      </c>
      <c r="L133" s="2">
        <v>1.732924364E9</v>
      </c>
      <c r="M133" s="2" t="s">
        <v>47</v>
      </c>
      <c r="N133" s="2" t="s">
        <v>47</v>
      </c>
      <c r="O133" s="2" t="s">
        <v>47</v>
      </c>
      <c r="P133" s="2" t="s">
        <v>47</v>
      </c>
      <c r="Q133" s="2" t="s">
        <v>47</v>
      </c>
      <c r="R133" s="2" t="s">
        <v>48</v>
      </c>
      <c r="S133" s="2" t="s">
        <v>2063</v>
      </c>
      <c r="T133" s="8" t="s">
        <v>2064</v>
      </c>
      <c r="U133" s="8" t="s">
        <v>2065</v>
      </c>
      <c r="V133" s="2" t="s">
        <v>2060</v>
      </c>
      <c r="W133" s="8" t="s">
        <v>2067</v>
      </c>
      <c r="X133" s="8" t="s">
        <v>2068</v>
      </c>
      <c r="Z133" s="2">
        <v>17500.0</v>
      </c>
      <c r="AA133" s="2">
        <v>347.0</v>
      </c>
      <c r="AB133" s="2">
        <v>1556.0</v>
      </c>
      <c r="AC133" s="2">
        <v>246500.0</v>
      </c>
      <c r="AD133" s="2" t="s">
        <v>2070</v>
      </c>
      <c r="AE133" s="2" t="s">
        <v>2071</v>
      </c>
      <c r="AL133" s="6">
        <f>IFERROR(__xludf.DUMMYFUNCTION("IF(
  TRIM(AD133)="""",
  0,
  COUNTA(
    SPLIT(
      REGEXREPLACE(AD133,""\s*,\s*"","",""),
      "",""
    )
  )
)"),6.0)</f>
        <v>6</v>
      </c>
    </row>
    <row r="134">
      <c r="A134" s="2" t="s">
        <v>2072</v>
      </c>
      <c r="B134" s="2" t="s">
        <v>2072</v>
      </c>
      <c r="C134" s="2" t="s">
        <v>2073</v>
      </c>
      <c r="D134" s="2" t="s">
        <v>2074</v>
      </c>
      <c r="E134" s="2">
        <v>1855.0</v>
      </c>
      <c r="F134" s="2">
        <v>412.0</v>
      </c>
      <c r="G134" s="2">
        <v>24.0</v>
      </c>
      <c r="H134" s="8" t="s">
        <v>2075</v>
      </c>
      <c r="I134" s="2" t="s">
        <v>2076</v>
      </c>
      <c r="K134" s="10">
        <v>45504.735555555555</v>
      </c>
      <c r="L134" s="2">
        <v>1.722447552E9</v>
      </c>
      <c r="M134" s="2" t="s">
        <v>47</v>
      </c>
      <c r="N134" s="2" t="s">
        <v>47</v>
      </c>
      <c r="O134" s="2" t="s">
        <v>47</v>
      </c>
      <c r="P134" s="2" t="s">
        <v>47</v>
      </c>
      <c r="Q134" s="2" t="s">
        <v>47</v>
      </c>
      <c r="R134" s="2" t="s">
        <v>2077</v>
      </c>
      <c r="S134" s="2" t="s">
        <v>2078</v>
      </c>
      <c r="T134" s="8" t="s">
        <v>2079</v>
      </c>
      <c r="U134" s="8" t="s">
        <v>2084</v>
      </c>
      <c r="V134" s="2" t="s">
        <v>2085</v>
      </c>
      <c r="W134" s="8" t="s">
        <v>2086</v>
      </c>
      <c r="X134" s="8" t="s">
        <v>2088</v>
      </c>
      <c r="Z134" s="2">
        <v>16700.0</v>
      </c>
      <c r="AA134" s="2">
        <v>884.0</v>
      </c>
      <c r="AB134" s="2">
        <v>2426.0</v>
      </c>
      <c r="AC134" s="2">
        <v>334300.0</v>
      </c>
      <c r="AD134" s="2" t="s">
        <v>2089</v>
      </c>
      <c r="AE134" s="2" t="s">
        <v>2089</v>
      </c>
      <c r="AH134" s="2" t="s">
        <v>121</v>
      </c>
      <c r="AL134" s="6">
        <f>IFERROR(__xludf.DUMMYFUNCTION("IF(
  TRIM(AD134)="""",
  0,
  COUNTA(
    SPLIT(
      REGEXREPLACE(AD134,""\s*,\s*"","",""),
      "",""
    )
  )
)"),9.0)</f>
        <v>9</v>
      </c>
    </row>
    <row r="135">
      <c r="A135" s="2" t="s">
        <v>2090</v>
      </c>
      <c r="B135" s="2" t="s">
        <v>2090</v>
      </c>
      <c r="C135" s="2" t="s">
        <v>296</v>
      </c>
      <c r="D135" s="2" t="s">
        <v>297</v>
      </c>
      <c r="E135" s="2">
        <v>81500.0</v>
      </c>
      <c r="F135" s="2">
        <v>1722.0</v>
      </c>
      <c r="G135" s="2">
        <v>37.0</v>
      </c>
      <c r="H135" s="8" t="s">
        <v>299</v>
      </c>
      <c r="I135" s="2" t="s">
        <v>2092</v>
      </c>
      <c r="K135" s="10">
        <v>45499.936631944445</v>
      </c>
      <c r="L135" s="2">
        <v>1.722032925E9</v>
      </c>
      <c r="M135" s="2" t="s">
        <v>47</v>
      </c>
      <c r="N135" s="2" t="s">
        <v>47</v>
      </c>
      <c r="O135" s="2" t="s">
        <v>47</v>
      </c>
      <c r="P135" s="2" t="s">
        <v>47</v>
      </c>
      <c r="Q135" s="2" t="s">
        <v>47</v>
      </c>
      <c r="R135" s="2" t="s">
        <v>48</v>
      </c>
      <c r="S135" s="2" t="s">
        <v>2093</v>
      </c>
      <c r="T135" s="8" t="s">
        <v>2094</v>
      </c>
      <c r="U135" s="8" t="s">
        <v>402</v>
      </c>
      <c r="V135" s="2" t="s">
        <v>297</v>
      </c>
      <c r="W135" s="8" t="s">
        <v>2099</v>
      </c>
      <c r="X135" s="8" t="s">
        <v>2100</v>
      </c>
      <c r="Z135" s="2">
        <v>16400.0</v>
      </c>
      <c r="AA135" s="2">
        <v>793.0</v>
      </c>
      <c r="AB135" s="2">
        <v>2418.0</v>
      </c>
      <c r="AC135" s="2">
        <v>157000.0</v>
      </c>
      <c r="AD135" s="2" t="s">
        <v>1110</v>
      </c>
      <c r="AE135" s="2" t="s">
        <v>1110</v>
      </c>
      <c r="AL135" s="6">
        <f>IFERROR(__xludf.DUMMYFUNCTION("IF(
  TRIM(AD135)="""",
  0,
  COUNTA(
    SPLIT(
      REGEXREPLACE(AD135,""\s*,\s*"","",""),
      "",""
    )
  )
)"),4.0)</f>
        <v>4</v>
      </c>
    </row>
    <row r="136">
      <c r="A136" s="2" t="s">
        <v>2102</v>
      </c>
      <c r="B136" s="2" t="s">
        <v>2102</v>
      </c>
      <c r="C136" s="2" t="s">
        <v>276</v>
      </c>
      <c r="D136" s="2" t="s">
        <v>277</v>
      </c>
      <c r="E136" s="2">
        <v>342900.0</v>
      </c>
      <c r="F136" s="2">
        <v>339.0</v>
      </c>
      <c r="G136" s="2">
        <v>487.0</v>
      </c>
      <c r="H136" s="8" t="s">
        <v>1061</v>
      </c>
      <c r="I136" s="2" t="s">
        <v>1848</v>
      </c>
      <c r="J136" s="2" t="s">
        <v>2103</v>
      </c>
      <c r="K136" s="10">
        <v>45728.042129629626</v>
      </c>
      <c r="L136" s="2">
        <v>1.74174124E9</v>
      </c>
      <c r="M136" s="2" t="s">
        <v>47</v>
      </c>
      <c r="N136" s="2" t="s">
        <v>47</v>
      </c>
      <c r="O136" s="2" t="s">
        <v>47</v>
      </c>
      <c r="P136" s="2" t="s">
        <v>47</v>
      </c>
      <c r="Q136" s="2" t="s">
        <v>47</v>
      </c>
      <c r="R136" s="2" t="s">
        <v>48</v>
      </c>
      <c r="S136" s="2" t="s">
        <v>2104</v>
      </c>
      <c r="T136" s="8" t="s">
        <v>2105</v>
      </c>
      <c r="U136" s="8" t="s">
        <v>290</v>
      </c>
      <c r="V136" s="2" t="s">
        <v>277</v>
      </c>
      <c r="W136" s="8" t="s">
        <v>2108</v>
      </c>
      <c r="X136" s="8" t="s">
        <v>2109</v>
      </c>
      <c r="Z136" s="2">
        <v>16400.0</v>
      </c>
      <c r="AA136" s="2">
        <v>436.0</v>
      </c>
      <c r="AB136" s="2">
        <v>1783.0</v>
      </c>
      <c r="AC136" s="2">
        <v>148800.0</v>
      </c>
      <c r="AD136" s="2" t="s">
        <v>1859</v>
      </c>
      <c r="AE136" s="2" t="s">
        <v>1859</v>
      </c>
      <c r="AL136" s="6">
        <f>IFERROR(__xludf.DUMMYFUNCTION("IF(
  TRIM(AD136)="""",
  0,
  COUNTA(
    SPLIT(
      REGEXREPLACE(AD136,""\s*,\s*"","",""),
      "",""
    )
  )
)"),9.0)</f>
        <v>9</v>
      </c>
    </row>
    <row r="137">
      <c r="A137" s="2" t="s">
        <v>1522</v>
      </c>
      <c r="B137" s="2" t="s">
        <v>1522</v>
      </c>
      <c r="C137" s="2" t="s">
        <v>1523</v>
      </c>
      <c r="D137" s="2" t="s">
        <v>1524</v>
      </c>
      <c r="E137" s="2">
        <v>916900.0</v>
      </c>
      <c r="F137" s="2">
        <v>32.0</v>
      </c>
      <c r="G137" s="2">
        <v>529.0</v>
      </c>
      <c r="H137" s="8" t="s">
        <v>2111</v>
      </c>
      <c r="I137" s="2" t="s">
        <v>1526</v>
      </c>
      <c r="J137" s="2" t="s">
        <v>1527</v>
      </c>
      <c r="K137" s="10">
        <v>45320.8344212963</v>
      </c>
      <c r="L137" s="2">
        <v>1.706558494E9</v>
      </c>
      <c r="M137" s="2" t="s">
        <v>47</v>
      </c>
      <c r="N137" s="2" t="s">
        <v>47</v>
      </c>
      <c r="O137" s="2" t="s">
        <v>47</v>
      </c>
      <c r="P137" s="2" t="s">
        <v>47</v>
      </c>
      <c r="Q137" s="2" t="s">
        <v>47</v>
      </c>
      <c r="R137" s="2" t="s">
        <v>48</v>
      </c>
      <c r="S137" s="2" t="s">
        <v>1528</v>
      </c>
      <c r="T137" s="8" t="s">
        <v>2116</v>
      </c>
      <c r="U137" s="8" t="s">
        <v>2118</v>
      </c>
      <c r="V137" s="2" t="s">
        <v>1524</v>
      </c>
      <c r="W137" s="8" t="s">
        <v>2119</v>
      </c>
      <c r="X137" s="8" t="s">
        <v>1538</v>
      </c>
      <c r="Z137" s="2">
        <v>15900.0</v>
      </c>
      <c r="AA137" s="2">
        <v>252.0</v>
      </c>
      <c r="AB137" s="2">
        <v>2206.0</v>
      </c>
      <c r="AC137" s="2">
        <v>223500.0</v>
      </c>
      <c r="AD137" s="2" t="s">
        <v>1540</v>
      </c>
      <c r="AE137" s="2" t="s">
        <v>1540</v>
      </c>
      <c r="AL137" s="6">
        <f>IFERROR(__xludf.DUMMYFUNCTION("IF(
  TRIM(AD137)="""",
  0,
  COUNTA(
    SPLIT(
      REGEXREPLACE(AD137,""\s*,\s*"","",""),
      "",""
    )
  )
)"),3.0)</f>
        <v>3</v>
      </c>
    </row>
    <row r="138">
      <c r="A138" s="2" t="s">
        <v>2125</v>
      </c>
      <c r="B138" s="2" t="s">
        <v>2125</v>
      </c>
      <c r="C138" s="2" t="s">
        <v>2126</v>
      </c>
      <c r="D138" s="2" t="s">
        <v>2127</v>
      </c>
      <c r="E138" s="2">
        <v>106200.0</v>
      </c>
      <c r="F138" s="2">
        <v>1265.0</v>
      </c>
      <c r="G138" s="2">
        <v>449.0</v>
      </c>
      <c r="H138" s="8" t="s">
        <v>2129</v>
      </c>
      <c r="I138" s="2" t="s">
        <v>2131</v>
      </c>
      <c r="J138" s="2" t="s">
        <v>2132</v>
      </c>
      <c r="K138" s="10">
        <v>45724.90516203704</v>
      </c>
      <c r="L138" s="2">
        <v>1.741470206E9</v>
      </c>
      <c r="M138" s="2" t="s">
        <v>47</v>
      </c>
      <c r="N138" s="2" t="s">
        <v>47</v>
      </c>
      <c r="O138" s="2" t="s">
        <v>47</v>
      </c>
      <c r="P138" s="2" t="s">
        <v>47</v>
      </c>
      <c r="Q138" s="2" t="s">
        <v>47</v>
      </c>
      <c r="R138" s="2" t="s">
        <v>1610</v>
      </c>
      <c r="S138" s="2" t="s">
        <v>2133</v>
      </c>
      <c r="T138" s="8" t="s">
        <v>2134</v>
      </c>
      <c r="U138" s="8" t="s">
        <v>1614</v>
      </c>
      <c r="V138" s="2" t="s">
        <v>1615</v>
      </c>
      <c r="W138" s="8" t="s">
        <v>2136</v>
      </c>
      <c r="X138" s="8" t="s">
        <v>2137</v>
      </c>
      <c r="Z138" s="2">
        <v>15600.0</v>
      </c>
      <c r="AA138" s="2">
        <v>544.0</v>
      </c>
      <c r="AB138" s="2">
        <v>2063.0</v>
      </c>
      <c r="AC138" s="2">
        <v>728200.0</v>
      </c>
      <c r="AD138" s="2" t="s">
        <v>2139</v>
      </c>
      <c r="AE138" s="2" t="s">
        <v>2139</v>
      </c>
      <c r="AH138" s="2" t="s">
        <v>97</v>
      </c>
      <c r="AL138" s="6">
        <f>IFERROR(__xludf.DUMMYFUNCTION("IF(
  TRIM(AD138)="""",
  0,
  COUNTA(
    SPLIT(
      REGEXREPLACE(AD138,""\s*,\s*"","",""),
      "",""
    )
  )
)"),6.0)</f>
        <v>6</v>
      </c>
    </row>
    <row r="139">
      <c r="A139" s="2" t="s">
        <v>2140</v>
      </c>
      <c r="B139" s="2" t="s">
        <v>2140</v>
      </c>
      <c r="C139" s="2" t="s">
        <v>716</v>
      </c>
      <c r="D139" s="2" t="s">
        <v>717</v>
      </c>
      <c r="E139" s="2">
        <v>92600.0</v>
      </c>
      <c r="F139" s="2">
        <v>2572.0</v>
      </c>
      <c r="G139" s="2">
        <v>116.0</v>
      </c>
      <c r="H139" s="8" t="s">
        <v>1165</v>
      </c>
      <c r="I139" s="2" t="s">
        <v>2141</v>
      </c>
      <c r="J139" s="2" t="s">
        <v>2142</v>
      </c>
      <c r="K139" s="10">
        <v>45436.612650462965</v>
      </c>
      <c r="L139" s="2">
        <v>1.716561733E9</v>
      </c>
      <c r="M139" s="2" t="s">
        <v>47</v>
      </c>
      <c r="N139" s="2" t="s">
        <v>47</v>
      </c>
      <c r="O139" s="2" t="s">
        <v>47</v>
      </c>
      <c r="P139" s="2" t="s">
        <v>47</v>
      </c>
      <c r="Q139" s="2" t="s">
        <v>47</v>
      </c>
      <c r="R139" s="2" t="s">
        <v>48</v>
      </c>
      <c r="S139" s="2" t="s">
        <v>2143</v>
      </c>
      <c r="T139" s="8" t="s">
        <v>2144</v>
      </c>
      <c r="U139" s="8" t="s">
        <v>726</v>
      </c>
      <c r="V139" s="2" t="s">
        <v>717</v>
      </c>
      <c r="X139" s="8" t="s">
        <v>2149</v>
      </c>
      <c r="Z139" s="2">
        <v>15500.0</v>
      </c>
      <c r="AA139" s="2">
        <v>272.0</v>
      </c>
      <c r="AB139" s="2">
        <v>2757.0</v>
      </c>
      <c r="AC139" s="2">
        <v>178700.0</v>
      </c>
      <c r="AD139" s="2" t="s">
        <v>1453</v>
      </c>
      <c r="AE139" s="2" t="s">
        <v>1453</v>
      </c>
      <c r="AH139" s="2" t="s">
        <v>274</v>
      </c>
      <c r="AL139" s="6">
        <f>IFERROR(__xludf.DUMMYFUNCTION("IF(
  TRIM(AD139)="""",
  0,
  COUNTA(
    SPLIT(
      REGEXREPLACE(AD139,""\s*,\s*"","",""),
      "",""
    )
  )
)"),4.0)</f>
        <v>4</v>
      </c>
    </row>
    <row r="140">
      <c r="A140" s="2" t="s">
        <v>2150</v>
      </c>
      <c r="B140" s="2" t="s">
        <v>2150</v>
      </c>
      <c r="C140" s="2" t="s">
        <v>69</v>
      </c>
      <c r="D140" s="2" t="s">
        <v>70</v>
      </c>
      <c r="E140" s="2">
        <v>175800.0</v>
      </c>
      <c r="F140" s="2">
        <v>886.0</v>
      </c>
      <c r="G140" s="2">
        <v>767.0</v>
      </c>
      <c r="H140" s="8" t="s">
        <v>84</v>
      </c>
      <c r="I140" s="2" t="s">
        <v>2151</v>
      </c>
      <c r="J140" s="2" t="s">
        <v>2152</v>
      </c>
      <c r="K140" s="10">
        <v>45200.910219907404</v>
      </c>
      <c r="L140" s="2">
        <v>1.696197043E9</v>
      </c>
      <c r="M140" s="2" t="s">
        <v>47</v>
      </c>
      <c r="N140" s="2" t="s">
        <v>47</v>
      </c>
      <c r="O140" s="2" t="s">
        <v>47</v>
      </c>
      <c r="P140" s="2" t="s">
        <v>47</v>
      </c>
      <c r="Q140" s="2" t="s">
        <v>47</v>
      </c>
      <c r="R140" s="2" t="s">
        <v>48</v>
      </c>
      <c r="S140" s="2" t="s">
        <v>2153</v>
      </c>
      <c r="T140" s="8" t="s">
        <v>2154</v>
      </c>
      <c r="U140" s="8" t="s">
        <v>1010</v>
      </c>
      <c r="V140" s="2" t="s">
        <v>70</v>
      </c>
      <c r="W140" s="8" t="s">
        <v>2156</v>
      </c>
      <c r="X140" s="8" t="s">
        <v>2161</v>
      </c>
      <c r="Z140" s="2">
        <v>15500.0</v>
      </c>
      <c r="AA140" s="2">
        <v>311.0</v>
      </c>
      <c r="AB140" s="2">
        <v>6873.0</v>
      </c>
      <c r="AC140" s="2">
        <v>443400.0</v>
      </c>
      <c r="AD140" s="2" t="s">
        <v>2163</v>
      </c>
      <c r="AE140" s="2" t="s">
        <v>2163</v>
      </c>
      <c r="AL140" s="6">
        <f>IFERROR(__xludf.DUMMYFUNCTION("IF(
  TRIM(AD140)="""",
  0,
  COUNTA(
    SPLIT(
      REGEXREPLACE(AD140,""\s*,\s*"","",""),
      "",""
    )
  )
)"),4.0)</f>
        <v>4</v>
      </c>
    </row>
    <row r="141">
      <c r="A141" s="2" t="s">
        <v>2164</v>
      </c>
      <c r="B141" s="2" t="s">
        <v>2164</v>
      </c>
      <c r="C141" s="2" t="s">
        <v>2165</v>
      </c>
      <c r="D141" s="2" t="s">
        <v>2166</v>
      </c>
      <c r="E141" s="2">
        <v>2529.0</v>
      </c>
      <c r="F141" s="2">
        <v>38.0</v>
      </c>
      <c r="G141" s="2">
        <v>10.0</v>
      </c>
      <c r="H141" s="8" t="s">
        <v>2167</v>
      </c>
      <c r="I141" s="2" t="s">
        <v>2168</v>
      </c>
      <c r="J141" s="2" t="s">
        <v>2169</v>
      </c>
      <c r="K141" s="10">
        <v>45901.62548611111</v>
      </c>
      <c r="L141" s="2">
        <v>1.756738842E9</v>
      </c>
      <c r="M141" s="2" t="s">
        <v>47</v>
      </c>
      <c r="N141" s="2" t="s">
        <v>47</v>
      </c>
      <c r="O141" s="2" t="s">
        <v>47</v>
      </c>
      <c r="P141" s="2" t="s">
        <v>47</v>
      </c>
      <c r="Q141" s="2" t="s">
        <v>47</v>
      </c>
      <c r="R141" s="2" t="s">
        <v>48</v>
      </c>
      <c r="S141" s="2" t="s">
        <v>2170</v>
      </c>
      <c r="T141" s="8" t="s">
        <v>2171</v>
      </c>
      <c r="U141" s="8" t="s">
        <v>2173</v>
      </c>
      <c r="V141" s="2" t="s">
        <v>2166</v>
      </c>
      <c r="W141" s="8" t="s">
        <v>2174</v>
      </c>
      <c r="X141" s="8" t="s">
        <v>2176</v>
      </c>
      <c r="Z141" s="2">
        <v>15400.0</v>
      </c>
      <c r="AA141" s="2">
        <v>701.0</v>
      </c>
      <c r="AB141" s="2">
        <v>2383.0</v>
      </c>
      <c r="AC141" s="2">
        <v>241800.0</v>
      </c>
      <c r="AD141" s="2" t="s">
        <v>2177</v>
      </c>
      <c r="AE141" s="2" t="s">
        <v>2177</v>
      </c>
      <c r="AL141" s="6">
        <f>IFERROR(__xludf.DUMMYFUNCTION("IF(
  TRIM(AD141)="""",
  0,
  COUNTA(
    SPLIT(
      REGEXREPLACE(AD141,""\s*,\s*"","",""),
      "",""
    )
  )
)"),5.0)</f>
        <v>5</v>
      </c>
    </row>
    <row r="142">
      <c r="A142" s="2" t="s">
        <v>2179</v>
      </c>
      <c r="B142" s="2" t="s">
        <v>2179</v>
      </c>
      <c r="C142" s="2" t="s">
        <v>276</v>
      </c>
      <c r="D142" s="2" t="s">
        <v>277</v>
      </c>
      <c r="E142" s="2">
        <v>342900.0</v>
      </c>
      <c r="F142" s="2">
        <v>339.0</v>
      </c>
      <c r="G142" s="2">
        <v>487.0</v>
      </c>
      <c r="H142" s="8" t="s">
        <v>278</v>
      </c>
      <c r="I142" s="2" t="s">
        <v>2180</v>
      </c>
      <c r="J142" s="2" t="s">
        <v>2181</v>
      </c>
      <c r="K142" s="10">
        <v>45408.01195601852</v>
      </c>
      <c r="L142" s="2">
        <v>1.714090633E9</v>
      </c>
      <c r="M142" s="2" t="s">
        <v>47</v>
      </c>
      <c r="N142" s="2" t="s">
        <v>47</v>
      </c>
      <c r="O142" s="2" t="s">
        <v>47</v>
      </c>
      <c r="P142" s="2" t="s">
        <v>47</v>
      </c>
      <c r="Q142" s="2" t="s">
        <v>47</v>
      </c>
      <c r="R142" s="2" t="s">
        <v>48</v>
      </c>
      <c r="S142" s="2" t="s">
        <v>2182</v>
      </c>
      <c r="T142" s="8" t="s">
        <v>2184</v>
      </c>
      <c r="U142" s="8" t="s">
        <v>538</v>
      </c>
      <c r="V142" s="2" t="s">
        <v>277</v>
      </c>
      <c r="W142" s="8" t="s">
        <v>2187</v>
      </c>
      <c r="X142" s="8" t="s">
        <v>2189</v>
      </c>
      <c r="Z142" s="2">
        <v>14900.0</v>
      </c>
      <c r="AA142" s="2">
        <v>749.0</v>
      </c>
      <c r="AB142" s="2">
        <v>3597.0</v>
      </c>
      <c r="AC142" s="2">
        <v>383600.0</v>
      </c>
      <c r="AD142" s="2" t="s">
        <v>2191</v>
      </c>
      <c r="AE142" s="2" t="s">
        <v>2192</v>
      </c>
      <c r="AL142" s="6">
        <f>IFERROR(__xludf.DUMMYFUNCTION("IF(
  TRIM(AD142)="""",
  0,
  COUNTA(
    SPLIT(
      REGEXREPLACE(AD142,""\s*,\s*"","",""),
      "",""
    )
  )
)"),10.0)</f>
        <v>10</v>
      </c>
    </row>
    <row r="143">
      <c r="A143" s="2" t="s">
        <v>496</v>
      </c>
      <c r="B143" s="2" t="s">
        <v>496</v>
      </c>
      <c r="C143" s="2" t="s">
        <v>497</v>
      </c>
      <c r="D143" s="2" t="s">
        <v>497</v>
      </c>
      <c r="E143" s="2">
        <v>210400.0</v>
      </c>
      <c r="F143" s="2">
        <v>1015.0</v>
      </c>
      <c r="G143" s="2">
        <v>461.0</v>
      </c>
      <c r="H143" s="8" t="s">
        <v>747</v>
      </c>
      <c r="I143" s="2" t="s">
        <v>508</v>
      </c>
      <c r="K143" s="10">
        <v>45705.97539351852</v>
      </c>
      <c r="L143" s="2">
        <v>1.739834674E9</v>
      </c>
      <c r="M143" s="2" t="s">
        <v>47</v>
      </c>
      <c r="N143" s="2" t="s">
        <v>47</v>
      </c>
      <c r="O143" s="2" t="s">
        <v>47</v>
      </c>
      <c r="P143" s="2" t="s">
        <v>47</v>
      </c>
      <c r="Q143" s="2" t="s">
        <v>47</v>
      </c>
      <c r="R143" s="2" t="s">
        <v>509</v>
      </c>
      <c r="S143" s="2" t="s">
        <v>510</v>
      </c>
      <c r="T143" s="8" t="s">
        <v>2193</v>
      </c>
      <c r="U143" s="8" t="s">
        <v>758</v>
      </c>
      <c r="V143" s="2" t="s">
        <v>497</v>
      </c>
      <c r="W143" s="8" t="s">
        <v>2198</v>
      </c>
      <c r="X143" s="8" t="s">
        <v>528</v>
      </c>
      <c r="Z143" s="2">
        <v>14800.0</v>
      </c>
      <c r="AA143" s="2">
        <v>328.0</v>
      </c>
      <c r="AB143" s="2">
        <v>2434.0</v>
      </c>
      <c r="AC143" s="2">
        <v>203800.0</v>
      </c>
      <c r="AL143" s="6">
        <f>IFERROR(__xludf.DUMMYFUNCTION("IF(
  TRIM(AD143)="""",
  0,
  COUNTA(
    SPLIT(
      REGEXREPLACE(AD143,""\s*,\s*"","",""),
      "",""
    )
  )
)"),0.0)</f>
        <v>0</v>
      </c>
    </row>
    <row r="144">
      <c r="A144" s="2" t="s">
        <v>2200</v>
      </c>
      <c r="B144" s="2" t="s">
        <v>2200</v>
      </c>
      <c r="C144" s="2" t="s">
        <v>69</v>
      </c>
      <c r="D144" s="2" t="s">
        <v>70</v>
      </c>
      <c r="E144" s="2">
        <v>175800.0</v>
      </c>
      <c r="F144" s="2">
        <v>886.0</v>
      </c>
      <c r="G144" s="2">
        <v>767.0</v>
      </c>
      <c r="H144" s="8" t="s">
        <v>84</v>
      </c>
      <c r="I144" s="2" t="s">
        <v>2201</v>
      </c>
      <c r="J144" s="2" t="s">
        <v>2202</v>
      </c>
      <c r="K144" s="10">
        <v>45020.6084375</v>
      </c>
      <c r="L144" s="2">
        <v>1.680618969E9</v>
      </c>
      <c r="M144" s="2" t="s">
        <v>47</v>
      </c>
      <c r="N144" s="2" t="s">
        <v>47</v>
      </c>
      <c r="O144" s="2" t="s">
        <v>47</v>
      </c>
      <c r="P144" s="2" t="s">
        <v>47</v>
      </c>
      <c r="Q144" s="2" t="s">
        <v>47</v>
      </c>
      <c r="R144" s="2" t="s">
        <v>48</v>
      </c>
      <c r="S144" s="2" t="s">
        <v>2203</v>
      </c>
      <c r="T144" s="8" t="s">
        <v>2204</v>
      </c>
      <c r="U144" s="8" t="s">
        <v>1010</v>
      </c>
      <c r="V144" s="2" t="s">
        <v>70</v>
      </c>
      <c r="W144" s="8" t="s">
        <v>2206</v>
      </c>
      <c r="X144" s="8" t="s">
        <v>2213</v>
      </c>
      <c r="Z144" s="2">
        <v>14700.0</v>
      </c>
      <c r="AA144" s="2">
        <v>342.0</v>
      </c>
      <c r="AB144" s="2">
        <v>3299.0</v>
      </c>
      <c r="AC144" s="2">
        <v>154200.0</v>
      </c>
      <c r="AD144" s="2" t="s">
        <v>2214</v>
      </c>
      <c r="AE144" s="2" t="s">
        <v>2214</v>
      </c>
      <c r="AL144" s="6">
        <f>IFERROR(__xludf.DUMMYFUNCTION("IF(
  TRIM(AD144)="""",
  0,
  COUNTA(
    SPLIT(
      REGEXREPLACE(AD144,""\s*,\s*"","",""),
      "",""
    )
  )
)"),4.0)</f>
        <v>4</v>
      </c>
    </row>
    <row r="145">
      <c r="A145" s="2" t="s">
        <v>2215</v>
      </c>
      <c r="B145" s="2" t="s">
        <v>2215</v>
      </c>
      <c r="C145" s="2" t="s">
        <v>2216</v>
      </c>
      <c r="D145" s="2" t="s">
        <v>2217</v>
      </c>
      <c r="E145" s="2">
        <v>35800.0</v>
      </c>
      <c r="F145" s="2">
        <v>88.0</v>
      </c>
      <c r="G145" s="2">
        <v>86.0</v>
      </c>
      <c r="H145" s="8" t="s">
        <v>2218</v>
      </c>
      <c r="I145" s="2" t="s">
        <v>2222</v>
      </c>
      <c r="J145" s="2" t="s">
        <v>2223</v>
      </c>
      <c r="K145" s="10">
        <v>45791.63935185185</v>
      </c>
      <c r="L145" s="2">
        <v>1.74723604E9</v>
      </c>
      <c r="M145" s="2" t="s">
        <v>47</v>
      </c>
      <c r="N145" s="2" t="s">
        <v>47</v>
      </c>
      <c r="O145" s="2" t="s">
        <v>47</v>
      </c>
      <c r="P145" s="2" t="s">
        <v>47</v>
      </c>
      <c r="Q145" s="2" t="s">
        <v>47</v>
      </c>
      <c r="R145" s="2" t="s">
        <v>2224</v>
      </c>
      <c r="S145" s="2" t="s">
        <v>2225</v>
      </c>
      <c r="U145" s="8" t="s">
        <v>2226</v>
      </c>
      <c r="V145" s="2" t="s">
        <v>2227</v>
      </c>
      <c r="W145" s="8" t="s">
        <v>2228</v>
      </c>
      <c r="X145" s="8" t="s">
        <v>2231</v>
      </c>
      <c r="Z145" s="2">
        <v>14700.0</v>
      </c>
      <c r="AA145" s="2">
        <v>315.0</v>
      </c>
      <c r="AB145" s="2">
        <v>7807.0</v>
      </c>
      <c r="AC145" s="2">
        <v>912400.0</v>
      </c>
      <c r="AD145" s="2" t="s">
        <v>2232</v>
      </c>
      <c r="AE145" s="2" t="s">
        <v>2232</v>
      </c>
      <c r="AL145" s="6">
        <f>IFERROR(__xludf.DUMMYFUNCTION("IF(
  TRIM(AD145)="""",
  0,
  COUNTA(
    SPLIT(
      REGEXREPLACE(AD145,""\s*,\s*"","",""),
      "",""
    )
  )
)"),8.0)</f>
        <v>8</v>
      </c>
    </row>
    <row r="146">
      <c r="A146" s="2" t="s">
        <v>2233</v>
      </c>
      <c r="B146" s="2" t="s">
        <v>2233</v>
      </c>
      <c r="C146" s="2" t="s">
        <v>2234</v>
      </c>
      <c r="D146" s="2" t="s">
        <v>2234</v>
      </c>
      <c r="E146" s="2">
        <v>789.0</v>
      </c>
      <c r="F146" s="2">
        <v>38.0</v>
      </c>
      <c r="G146" s="2">
        <v>40.0</v>
      </c>
      <c r="H146" s="8" t="s">
        <v>2235</v>
      </c>
      <c r="I146" s="2" t="s">
        <v>2238</v>
      </c>
      <c r="K146" s="10">
        <v>45852.6415162037</v>
      </c>
      <c r="L146" s="2">
        <v>1.752506627E9</v>
      </c>
      <c r="M146" s="2" t="s">
        <v>47</v>
      </c>
      <c r="N146" s="2" t="s">
        <v>47</v>
      </c>
      <c r="O146" s="2" t="s">
        <v>47</v>
      </c>
      <c r="P146" s="2" t="s">
        <v>47</v>
      </c>
      <c r="Q146" s="2" t="s">
        <v>47</v>
      </c>
      <c r="R146" s="2" t="s">
        <v>48</v>
      </c>
      <c r="S146" s="2" t="s">
        <v>2239</v>
      </c>
      <c r="T146" s="8" t="s">
        <v>2240</v>
      </c>
      <c r="U146" s="8" t="s">
        <v>2249</v>
      </c>
      <c r="V146" s="2" t="s">
        <v>2234</v>
      </c>
      <c r="W146" s="8" t="s">
        <v>2251</v>
      </c>
      <c r="X146" s="8" t="s">
        <v>2254</v>
      </c>
      <c r="Z146" s="2">
        <v>14600.0</v>
      </c>
      <c r="AA146" s="2">
        <v>555.0</v>
      </c>
      <c r="AB146" s="2">
        <v>4570.0</v>
      </c>
      <c r="AC146" s="2">
        <v>378600.0</v>
      </c>
      <c r="AD146" s="2" t="s">
        <v>2256</v>
      </c>
      <c r="AE146" s="2" t="s">
        <v>2257</v>
      </c>
      <c r="AL146" s="6">
        <f>IFERROR(__xludf.DUMMYFUNCTION("IF(
  TRIM(AD146)="""",
  0,
  COUNTA(
    SPLIT(
      REGEXREPLACE(AD146,""\s*,\s*"","",""),
      "",""
    )
  )
)"),7.0)</f>
        <v>7</v>
      </c>
    </row>
    <row r="147">
      <c r="A147" s="2" t="s">
        <v>2258</v>
      </c>
      <c r="B147" s="2" t="s">
        <v>2258</v>
      </c>
      <c r="C147" s="2" t="s">
        <v>123</v>
      </c>
      <c r="D147" s="2" t="s">
        <v>124</v>
      </c>
      <c r="E147" s="2">
        <v>252600.0</v>
      </c>
      <c r="F147" s="2">
        <v>353.0</v>
      </c>
      <c r="G147" s="2">
        <v>674.0</v>
      </c>
      <c r="H147" s="8" t="s">
        <v>125</v>
      </c>
      <c r="I147" s="2" t="s">
        <v>2260</v>
      </c>
      <c r="K147" s="10">
        <v>45434.570023148146</v>
      </c>
      <c r="L147" s="2">
        <v>1.71638525E9</v>
      </c>
      <c r="M147" s="2" t="s">
        <v>47</v>
      </c>
      <c r="N147" s="2" t="s">
        <v>47</v>
      </c>
      <c r="O147" s="2" t="s">
        <v>47</v>
      </c>
      <c r="P147" s="2" t="s">
        <v>47</v>
      </c>
      <c r="Q147" s="2" t="s">
        <v>47</v>
      </c>
      <c r="R147" s="2" t="s">
        <v>48</v>
      </c>
      <c r="S147" s="2" t="s">
        <v>2261</v>
      </c>
      <c r="T147" s="8" t="s">
        <v>2262</v>
      </c>
      <c r="U147" s="8" t="s">
        <v>738</v>
      </c>
      <c r="V147" s="2" t="s">
        <v>124</v>
      </c>
      <c r="W147" s="8" t="s">
        <v>2267</v>
      </c>
      <c r="X147" s="8" t="s">
        <v>2268</v>
      </c>
      <c r="Z147" s="2">
        <v>14600.0</v>
      </c>
      <c r="AA147" s="2">
        <v>452.0</v>
      </c>
      <c r="AB147" s="2">
        <v>1539.0</v>
      </c>
      <c r="AC147" s="2">
        <v>130400.0</v>
      </c>
      <c r="AD147" s="2" t="s">
        <v>2271</v>
      </c>
      <c r="AE147" s="2" t="s">
        <v>2271</v>
      </c>
      <c r="AL147" s="6">
        <f>IFERROR(__xludf.DUMMYFUNCTION("IF(
  TRIM(AD147)="""",
  0,
  COUNTA(
    SPLIT(
      REGEXREPLACE(AD147,""\s*,\s*"","",""),
      "",""
    )
  )
)"),11.0)</f>
        <v>11</v>
      </c>
    </row>
    <row r="148">
      <c r="A148" s="2" t="s">
        <v>2272</v>
      </c>
      <c r="B148" s="2" t="s">
        <v>2272</v>
      </c>
      <c r="C148" s="2" t="s">
        <v>69</v>
      </c>
      <c r="D148" s="2" t="s">
        <v>70</v>
      </c>
      <c r="E148" s="2">
        <v>175800.0</v>
      </c>
      <c r="F148" s="2">
        <v>886.0</v>
      </c>
      <c r="G148" s="2">
        <v>767.0</v>
      </c>
      <c r="H148" s="8" t="s">
        <v>320</v>
      </c>
      <c r="I148" s="2" t="s">
        <v>2276</v>
      </c>
      <c r="K148" s="10">
        <v>45450.02259259259</v>
      </c>
      <c r="L148" s="2">
        <v>1.717720352E9</v>
      </c>
      <c r="M148" s="2" t="s">
        <v>47</v>
      </c>
      <c r="N148" s="2" t="s">
        <v>47</v>
      </c>
      <c r="O148" s="2" t="s">
        <v>47</v>
      </c>
      <c r="P148" s="2" t="s">
        <v>47</v>
      </c>
      <c r="Q148" s="2" t="s">
        <v>47</v>
      </c>
      <c r="R148" s="2" t="s">
        <v>1113</v>
      </c>
      <c r="S148" s="2" t="s">
        <v>1114</v>
      </c>
      <c r="T148" s="8" t="s">
        <v>1115</v>
      </c>
      <c r="U148" s="8" t="s">
        <v>2278</v>
      </c>
      <c r="V148" s="2" t="s">
        <v>1117</v>
      </c>
      <c r="W148" s="8" t="s">
        <v>2279</v>
      </c>
      <c r="X148" s="8" t="s">
        <v>2283</v>
      </c>
      <c r="Z148" s="2">
        <v>14100.0</v>
      </c>
      <c r="AA148" s="2">
        <v>141.0</v>
      </c>
      <c r="AB148" s="2">
        <v>1402.0</v>
      </c>
      <c r="AC148" s="2">
        <v>113700.0</v>
      </c>
      <c r="AD148" s="2" t="s">
        <v>2285</v>
      </c>
      <c r="AE148" s="2" t="s">
        <v>2285</v>
      </c>
      <c r="AH148" s="2" t="s">
        <v>121</v>
      </c>
      <c r="AL148" s="6">
        <f>IFERROR(__xludf.DUMMYFUNCTION("IF(
  TRIM(AD148)="""",
  0,
  COUNTA(
    SPLIT(
      REGEXREPLACE(AD148,""\s*,\s*"","",""),
      "",""
    )
  )
)"),6.0)</f>
        <v>6</v>
      </c>
    </row>
    <row r="149">
      <c r="A149" s="2" t="s">
        <v>2286</v>
      </c>
      <c r="B149" s="2" t="s">
        <v>2286</v>
      </c>
      <c r="C149" s="2" t="s">
        <v>987</v>
      </c>
      <c r="D149" s="2" t="s">
        <v>988</v>
      </c>
      <c r="E149" s="2">
        <v>155300.0</v>
      </c>
      <c r="F149" s="2">
        <v>65100.0</v>
      </c>
      <c r="G149" s="2">
        <v>1013.0</v>
      </c>
      <c r="H149" s="8" t="s">
        <v>1271</v>
      </c>
      <c r="I149" s="2" t="s">
        <v>2287</v>
      </c>
      <c r="K149" s="10">
        <v>45826.926145833335</v>
      </c>
      <c r="L149" s="2">
        <v>1.750284819E9</v>
      </c>
      <c r="M149" s="2" t="s">
        <v>47</v>
      </c>
      <c r="N149" s="2" t="s">
        <v>47</v>
      </c>
      <c r="O149" s="2" t="s">
        <v>47</v>
      </c>
      <c r="P149" s="2" t="s">
        <v>47</v>
      </c>
      <c r="Q149" s="2" t="s">
        <v>47</v>
      </c>
      <c r="R149" s="2" t="s">
        <v>1412</v>
      </c>
      <c r="S149" s="2" t="s">
        <v>1413</v>
      </c>
      <c r="T149" s="8" t="s">
        <v>1414</v>
      </c>
      <c r="U149" s="8" t="s">
        <v>2288</v>
      </c>
      <c r="V149" s="2" t="s">
        <v>1419</v>
      </c>
      <c r="W149" s="8" t="s">
        <v>2289</v>
      </c>
      <c r="X149" s="8" t="s">
        <v>2291</v>
      </c>
      <c r="Z149" s="2">
        <v>13700.0</v>
      </c>
      <c r="AA149" s="2">
        <v>819.0</v>
      </c>
      <c r="AB149" s="2">
        <v>1658.0</v>
      </c>
      <c r="AC149" s="2">
        <v>220500.0</v>
      </c>
      <c r="AD149" s="2" t="s">
        <v>1003</v>
      </c>
      <c r="AE149" s="2" t="s">
        <v>1003</v>
      </c>
      <c r="AL149" s="6">
        <f>IFERROR(__xludf.DUMMYFUNCTION("IF(
  TRIM(AD149)="""",
  0,
  COUNTA(
    SPLIT(
      REGEXREPLACE(AD149,""\s*,\s*"","",""),
      "",""
    )
  )
)"),3.0)</f>
        <v>3</v>
      </c>
    </row>
    <row r="150">
      <c r="A150" s="2" t="s">
        <v>2293</v>
      </c>
      <c r="B150" s="2" t="s">
        <v>2293</v>
      </c>
      <c r="C150" s="2" t="s">
        <v>123</v>
      </c>
      <c r="D150" s="2" t="s">
        <v>124</v>
      </c>
      <c r="E150" s="2">
        <v>252600.0</v>
      </c>
      <c r="F150" s="2">
        <v>353.0</v>
      </c>
      <c r="G150" s="2">
        <v>674.0</v>
      </c>
      <c r="H150" s="8" t="s">
        <v>1619</v>
      </c>
      <c r="I150" s="2" t="s">
        <v>2294</v>
      </c>
      <c r="K150" s="10">
        <v>45604.51929398148</v>
      </c>
      <c r="L150" s="2">
        <v>1.731068867E9</v>
      </c>
      <c r="M150" s="2" t="s">
        <v>47</v>
      </c>
      <c r="N150" s="2" t="s">
        <v>47</v>
      </c>
      <c r="O150" s="2" t="s">
        <v>47</v>
      </c>
      <c r="P150" s="2" t="s">
        <v>47</v>
      </c>
      <c r="Q150" s="2" t="s">
        <v>47</v>
      </c>
      <c r="R150" s="2" t="s">
        <v>48</v>
      </c>
      <c r="S150" s="2" t="s">
        <v>2296</v>
      </c>
      <c r="T150" s="8" t="s">
        <v>2297</v>
      </c>
      <c r="U150" s="8" t="s">
        <v>738</v>
      </c>
      <c r="V150" s="2" t="s">
        <v>124</v>
      </c>
      <c r="W150" s="8" t="s">
        <v>2300</v>
      </c>
      <c r="X150" s="8" t="s">
        <v>2304</v>
      </c>
      <c r="Z150" s="2">
        <v>13700.0</v>
      </c>
      <c r="AA150" s="2">
        <v>378.0</v>
      </c>
      <c r="AB150" s="2">
        <v>2768.0</v>
      </c>
      <c r="AC150" s="2">
        <v>162900.0</v>
      </c>
      <c r="AD150" s="2" t="s">
        <v>2305</v>
      </c>
      <c r="AE150" s="2" t="s">
        <v>2306</v>
      </c>
      <c r="AL150" s="6">
        <f>IFERROR(__xludf.DUMMYFUNCTION("IF(
  TRIM(AD150)="""",
  0,
  COUNTA(
    SPLIT(
      REGEXREPLACE(AD150,""\s*,\s*"","",""),
      "",""
    )
  )
)"),10.0)</f>
        <v>10</v>
      </c>
    </row>
    <row r="151">
      <c r="A151" s="2" t="s">
        <v>1082</v>
      </c>
      <c r="B151" s="2" t="s">
        <v>1082</v>
      </c>
      <c r="C151" s="2" t="s">
        <v>1083</v>
      </c>
      <c r="D151" s="2" t="s">
        <v>1083</v>
      </c>
      <c r="E151" s="2">
        <v>147700.0</v>
      </c>
      <c r="F151" s="2">
        <v>1964.0</v>
      </c>
      <c r="G151" s="2">
        <v>288.0</v>
      </c>
      <c r="H151" s="8" t="s">
        <v>2307</v>
      </c>
      <c r="I151" s="2" t="s">
        <v>1085</v>
      </c>
      <c r="K151" s="10">
        <v>45810.858981481484</v>
      </c>
      <c r="L151" s="2">
        <v>1.748896616E9</v>
      </c>
      <c r="M151" s="2" t="s">
        <v>47</v>
      </c>
      <c r="N151" s="2" t="s">
        <v>47</v>
      </c>
      <c r="O151" s="2" t="s">
        <v>47</v>
      </c>
      <c r="P151" s="2" t="s">
        <v>47</v>
      </c>
      <c r="Q151" s="2" t="s">
        <v>47</v>
      </c>
      <c r="R151" s="2" t="s">
        <v>1086</v>
      </c>
      <c r="S151" s="2" t="s">
        <v>1087</v>
      </c>
      <c r="T151" s="8" t="s">
        <v>2309</v>
      </c>
      <c r="U151" s="8" t="s">
        <v>2311</v>
      </c>
      <c r="V151" s="2" t="s">
        <v>1083</v>
      </c>
      <c r="W151" s="8" t="s">
        <v>2315</v>
      </c>
      <c r="X151" s="8" t="s">
        <v>1098</v>
      </c>
      <c r="Z151" s="2">
        <v>13600.0</v>
      </c>
      <c r="AA151" s="2">
        <v>245.0</v>
      </c>
      <c r="AB151" s="2">
        <v>2075.0</v>
      </c>
      <c r="AC151" s="2">
        <v>185200.0</v>
      </c>
      <c r="AD151" s="2" t="s">
        <v>1099</v>
      </c>
      <c r="AE151" s="2" t="s">
        <v>1099</v>
      </c>
      <c r="AL151" s="6">
        <f>IFERROR(__xludf.DUMMYFUNCTION("IF(
  TRIM(AD151)="""",
  0,
  COUNTA(
    SPLIT(
      REGEXREPLACE(AD151,""\s*,\s*"","",""),
      "",""
    )
  )
)"),2.0)</f>
        <v>2</v>
      </c>
    </row>
    <row r="152">
      <c r="A152" s="2" t="s">
        <v>2325</v>
      </c>
      <c r="B152" s="2" t="s">
        <v>2325</v>
      </c>
      <c r="C152" s="2" t="s">
        <v>2326</v>
      </c>
      <c r="D152" s="2" t="s">
        <v>2327</v>
      </c>
      <c r="E152" s="2">
        <v>106200.0</v>
      </c>
      <c r="F152" s="2">
        <v>724.0</v>
      </c>
      <c r="G152" s="2">
        <v>347.0</v>
      </c>
      <c r="H152" s="8" t="s">
        <v>2329</v>
      </c>
      <c r="I152" s="2" t="s">
        <v>2332</v>
      </c>
      <c r="J152" s="2" t="s">
        <v>2333</v>
      </c>
      <c r="K152" s="10">
        <v>45002.95542824074</v>
      </c>
      <c r="L152" s="2">
        <v>1.679093749E9</v>
      </c>
      <c r="M152" s="2" t="s">
        <v>47</v>
      </c>
      <c r="N152" s="2" t="s">
        <v>47</v>
      </c>
      <c r="O152" s="2" t="s">
        <v>47</v>
      </c>
      <c r="P152" s="2" t="s">
        <v>47</v>
      </c>
      <c r="Q152" s="2" t="s">
        <v>47</v>
      </c>
      <c r="R152" s="2" t="s">
        <v>48</v>
      </c>
      <c r="S152" s="2" t="s">
        <v>2335</v>
      </c>
      <c r="T152" s="8" t="s">
        <v>2336</v>
      </c>
      <c r="U152" s="8" t="s">
        <v>2338</v>
      </c>
      <c r="V152" s="2" t="s">
        <v>2327</v>
      </c>
      <c r="W152" s="8" t="s">
        <v>2340</v>
      </c>
      <c r="X152" s="8" t="s">
        <v>2342</v>
      </c>
      <c r="Z152" s="2">
        <v>13600.0</v>
      </c>
      <c r="AA152" s="2">
        <v>519.0</v>
      </c>
      <c r="AB152" s="2">
        <v>3630.0</v>
      </c>
      <c r="AC152" s="2">
        <v>296300.0</v>
      </c>
      <c r="AD152" s="2" t="s">
        <v>2343</v>
      </c>
      <c r="AE152" s="2" t="s">
        <v>2343</v>
      </c>
      <c r="AL152" s="6">
        <f>IFERROR(__xludf.DUMMYFUNCTION("IF(
  TRIM(AD152)="""",
  0,
  COUNTA(
    SPLIT(
      REGEXREPLACE(AD152,""\s*,\s*"","",""),
      "",""
    )
  )
)"),4.0)</f>
        <v>4</v>
      </c>
    </row>
    <row r="153">
      <c r="A153" s="2" t="s">
        <v>2345</v>
      </c>
      <c r="B153" s="2" t="s">
        <v>2345</v>
      </c>
      <c r="C153" s="2" t="s">
        <v>69</v>
      </c>
      <c r="D153" s="2" t="s">
        <v>70</v>
      </c>
      <c r="E153" s="2">
        <v>175800.0</v>
      </c>
      <c r="F153" s="2">
        <v>886.0</v>
      </c>
      <c r="G153" s="2">
        <v>767.0</v>
      </c>
      <c r="H153" s="8" t="s">
        <v>320</v>
      </c>
      <c r="I153" s="2" t="s">
        <v>2346</v>
      </c>
      <c r="K153" s="10">
        <v>45905.977106481485</v>
      </c>
      <c r="L153" s="2">
        <v>1.757114822E9</v>
      </c>
      <c r="M153" s="2" t="s">
        <v>47</v>
      </c>
      <c r="N153" s="2" t="s">
        <v>47</v>
      </c>
      <c r="O153" s="2" t="s">
        <v>47</v>
      </c>
      <c r="P153" s="2" t="s">
        <v>47</v>
      </c>
      <c r="Q153" s="2" t="s">
        <v>47</v>
      </c>
      <c r="R153" s="2" t="s">
        <v>48</v>
      </c>
      <c r="S153" s="2" t="s">
        <v>2347</v>
      </c>
      <c r="T153" s="8" t="s">
        <v>2348</v>
      </c>
      <c r="U153" s="8" t="s">
        <v>1010</v>
      </c>
      <c r="V153" s="2" t="s">
        <v>70</v>
      </c>
      <c r="W153" s="8" t="s">
        <v>2350</v>
      </c>
      <c r="X153" s="8" t="s">
        <v>2352</v>
      </c>
      <c r="Z153" s="2">
        <v>13500.0</v>
      </c>
      <c r="AA153" s="2">
        <v>271.0</v>
      </c>
      <c r="AB153" s="2">
        <v>3007.0</v>
      </c>
      <c r="AC153" s="2">
        <v>118000.0</v>
      </c>
      <c r="AD153" s="2" t="s">
        <v>2353</v>
      </c>
      <c r="AE153" s="2" t="s">
        <v>2353</v>
      </c>
      <c r="AH153" s="2" t="s">
        <v>1560</v>
      </c>
      <c r="AL153" s="6">
        <f>IFERROR(__xludf.DUMMYFUNCTION("IF(
  TRIM(AD153)="""",
  0,
  COUNTA(
    SPLIT(
      REGEXREPLACE(AD153,""\s*,\s*"","",""),
      "",""
    )
  )
)"),5.0)</f>
        <v>5</v>
      </c>
    </row>
    <row r="154">
      <c r="A154" s="2" t="s">
        <v>460</v>
      </c>
      <c r="B154" s="2" t="s">
        <v>460</v>
      </c>
      <c r="C154" s="2" t="s">
        <v>461</v>
      </c>
      <c r="D154" s="2" t="s">
        <v>462</v>
      </c>
      <c r="E154" s="2">
        <v>79200.0</v>
      </c>
      <c r="F154" s="2">
        <v>24.0</v>
      </c>
      <c r="G154" s="2">
        <v>266.0</v>
      </c>
      <c r="H154" s="8" t="s">
        <v>2354</v>
      </c>
      <c r="I154" s="2" t="s">
        <v>467</v>
      </c>
      <c r="K154" s="10">
        <v>45951.59305555555</v>
      </c>
      <c r="L154" s="2">
        <v>1.76105604E9</v>
      </c>
      <c r="M154" s="2" t="s">
        <v>47</v>
      </c>
      <c r="N154" s="2" t="s">
        <v>47</v>
      </c>
      <c r="O154" s="2" t="s">
        <v>47</v>
      </c>
      <c r="P154" s="2" t="s">
        <v>47</v>
      </c>
      <c r="Q154" s="2" t="s">
        <v>47</v>
      </c>
      <c r="R154" s="2" t="s">
        <v>48</v>
      </c>
      <c r="S154" s="2" t="s">
        <v>470</v>
      </c>
      <c r="T154" s="8" t="s">
        <v>2357</v>
      </c>
      <c r="U154" s="8" t="s">
        <v>2359</v>
      </c>
      <c r="V154" s="2" t="s">
        <v>462</v>
      </c>
      <c r="W154" s="8" t="s">
        <v>2361</v>
      </c>
      <c r="X154" s="8" t="s">
        <v>495</v>
      </c>
      <c r="Z154" s="2">
        <v>13400.0</v>
      </c>
      <c r="AA154" s="2">
        <v>510.0</v>
      </c>
      <c r="AB154" s="2">
        <v>3637.0</v>
      </c>
      <c r="AC154" s="2">
        <v>205100.0</v>
      </c>
      <c r="AH154" s="2" t="s">
        <v>274</v>
      </c>
      <c r="AL154" s="6">
        <f>IFERROR(__xludf.DUMMYFUNCTION("IF(
  TRIM(AD154)="""",
  0,
  COUNTA(
    SPLIT(
      REGEXREPLACE(AD154,""\s*,\s*"","",""),
      "",""
    )
  )
)"),0.0)</f>
        <v>0</v>
      </c>
    </row>
    <row r="155">
      <c r="A155" s="2" t="s">
        <v>2363</v>
      </c>
      <c r="B155" s="2" t="s">
        <v>2363</v>
      </c>
      <c r="C155" s="2" t="s">
        <v>2364</v>
      </c>
      <c r="D155" s="2" t="s">
        <v>2365</v>
      </c>
      <c r="E155" s="2">
        <v>16700.0</v>
      </c>
      <c r="F155" s="2">
        <v>39800.0</v>
      </c>
      <c r="G155" s="2">
        <v>53.0</v>
      </c>
      <c r="H155" s="8" t="s">
        <v>2366</v>
      </c>
      <c r="I155" s="2" t="s">
        <v>2367</v>
      </c>
      <c r="J155" s="2" t="s">
        <v>2368</v>
      </c>
      <c r="K155" s="10">
        <v>44775.87700231482</v>
      </c>
      <c r="L155" s="2">
        <v>1.659474173E9</v>
      </c>
      <c r="M155" s="2" t="s">
        <v>47</v>
      </c>
      <c r="N155" s="2" t="s">
        <v>47</v>
      </c>
      <c r="O155" s="2" t="s">
        <v>1898</v>
      </c>
      <c r="P155" s="2" t="s">
        <v>47</v>
      </c>
      <c r="Q155" s="2" t="s">
        <v>47</v>
      </c>
      <c r="R155" s="2" t="s">
        <v>2370</v>
      </c>
      <c r="S155" s="2" t="s">
        <v>2371</v>
      </c>
      <c r="T155" s="8" t="s">
        <v>2372</v>
      </c>
      <c r="U155" s="8" t="s">
        <v>2373</v>
      </c>
      <c r="V155" s="2" t="s">
        <v>2375</v>
      </c>
      <c r="W155" s="8" t="s">
        <v>2376</v>
      </c>
      <c r="X155" s="8" t="s">
        <v>2378</v>
      </c>
      <c r="Z155" s="2">
        <v>13400.0</v>
      </c>
      <c r="AA155" s="2">
        <v>529.0</v>
      </c>
      <c r="AB155" s="2">
        <v>581.0</v>
      </c>
      <c r="AC155" s="2">
        <v>200400.0</v>
      </c>
      <c r="AD155" s="2" t="s">
        <v>2379</v>
      </c>
      <c r="AE155" s="2" t="s">
        <v>2379</v>
      </c>
      <c r="AL155" s="6">
        <f>IFERROR(__xludf.DUMMYFUNCTION("IF(
  TRIM(AD155)="""",
  0,
  COUNTA(
    SPLIT(
      REGEXREPLACE(AD155,""\s*,\s*"","",""),
      "",""
    )
  )
)"),5.0)</f>
        <v>5</v>
      </c>
    </row>
    <row r="156">
      <c r="A156" s="2" t="s">
        <v>2380</v>
      </c>
      <c r="B156" s="2" t="s">
        <v>2380</v>
      </c>
      <c r="C156" s="2" t="s">
        <v>2381</v>
      </c>
      <c r="D156" s="2" t="s">
        <v>2382</v>
      </c>
      <c r="E156" s="2">
        <v>4067.0</v>
      </c>
      <c r="F156" s="2">
        <v>15500.0</v>
      </c>
      <c r="G156" s="2">
        <v>62.0</v>
      </c>
      <c r="H156" s="8" t="s">
        <v>2383</v>
      </c>
      <c r="I156" s="2" t="s">
        <v>2385</v>
      </c>
      <c r="K156" s="10">
        <v>44847.65928240741</v>
      </c>
      <c r="L156" s="2">
        <v>1.665676162E9</v>
      </c>
      <c r="M156" s="2" t="s">
        <v>47</v>
      </c>
      <c r="N156" s="2" t="s">
        <v>47</v>
      </c>
      <c r="O156" s="2" t="s">
        <v>47</v>
      </c>
      <c r="P156" s="2" t="s">
        <v>47</v>
      </c>
      <c r="Q156" s="2" t="s">
        <v>47</v>
      </c>
      <c r="R156" s="2" t="s">
        <v>2386</v>
      </c>
      <c r="S156" s="2" t="s">
        <v>2387</v>
      </c>
      <c r="T156" s="8" t="s">
        <v>2388</v>
      </c>
      <c r="U156" s="8" t="s">
        <v>2389</v>
      </c>
      <c r="V156" s="2" t="s">
        <v>2390</v>
      </c>
      <c r="W156" s="8" t="s">
        <v>2391</v>
      </c>
      <c r="X156" s="8" t="s">
        <v>2394</v>
      </c>
      <c r="Z156" s="2">
        <v>13300.0</v>
      </c>
      <c r="AA156" s="2">
        <v>139.0</v>
      </c>
      <c r="AB156" s="2">
        <v>1482.0</v>
      </c>
      <c r="AC156" s="2">
        <v>125500.0</v>
      </c>
      <c r="AD156" s="2" t="s">
        <v>2395</v>
      </c>
      <c r="AE156" s="2" t="s">
        <v>2395</v>
      </c>
      <c r="AL156" s="6">
        <f>IFERROR(__xludf.DUMMYFUNCTION("IF(
  TRIM(AD156)="""",
  0,
  COUNTA(
    SPLIT(
      REGEXREPLACE(AD156,""\s*,\s*"","",""),
      "",""
    )
  )
)"),3.0)</f>
        <v>3</v>
      </c>
    </row>
    <row r="157">
      <c r="A157" s="2" t="s">
        <v>531</v>
      </c>
      <c r="B157" s="2" t="s">
        <v>531</v>
      </c>
      <c r="C157" s="2" t="s">
        <v>62</v>
      </c>
      <c r="D157" s="2" t="s">
        <v>63</v>
      </c>
      <c r="E157" s="2">
        <v>223100.0</v>
      </c>
      <c r="F157" s="2">
        <v>17.0</v>
      </c>
      <c r="G157" s="2">
        <v>795.0</v>
      </c>
      <c r="H157" s="8" t="s">
        <v>64</v>
      </c>
      <c r="I157" s="2" t="s">
        <v>539</v>
      </c>
      <c r="K157" s="10">
        <v>45925.583333333336</v>
      </c>
      <c r="L157" s="2">
        <v>1.7588088E9</v>
      </c>
      <c r="M157" s="2" t="s">
        <v>47</v>
      </c>
      <c r="N157" s="2" t="s">
        <v>47</v>
      </c>
      <c r="O157" s="2" t="s">
        <v>47</v>
      </c>
      <c r="P157" s="2" t="s">
        <v>47</v>
      </c>
      <c r="Q157" s="2" t="s">
        <v>47</v>
      </c>
      <c r="R157" s="2" t="s">
        <v>48</v>
      </c>
      <c r="S157" s="2" t="s">
        <v>540</v>
      </c>
      <c r="T157" s="8" t="s">
        <v>2396</v>
      </c>
      <c r="U157" s="8" t="s">
        <v>72</v>
      </c>
      <c r="V157" s="2" t="s">
        <v>63</v>
      </c>
      <c r="W157" s="8" t="s">
        <v>2399</v>
      </c>
      <c r="X157" s="8" t="s">
        <v>551</v>
      </c>
      <c r="Z157" s="2">
        <v>13100.0</v>
      </c>
      <c r="AA157" s="2">
        <v>162.0</v>
      </c>
      <c r="AB157" s="2">
        <v>2601.0</v>
      </c>
      <c r="AC157" s="2">
        <v>220600.0</v>
      </c>
      <c r="AL157" s="6">
        <f>IFERROR(__xludf.DUMMYFUNCTION("IF(
  TRIM(AD157)="""",
  0,
  COUNTA(
    SPLIT(
      REGEXREPLACE(AD157,""\s*,\s*"","",""),
      "",""
    )
  )
)"),0.0)</f>
        <v>0</v>
      </c>
    </row>
    <row r="158">
      <c r="A158" s="2" t="s">
        <v>2400</v>
      </c>
      <c r="B158" s="2" t="s">
        <v>2400</v>
      </c>
      <c r="C158" s="2" t="s">
        <v>2401</v>
      </c>
      <c r="D158" s="2" t="s">
        <v>59</v>
      </c>
      <c r="E158" s="2">
        <v>4518.0</v>
      </c>
      <c r="F158" s="2">
        <v>5179.0</v>
      </c>
      <c r="G158" s="2">
        <v>45.0</v>
      </c>
      <c r="H158" s="8" t="s">
        <v>2402</v>
      </c>
      <c r="I158" s="2" t="s">
        <v>2404</v>
      </c>
      <c r="K158" s="10">
        <v>45885.71150462963</v>
      </c>
      <c r="L158" s="2">
        <v>1.755363874E9</v>
      </c>
      <c r="M158" s="2" t="s">
        <v>47</v>
      </c>
      <c r="N158" s="2" t="s">
        <v>47</v>
      </c>
      <c r="O158" s="2" t="s">
        <v>47</v>
      </c>
      <c r="P158" s="2" t="s">
        <v>47</v>
      </c>
      <c r="Q158" s="2" t="s">
        <v>47</v>
      </c>
      <c r="R158" s="2" t="s">
        <v>48</v>
      </c>
      <c r="S158" s="2" t="s">
        <v>2405</v>
      </c>
      <c r="T158" s="8" t="s">
        <v>2406</v>
      </c>
      <c r="U158" s="8" t="s">
        <v>2408</v>
      </c>
      <c r="V158" s="2" t="s">
        <v>59</v>
      </c>
      <c r="W158" s="8" t="s">
        <v>2409</v>
      </c>
      <c r="X158" s="8" t="s">
        <v>2411</v>
      </c>
      <c r="Z158" s="2">
        <v>12900.0</v>
      </c>
      <c r="AA158" s="2">
        <v>127.0</v>
      </c>
      <c r="AB158" s="2">
        <v>976.0</v>
      </c>
      <c r="AC158" s="2">
        <v>225900.0</v>
      </c>
      <c r="AD158" s="2" t="s">
        <v>2412</v>
      </c>
      <c r="AE158" s="2" t="s">
        <v>2412</v>
      </c>
      <c r="AL158" s="6">
        <f>IFERROR(__xludf.DUMMYFUNCTION("IF(
  TRIM(AD158)="""",
  0,
  COUNTA(
    SPLIT(
      REGEXREPLACE(AD158,""\s*,\s*"","",""),
      "",""
    )
  )
)"),5.0)</f>
        <v>5</v>
      </c>
    </row>
    <row r="159">
      <c r="A159" s="2" t="s">
        <v>2413</v>
      </c>
      <c r="B159" s="2" t="s">
        <v>2413</v>
      </c>
      <c r="C159" s="2" t="s">
        <v>1124</v>
      </c>
      <c r="D159" s="2" t="s">
        <v>1125</v>
      </c>
      <c r="E159" s="2">
        <v>733300.0</v>
      </c>
      <c r="F159" s="2">
        <v>3309.0</v>
      </c>
      <c r="G159" s="2">
        <v>1366.0</v>
      </c>
      <c r="H159" s="8" t="s">
        <v>1343</v>
      </c>
      <c r="I159" s="2" t="s">
        <v>2414</v>
      </c>
      <c r="K159" s="10">
        <v>45001.6528125</v>
      </c>
      <c r="L159" s="2">
        <v>1.678981203E9</v>
      </c>
      <c r="M159" s="2" t="s">
        <v>47</v>
      </c>
      <c r="N159" s="2" t="s">
        <v>47</v>
      </c>
      <c r="O159" s="2" t="s">
        <v>47</v>
      </c>
      <c r="P159" s="2" t="s">
        <v>47</v>
      </c>
      <c r="Q159" s="2" t="s">
        <v>47</v>
      </c>
      <c r="R159" s="2" t="s">
        <v>48</v>
      </c>
      <c r="S159" s="2" t="s">
        <v>2415</v>
      </c>
      <c r="T159" s="8" t="s">
        <v>2416</v>
      </c>
      <c r="U159" s="8" t="s">
        <v>1132</v>
      </c>
      <c r="V159" s="2" t="s">
        <v>1125</v>
      </c>
      <c r="W159" s="8" t="s">
        <v>2418</v>
      </c>
      <c r="X159" s="8" t="s">
        <v>2420</v>
      </c>
      <c r="Z159" s="2">
        <v>12700.0</v>
      </c>
      <c r="AA159" s="2">
        <v>177.0</v>
      </c>
      <c r="AB159" s="2">
        <v>1045.0</v>
      </c>
      <c r="AC159" s="2">
        <v>218800.0</v>
      </c>
      <c r="AD159" s="2" t="s">
        <v>1143</v>
      </c>
      <c r="AE159" s="2" t="s">
        <v>1143</v>
      </c>
      <c r="AH159" s="2" t="s">
        <v>918</v>
      </c>
      <c r="AL159" s="6">
        <f>IFERROR(__xludf.DUMMYFUNCTION("IF(
  TRIM(AD159)="""",
  0,
  COUNTA(
    SPLIT(
      REGEXREPLACE(AD159,""\s*,\s*"","",""),
      "",""
    )
  )
)"),5.0)</f>
        <v>5</v>
      </c>
    </row>
    <row r="160">
      <c r="A160" s="2" t="s">
        <v>2421</v>
      </c>
      <c r="B160" s="2" t="s">
        <v>2421</v>
      </c>
      <c r="C160" s="2" t="s">
        <v>920</v>
      </c>
      <c r="D160" s="2" t="s">
        <v>921</v>
      </c>
      <c r="E160" s="2">
        <v>296100.0</v>
      </c>
      <c r="F160" s="2">
        <v>1905.0</v>
      </c>
      <c r="G160" s="2">
        <v>1402.0</v>
      </c>
      <c r="H160" s="8" t="s">
        <v>922</v>
      </c>
      <c r="I160" s="2" t="s">
        <v>2422</v>
      </c>
      <c r="K160" s="10">
        <v>45845.95849537037</v>
      </c>
      <c r="L160" s="2">
        <v>1.751929214E9</v>
      </c>
      <c r="M160" s="2" t="s">
        <v>47</v>
      </c>
      <c r="N160" s="2" t="s">
        <v>47</v>
      </c>
      <c r="O160" s="2" t="s">
        <v>47</v>
      </c>
      <c r="P160" s="2" t="s">
        <v>47</v>
      </c>
      <c r="Q160" s="2" t="s">
        <v>47</v>
      </c>
      <c r="R160" s="2" t="s">
        <v>1282</v>
      </c>
      <c r="S160" s="2" t="s">
        <v>2423</v>
      </c>
      <c r="T160" s="8" t="s">
        <v>2424</v>
      </c>
      <c r="U160" s="8" t="s">
        <v>1233</v>
      </c>
      <c r="V160" s="2" t="s">
        <v>921</v>
      </c>
      <c r="W160" s="8" t="s">
        <v>2426</v>
      </c>
      <c r="X160" s="8" t="s">
        <v>2428</v>
      </c>
      <c r="Z160" s="2">
        <v>12400.0</v>
      </c>
      <c r="AA160" s="2">
        <v>106.0</v>
      </c>
      <c r="AB160" s="2">
        <v>1899.0</v>
      </c>
      <c r="AC160" s="2">
        <v>168000.0</v>
      </c>
      <c r="AD160" s="2" t="s">
        <v>2429</v>
      </c>
      <c r="AE160" s="2" t="s">
        <v>2429</v>
      </c>
      <c r="AH160" s="2" t="s">
        <v>274</v>
      </c>
      <c r="AL160" s="6">
        <f>IFERROR(__xludf.DUMMYFUNCTION("IF(
  TRIM(AD160)="""",
  0,
  COUNTA(
    SPLIT(
      REGEXREPLACE(AD160,""\s*,\s*"","",""),
      "",""
    )
  )
)"),4.0)</f>
        <v>4</v>
      </c>
    </row>
    <row r="161">
      <c r="A161" s="2" t="s">
        <v>2430</v>
      </c>
      <c r="B161" s="2" t="s">
        <v>2430</v>
      </c>
      <c r="C161" s="2" t="s">
        <v>2431</v>
      </c>
      <c r="D161" s="2" t="s">
        <v>2432</v>
      </c>
      <c r="E161" s="2">
        <v>372000.0</v>
      </c>
      <c r="F161" s="2">
        <v>576.0</v>
      </c>
      <c r="G161" s="2">
        <v>525.0</v>
      </c>
      <c r="H161" s="8" t="s">
        <v>2433</v>
      </c>
      <c r="I161" s="2" t="s">
        <v>2434</v>
      </c>
      <c r="K161" s="10">
        <v>45918.98978009259</v>
      </c>
      <c r="L161" s="2">
        <v>1.758239117E9</v>
      </c>
      <c r="M161" s="2" t="s">
        <v>47</v>
      </c>
      <c r="N161" s="2" t="s">
        <v>47</v>
      </c>
      <c r="O161" s="2" t="s">
        <v>47</v>
      </c>
      <c r="P161" s="2" t="s">
        <v>47</v>
      </c>
      <c r="Q161" s="2" t="s">
        <v>47</v>
      </c>
      <c r="R161" s="2" t="s">
        <v>771</v>
      </c>
      <c r="S161" s="2" t="s">
        <v>772</v>
      </c>
      <c r="T161" s="8" t="s">
        <v>773</v>
      </c>
      <c r="U161" s="8" t="s">
        <v>2435</v>
      </c>
      <c r="V161" s="2" t="s">
        <v>779</v>
      </c>
      <c r="W161" s="8" t="s">
        <v>2438</v>
      </c>
      <c r="X161" s="8" t="s">
        <v>2443</v>
      </c>
      <c r="Z161" s="2">
        <v>12300.0</v>
      </c>
      <c r="AA161" s="2">
        <v>234.0</v>
      </c>
      <c r="AB161" s="2">
        <v>5591.0</v>
      </c>
      <c r="AC161" s="2">
        <v>231100.0</v>
      </c>
      <c r="AD161" s="2" t="s">
        <v>2447</v>
      </c>
      <c r="AE161" s="2" t="s">
        <v>2447</v>
      </c>
      <c r="AL161" s="6">
        <f>IFERROR(__xludf.DUMMYFUNCTION("IF(
  TRIM(AD161)="""",
  0,
  COUNTA(
    SPLIT(
      REGEXREPLACE(AD161,""\s*,\s*"","",""),
      "",""
    )
  )
)"),5.0)</f>
        <v>5</v>
      </c>
    </row>
    <row r="162">
      <c r="A162" s="2" t="s">
        <v>2448</v>
      </c>
      <c r="B162" s="2" t="s">
        <v>2448</v>
      </c>
      <c r="C162" s="2" t="s">
        <v>69</v>
      </c>
      <c r="D162" s="2" t="s">
        <v>70</v>
      </c>
      <c r="E162" s="2">
        <v>175800.0</v>
      </c>
      <c r="F162" s="2">
        <v>886.0</v>
      </c>
      <c r="G162" s="2">
        <v>767.0</v>
      </c>
      <c r="H162" s="8" t="s">
        <v>320</v>
      </c>
      <c r="I162" s="2" t="s">
        <v>2449</v>
      </c>
      <c r="K162" s="10">
        <v>45396.00986111111</v>
      </c>
      <c r="L162" s="2">
        <v>1.713053652E9</v>
      </c>
      <c r="M162" s="2" t="s">
        <v>47</v>
      </c>
      <c r="N162" s="2" t="s">
        <v>47</v>
      </c>
      <c r="O162" s="2" t="s">
        <v>47</v>
      </c>
      <c r="P162" s="2" t="s">
        <v>47</v>
      </c>
      <c r="Q162" s="2" t="s">
        <v>47</v>
      </c>
      <c r="R162" s="2" t="s">
        <v>48</v>
      </c>
      <c r="S162" s="2" t="s">
        <v>2450</v>
      </c>
      <c r="T162" s="8" t="s">
        <v>2451</v>
      </c>
      <c r="U162" s="8" t="s">
        <v>1052</v>
      </c>
      <c r="V162" s="2" t="s">
        <v>70</v>
      </c>
      <c r="W162" s="8" t="s">
        <v>2454</v>
      </c>
      <c r="X162" s="8" t="s">
        <v>2457</v>
      </c>
      <c r="Z162" s="2">
        <v>12300.0</v>
      </c>
      <c r="AA162" s="2">
        <v>159.0</v>
      </c>
      <c r="AB162" s="2">
        <v>1829.0</v>
      </c>
      <c r="AC162" s="2">
        <v>83000.0</v>
      </c>
      <c r="AD162" s="2" t="s">
        <v>2458</v>
      </c>
      <c r="AE162" s="2" t="s">
        <v>2458</v>
      </c>
      <c r="AL162" s="6">
        <f>IFERROR(__xludf.DUMMYFUNCTION("IF(
  TRIM(AD162)="""",
  0,
  COUNTA(
    SPLIT(
      REGEXREPLACE(AD162,""\s*,\s*"","",""),
      "",""
    )
  )
)"),6.0)</f>
        <v>6</v>
      </c>
    </row>
    <row r="163">
      <c r="A163" s="2" t="s">
        <v>556</v>
      </c>
      <c r="B163" s="2" t="s">
        <v>556</v>
      </c>
      <c r="C163" s="2" t="s">
        <v>497</v>
      </c>
      <c r="D163" s="2" t="s">
        <v>497</v>
      </c>
      <c r="E163" s="2">
        <v>210400.0</v>
      </c>
      <c r="F163" s="2">
        <v>1015.0</v>
      </c>
      <c r="G163" s="2">
        <v>461.0</v>
      </c>
      <c r="H163" s="8" t="s">
        <v>747</v>
      </c>
      <c r="I163" s="2" t="s">
        <v>560</v>
      </c>
      <c r="K163" s="10">
        <v>45742.875</v>
      </c>
      <c r="L163" s="2">
        <v>1.7430228E9</v>
      </c>
      <c r="M163" s="2" t="s">
        <v>47</v>
      </c>
      <c r="N163" s="2" t="s">
        <v>47</v>
      </c>
      <c r="O163" s="2" t="s">
        <v>47</v>
      </c>
      <c r="P163" s="2" t="s">
        <v>47</v>
      </c>
      <c r="Q163" s="2" t="s">
        <v>47</v>
      </c>
      <c r="R163" s="2" t="s">
        <v>509</v>
      </c>
      <c r="S163" s="2" t="s">
        <v>561</v>
      </c>
      <c r="T163" s="8" t="s">
        <v>2459</v>
      </c>
      <c r="U163" s="8" t="s">
        <v>758</v>
      </c>
      <c r="V163" s="2" t="s">
        <v>497</v>
      </c>
      <c r="W163" s="8" t="s">
        <v>2461</v>
      </c>
      <c r="X163" s="8" t="s">
        <v>575</v>
      </c>
      <c r="Z163" s="2">
        <v>12100.0</v>
      </c>
      <c r="AA163" s="2">
        <v>298.0</v>
      </c>
      <c r="AB163" s="2">
        <v>2418.0</v>
      </c>
      <c r="AC163" s="2">
        <v>179500.0</v>
      </c>
      <c r="AL163" s="6">
        <f>IFERROR(__xludf.DUMMYFUNCTION("IF(
  TRIM(AD163)="""",
  0,
  COUNTA(
    SPLIT(
      REGEXREPLACE(AD163,""\s*,\s*"","",""),
      "",""
    )
  )
)"),0.0)</f>
        <v>0</v>
      </c>
    </row>
    <row r="164">
      <c r="A164" s="2" t="s">
        <v>2462</v>
      </c>
      <c r="B164" s="2" t="s">
        <v>2462</v>
      </c>
      <c r="C164" s="2" t="s">
        <v>2463</v>
      </c>
      <c r="D164" s="2" t="s">
        <v>2463</v>
      </c>
      <c r="E164" s="2">
        <v>19000.0</v>
      </c>
      <c r="F164" s="2">
        <v>526.0</v>
      </c>
      <c r="G164" s="2">
        <v>169.0</v>
      </c>
      <c r="H164" s="8" t="s">
        <v>2464</v>
      </c>
      <c r="I164" s="2" t="s">
        <v>2468</v>
      </c>
      <c r="J164" s="2" t="s">
        <v>2470</v>
      </c>
      <c r="K164" s="10">
        <v>45623.70664351852</v>
      </c>
      <c r="L164" s="2">
        <v>1.732726654E9</v>
      </c>
      <c r="M164" s="2" t="s">
        <v>47</v>
      </c>
      <c r="N164" s="2" t="s">
        <v>47</v>
      </c>
      <c r="O164" s="2" t="s">
        <v>47</v>
      </c>
      <c r="P164" s="2" t="s">
        <v>47</v>
      </c>
      <c r="Q164" s="2" t="s">
        <v>47</v>
      </c>
      <c r="R164" s="2" t="s">
        <v>48</v>
      </c>
      <c r="S164" s="2" t="s">
        <v>2471</v>
      </c>
      <c r="T164" s="8" t="s">
        <v>2472</v>
      </c>
      <c r="U164" s="8" t="s">
        <v>2477</v>
      </c>
      <c r="V164" s="2" t="s">
        <v>2463</v>
      </c>
      <c r="W164" s="8" t="s">
        <v>2478</v>
      </c>
      <c r="X164" s="8" t="s">
        <v>2481</v>
      </c>
      <c r="Z164" s="2">
        <v>11900.0</v>
      </c>
      <c r="AA164" s="2">
        <v>171.0</v>
      </c>
      <c r="AB164" s="2">
        <v>1776.0</v>
      </c>
      <c r="AC164" s="2">
        <v>289400.0</v>
      </c>
      <c r="AD164" s="2" t="s">
        <v>2483</v>
      </c>
      <c r="AE164" s="2" t="s">
        <v>2483</v>
      </c>
      <c r="AH164" s="2" t="s">
        <v>274</v>
      </c>
      <c r="AL164" s="6">
        <f>IFERROR(__xludf.DUMMYFUNCTION("IF(
  TRIM(AD164)="""",
  0,
  COUNTA(
    SPLIT(
      REGEXREPLACE(AD164,""\s*,\s*"","",""),
      "",""
    )
  )
)"),6.0)</f>
        <v>6</v>
      </c>
    </row>
    <row r="165">
      <c r="A165" s="2" t="s">
        <v>2484</v>
      </c>
      <c r="B165" s="2" t="s">
        <v>2484</v>
      </c>
      <c r="C165" s="2" t="s">
        <v>123</v>
      </c>
      <c r="D165" s="2" t="s">
        <v>124</v>
      </c>
      <c r="E165" s="2">
        <v>252600.0</v>
      </c>
      <c r="F165" s="2">
        <v>353.0</v>
      </c>
      <c r="G165" s="2">
        <v>674.0</v>
      </c>
      <c r="H165" s="8" t="s">
        <v>125</v>
      </c>
      <c r="I165" s="2" t="s">
        <v>2486</v>
      </c>
      <c r="K165" s="10">
        <v>45803.547685185185</v>
      </c>
      <c r="L165" s="2">
        <v>1.74826492E9</v>
      </c>
      <c r="M165" s="2" t="s">
        <v>47</v>
      </c>
      <c r="N165" s="2" t="s">
        <v>47</v>
      </c>
      <c r="O165" s="2" t="s">
        <v>47</v>
      </c>
      <c r="P165" s="2" t="s">
        <v>47</v>
      </c>
      <c r="Q165" s="2" t="s">
        <v>47</v>
      </c>
      <c r="R165" s="2" t="s">
        <v>48</v>
      </c>
      <c r="S165" s="2" t="s">
        <v>2487</v>
      </c>
      <c r="T165" s="8" t="s">
        <v>2488</v>
      </c>
      <c r="U165" s="8" t="s">
        <v>738</v>
      </c>
      <c r="V165" s="2" t="s">
        <v>124</v>
      </c>
      <c r="W165" s="8" t="s">
        <v>2490</v>
      </c>
      <c r="X165" s="8" t="s">
        <v>2492</v>
      </c>
      <c r="Z165" s="2">
        <v>11600.0</v>
      </c>
      <c r="AA165" s="2">
        <v>482.0</v>
      </c>
      <c r="AB165" s="2">
        <v>1657.0</v>
      </c>
      <c r="AC165" s="2">
        <v>96800.0</v>
      </c>
      <c r="AD165" s="2" t="s">
        <v>1394</v>
      </c>
      <c r="AE165" s="2" t="s">
        <v>1394</v>
      </c>
      <c r="AH165" s="2" t="s">
        <v>918</v>
      </c>
      <c r="AL165" s="6">
        <f>IFERROR(__xludf.DUMMYFUNCTION("IF(
  TRIM(AD165)="""",
  0,
  COUNTA(
    SPLIT(
      REGEXREPLACE(AD165,""\s*,\s*"","",""),
      "",""
    )
  )
)"),10.0)</f>
        <v>10</v>
      </c>
    </row>
    <row r="166">
      <c r="A166" s="2" t="s">
        <v>2493</v>
      </c>
      <c r="B166" s="2" t="s">
        <v>2493</v>
      </c>
      <c r="C166" s="2" t="s">
        <v>716</v>
      </c>
      <c r="D166" s="2" t="s">
        <v>717</v>
      </c>
      <c r="E166" s="2">
        <v>92600.0</v>
      </c>
      <c r="F166" s="2">
        <v>2572.0</v>
      </c>
      <c r="G166" s="2">
        <v>116.0</v>
      </c>
      <c r="H166" s="8" t="s">
        <v>1165</v>
      </c>
      <c r="I166" s="2" t="s">
        <v>2494</v>
      </c>
      <c r="J166" s="2" t="s">
        <v>2495</v>
      </c>
      <c r="K166" s="10">
        <v>45440.8659837963</v>
      </c>
      <c r="L166" s="2">
        <v>1.716929221E9</v>
      </c>
      <c r="M166" s="2" t="s">
        <v>47</v>
      </c>
      <c r="N166" s="2" t="s">
        <v>47</v>
      </c>
      <c r="O166" s="2" t="s">
        <v>47</v>
      </c>
      <c r="P166" s="2" t="s">
        <v>47</v>
      </c>
      <c r="Q166" s="2" t="s">
        <v>47</v>
      </c>
      <c r="R166" s="2" t="s">
        <v>48</v>
      </c>
      <c r="S166" s="2" t="s">
        <v>2496</v>
      </c>
      <c r="T166" s="8" t="s">
        <v>2497</v>
      </c>
      <c r="U166" s="8" t="s">
        <v>726</v>
      </c>
      <c r="V166" s="2" t="s">
        <v>717</v>
      </c>
      <c r="X166" s="8" t="s">
        <v>2499</v>
      </c>
      <c r="Z166" s="2">
        <v>11000.0</v>
      </c>
      <c r="AA166" s="2">
        <v>262.0</v>
      </c>
      <c r="AB166" s="2">
        <v>1969.0</v>
      </c>
      <c r="AC166" s="2">
        <v>218100.0</v>
      </c>
      <c r="AD166" s="2" t="s">
        <v>1453</v>
      </c>
      <c r="AE166" s="2" t="s">
        <v>1453</v>
      </c>
      <c r="AL166" s="6">
        <f>IFERROR(__xludf.DUMMYFUNCTION("IF(
  TRIM(AD166)="""",
  0,
  COUNTA(
    SPLIT(
      REGEXREPLACE(AD166,""\s*,\s*"","",""),
      "",""
    )
  )
)"),4.0)</f>
        <v>4</v>
      </c>
    </row>
    <row r="167">
      <c r="A167" s="2" t="s">
        <v>1689</v>
      </c>
      <c r="B167" s="2" t="s">
        <v>1689</v>
      </c>
      <c r="C167" s="2" t="s">
        <v>987</v>
      </c>
      <c r="D167" s="2" t="s">
        <v>988</v>
      </c>
      <c r="E167" s="2">
        <v>155300.0</v>
      </c>
      <c r="F167" s="2">
        <v>65100.0</v>
      </c>
      <c r="G167" s="2">
        <v>1013.0</v>
      </c>
      <c r="H167" s="8" t="s">
        <v>989</v>
      </c>
      <c r="I167" s="2" t="s">
        <v>1690</v>
      </c>
      <c r="K167" s="10">
        <v>45893.99575231481</v>
      </c>
      <c r="L167" s="2">
        <v>1.756079633E9</v>
      </c>
      <c r="M167" s="2" t="s">
        <v>47</v>
      </c>
      <c r="N167" s="2" t="s">
        <v>47</v>
      </c>
      <c r="O167" s="2" t="s">
        <v>47</v>
      </c>
      <c r="P167" s="2" t="s">
        <v>47</v>
      </c>
      <c r="Q167" s="2" t="s">
        <v>47</v>
      </c>
      <c r="R167" s="2" t="s">
        <v>48</v>
      </c>
      <c r="S167" s="2" t="s">
        <v>1691</v>
      </c>
      <c r="T167" s="8" t="s">
        <v>2500</v>
      </c>
      <c r="U167" s="8" t="s">
        <v>2502</v>
      </c>
      <c r="V167" s="2" t="s">
        <v>988</v>
      </c>
      <c r="W167" s="8" t="s">
        <v>2503</v>
      </c>
      <c r="X167" s="8" t="s">
        <v>1698</v>
      </c>
      <c r="Z167" s="2">
        <v>10900.0</v>
      </c>
      <c r="AA167" s="2">
        <v>540.0</v>
      </c>
      <c r="AB167" s="2">
        <v>2392.0</v>
      </c>
      <c r="AC167" s="2">
        <v>221600.0</v>
      </c>
      <c r="AD167" s="2" t="s">
        <v>1003</v>
      </c>
      <c r="AE167" s="2" t="s">
        <v>1003</v>
      </c>
      <c r="AL167" s="6">
        <f>IFERROR(__xludf.DUMMYFUNCTION("IF(
  TRIM(AD167)="""",
  0,
  COUNTA(
    SPLIT(
      REGEXREPLACE(AD167,""\s*,\s*"","",""),
      "",""
    )
  )
)"),3.0)</f>
        <v>3</v>
      </c>
    </row>
    <row r="168">
      <c r="A168" s="2" t="s">
        <v>1679</v>
      </c>
      <c r="B168" s="2" t="s">
        <v>1679</v>
      </c>
      <c r="C168" s="2" t="s">
        <v>987</v>
      </c>
      <c r="D168" s="2" t="s">
        <v>988</v>
      </c>
      <c r="E168" s="2">
        <v>155300.0</v>
      </c>
      <c r="F168" s="2">
        <v>65100.0</v>
      </c>
      <c r="G168" s="2">
        <v>1013.0</v>
      </c>
      <c r="H168" s="8" t="s">
        <v>1271</v>
      </c>
      <c r="I168" s="2" t="s">
        <v>1680</v>
      </c>
      <c r="K168" s="10">
        <v>45908.919120370374</v>
      </c>
      <c r="L168" s="2">
        <v>1.757369012E9</v>
      </c>
      <c r="M168" s="2" t="s">
        <v>47</v>
      </c>
      <c r="N168" s="2" t="s">
        <v>47</v>
      </c>
      <c r="O168" s="2" t="s">
        <v>47</v>
      </c>
      <c r="P168" s="2" t="s">
        <v>47</v>
      </c>
      <c r="Q168" s="2" t="s">
        <v>47</v>
      </c>
      <c r="R168" s="2" t="s">
        <v>48</v>
      </c>
      <c r="S168" s="2" t="s">
        <v>1681</v>
      </c>
      <c r="T168" s="8" t="s">
        <v>2509</v>
      </c>
      <c r="U168" s="8" t="s">
        <v>2502</v>
      </c>
      <c r="V168" s="2" t="s">
        <v>988</v>
      </c>
      <c r="W168" s="8" t="s">
        <v>2512</v>
      </c>
      <c r="X168" s="8" t="s">
        <v>1687</v>
      </c>
      <c r="Z168" s="2">
        <v>10800.0</v>
      </c>
      <c r="AA168" s="2">
        <v>580.0</v>
      </c>
      <c r="AB168" s="2">
        <v>2229.0</v>
      </c>
      <c r="AC168" s="2">
        <v>266700.0</v>
      </c>
      <c r="AD168" s="2" t="s">
        <v>1003</v>
      </c>
      <c r="AE168" s="2" t="s">
        <v>1003</v>
      </c>
      <c r="AH168" s="2" t="s">
        <v>274</v>
      </c>
      <c r="AL168" s="6">
        <f>IFERROR(__xludf.DUMMYFUNCTION("IF(
  TRIM(AD168)="""",
  0,
  COUNTA(
    SPLIT(
      REGEXREPLACE(AD168,""\s*,\s*"","",""),
      "",""
    )
  )
)"),3.0)</f>
        <v>3</v>
      </c>
    </row>
    <row r="169">
      <c r="A169" s="2" t="s">
        <v>1591</v>
      </c>
      <c r="B169" s="2" t="s">
        <v>1591</v>
      </c>
      <c r="C169" s="2" t="s">
        <v>987</v>
      </c>
      <c r="D169" s="2" t="s">
        <v>988</v>
      </c>
      <c r="E169" s="2">
        <v>155300.0</v>
      </c>
      <c r="F169" s="2">
        <v>65100.0</v>
      </c>
      <c r="G169" s="2">
        <v>1013.0</v>
      </c>
      <c r="H169" s="8" t="s">
        <v>989</v>
      </c>
      <c r="I169" s="2" t="s">
        <v>1593</v>
      </c>
      <c r="K169" s="10">
        <v>45929.91945601852</v>
      </c>
      <c r="L169" s="2">
        <v>1.759183441E9</v>
      </c>
      <c r="M169" s="2" t="s">
        <v>47</v>
      </c>
      <c r="N169" s="2" t="s">
        <v>47</v>
      </c>
      <c r="O169" s="2" t="s">
        <v>47</v>
      </c>
      <c r="P169" s="2" t="s">
        <v>47</v>
      </c>
      <c r="Q169" s="2" t="s">
        <v>47</v>
      </c>
      <c r="R169" s="2" t="s">
        <v>48</v>
      </c>
      <c r="S169" s="2" t="s">
        <v>1594</v>
      </c>
      <c r="T169" s="8" t="s">
        <v>2516</v>
      </c>
      <c r="U169" s="8" t="s">
        <v>995</v>
      </c>
      <c r="V169" s="2" t="s">
        <v>988</v>
      </c>
      <c r="W169" s="8" t="s">
        <v>2517</v>
      </c>
      <c r="X169" s="8" t="s">
        <v>1598</v>
      </c>
      <c r="Z169" s="2">
        <v>10800.0</v>
      </c>
      <c r="AA169" s="2">
        <v>688.0</v>
      </c>
      <c r="AB169" s="2">
        <v>2719.0</v>
      </c>
      <c r="AC169" s="2">
        <v>212400.0</v>
      </c>
      <c r="AD169" s="2" t="s">
        <v>1003</v>
      </c>
      <c r="AE169" s="2" t="s">
        <v>1003</v>
      </c>
      <c r="AL169" s="6">
        <f>IFERROR(__xludf.DUMMYFUNCTION("IF(
  TRIM(AD169)="""",
  0,
  COUNTA(
    SPLIT(
      REGEXREPLACE(AD169,""\s*,\s*"","",""),
      "",""
    )
  )
)"),3.0)</f>
        <v>3</v>
      </c>
    </row>
    <row r="170">
      <c r="A170" s="2" t="s">
        <v>2522</v>
      </c>
      <c r="B170" s="2" t="s">
        <v>2522</v>
      </c>
      <c r="C170" s="2" t="s">
        <v>2523</v>
      </c>
      <c r="D170" s="2" t="s">
        <v>2524</v>
      </c>
      <c r="E170" s="2">
        <v>1300000.0</v>
      </c>
      <c r="F170" s="2">
        <v>1178.0</v>
      </c>
      <c r="G170" s="2">
        <v>1116.0</v>
      </c>
      <c r="H170" s="8" t="s">
        <v>2525</v>
      </c>
      <c r="I170" s="2" t="s">
        <v>2527</v>
      </c>
      <c r="K170" s="10">
        <v>45498.88594907407</v>
      </c>
      <c r="L170" s="2">
        <v>1.721942146E9</v>
      </c>
      <c r="M170" s="2" t="s">
        <v>47</v>
      </c>
      <c r="N170" s="2" t="s">
        <v>47</v>
      </c>
      <c r="O170" s="2" t="s">
        <v>47</v>
      </c>
      <c r="P170" s="2" t="s">
        <v>47</v>
      </c>
      <c r="Q170" s="2" t="s">
        <v>47</v>
      </c>
      <c r="R170" s="2" t="s">
        <v>48</v>
      </c>
      <c r="S170" s="2" t="s">
        <v>2528</v>
      </c>
      <c r="T170" s="8" t="s">
        <v>2529</v>
      </c>
      <c r="U170" s="8" t="s">
        <v>2532</v>
      </c>
      <c r="V170" s="2" t="s">
        <v>2524</v>
      </c>
      <c r="W170" s="8" t="s">
        <v>2535</v>
      </c>
      <c r="X170" s="8" t="s">
        <v>2536</v>
      </c>
      <c r="Z170" s="2">
        <v>10800.0</v>
      </c>
      <c r="AA170" s="2">
        <v>547.0</v>
      </c>
      <c r="AB170" s="2">
        <v>2445.0</v>
      </c>
      <c r="AC170" s="2">
        <v>209900.0</v>
      </c>
      <c r="AD170" s="2" t="s">
        <v>2537</v>
      </c>
      <c r="AE170" s="2" t="s">
        <v>2537</v>
      </c>
      <c r="AH170" s="2" t="s">
        <v>256</v>
      </c>
      <c r="AL170" s="6">
        <f>IFERROR(__xludf.DUMMYFUNCTION("IF(
  TRIM(AD170)="""",
  0,
  COUNTA(
    SPLIT(
      REGEXREPLACE(AD170,""\s*,\s*"","",""),
      "",""
    )
  )
)"),4.0)</f>
        <v>4</v>
      </c>
    </row>
    <row r="171">
      <c r="A171" s="2" t="s">
        <v>2538</v>
      </c>
      <c r="B171" s="2" t="s">
        <v>2538</v>
      </c>
      <c r="C171" s="2" t="s">
        <v>409</v>
      </c>
      <c r="D171" s="2" t="s">
        <v>410</v>
      </c>
      <c r="E171" s="2">
        <v>199700.0</v>
      </c>
      <c r="F171" s="2">
        <v>735.0</v>
      </c>
      <c r="G171" s="2">
        <v>145.0</v>
      </c>
      <c r="H171" s="8" t="s">
        <v>569</v>
      </c>
      <c r="I171" s="2" t="s">
        <v>2539</v>
      </c>
      <c r="J171" s="2" t="s">
        <v>2540</v>
      </c>
      <c r="K171" s="10">
        <v>45896.91615740741</v>
      </c>
      <c r="L171" s="2">
        <v>1.756331956E9</v>
      </c>
      <c r="M171" s="2" t="s">
        <v>47</v>
      </c>
      <c r="N171" s="2" t="s">
        <v>47</v>
      </c>
      <c r="O171" s="2" t="s">
        <v>47</v>
      </c>
      <c r="P171" s="2" t="s">
        <v>47</v>
      </c>
      <c r="Q171" s="2" t="s">
        <v>47</v>
      </c>
      <c r="R171" s="2" t="s">
        <v>2541</v>
      </c>
      <c r="S171" s="2" t="s">
        <v>2542</v>
      </c>
      <c r="T171" s="8" t="s">
        <v>2543</v>
      </c>
      <c r="U171" s="8" t="s">
        <v>2545</v>
      </c>
      <c r="V171" s="2" t="s">
        <v>2546</v>
      </c>
      <c r="W171" s="8" t="s">
        <v>2547</v>
      </c>
      <c r="X171" s="8" t="s">
        <v>2549</v>
      </c>
      <c r="Z171" s="2">
        <v>10800.0</v>
      </c>
      <c r="AA171" s="2">
        <v>159.0</v>
      </c>
      <c r="AB171" s="2">
        <v>4227.0</v>
      </c>
      <c r="AC171" s="2">
        <v>223800.0</v>
      </c>
      <c r="AD171" s="2" t="s">
        <v>2550</v>
      </c>
      <c r="AE171" s="2" t="s">
        <v>2550</v>
      </c>
      <c r="AL171" s="6">
        <f>IFERROR(__xludf.DUMMYFUNCTION("IF(
  TRIM(AD171)="""",
  0,
  COUNTA(
    SPLIT(
      REGEXREPLACE(AD171,""\s*,\s*"","",""),
      "",""
    )
  )
)"),5.0)</f>
        <v>5</v>
      </c>
    </row>
    <row r="172">
      <c r="A172" s="2" t="s">
        <v>2551</v>
      </c>
      <c r="B172" s="2" t="s">
        <v>2551</v>
      </c>
      <c r="C172" s="2" t="s">
        <v>2552</v>
      </c>
      <c r="D172" s="2" t="s">
        <v>2553</v>
      </c>
      <c r="E172" s="2">
        <v>1654.0</v>
      </c>
      <c r="F172" s="2">
        <v>1421.0</v>
      </c>
      <c r="G172" s="2">
        <v>124.0</v>
      </c>
      <c r="H172" s="8" t="s">
        <v>2554</v>
      </c>
      <c r="I172" s="2" t="s">
        <v>2555</v>
      </c>
      <c r="K172" s="10">
        <v>45009.72846064815</v>
      </c>
      <c r="L172" s="2">
        <v>1.679678939E9</v>
      </c>
      <c r="M172" s="2" t="s">
        <v>47</v>
      </c>
      <c r="N172" s="2" t="s">
        <v>47</v>
      </c>
      <c r="O172" s="2" t="s">
        <v>47</v>
      </c>
      <c r="P172" s="2" t="s">
        <v>47</v>
      </c>
      <c r="Q172" s="2" t="s">
        <v>47</v>
      </c>
      <c r="R172" s="2" t="s">
        <v>48</v>
      </c>
      <c r="S172" s="2" t="s">
        <v>2556</v>
      </c>
      <c r="T172" s="8" t="s">
        <v>2557</v>
      </c>
      <c r="U172" s="8" t="s">
        <v>2559</v>
      </c>
      <c r="V172" s="2" t="s">
        <v>2553</v>
      </c>
      <c r="W172" s="8" t="s">
        <v>2561</v>
      </c>
      <c r="X172" s="8" t="s">
        <v>2563</v>
      </c>
      <c r="Z172" s="2">
        <v>10700.0</v>
      </c>
      <c r="AA172" s="2">
        <v>301.0</v>
      </c>
      <c r="AB172" s="2">
        <v>3292.0</v>
      </c>
      <c r="AC172" s="2">
        <v>177400.0</v>
      </c>
      <c r="AD172" s="2" t="s">
        <v>2564</v>
      </c>
      <c r="AE172" s="2" t="s">
        <v>2564</v>
      </c>
      <c r="AL172" s="6">
        <f>IFERROR(__xludf.DUMMYFUNCTION("IF(
  TRIM(AD172)="""",
  0,
  COUNTA(
    SPLIT(
      REGEXREPLACE(AD172,""\s*,\s*"","",""),
      "",""
    )
  )
)"),4.0)</f>
        <v>4</v>
      </c>
    </row>
    <row r="173">
      <c r="A173" s="2" t="s">
        <v>2565</v>
      </c>
      <c r="B173" s="2" t="s">
        <v>2565</v>
      </c>
      <c r="C173" s="2" t="s">
        <v>2566</v>
      </c>
      <c r="D173" s="2" t="s">
        <v>2567</v>
      </c>
      <c r="E173" s="2">
        <v>726.0</v>
      </c>
      <c r="F173" s="2">
        <v>54.0</v>
      </c>
      <c r="G173" s="2">
        <v>7.0</v>
      </c>
      <c r="H173" s="8" t="s">
        <v>2569</v>
      </c>
      <c r="I173" s="2" t="s">
        <v>2570</v>
      </c>
      <c r="K173" s="10">
        <v>45153.595405092594</v>
      </c>
      <c r="L173" s="2">
        <v>1.692109043E9</v>
      </c>
      <c r="M173" s="2" t="s">
        <v>47</v>
      </c>
      <c r="N173" s="2" t="s">
        <v>47</v>
      </c>
      <c r="O173" s="2" t="s">
        <v>47</v>
      </c>
      <c r="P173" s="2" t="s">
        <v>47</v>
      </c>
      <c r="Q173" s="2" t="s">
        <v>47</v>
      </c>
      <c r="R173" s="2" t="s">
        <v>2571</v>
      </c>
      <c r="S173" s="2" t="s">
        <v>2572</v>
      </c>
      <c r="T173" s="8" t="s">
        <v>2573</v>
      </c>
      <c r="U173" s="8" t="s">
        <v>2575</v>
      </c>
      <c r="V173" s="2" t="s">
        <v>2576</v>
      </c>
      <c r="W173" s="8" t="s">
        <v>2577</v>
      </c>
      <c r="X173" s="8" t="s">
        <v>2579</v>
      </c>
      <c r="Z173" s="2">
        <v>10700.0</v>
      </c>
      <c r="AA173" s="2">
        <v>102.0</v>
      </c>
      <c r="AB173" s="2">
        <v>1204.0</v>
      </c>
      <c r="AC173" s="2">
        <v>188300.0</v>
      </c>
      <c r="AD173" s="2" t="s">
        <v>2580</v>
      </c>
      <c r="AE173" s="2" t="s">
        <v>2580</v>
      </c>
      <c r="AL173" s="6">
        <f>IFERROR(__xludf.DUMMYFUNCTION("IF(
  TRIM(AD173)="""",
  0,
  COUNTA(
    SPLIT(
      REGEXREPLACE(AD173,""\s*,\s*"","",""),
      "",""
    )
  )
)"),5.0)</f>
        <v>5</v>
      </c>
    </row>
    <row r="174">
      <c r="A174" s="2" t="s">
        <v>2581</v>
      </c>
      <c r="B174" s="2" t="s">
        <v>2581</v>
      </c>
      <c r="C174" s="2" t="s">
        <v>2582</v>
      </c>
      <c r="D174" s="2" t="s">
        <v>2583</v>
      </c>
      <c r="E174" s="2">
        <v>4697.0</v>
      </c>
      <c r="F174" s="2">
        <v>762.0</v>
      </c>
      <c r="G174" s="2">
        <v>103.0</v>
      </c>
      <c r="H174" s="8" t="s">
        <v>2584</v>
      </c>
      <c r="I174" s="2" t="s">
        <v>2586</v>
      </c>
      <c r="J174" s="2" t="s">
        <v>2587</v>
      </c>
      <c r="K174" s="10">
        <v>45788.602476851855</v>
      </c>
      <c r="L174" s="2">
        <v>1.746973654E9</v>
      </c>
      <c r="M174" s="2" t="s">
        <v>47</v>
      </c>
      <c r="N174" s="2" t="s">
        <v>47</v>
      </c>
      <c r="O174" s="2" t="s">
        <v>47</v>
      </c>
      <c r="P174" s="2" t="s">
        <v>47</v>
      </c>
      <c r="Q174" s="2" t="s">
        <v>47</v>
      </c>
      <c r="R174" s="2" t="s">
        <v>48</v>
      </c>
      <c r="S174" s="2" t="s">
        <v>2588</v>
      </c>
      <c r="T174" s="8" t="s">
        <v>2589</v>
      </c>
      <c r="U174" s="8" t="s">
        <v>2591</v>
      </c>
      <c r="V174" s="2" t="s">
        <v>2583</v>
      </c>
      <c r="W174" s="8" t="s">
        <v>2592</v>
      </c>
      <c r="X174" s="8" t="s">
        <v>2594</v>
      </c>
      <c r="Z174" s="2">
        <v>10300.0</v>
      </c>
      <c r="AA174" s="2">
        <v>192.0</v>
      </c>
      <c r="AB174" s="2">
        <v>797.0</v>
      </c>
      <c r="AC174" s="2">
        <v>117400.0</v>
      </c>
      <c r="AD174" s="2" t="s">
        <v>2595</v>
      </c>
      <c r="AE174" s="2" t="s">
        <v>2597</v>
      </c>
      <c r="AL174" s="6">
        <f>IFERROR(__xludf.DUMMYFUNCTION("IF(
  TRIM(AD174)="""",
  0,
  COUNTA(
    SPLIT(
      REGEXREPLACE(AD174,""\s*,\s*"","",""),
      "",""
    )
  )
)"),5.0)</f>
        <v>5</v>
      </c>
    </row>
    <row r="175">
      <c r="A175" s="2" t="s">
        <v>2598</v>
      </c>
      <c r="B175" s="2" t="s">
        <v>2598</v>
      </c>
      <c r="C175" s="2" t="s">
        <v>2599</v>
      </c>
      <c r="D175" s="2" t="s">
        <v>2600</v>
      </c>
      <c r="E175" s="2">
        <v>1222.0</v>
      </c>
      <c r="F175" s="2">
        <v>9522.0</v>
      </c>
      <c r="G175" s="2">
        <v>260.0</v>
      </c>
      <c r="H175" s="8" t="s">
        <v>2601</v>
      </c>
      <c r="I175" s="2" t="s">
        <v>929</v>
      </c>
      <c r="K175" s="10">
        <v>45378.60799768518</v>
      </c>
      <c r="L175" s="2">
        <v>1.711550131E9</v>
      </c>
      <c r="M175" s="2" t="s">
        <v>47</v>
      </c>
      <c r="N175" s="2" t="s">
        <v>47</v>
      </c>
      <c r="O175" s="2" t="s">
        <v>47</v>
      </c>
      <c r="P175" s="2" t="s">
        <v>47</v>
      </c>
      <c r="Q175" s="2" t="s">
        <v>47</v>
      </c>
      <c r="R175" s="2" t="s">
        <v>48</v>
      </c>
      <c r="S175" s="2" t="s">
        <v>2602</v>
      </c>
      <c r="T175" s="8" t="s">
        <v>2603</v>
      </c>
      <c r="U175" s="8" t="s">
        <v>2606</v>
      </c>
      <c r="V175" s="2" t="s">
        <v>2600</v>
      </c>
      <c r="W175" s="8" t="s">
        <v>2607</v>
      </c>
      <c r="X175" s="8" t="s">
        <v>2612</v>
      </c>
      <c r="Z175" s="2">
        <v>10100.0</v>
      </c>
      <c r="AA175" s="2">
        <v>192.0</v>
      </c>
      <c r="AB175" s="2">
        <v>2065.0</v>
      </c>
      <c r="AC175" s="2">
        <v>160300.0</v>
      </c>
      <c r="AD175" s="2" t="s">
        <v>59</v>
      </c>
      <c r="AE175" s="2" t="s">
        <v>59</v>
      </c>
      <c r="AL175" s="6">
        <f>IFERROR(__xludf.DUMMYFUNCTION("IF(
  TRIM(AD175)="""",
  0,
  COUNTA(
    SPLIT(
      REGEXREPLACE(AD175,""\s*,\s*"","",""),
      "",""
    )
  )
)"),1.0)</f>
        <v>1</v>
      </c>
    </row>
    <row r="176">
      <c r="A176" s="2" t="s">
        <v>2613</v>
      </c>
      <c r="B176" s="2" t="s">
        <v>2613</v>
      </c>
      <c r="C176" s="2" t="s">
        <v>987</v>
      </c>
      <c r="D176" s="2" t="s">
        <v>988</v>
      </c>
      <c r="E176" s="2">
        <v>155300.0</v>
      </c>
      <c r="F176" s="2">
        <v>65100.0</v>
      </c>
      <c r="G176" s="2">
        <v>1013.0</v>
      </c>
      <c r="H176" s="8" t="s">
        <v>1271</v>
      </c>
      <c r="I176" s="2" t="s">
        <v>2614</v>
      </c>
      <c r="K176" s="10">
        <v>45915.91831018519</v>
      </c>
      <c r="L176" s="2">
        <v>1.757973742E9</v>
      </c>
      <c r="M176" s="2" t="s">
        <v>47</v>
      </c>
      <c r="N176" s="2" t="s">
        <v>47</v>
      </c>
      <c r="O176" s="2" t="s">
        <v>47</v>
      </c>
      <c r="P176" s="2" t="s">
        <v>47</v>
      </c>
      <c r="Q176" s="2" t="s">
        <v>47</v>
      </c>
      <c r="R176" s="2" t="s">
        <v>48</v>
      </c>
      <c r="S176" s="2" t="s">
        <v>2615</v>
      </c>
      <c r="T176" s="8" t="s">
        <v>2616</v>
      </c>
      <c r="U176" s="8" t="s">
        <v>995</v>
      </c>
      <c r="V176" s="2" t="s">
        <v>988</v>
      </c>
      <c r="W176" s="8" t="s">
        <v>2619</v>
      </c>
      <c r="X176" s="8" t="s">
        <v>2625</v>
      </c>
      <c r="Z176" s="2">
        <v>10100.0</v>
      </c>
      <c r="AA176" s="2">
        <v>322.0</v>
      </c>
      <c r="AB176" s="2">
        <v>766.0</v>
      </c>
      <c r="AC176" s="2">
        <v>200400.0</v>
      </c>
      <c r="AD176" s="2" t="s">
        <v>1003</v>
      </c>
      <c r="AE176" s="2" t="s">
        <v>1003</v>
      </c>
      <c r="AL176" s="6">
        <f>IFERROR(__xludf.DUMMYFUNCTION("IF(
  TRIM(AD176)="""",
  0,
  COUNTA(
    SPLIT(
      REGEXREPLACE(AD176,""\s*,\s*"","",""),
      "",""
    )
  )
)"),3.0)</f>
        <v>3</v>
      </c>
    </row>
    <row r="177">
      <c r="A177" s="2" t="s">
        <v>2626</v>
      </c>
      <c r="B177" s="2" t="s">
        <v>2626</v>
      </c>
      <c r="C177" s="2" t="s">
        <v>2627</v>
      </c>
      <c r="D177" s="2" t="s">
        <v>2627</v>
      </c>
      <c r="E177" s="2">
        <v>6192.0</v>
      </c>
      <c r="F177" s="2">
        <v>10.0</v>
      </c>
      <c r="G177" s="2">
        <v>144.0</v>
      </c>
      <c r="H177" s="8" t="s">
        <v>2628</v>
      </c>
      <c r="I177" s="2" t="s">
        <v>2631</v>
      </c>
      <c r="K177" s="10">
        <v>45210.64579861111</v>
      </c>
      <c r="L177" s="2">
        <v>1.697038197E9</v>
      </c>
      <c r="M177" s="2" t="s">
        <v>47</v>
      </c>
      <c r="N177" s="2" t="s">
        <v>47</v>
      </c>
      <c r="O177" s="2" t="s">
        <v>47</v>
      </c>
      <c r="P177" s="2" t="s">
        <v>47</v>
      </c>
      <c r="Q177" s="2" t="s">
        <v>47</v>
      </c>
      <c r="R177" s="2" t="s">
        <v>48</v>
      </c>
      <c r="S177" s="2" t="s">
        <v>2633</v>
      </c>
      <c r="T177" s="8" t="s">
        <v>2634</v>
      </c>
      <c r="U177" s="8" t="s">
        <v>2638</v>
      </c>
      <c r="V177" s="2" t="s">
        <v>2627</v>
      </c>
      <c r="W177" s="8" t="s">
        <v>2639</v>
      </c>
      <c r="X177" s="8" t="s">
        <v>2641</v>
      </c>
      <c r="Z177" s="2">
        <v>10000.0</v>
      </c>
      <c r="AA177" s="2">
        <v>180.0</v>
      </c>
      <c r="AB177" s="2">
        <v>3768.0</v>
      </c>
      <c r="AC177" s="2">
        <v>234800.0</v>
      </c>
      <c r="AD177" s="2" t="s">
        <v>2642</v>
      </c>
      <c r="AE177" s="2" t="s">
        <v>2642</v>
      </c>
      <c r="AL177" s="6">
        <f>IFERROR(__xludf.DUMMYFUNCTION("IF(
  TRIM(AD177)="""",
  0,
  COUNTA(
    SPLIT(
      REGEXREPLACE(AD177,""\s*,\s*"","",""),
      "",""
    )
  )
)"),7.0)</f>
        <v>7</v>
      </c>
    </row>
    <row r="178">
      <c r="A178" s="2" t="s">
        <v>2644</v>
      </c>
      <c r="B178" s="2" t="s">
        <v>2644</v>
      </c>
      <c r="C178" s="2" t="s">
        <v>69</v>
      </c>
      <c r="D178" s="2" t="s">
        <v>70</v>
      </c>
      <c r="E178" s="2">
        <v>175800.0</v>
      </c>
      <c r="F178" s="2">
        <v>886.0</v>
      </c>
      <c r="G178" s="2">
        <v>767.0</v>
      </c>
      <c r="H178" s="8" t="s">
        <v>320</v>
      </c>
      <c r="I178" s="2" t="s">
        <v>2645</v>
      </c>
      <c r="K178" s="10">
        <v>45386.032013888886</v>
      </c>
      <c r="L178" s="2">
        <v>1.712191566E9</v>
      </c>
      <c r="M178" s="2" t="s">
        <v>47</v>
      </c>
      <c r="N178" s="2" t="s">
        <v>47</v>
      </c>
      <c r="O178" s="2" t="s">
        <v>47</v>
      </c>
      <c r="P178" s="2" t="s">
        <v>47</v>
      </c>
      <c r="Q178" s="2" t="s">
        <v>47</v>
      </c>
      <c r="R178" s="2" t="s">
        <v>48</v>
      </c>
      <c r="S178" s="2" t="s">
        <v>2646</v>
      </c>
      <c r="T178" s="8" t="s">
        <v>2647</v>
      </c>
      <c r="U178" s="8" t="s">
        <v>1010</v>
      </c>
      <c r="V178" s="2" t="s">
        <v>70</v>
      </c>
      <c r="W178" s="8" t="s">
        <v>2653</v>
      </c>
      <c r="X178" s="8" t="s">
        <v>2657</v>
      </c>
      <c r="Z178" s="2">
        <v>9825.0</v>
      </c>
      <c r="AA178" s="2">
        <v>155.0</v>
      </c>
      <c r="AB178" s="2">
        <v>1084.0</v>
      </c>
      <c r="AC178" s="2">
        <v>68200.0</v>
      </c>
      <c r="AD178" s="2" t="s">
        <v>2658</v>
      </c>
      <c r="AE178" s="2" t="s">
        <v>2658</v>
      </c>
      <c r="AH178" s="2" t="s">
        <v>1560</v>
      </c>
      <c r="AL178" s="6">
        <f>IFERROR(__xludf.DUMMYFUNCTION("IF(
  TRIM(AD178)="""",
  0,
  COUNTA(
    SPLIT(
      REGEXREPLACE(AD178,""\s*,\s*"","",""),
      "",""
    )
  )
)"),6.0)</f>
        <v>6</v>
      </c>
    </row>
    <row r="179">
      <c r="A179" s="2" t="s">
        <v>2659</v>
      </c>
      <c r="B179" s="2" t="s">
        <v>2659</v>
      </c>
      <c r="C179" s="2" t="s">
        <v>69</v>
      </c>
      <c r="D179" s="2" t="s">
        <v>70</v>
      </c>
      <c r="E179" s="2">
        <v>175800.0</v>
      </c>
      <c r="F179" s="2">
        <v>886.0</v>
      </c>
      <c r="G179" s="2">
        <v>767.0</v>
      </c>
      <c r="H179" s="8" t="s">
        <v>84</v>
      </c>
      <c r="I179" s="2" t="s">
        <v>2660</v>
      </c>
      <c r="K179" s="10">
        <v>45389.03293981482</v>
      </c>
      <c r="L179" s="2">
        <v>1.712450846E9</v>
      </c>
      <c r="M179" s="2" t="s">
        <v>47</v>
      </c>
      <c r="N179" s="2" t="s">
        <v>47</v>
      </c>
      <c r="O179" s="2" t="s">
        <v>47</v>
      </c>
      <c r="P179" s="2" t="s">
        <v>47</v>
      </c>
      <c r="Q179" s="2" t="s">
        <v>47</v>
      </c>
      <c r="R179" s="2" t="s">
        <v>2662</v>
      </c>
      <c r="S179" s="2" t="s">
        <v>2663</v>
      </c>
      <c r="T179" s="8" t="s">
        <v>2664</v>
      </c>
      <c r="U179" s="8" t="s">
        <v>2665</v>
      </c>
      <c r="V179" s="2" t="s">
        <v>2667</v>
      </c>
      <c r="W179" s="8" t="s">
        <v>2668</v>
      </c>
      <c r="X179" s="8" t="s">
        <v>2669</v>
      </c>
      <c r="Z179" s="2">
        <v>9770.0</v>
      </c>
      <c r="AA179" s="2">
        <v>60.0</v>
      </c>
      <c r="AB179" s="2">
        <v>453.0</v>
      </c>
      <c r="AC179" s="2">
        <v>100700.0</v>
      </c>
      <c r="AD179" s="2" t="s">
        <v>2671</v>
      </c>
      <c r="AE179" s="2" t="s">
        <v>2671</v>
      </c>
      <c r="AL179" s="6">
        <f>IFERROR(__xludf.DUMMYFUNCTION("IF(
  TRIM(AD179)="""",
  0,
  COUNTA(
    SPLIT(
      REGEXREPLACE(AD179,""\s*,\s*"","",""),
      "",""
    )
  )
)"),5.0)</f>
        <v>5</v>
      </c>
    </row>
    <row r="180">
      <c r="A180" s="2" t="s">
        <v>2673</v>
      </c>
      <c r="B180" s="2" t="s">
        <v>2673</v>
      </c>
      <c r="C180" s="2" t="s">
        <v>2674</v>
      </c>
      <c r="D180" s="2" t="s">
        <v>2674</v>
      </c>
      <c r="E180" s="2">
        <v>1351.0</v>
      </c>
      <c r="F180" s="2">
        <v>335.0</v>
      </c>
      <c r="G180" s="2">
        <v>48.0</v>
      </c>
      <c r="H180" s="8" t="s">
        <v>2675</v>
      </c>
      <c r="I180" s="2" t="s">
        <v>2680</v>
      </c>
      <c r="K180" s="10">
        <v>45925.825636574074</v>
      </c>
      <c r="L180" s="2">
        <v>1.758829735E9</v>
      </c>
      <c r="M180" s="2" t="s">
        <v>47</v>
      </c>
      <c r="N180" s="2" t="s">
        <v>47</v>
      </c>
      <c r="O180" s="2" t="s">
        <v>47</v>
      </c>
      <c r="P180" s="2" t="s">
        <v>47</v>
      </c>
      <c r="Q180" s="2" t="s">
        <v>47</v>
      </c>
      <c r="R180" s="2" t="s">
        <v>48</v>
      </c>
      <c r="S180" s="2" t="s">
        <v>2681</v>
      </c>
      <c r="T180" s="8" t="s">
        <v>2682</v>
      </c>
      <c r="U180" s="8" t="s">
        <v>2684</v>
      </c>
      <c r="V180" s="2" t="s">
        <v>2674</v>
      </c>
      <c r="W180" s="8" t="s">
        <v>2685</v>
      </c>
      <c r="X180" s="8" t="s">
        <v>2689</v>
      </c>
      <c r="Z180" s="2">
        <v>9560.0</v>
      </c>
      <c r="AA180" s="2">
        <v>160.0</v>
      </c>
      <c r="AB180" s="2">
        <v>1540.0</v>
      </c>
      <c r="AC180" s="2">
        <v>132200.0</v>
      </c>
      <c r="AD180" s="2" t="s">
        <v>2692</v>
      </c>
      <c r="AE180" s="2" t="s">
        <v>2692</v>
      </c>
      <c r="AL180" s="6">
        <f>IFERROR(__xludf.DUMMYFUNCTION("IF(
  TRIM(AD180)="""",
  0,
  COUNTA(
    SPLIT(
      REGEXREPLACE(AD180,""\s*,\s*"","",""),
      "",""
    )
  )
)"),16.0)</f>
        <v>16</v>
      </c>
    </row>
    <row r="181">
      <c r="A181" s="2" t="s">
        <v>2696</v>
      </c>
      <c r="B181" s="2" t="s">
        <v>2696</v>
      </c>
      <c r="C181" s="2" t="s">
        <v>1145</v>
      </c>
      <c r="D181" s="2" t="s">
        <v>1146</v>
      </c>
      <c r="E181" s="2">
        <v>77400.0</v>
      </c>
      <c r="F181" s="2">
        <v>652.0</v>
      </c>
      <c r="G181" s="2">
        <v>260.0</v>
      </c>
      <c r="H181" s="8" t="s">
        <v>2697</v>
      </c>
      <c r="I181" s="2" t="s">
        <v>2699</v>
      </c>
      <c r="J181" s="2" t="s">
        <v>2700</v>
      </c>
      <c r="K181" s="10">
        <v>45802.81831018518</v>
      </c>
      <c r="L181" s="2">
        <v>1.748201902E9</v>
      </c>
      <c r="M181" s="2" t="s">
        <v>47</v>
      </c>
      <c r="N181" s="2" t="s">
        <v>47</v>
      </c>
      <c r="O181" s="2" t="s">
        <v>47</v>
      </c>
      <c r="P181" s="2" t="s">
        <v>47</v>
      </c>
      <c r="Q181" s="2" t="s">
        <v>47</v>
      </c>
      <c r="R181" s="2" t="s">
        <v>2702</v>
      </c>
      <c r="S181" s="2" t="s">
        <v>2703</v>
      </c>
      <c r="T181" s="8" t="s">
        <v>2705</v>
      </c>
      <c r="U181" s="8" t="s">
        <v>2706</v>
      </c>
      <c r="V181" s="2" t="s">
        <v>2707</v>
      </c>
      <c r="W181" s="8" t="s">
        <v>2708</v>
      </c>
      <c r="X181" s="8" t="s">
        <v>2715</v>
      </c>
      <c r="Z181" s="2">
        <v>9431.0</v>
      </c>
      <c r="AA181" s="2">
        <v>732.0</v>
      </c>
      <c r="AB181" s="2">
        <v>1109.0</v>
      </c>
      <c r="AC181" s="2">
        <v>107800.0</v>
      </c>
      <c r="AD181" s="2" t="s">
        <v>2716</v>
      </c>
      <c r="AE181" s="2" t="s">
        <v>2716</v>
      </c>
      <c r="AL181" s="6">
        <f>IFERROR(__xludf.DUMMYFUNCTION("IF(
  TRIM(AD181)="""",
  0,
  COUNTA(
    SPLIT(
      REGEXREPLACE(AD181,""\s*,\s*"","",""),
      "",""
    )
  )
)"),5.0)</f>
        <v>5</v>
      </c>
    </row>
    <row r="182">
      <c r="A182" s="2" t="s">
        <v>1736</v>
      </c>
      <c r="B182" s="2" t="s">
        <v>1736</v>
      </c>
      <c r="C182" s="2" t="s">
        <v>987</v>
      </c>
      <c r="D182" s="2" t="s">
        <v>988</v>
      </c>
      <c r="E182" s="2">
        <v>155300.0</v>
      </c>
      <c r="F182" s="2">
        <v>65100.0</v>
      </c>
      <c r="G182" s="2">
        <v>1013.0</v>
      </c>
      <c r="H182" s="8" t="s">
        <v>989</v>
      </c>
      <c r="I182" s="2" t="s">
        <v>1737</v>
      </c>
      <c r="K182" s="10">
        <v>45854.91738425926</v>
      </c>
      <c r="L182" s="2">
        <v>1.752703262E9</v>
      </c>
      <c r="M182" s="2" t="s">
        <v>47</v>
      </c>
      <c r="N182" s="2" t="s">
        <v>47</v>
      </c>
      <c r="O182" s="2" t="s">
        <v>47</v>
      </c>
      <c r="P182" s="2" t="s">
        <v>47</v>
      </c>
      <c r="Q182" s="2" t="s">
        <v>47</v>
      </c>
      <c r="R182" s="2" t="s">
        <v>1217</v>
      </c>
      <c r="S182" s="2" t="s">
        <v>1218</v>
      </c>
      <c r="T182" s="8" t="s">
        <v>1219</v>
      </c>
      <c r="U182" s="8" t="s">
        <v>1341</v>
      </c>
      <c r="V182" s="2" t="s">
        <v>1222</v>
      </c>
      <c r="W182" s="8" t="s">
        <v>2718</v>
      </c>
      <c r="X182" s="8" t="s">
        <v>1748</v>
      </c>
      <c r="Z182" s="2">
        <v>9315.0</v>
      </c>
      <c r="AA182" s="2">
        <v>1226.0</v>
      </c>
      <c r="AB182" s="2">
        <v>1511.0</v>
      </c>
      <c r="AC182" s="2">
        <v>184700.0</v>
      </c>
      <c r="AD182" s="2" t="s">
        <v>1003</v>
      </c>
      <c r="AE182" s="2" t="s">
        <v>1003</v>
      </c>
      <c r="AL182" s="6">
        <f>IFERROR(__xludf.DUMMYFUNCTION("IF(
  TRIM(AD182)="""",
  0,
  COUNTA(
    SPLIT(
      REGEXREPLACE(AD182,""\s*,\s*"","",""),
      "",""
    )
  )
)"),3.0)</f>
        <v>3</v>
      </c>
    </row>
    <row r="183">
      <c r="A183" s="2" t="s">
        <v>2720</v>
      </c>
      <c r="B183" s="2" t="s">
        <v>2720</v>
      </c>
      <c r="C183" s="2" t="s">
        <v>123</v>
      </c>
      <c r="D183" s="2" t="s">
        <v>124</v>
      </c>
      <c r="E183" s="2">
        <v>252600.0</v>
      </c>
      <c r="F183" s="2">
        <v>353.0</v>
      </c>
      <c r="G183" s="2">
        <v>674.0</v>
      </c>
      <c r="H183" s="8" t="s">
        <v>1619</v>
      </c>
      <c r="I183" s="2" t="s">
        <v>2721</v>
      </c>
      <c r="K183" s="10">
        <v>45810.545011574075</v>
      </c>
      <c r="L183" s="2">
        <v>1.748869489E9</v>
      </c>
      <c r="M183" s="2" t="s">
        <v>47</v>
      </c>
      <c r="N183" s="2" t="s">
        <v>47</v>
      </c>
      <c r="O183" s="2" t="s">
        <v>47</v>
      </c>
      <c r="P183" s="2" t="s">
        <v>47</v>
      </c>
      <c r="Q183" s="2" t="s">
        <v>47</v>
      </c>
      <c r="R183" s="2" t="s">
        <v>48</v>
      </c>
      <c r="S183" s="2" t="s">
        <v>2722</v>
      </c>
      <c r="T183" s="8" t="s">
        <v>2723</v>
      </c>
      <c r="U183" s="8" t="s">
        <v>738</v>
      </c>
      <c r="V183" s="2" t="s">
        <v>124</v>
      </c>
      <c r="W183" s="8" t="s">
        <v>2729</v>
      </c>
      <c r="X183" s="8" t="s">
        <v>2731</v>
      </c>
      <c r="Z183" s="2">
        <v>9257.0</v>
      </c>
      <c r="AA183" s="2">
        <v>160.0</v>
      </c>
      <c r="AB183" s="2">
        <v>1200.0</v>
      </c>
      <c r="AC183" s="2">
        <v>86300.0</v>
      </c>
      <c r="AD183" s="2" t="s">
        <v>1394</v>
      </c>
      <c r="AE183" s="2" t="s">
        <v>1394</v>
      </c>
      <c r="AL183" s="6">
        <f>IFERROR(__xludf.DUMMYFUNCTION("IF(
  TRIM(AD183)="""",
  0,
  COUNTA(
    SPLIT(
      REGEXREPLACE(AD183,""\s*,\s*"","",""),
      "",""
    )
  )
)"),10.0)</f>
        <v>10</v>
      </c>
    </row>
    <row r="184">
      <c r="A184" s="2" t="s">
        <v>2732</v>
      </c>
      <c r="B184" s="2" t="s">
        <v>2732</v>
      </c>
      <c r="C184" s="2" t="s">
        <v>2431</v>
      </c>
      <c r="D184" s="2" t="s">
        <v>2432</v>
      </c>
      <c r="E184" s="2">
        <v>372000.0</v>
      </c>
      <c r="F184" s="2">
        <v>576.0</v>
      </c>
      <c r="G184" s="2">
        <v>525.0</v>
      </c>
      <c r="H184" s="8" t="s">
        <v>2433</v>
      </c>
      <c r="I184" s="2" t="s">
        <v>2733</v>
      </c>
      <c r="K184" s="10">
        <v>45364.96163194445</v>
      </c>
      <c r="L184" s="2">
        <v>1.710371085E9</v>
      </c>
      <c r="M184" s="2" t="s">
        <v>47</v>
      </c>
      <c r="N184" s="2" t="s">
        <v>47</v>
      </c>
      <c r="O184" s="2" t="s">
        <v>47</v>
      </c>
      <c r="P184" s="2" t="s">
        <v>47</v>
      </c>
      <c r="Q184" s="2" t="s">
        <v>47</v>
      </c>
      <c r="R184" s="2" t="s">
        <v>1460</v>
      </c>
      <c r="S184" s="2" t="s">
        <v>1461</v>
      </c>
      <c r="T184" s="8" t="s">
        <v>1462</v>
      </c>
      <c r="U184" s="8" t="s">
        <v>2734</v>
      </c>
      <c r="V184" s="2" t="s">
        <v>1468</v>
      </c>
      <c r="W184" s="8" t="s">
        <v>2737</v>
      </c>
      <c r="X184" s="8" t="s">
        <v>2742</v>
      </c>
      <c r="Z184" s="2">
        <v>9081.0</v>
      </c>
      <c r="AA184" s="2">
        <v>138.0</v>
      </c>
      <c r="AB184" s="2">
        <v>1697.0</v>
      </c>
      <c r="AC184" s="2">
        <v>139100.0</v>
      </c>
      <c r="AD184" s="2" t="s">
        <v>2743</v>
      </c>
      <c r="AE184" s="2" t="s">
        <v>2743</v>
      </c>
      <c r="AL184" s="6">
        <f>IFERROR(__xludf.DUMMYFUNCTION("IF(
  TRIM(AD184)="""",
  0,
  COUNTA(
    SPLIT(
      REGEXREPLACE(AD184,""\s*,\s*"","",""),
      "",""
    )
  )
)"),7.0)</f>
        <v>7</v>
      </c>
    </row>
    <row r="185">
      <c r="A185" s="2" t="s">
        <v>2608</v>
      </c>
      <c r="B185" s="2" t="s">
        <v>2608</v>
      </c>
      <c r="C185" s="2" t="s">
        <v>69</v>
      </c>
      <c r="D185" s="2" t="s">
        <v>70</v>
      </c>
      <c r="E185" s="2">
        <v>175800.0</v>
      </c>
      <c r="F185" s="2">
        <v>886.0</v>
      </c>
      <c r="G185" s="2">
        <v>767.0</v>
      </c>
      <c r="H185" s="8" t="s">
        <v>84</v>
      </c>
      <c r="I185" s="2" t="s">
        <v>2609</v>
      </c>
      <c r="K185" s="10">
        <v>45612.001921296294</v>
      </c>
      <c r="L185" s="2">
        <v>1.731715366E9</v>
      </c>
      <c r="M185" s="2" t="s">
        <v>47</v>
      </c>
      <c r="N185" s="2" t="s">
        <v>47</v>
      </c>
      <c r="O185" s="2" t="s">
        <v>47</v>
      </c>
      <c r="P185" s="2" t="s">
        <v>47</v>
      </c>
      <c r="Q185" s="2" t="s">
        <v>47</v>
      </c>
      <c r="R185" s="2" t="s">
        <v>48</v>
      </c>
      <c r="S185" s="2" t="s">
        <v>2610</v>
      </c>
      <c r="T185" s="8" t="s">
        <v>2745</v>
      </c>
      <c r="U185" s="8" t="s">
        <v>1052</v>
      </c>
      <c r="V185" s="2" t="s">
        <v>70</v>
      </c>
      <c r="W185" s="8" t="s">
        <v>2747</v>
      </c>
      <c r="X185" s="8" t="s">
        <v>2618</v>
      </c>
      <c r="Z185" s="2">
        <v>9034.0</v>
      </c>
      <c r="AA185" s="2">
        <v>155.0</v>
      </c>
      <c r="AB185" s="2">
        <v>977.0</v>
      </c>
      <c r="AC185" s="2">
        <v>85700.0</v>
      </c>
      <c r="AD185" s="2" t="s">
        <v>2620</v>
      </c>
      <c r="AE185" s="2" t="s">
        <v>2620</v>
      </c>
      <c r="AL185" s="6">
        <f>IFERROR(__xludf.DUMMYFUNCTION("IF(
  TRIM(AD185)="""",
  0,
  COUNTA(
    SPLIT(
      REGEXREPLACE(AD185,""\s*,\s*"","",""),
      "",""
    )
  )
)"),4.0)</f>
        <v>4</v>
      </c>
    </row>
    <row r="186">
      <c r="A186" s="2" t="s">
        <v>2621</v>
      </c>
      <c r="B186" s="2" t="s">
        <v>2621</v>
      </c>
      <c r="C186" s="2" t="s">
        <v>920</v>
      </c>
      <c r="D186" s="2" t="s">
        <v>921</v>
      </c>
      <c r="E186" s="2">
        <v>296100.0</v>
      </c>
      <c r="F186" s="2">
        <v>1905.0</v>
      </c>
      <c r="G186" s="2">
        <v>1402.0</v>
      </c>
      <c r="H186" s="8" t="s">
        <v>1322</v>
      </c>
      <c r="I186" s="2" t="s">
        <v>2622</v>
      </c>
      <c r="J186" s="2" t="s">
        <v>2623</v>
      </c>
      <c r="K186" s="10">
        <v>45850.573645833334</v>
      </c>
      <c r="L186" s="2">
        <v>1.752327963E9</v>
      </c>
      <c r="M186" s="2" t="s">
        <v>47</v>
      </c>
      <c r="N186" s="2" t="s">
        <v>47</v>
      </c>
      <c r="O186" s="2" t="s">
        <v>47</v>
      </c>
      <c r="P186" s="2" t="s">
        <v>47</v>
      </c>
      <c r="Q186" s="2" t="s">
        <v>47</v>
      </c>
      <c r="R186" s="2" t="s">
        <v>204</v>
      </c>
      <c r="S186" s="2" t="s">
        <v>2520</v>
      </c>
      <c r="T186" s="8" t="s">
        <v>2752</v>
      </c>
      <c r="U186" s="8" t="s">
        <v>2754</v>
      </c>
      <c r="V186" s="2" t="s">
        <v>2530</v>
      </c>
      <c r="W186" s="8" t="s">
        <v>2756</v>
      </c>
      <c r="X186" s="8" t="s">
        <v>2629</v>
      </c>
      <c r="Z186" s="2">
        <v>8865.0</v>
      </c>
      <c r="AA186" s="2">
        <v>211.0</v>
      </c>
      <c r="AB186" s="2">
        <v>2336.0</v>
      </c>
      <c r="AC186" s="2">
        <v>113100.0</v>
      </c>
      <c r="AD186" s="2" t="s">
        <v>937</v>
      </c>
      <c r="AE186" s="2" t="s">
        <v>937</v>
      </c>
      <c r="AH186" s="2" t="s">
        <v>121</v>
      </c>
      <c r="AL186" s="6">
        <f>IFERROR(__xludf.DUMMYFUNCTION("IF(
  TRIM(AD186)="""",
  0,
  COUNTA(
    SPLIT(
      REGEXREPLACE(AD186,""\s*,\s*"","",""),
      "",""
    )
  )
)"),4.0)</f>
        <v>4</v>
      </c>
    </row>
    <row r="187">
      <c r="A187" s="2" t="s">
        <v>2761</v>
      </c>
      <c r="B187" s="2" t="s">
        <v>2761</v>
      </c>
      <c r="C187" s="2" t="s">
        <v>2762</v>
      </c>
      <c r="D187" s="2" t="s">
        <v>2763</v>
      </c>
      <c r="E187" s="2">
        <v>138400.0</v>
      </c>
      <c r="F187" s="2">
        <v>679.0</v>
      </c>
      <c r="G187" s="2">
        <v>238.0</v>
      </c>
      <c r="H187" s="8" t="s">
        <v>2764</v>
      </c>
      <c r="I187" s="2" t="s">
        <v>2766</v>
      </c>
      <c r="J187" s="2" t="s">
        <v>2767</v>
      </c>
      <c r="K187" s="10">
        <v>45183.00150462963</v>
      </c>
      <c r="L187" s="2">
        <v>1.69464973E9</v>
      </c>
      <c r="M187" s="2" t="s">
        <v>47</v>
      </c>
      <c r="N187" s="2" t="s">
        <v>47</v>
      </c>
      <c r="O187" s="2" t="s">
        <v>47</v>
      </c>
      <c r="P187" s="2" t="s">
        <v>47</v>
      </c>
      <c r="Q187" s="2" t="s">
        <v>47</v>
      </c>
      <c r="R187" s="2" t="s">
        <v>48</v>
      </c>
      <c r="S187" s="2" t="s">
        <v>2768</v>
      </c>
      <c r="T187" s="8" t="s">
        <v>2769</v>
      </c>
      <c r="U187" s="8" t="s">
        <v>2773</v>
      </c>
      <c r="V187" s="2" t="s">
        <v>2763</v>
      </c>
      <c r="W187" s="8" t="s">
        <v>2779</v>
      </c>
      <c r="X187" s="8" t="s">
        <v>2782</v>
      </c>
      <c r="Z187" s="2">
        <v>8865.0</v>
      </c>
      <c r="AA187" s="2">
        <v>162.0</v>
      </c>
      <c r="AB187" s="2">
        <v>1250.0</v>
      </c>
      <c r="AC187" s="2">
        <v>139100.0</v>
      </c>
      <c r="AD187" s="2" t="s">
        <v>2784</v>
      </c>
      <c r="AE187" s="2" t="s">
        <v>2784</v>
      </c>
      <c r="AL187" s="6">
        <f>IFERROR(__xludf.DUMMYFUNCTION("IF(
  TRIM(AD187)="""",
  0,
  COUNTA(
    SPLIT(
      REGEXREPLACE(AD187,""\s*,\s*"","",""),
      "",""
    )
  )
)"),6.0)</f>
        <v>6</v>
      </c>
    </row>
    <row r="188">
      <c r="A188" s="2" t="s">
        <v>2785</v>
      </c>
      <c r="B188" s="2" t="s">
        <v>2785</v>
      </c>
      <c r="C188" s="2" t="s">
        <v>987</v>
      </c>
      <c r="D188" s="2" t="s">
        <v>988</v>
      </c>
      <c r="E188" s="2">
        <v>155300.0</v>
      </c>
      <c r="F188" s="2">
        <v>65100.0</v>
      </c>
      <c r="G188" s="2">
        <v>1013.0</v>
      </c>
      <c r="H188" s="8" t="s">
        <v>989</v>
      </c>
      <c r="I188" s="2" t="s">
        <v>2786</v>
      </c>
      <c r="K188" s="10">
        <v>45840.91815972222</v>
      </c>
      <c r="L188" s="2">
        <v>1.751493729E9</v>
      </c>
      <c r="M188" s="2" t="s">
        <v>47</v>
      </c>
      <c r="N188" s="2" t="s">
        <v>47</v>
      </c>
      <c r="O188" s="2" t="s">
        <v>47</v>
      </c>
      <c r="P188" s="2" t="s">
        <v>47</v>
      </c>
      <c r="Q188" s="2" t="s">
        <v>47</v>
      </c>
      <c r="R188" s="2" t="s">
        <v>1217</v>
      </c>
      <c r="S188" s="2" t="s">
        <v>1218</v>
      </c>
      <c r="T188" s="8" t="s">
        <v>1219</v>
      </c>
      <c r="U188" s="8" t="s">
        <v>1341</v>
      </c>
      <c r="V188" s="2" t="s">
        <v>1222</v>
      </c>
      <c r="W188" s="8" t="s">
        <v>2788</v>
      </c>
      <c r="X188" s="8" t="s">
        <v>2795</v>
      </c>
      <c r="Z188" s="2">
        <v>8636.0</v>
      </c>
      <c r="AA188" s="2">
        <v>248.0</v>
      </c>
      <c r="AB188" s="2">
        <v>1176.0</v>
      </c>
      <c r="AC188" s="2">
        <v>163600.0</v>
      </c>
      <c r="AD188" s="2" t="s">
        <v>1003</v>
      </c>
      <c r="AE188" s="2" t="s">
        <v>1003</v>
      </c>
      <c r="AL188" s="6">
        <f>IFERROR(__xludf.DUMMYFUNCTION("IF(
  TRIM(AD188)="""",
  0,
  COUNTA(
    SPLIT(
      REGEXREPLACE(AD188,""\s*,\s*"","",""),
      "",""
    )
  )
)"),3.0)</f>
        <v>3</v>
      </c>
    </row>
    <row r="189">
      <c r="A189" s="2" t="s">
        <v>2799</v>
      </c>
      <c r="B189" s="2" t="s">
        <v>2799</v>
      </c>
      <c r="C189" s="2" t="s">
        <v>276</v>
      </c>
      <c r="D189" s="2" t="s">
        <v>277</v>
      </c>
      <c r="E189" s="2">
        <v>342900.0</v>
      </c>
      <c r="F189" s="2">
        <v>339.0</v>
      </c>
      <c r="G189" s="2">
        <v>487.0</v>
      </c>
      <c r="H189" s="8" t="s">
        <v>278</v>
      </c>
      <c r="I189" s="2" t="s">
        <v>2800</v>
      </c>
      <c r="K189" s="10">
        <v>45434.98625</v>
      </c>
      <c r="L189" s="2">
        <v>1.716421212E9</v>
      </c>
      <c r="M189" s="2" t="s">
        <v>47</v>
      </c>
      <c r="N189" s="2" t="s">
        <v>47</v>
      </c>
      <c r="O189" s="2" t="s">
        <v>47</v>
      </c>
      <c r="P189" s="2" t="s">
        <v>47</v>
      </c>
      <c r="Q189" s="2" t="s">
        <v>47</v>
      </c>
      <c r="R189" s="2" t="s">
        <v>48</v>
      </c>
      <c r="S189" s="2" t="s">
        <v>2801</v>
      </c>
      <c r="T189" s="8" t="s">
        <v>2802</v>
      </c>
      <c r="U189" s="8" t="s">
        <v>538</v>
      </c>
      <c r="V189" s="2" t="s">
        <v>277</v>
      </c>
      <c r="W189" s="8" t="s">
        <v>2813</v>
      </c>
      <c r="X189" s="8" t="s">
        <v>2817</v>
      </c>
      <c r="Z189" s="2">
        <v>8577.0</v>
      </c>
      <c r="AA189" s="2">
        <v>221.0</v>
      </c>
      <c r="AB189" s="2">
        <v>1519.0</v>
      </c>
      <c r="AC189" s="2">
        <v>126900.0</v>
      </c>
      <c r="AD189" s="2" t="s">
        <v>2818</v>
      </c>
      <c r="AE189" s="2" t="s">
        <v>2818</v>
      </c>
      <c r="AL189" s="6">
        <f>IFERROR(__xludf.DUMMYFUNCTION("IF(
  TRIM(AD189)="""",
  0,
  COUNTA(
    SPLIT(
      REGEXREPLACE(AD189,""\s*,\s*"","",""),
      "",""
    )
  )
)"),10.0)</f>
        <v>10</v>
      </c>
    </row>
    <row r="190">
      <c r="A190" s="2" t="s">
        <v>2819</v>
      </c>
      <c r="B190" s="2" t="s">
        <v>2819</v>
      </c>
      <c r="C190" s="2" t="s">
        <v>2820</v>
      </c>
      <c r="D190" s="2" t="s">
        <v>2820</v>
      </c>
      <c r="E190" s="2">
        <v>22600.0</v>
      </c>
      <c r="F190" s="2">
        <v>8638.0</v>
      </c>
      <c r="G190" s="2">
        <v>250.0</v>
      </c>
      <c r="H190" s="8" t="s">
        <v>2821</v>
      </c>
      <c r="I190" s="2" t="s">
        <v>2823</v>
      </c>
      <c r="K190" s="10">
        <v>45786.98982638889</v>
      </c>
      <c r="L190" s="2">
        <v>1.746834321E9</v>
      </c>
      <c r="M190" s="2" t="s">
        <v>47</v>
      </c>
      <c r="N190" s="2" t="s">
        <v>47</v>
      </c>
      <c r="O190" s="2" t="s">
        <v>47</v>
      </c>
      <c r="P190" s="2" t="s">
        <v>47</v>
      </c>
      <c r="Q190" s="2" t="s">
        <v>47</v>
      </c>
      <c r="R190" s="2" t="s">
        <v>48</v>
      </c>
      <c r="S190" s="2" t="s">
        <v>2824</v>
      </c>
      <c r="T190" s="8" t="s">
        <v>2826</v>
      </c>
      <c r="U190" s="8" t="s">
        <v>2831</v>
      </c>
      <c r="V190" s="2" t="s">
        <v>2820</v>
      </c>
      <c r="W190" s="8" t="s">
        <v>2833</v>
      </c>
      <c r="X190" s="8" t="s">
        <v>2837</v>
      </c>
      <c r="Z190" s="2">
        <v>8556.0</v>
      </c>
      <c r="AA190" s="2">
        <v>553.0</v>
      </c>
      <c r="AB190" s="2">
        <v>1727.0</v>
      </c>
      <c r="AC190" s="2">
        <v>145400.0</v>
      </c>
      <c r="AD190" s="2" t="s">
        <v>2841</v>
      </c>
      <c r="AE190" s="2" t="s">
        <v>2841</v>
      </c>
      <c r="AL190" s="6">
        <f>IFERROR(__xludf.DUMMYFUNCTION("IF(
  TRIM(AD190)="""",
  0,
  COUNTA(
    SPLIT(
      REGEXREPLACE(AD190,""\s*,\s*"","",""),
      "",""
    )
  )
)"),10.0)</f>
        <v>10</v>
      </c>
    </row>
    <row r="191">
      <c r="A191" s="2" t="s">
        <v>1767</v>
      </c>
      <c r="B191" s="2" t="s">
        <v>1767</v>
      </c>
      <c r="C191" s="2" t="s">
        <v>920</v>
      </c>
      <c r="D191" s="2" t="s">
        <v>921</v>
      </c>
      <c r="E191" s="2">
        <v>296100.0</v>
      </c>
      <c r="F191" s="2">
        <v>1905.0</v>
      </c>
      <c r="G191" s="2">
        <v>1402.0</v>
      </c>
      <c r="H191" s="8" t="s">
        <v>922</v>
      </c>
      <c r="I191" s="2" t="s">
        <v>1768</v>
      </c>
      <c r="K191" s="10">
        <v>45880.97084490741</v>
      </c>
      <c r="L191" s="2">
        <v>1.754954281E9</v>
      </c>
      <c r="M191" s="2" t="s">
        <v>47</v>
      </c>
      <c r="N191" s="2" t="s">
        <v>47</v>
      </c>
      <c r="O191" s="2" t="s">
        <v>47</v>
      </c>
      <c r="P191" s="2" t="s">
        <v>47</v>
      </c>
      <c r="Q191" s="2" t="s">
        <v>47</v>
      </c>
      <c r="R191" s="2" t="s">
        <v>1282</v>
      </c>
      <c r="S191" s="2" t="s">
        <v>1769</v>
      </c>
      <c r="T191" s="8" t="s">
        <v>2842</v>
      </c>
      <c r="U191" s="8" t="s">
        <v>932</v>
      </c>
      <c r="V191" s="2" t="s">
        <v>921</v>
      </c>
      <c r="W191" s="8" t="s">
        <v>2846</v>
      </c>
      <c r="X191" s="8" t="s">
        <v>1779</v>
      </c>
      <c r="Z191" s="2">
        <v>8538.0</v>
      </c>
      <c r="AA191" s="2">
        <v>113.0</v>
      </c>
      <c r="AB191" s="2">
        <v>3134.0</v>
      </c>
      <c r="AC191" s="2">
        <v>166500.0</v>
      </c>
      <c r="AD191" s="2" t="s">
        <v>1338</v>
      </c>
      <c r="AE191" s="2" t="s">
        <v>1338</v>
      </c>
      <c r="AL191" s="6">
        <f>IFERROR(__xludf.DUMMYFUNCTION("IF(
  TRIM(AD191)="""",
  0,
  COUNTA(
    SPLIT(
      REGEXREPLACE(AD191,""\s*,\s*"","",""),
      "",""
    )
  )
)"),3.0)</f>
        <v>3</v>
      </c>
    </row>
    <row r="192">
      <c r="A192" s="2" t="s">
        <v>2850</v>
      </c>
      <c r="B192" s="2" t="s">
        <v>2850</v>
      </c>
      <c r="C192" s="2" t="s">
        <v>2851</v>
      </c>
      <c r="D192" s="2" t="s">
        <v>2852</v>
      </c>
      <c r="E192" s="2">
        <v>969.0</v>
      </c>
      <c r="F192" s="2">
        <v>399.0</v>
      </c>
      <c r="G192" s="2">
        <v>703.0</v>
      </c>
      <c r="H192" s="8" t="s">
        <v>2853</v>
      </c>
      <c r="I192" s="2" t="s">
        <v>2859</v>
      </c>
      <c r="K192" s="10">
        <v>45857.913298611114</v>
      </c>
      <c r="L192" s="2">
        <v>1.752962109E9</v>
      </c>
      <c r="M192" s="2" t="s">
        <v>47</v>
      </c>
      <c r="N192" s="2" t="s">
        <v>47</v>
      </c>
      <c r="O192" s="2" t="s">
        <v>47</v>
      </c>
      <c r="P192" s="2" t="s">
        <v>47</v>
      </c>
      <c r="Q192" s="2" t="s">
        <v>47</v>
      </c>
      <c r="R192" s="2" t="s">
        <v>48</v>
      </c>
      <c r="S192" s="2" t="s">
        <v>2860</v>
      </c>
      <c r="T192" s="8" t="s">
        <v>2861</v>
      </c>
      <c r="U192" s="8" t="s">
        <v>2862</v>
      </c>
      <c r="V192" s="2" t="s">
        <v>2852</v>
      </c>
      <c r="W192" s="8" t="s">
        <v>2864</v>
      </c>
      <c r="X192" s="8" t="s">
        <v>2871</v>
      </c>
      <c r="Z192" s="2">
        <v>8273.0</v>
      </c>
      <c r="AA192" s="2">
        <v>1013.0</v>
      </c>
      <c r="AB192" s="2">
        <v>1364.0</v>
      </c>
      <c r="AC192" s="2">
        <v>217900.0</v>
      </c>
      <c r="AD192" s="2" t="s">
        <v>2872</v>
      </c>
      <c r="AE192" s="2" t="s">
        <v>2872</v>
      </c>
      <c r="AL192" s="6">
        <f>IFERROR(__xludf.DUMMYFUNCTION("IF(
  TRIM(AD192)="""",
  0,
  COUNTA(
    SPLIT(
      REGEXREPLACE(AD192,""\s*,\s*"","",""),
      "",""
    )
  )
)"),6.0)</f>
        <v>6</v>
      </c>
    </row>
    <row r="193">
      <c r="A193" s="2" t="s">
        <v>2874</v>
      </c>
      <c r="B193" s="2" t="s">
        <v>2874</v>
      </c>
      <c r="C193" s="2" t="s">
        <v>123</v>
      </c>
      <c r="D193" s="2" t="s">
        <v>124</v>
      </c>
      <c r="E193" s="2">
        <v>252600.0</v>
      </c>
      <c r="F193" s="2">
        <v>353.0</v>
      </c>
      <c r="G193" s="2">
        <v>674.0</v>
      </c>
      <c r="H193" s="8" t="s">
        <v>125</v>
      </c>
      <c r="I193" s="2" t="s">
        <v>2878</v>
      </c>
      <c r="K193" s="10">
        <v>45664.54350694444</v>
      </c>
      <c r="L193" s="2">
        <v>1.736254959E9</v>
      </c>
      <c r="M193" s="2" t="s">
        <v>47</v>
      </c>
      <c r="N193" s="2" t="s">
        <v>47</v>
      </c>
      <c r="O193" s="2" t="s">
        <v>47</v>
      </c>
      <c r="P193" s="2" t="s">
        <v>47</v>
      </c>
      <c r="Q193" s="2" t="s">
        <v>47</v>
      </c>
      <c r="R193" s="2" t="s">
        <v>48</v>
      </c>
      <c r="S193" s="2" t="s">
        <v>2879</v>
      </c>
      <c r="T193" s="8" t="s">
        <v>2880</v>
      </c>
      <c r="U193" s="8" t="s">
        <v>738</v>
      </c>
      <c r="V193" s="2" t="s">
        <v>124</v>
      </c>
      <c r="W193" s="8" t="s">
        <v>2884</v>
      </c>
      <c r="X193" s="8" t="s">
        <v>2886</v>
      </c>
      <c r="Z193" s="2">
        <v>8196.0</v>
      </c>
      <c r="AA193" s="2">
        <v>333.0</v>
      </c>
      <c r="AB193" s="2">
        <v>773.0</v>
      </c>
      <c r="AC193" s="2">
        <v>91400.0</v>
      </c>
      <c r="AD193" s="2" t="s">
        <v>2892</v>
      </c>
      <c r="AE193" s="2" t="s">
        <v>2892</v>
      </c>
      <c r="AH193" s="2" t="s">
        <v>918</v>
      </c>
      <c r="AL193" s="6">
        <f>IFERROR(__xludf.DUMMYFUNCTION("IF(
  TRIM(AD193)="""",
  0,
  COUNTA(
    SPLIT(
      REGEXREPLACE(AD193,""\s*,\s*"","",""),
      "",""
    )
  )
)"),7.0)</f>
        <v>7</v>
      </c>
    </row>
    <row r="194">
      <c r="A194" s="2" t="s">
        <v>1780</v>
      </c>
      <c r="B194" s="2" t="s">
        <v>1780</v>
      </c>
      <c r="C194" s="2" t="s">
        <v>69</v>
      </c>
      <c r="D194" s="2" t="s">
        <v>70</v>
      </c>
      <c r="E194" s="2">
        <v>175800.0</v>
      </c>
      <c r="F194" s="2">
        <v>886.0</v>
      </c>
      <c r="G194" s="2">
        <v>767.0</v>
      </c>
      <c r="H194" s="8" t="s">
        <v>320</v>
      </c>
      <c r="I194" s="2" t="s">
        <v>1781</v>
      </c>
      <c r="J194" s="2" t="s">
        <v>1782</v>
      </c>
      <c r="K194" s="10">
        <v>45030.60334490741</v>
      </c>
      <c r="L194" s="2">
        <v>1.681482529E9</v>
      </c>
      <c r="M194" s="2" t="s">
        <v>47</v>
      </c>
      <c r="N194" s="2" t="s">
        <v>47</v>
      </c>
      <c r="O194" s="2" t="s">
        <v>47</v>
      </c>
      <c r="P194" s="2" t="s">
        <v>47</v>
      </c>
      <c r="Q194" s="2" t="s">
        <v>47</v>
      </c>
      <c r="R194" s="2" t="s">
        <v>48</v>
      </c>
      <c r="S194" s="2" t="s">
        <v>1783</v>
      </c>
      <c r="T194" s="8" t="s">
        <v>2894</v>
      </c>
      <c r="U194" s="8" t="s">
        <v>1010</v>
      </c>
      <c r="V194" s="2" t="s">
        <v>70</v>
      </c>
      <c r="W194" s="8" t="s">
        <v>2897</v>
      </c>
      <c r="X194" s="8" t="s">
        <v>1794</v>
      </c>
      <c r="Z194" s="2">
        <v>7796.0</v>
      </c>
      <c r="AA194" s="2">
        <v>108.0</v>
      </c>
      <c r="AB194" s="2">
        <v>2121.0</v>
      </c>
      <c r="AC194" s="2">
        <v>167500.0</v>
      </c>
      <c r="AD194" s="2" t="s">
        <v>1795</v>
      </c>
      <c r="AE194" s="2" t="s">
        <v>1795</v>
      </c>
      <c r="AL194" s="6">
        <f>IFERROR(__xludf.DUMMYFUNCTION("IF(
  TRIM(AD194)="""",
  0,
  COUNTA(
    SPLIT(
      REGEXREPLACE(AD194,""\s*,\s*"","",""),
      "",""
    )
  )
)"),3.0)</f>
        <v>3</v>
      </c>
    </row>
    <row r="195">
      <c r="A195" s="2" t="s">
        <v>1749</v>
      </c>
      <c r="B195" s="2" t="s">
        <v>1749</v>
      </c>
      <c r="C195" s="2" t="s">
        <v>920</v>
      </c>
      <c r="D195" s="2" t="s">
        <v>921</v>
      </c>
      <c r="E195" s="2">
        <v>296100.0</v>
      </c>
      <c r="F195" s="2">
        <v>1905.0</v>
      </c>
      <c r="G195" s="2">
        <v>1402.0</v>
      </c>
      <c r="H195" s="8" t="s">
        <v>1322</v>
      </c>
      <c r="I195" s="2" t="s">
        <v>1750</v>
      </c>
      <c r="K195" s="10">
        <v>45967.016805555555</v>
      </c>
      <c r="L195" s="2">
        <v>1.762388652E9</v>
      </c>
      <c r="M195" s="2" t="s">
        <v>47</v>
      </c>
      <c r="N195" s="2" t="s">
        <v>47</v>
      </c>
      <c r="O195" s="2" t="s">
        <v>47</v>
      </c>
      <c r="P195" s="2" t="s">
        <v>47</v>
      </c>
      <c r="Q195" s="2" t="s">
        <v>47</v>
      </c>
      <c r="R195" s="2" t="s">
        <v>1282</v>
      </c>
      <c r="S195" s="2" t="s">
        <v>1751</v>
      </c>
      <c r="T195" s="8" t="s">
        <v>2904</v>
      </c>
      <c r="U195" s="8" t="s">
        <v>1233</v>
      </c>
      <c r="V195" s="2" t="s">
        <v>921</v>
      </c>
      <c r="W195" s="8" t="s">
        <v>2908</v>
      </c>
      <c r="X195" s="8" t="s">
        <v>1765</v>
      </c>
      <c r="Z195" s="2">
        <v>7752.0</v>
      </c>
      <c r="AA195" s="2">
        <v>146.0</v>
      </c>
      <c r="AB195" s="2">
        <v>1704.0</v>
      </c>
      <c r="AC195" s="2">
        <v>99100.0</v>
      </c>
      <c r="AD195" s="2" t="s">
        <v>1289</v>
      </c>
      <c r="AE195" s="2" t="s">
        <v>1289</v>
      </c>
      <c r="AL195" s="6">
        <f>IFERROR(__xludf.DUMMYFUNCTION("IF(
  TRIM(AD195)="""",
  0,
  COUNTA(
    SPLIT(
      REGEXREPLACE(AD195,""\s*,\s*"","",""),
      "",""
    )
  )
)"),3.0)</f>
        <v>3</v>
      </c>
    </row>
    <row r="196">
      <c r="A196" s="2" t="s">
        <v>2911</v>
      </c>
      <c r="B196" s="2" t="s">
        <v>2911</v>
      </c>
      <c r="C196" s="2" t="s">
        <v>1504</v>
      </c>
      <c r="D196" s="2" t="s">
        <v>1504</v>
      </c>
      <c r="E196" s="2">
        <v>19100.0</v>
      </c>
      <c r="F196" s="2">
        <v>638.0</v>
      </c>
      <c r="G196" s="2">
        <v>158.0</v>
      </c>
      <c r="H196" s="8" t="s">
        <v>1505</v>
      </c>
      <c r="I196" s="2" t="s">
        <v>2912</v>
      </c>
      <c r="K196" s="10">
        <v>45610.97803240741</v>
      </c>
      <c r="L196" s="2">
        <v>1.731626902E9</v>
      </c>
      <c r="M196" s="2" t="s">
        <v>47</v>
      </c>
      <c r="N196" s="2" t="s">
        <v>47</v>
      </c>
      <c r="O196" s="2" t="s">
        <v>47</v>
      </c>
      <c r="P196" s="2" t="s">
        <v>47</v>
      </c>
      <c r="Q196" s="2" t="s">
        <v>47</v>
      </c>
      <c r="R196" s="2" t="s">
        <v>48</v>
      </c>
      <c r="S196" s="2" t="s">
        <v>2913</v>
      </c>
      <c r="T196" s="8" t="s">
        <v>2914</v>
      </c>
      <c r="U196" s="8" t="s">
        <v>1515</v>
      </c>
      <c r="V196" s="2" t="s">
        <v>1504</v>
      </c>
      <c r="W196" s="8" t="s">
        <v>2917</v>
      </c>
      <c r="X196" s="8" t="s">
        <v>2923</v>
      </c>
      <c r="Z196" s="2">
        <v>7669.0</v>
      </c>
      <c r="AA196" s="2">
        <v>310.0</v>
      </c>
      <c r="AB196" s="2">
        <v>1852.0</v>
      </c>
      <c r="AC196" s="2">
        <v>129600.0</v>
      </c>
      <c r="AD196" s="2" t="s">
        <v>2925</v>
      </c>
      <c r="AE196" s="2" t="s">
        <v>2925</v>
      </c>
      <c r="AL196" s="6">
        <f>IFERROR(__xludf.DUMMYFUNCTION("IF(
  TRIM(AD196)="""",
  0,
  COUNTA(
    SPLIT(
      REGEXREPLACE(AD196,""\s*,\s*"","",""),
      "",""
    )
  )
)"),5.0)</f>
        <v>5</v>
      </c>
    </row>
    <row r="197">
      <c r="A197" s="2" t="s">
        <v>2630</v>
      </c>
      <c r="B197" s="2" t="s">
        <v>2630</v>
      </c>
      <c r="C197" s="2" t="s">
        <v>1630</v>
      </c>
      <c r="D197" s="2" t="s">
        <v>1631</v>
      </c>
      <c r="E197" s="2">
        <v>17300.0</v>
      </c>
      <c r="F197" s="2">
        <v>8466.0</v>
      </c>
      <c r="G197" s="2">
        <v>290.0</v>
      </c>
      <c r="H197" s="8" t="s">
        <v>2926</v>
      </c>
      <c r="I197" s="2" t="s">
        <v>2635</v>
      </c>
      <c r="K197" s="10">
        <v>45955.957870370374</v>
      </c>
      <c r="L197" s="2">
        <v>1.76143316E9</v>
      </c>
      <c r="M197" s="2" t="s">
        <v>47</v>
      </c>
      <c r="N197" s="2" t="s">
        <v>47</v>
      </c>
      <c r="O197" s="2" t="s">
        <v>47</v>
      </c>
      <c r="P197" s="2" t="s">
        <v>47</v>
      </c>
      <c r="Q197" s="2" t="s">
        <v>47</v>
      </c>
      <c r="R197" s="2" t="s">
        <v>48</v>
      </c>
      <c r="S197" s="2" t="s">
        <v>2636</v>
      </c>
      <c r="T197" s="8" t="s">
        <v>2927</v>
      </c>
      <c r="U197" s="8" t="s">
        <v>2931</v>
      </c>
      <c r="V197" s="2" t="s">
        <v>1631</v>
      </c>
      <c r="W197" s="8" t="s">
        <v>2933</v>
      </c>
      <c r="X197" s="8" t="s">
        <v>2643</v>
      </c>
      <c r="Z197" s="2">
        <v>7622.0</v>
      </c>
      <c r="AA197" s="2">
        <v>35.0</v>
      </c>
      <c r="AB197" s="2">
        <v>2060.0</v>
      </c>
      <c r="AC197" s="2">
        <v>109800.0</v>
      </c>
      <c r="AD197" s="2" t="s">
        <v>2648</v>
      </c>
      <c r="AE197" s="2" t="s">
        <v>2648</v>
      </c>
      <c r="AL197" s="6">
        <f>IFERROR(__xludf.DUMMYFUNCTION("IF(
  TRIM(AD197)="""",
  0,
  COUNTA(
    SPLIT(
      REGEXREPLACE(AD197,""\s*,\s*"","",""),
      "",""
    )
  )
)"),4.0)</f>
        <v>4</v>
      </c>
    </row>
    <row r="198">
      <c r="A198" s="2" t="s">
        <v>2649</v>
      </c>
      <c r="B198" s="2" t="s">
        <v>2649</v>
      </c>
      <c r="C198" s="2" t="s">
        <v>2650</v>
      </c>
      <c r="D198" s="2" t="s">
        <v>2651</v>
      </c>
      <c r="E198" s="2">
        <v>1200000.0</v>
      </c>
      <c r="F198" s="2">
        <v>1958.0</v>
      </c>
      <c r="G198" s="2">
        <v>751.0</v>
      </c>
      <c r="H198" s="8" t="s">
        <v>2936</v>
      </c>
      <c r="I198" s="2" t="s">
        <v>2654</v>
      </c>
      <c r="K198" s="10">
        <v>45758.057962962965</v>
      </c>
      <c r="L198" s="2">
        <v>1.744334608E9</v>
      </c>
      <c r="M198" s="2" t="s">
        <v>47</v>
      </c>
      <c r="N198" s="2" t="s">
        <v>47</v>
      </c>
      <c r="O198" s="2" t="s">
        <v>47</v>
      </c>
      <c r="P198" s="2" t="s">
        <v>47</v>
      </c>
      <c r="Q198" s="2" t="s">
        <v>47</v>
      </c>
      <c r="R198" s="2" t="s">
        <v>48</v>
      </c>
      <c r="S198" s="2" t="s">
        <v>2655</v>
      </c>
      <c r="T198" s="8" t="s">
        <v>2937</v>
      </c>
      <c r="U198" s="8" t="s">
        <v>2942</v>
      </c>
      <c r="V198" s="2" t="s">
        <v>2651</v>
      </c>
      <c r="W198" s="8" t="s">
        <v>2945</v>
      </c>
      <c r="X198" s="8" t="s">
        <v>2670</v>
      </c>
      <c r="Z198" s="2">
        <v>7561.0</v>
      </c>
      <c r="AA198" s="2">
        <v>227.0</v>
      </c>
      <c r="AB198" s="2">
        <v>1213.0</v>
      </c>
      <c r="AC198" s="2">
        <v>104800.0</v>
      </c>
      <c r="AD198" s="2" t="s">
        <v>2672</v>
      </c>
      <c r="AE198" s="2" t="s">
        <v>2672</v>
      </c>
      <c r="AH198" s="2" t="s">
        <v>1560</v>
      </c>
      <c r="AL198" s="6">
        <f>IFERROR(__xludf.DUMMYFUNCTION("IF(
  TRIM(AD198)="""",
  0,
  COUNTA(
    SPLIT(
      REGEXREPLACE(AD198,""\s*,\s*"","",""),
      "",""
    )
  )
)"),4.0)</f>
        <v>4</v>
      </c>
    </row>
    <row r="199">
      <c r="A199" s="2" t="s">
        <v>2948</v>
      </c>
      <c r="B199" s="2" t="s">
        <v>2948</v>
      </c>
      <c r="C199" s="2" t="s">
        <v>1124</v>
      </c>
      <c r="D199" s="2" t="s">
        <v>1125</v>
      </c>
      <c r="E199" s="2">
        <v>733300.0</v>
      </c>
      <c r="F199" s="2">
        <v>3309.0</v>
      </c>
      <c r="G199" s="2">
        <v>1366.0</v>
      </c>
      <c r="H199" s="8" t="s">
        <v>1343</v>
      </c>
      <c r="I199" s="2" t="s">
        <v>2949</v>
      </c>
      <c r="K199" s="10">
        <v>45131.792083333334</v>
      </c>
      <c r="L199" s="2">
        <v>1.690225236E9</v>
      </c>
      <c r="M199" s="2" t="s">
        <v>47</v>
      </c>
      <c r="N199" s="2" t="s">
        <v>47</v>
      </c>
      <c r="O199" s="2" t="s">
        <v>47</v>
      </c>
      <c r="P199" s="2" t="s">
        <v>47</v>
      </c>
      <c r="Q199" s="2" t="s">
        <v>47</v>
      </c>
      <c r="R199" s="2" t="s">
        <v>48</v>
      </c>
      <c r="S199" s="2" t="s">
        <v>2950</v>
      </c>
      <c r="T199" s="8" t="s">
        <v>2951</v>
      </c>
      <c r="U199" s="8" t="s">
        <v>1132</v>
      </c>
      <c r="V199" s="2" t="s">
        <v>1125</v>
      </c>
      <c r="W199" s="8" t="s">
        <v>2953</v>
      </c>
      <c r="X199" s="8" t="s">
        <v>2955</v>
      </c>
      <c r="Z199" s="2">
        <v>7381.0</v>
      </c>
      <c r="AA199" s="2">
        <v>129.0</v>
      </c>
      <c r="AB199" s="2">
        <v>1288.0</v>
      </c>
      <c r="AC199" s="2">
        <v>92700.0</v>
      </c>
      <c r="AD199" s="2" t="s">
        <v>1143</v>
      </c>
      <c r="AE199" s="2" t="s">
        <v>1143</v>
      </c>
      <c r="AL199" s="6">
        <f>IFERROR(__xludf.DUMMYFUNCTION("IF(
  TRIM(AD199)="""",
  0,
  COUNTA(
    SPLIT(
      REGEXREPLACE(AD199,""\s*,\s*"","",""),
      "",""
    )
  )
)"),5.0)</f>
        <v>5</v>
      </c>
    </row>
    <row r="200">
      <c r="A200" s="2" t="s">
        <v>1797</v>
      </c>
      <c r="B200" s="2" t="s">
        <v>1797</v>
      </c>
      <c r="C200" s="2" t="s">
        <v>920</v>
      </c>
      <c r="D200" s="2" t="s">
        <v>921</v>
      </c>
      <c r="E200" s="2">
        <v>296100.0</v>
      </c>
      <c r="F200" s="2">
        <v>1905.0</v>
      </c>
      <c r="G200" s="2">
        <v>1402.0</v>
      </c>
      <c r="H200" s="8" t="s">
        <v>1322</v>
      </c>
      <c r="I200" s="2" t="s">
        <v>1798</v>
      </c>
      <c r="K200" s="10">
        <v>45748.96537037037</v>
      </c>
      <c r="L200" s="2">
        <v>1.743549008E9</v>
      </c>
      <c r="M200" s="2" t="s">
        <v>47</v>
      </c>
      <c r="N200" s="2" t="s">
        <v>47</v>
      </c>
      <c r="O200" s="2" t="s">
        <v>47</v>
      </c>
      <c r="P200" s="2" t="s">
        <v>47</v>
      </c>
      <c r="Q200" s="2" t="s">
        <v>47</v>
      </c>
      <c r="R200" s="2" t="s">
        <v>48</v>
      </c>
      <c r="S200" s="2" t="s">
        <v>1799</v>
      </c>
      <c r="T200" s="8" t="s">
        <v>2957</v>
      </c>
      <c r="U200" s="8" t="s">
        <v>1233</v>
      </c>
      <c r="V200" s="2" t="s">
        <v>921</v>
      </c>
      <c r="W200" s="8" t="s">
        <v>2959</v>
      </c>
      <c r="X200" s="8" t="s">
        <v>1808</v>
      </c>
      <c r="Z200" s="2">
        <v>7365.0</v>
      </c>
      <c r="AA200" s="2">
        <v>161.0</v>
      </c>
      <c r="AB200" s="2">
        <v>2771.0</v>
      </c>
      <c r="AC200" s="2">
        <v>109500.0</v>
      </c>
      <c r="AD200" s="2" t="s">
        <v>1289</v>
      </c>
      <c r="AE200" s="2" t="s">
        <v>1289</v>
      </c>
      <c r="AL200" s="6">
        <f>IFERROR(__xludf.DUMMYFUNCTION("IF(
  TRIM(AD200)="""",
  0,
  COUNTA(
    SPLIT(
      REGEXREPLACE(AD200,""\s*,\s*"","",""),
      "",""
    )
  )
)"),3.0)</f>
        <v>3</v>
      </c>
    </row>
    <row r="201">
      <c r="A201" s="2" t="s">
        <v>2962</v>
      </c>
      <c r="B201" s="2" t="s">
        <v>2962</v>
      </c>
      <c r="C201" s="2" t="s">
        <v>2963</v>
      </c>
      <c r="D201" s="2" t="s">
        <v>2964</v>
      </c>
      <c r="E201" s="2">
        <v>646700.0</v>
      </c>
      <c r="F201" s="2">
        <v>2340.0</v>
      </c>
      <c r="G201" s="2">
        <v>933.0</v>
      </c>
      <c r="H201" s="8" t="s">
        <v>2965</v>
      </c>
      <c r="I201" s="2" t="s">
        <v>2966</v>
      </c>
      <c r="J201" s="2" t="s">
        <v>2967</v>
      </c>
      <c r="K201" s="10">
        <v>45073.74726851852</v>
      </c>
      <c r="L201" s="2">
        <v>1.685210164E9</v>
      </c>
      <c r="M201" s="2" t="s">
        <v>47</v>
      </c>
      <c r="N201" s="2" t="s">
        <v>47</v>
      </c>
      <c r="O201" s="2" t="s">
        <v>47</v>
      </c>
      <c r="P201" s="2" t="s">
        <v>47</v>
      </c>
      <c r="Q201" s="2" t="s">
        <v>47</v>
      </c>
      <c r="R201" s="2" t="s">
        <v>2968</v>
      </c>
      <c r="S201" s="2" t="s">
        <v>2969</v>
      </c>
      <c r="T201" s="8" t="s">
        <v>2970</v>
      </c>
      <c r="U201" s="8" t="s">
        <v>2972</v>
      </c>
      <c r="V201" s="2" t="s">
        <v>2973</v>
      </c>
      <c r="W201" s="8" t="s">
        <v>2974</v>
      </c>
      <c r="X201" s="8" t="s">
        <v>2976</v>
      </c>
      <c r="Z201" s="2">
        <v>7229.0</v>
      </c>
      <c r="AA201" s="2">
        <v>158.0</v>
      </c>
      <c r="AB201" s="2">
        <v>740.0</v>
      </c>
      <c r="AC201" s="2">
        <v>97000.0</v>
      </c>
      <c r="AD201" s="2" t="s">
        <v>2977</v>
      </c>
      <c r="AE201" s="2" t="s">
        <v>2977</v>
      </c>
      <c r="AL201" s="6">
        <f>IFERROR(__xludf.DUMMYFUNCTION("IF(
  TRIM(AD201)="""",
  0,
  COUNTA(
    SPLIT(
      REGEXREPLACE(AD201,""\s*,\s*"","",""),
      "",""
    )
  )
)"),6.0)</f>
        <v>6</v>
      </c>
    </row>
    <row r="202">
      <c r="A202" s="2" t="s">
        <v>2978</v>
      </c>
      <c r="B202" s="2" t="s">
        <v>2978</v>
      </c>
      <c r="C202" s="2" t="s">
        <v>2979</v>
      </c>
      <c r="D202" s="2" t="s">
        <v>2980</v>
      </c>
      <c r="E202" s="2">
        <v>440.0</v>
      </c>
      <c r="F202" s="2">
        <v>383.0</v>
      </c>
      <c r="G202" s="2">
        <v>49.0</v>
      </c>
      <c r="H202" s="8" t="s">
        <v>2981</v>
      </c>
      <c r="I202" s="2" t="s">
        <v>2983</v>
      </c>
      <c r="K202" s="10">
        <v>45798.60340277778</v>
      </c>
      <c r="L202" s="2">
        <v>1.747837734E9</v>
      </c>
      <c r="M202" s="2" t="s">
        <v>47</v>
      </c>
      <c r="N202" s="2" t="s">
        <v>47</v>
      </c>
      <c r="O202" s="2" t="s">
        <v>47</v>
      </c>
      <c r="P202" s="2" t="s">
        <v>47</v>
      </c>
      <c r="Q202" s="2" t="s">
        <v>47</v>
      </c>
      <c r="R202" s="2" t="s">
        <v>48</v>
      </c>
      <c r="S202" s="2" t="s">
        <v>2984</v>
      </c>
      <c r="T202" s="8" t="s">
        <v>2985</v>
      </c>
      <c r="U202" s="8" t="s">
        <v>2987</v>
      </c>
      <c r="V202" s="2" t="s">
        <v>2980</v>
      </c>
      <c r="W202" s="8" t="s">
        <v>2988</v>
      </c>
      <c r="X202" s="8" t="s">
        <v>2990</v>
      </c>
      <c r="Z202" s="2">
        <v>7213.0</v>
      </c>
      <c r="AA202" s="2">
        <v>809.0</v>
      </c>
      <c r="AB202" s="2">
        <v>864.0</v>
      </c>
      <c r="AC202" s="2">
        <v>82500.0</v>
      </c>
      <c r="AD202" s="2" t="s">
        <v>2991</v>
      </c>
      <c r="AE202" s="2" t="s">
        <v>2991</v>
      </c>
      <c r="AH202" s="2" t="s">
        <v>1560</v>
      </c>
      <c r="AL202" s="6">
        <f>IFERROR(__xludf.DUMMYFUNCTION("IF(
  TRIM(AD202)="""",
  0,
  COUNTA(
    SPLIT(
      REGEXREPLACE(AD202,""\s*,\s*"","",""),
      "",""
    )
  )
)"),10.0)</f>
        <v>10</v>
      </c>
    </row>
    <row r="203">
      <c r="A203" s="2" t="s">
        <v>2992</v>
      </c>
      <c r="B203" s="2" t="s">
        <v>2992</v>
      </c>
      <c r="C203" s="2" t="s">
        <v>987</v>
      </c>
      <c r="D203" s="2" t="s">
        <v>988</v>
      </c>
      <c r="E203" s="2">
        <v>155300.0</v>
      </c>
      <c r="F203" s="2">
        <v>65100.0</v>
      </c>
      <c r="G203" s="2">
        <v>1013.0</v>
      </c>
      <c r="H203" s="8" t="s">
        <v>989</v>
      </c>
      <c r="I203" s="2" t="s">
        <v>2993</v>
      </c>
      <c r="K203" s="10">
        <v>45820.91778935185</v>
      </c>
      <c r="L203" s="2">
        <v>1.749765697E9</v>
      </c>
      <c r="M203" s="2" t="s">
        <v>47</v>
      </c>
      <c r="N203" s="2" t="s">
        <v>47</v>
      </c>
      <c r="O203" s="2" t="s">
        <v>47</v>
      </c>
      <c r="P203" s="2" t="s">
        <v>47</v>
      </c>
      <c r="Q203" s="2" t="s">
        <v>47</v>
      </c>
      <c r="R203" s="2" t="s">
        <v>1412</v>
      </c>
      <c r="S203" s="2" t="s">
        <v>1413</v>
      </c>
      <c r="T203" s="8" t="s">
        <v>1414</v>
      </c>
      <c r="U203" s="8" t="s">
        <v>1416</v>
      </c>
      <c r="V203" s="2" t="s">
        <v>1419</v>
      </c>
      <c r="W203" s="8" t="s">
        <v>2994</v>
      </c>
      <c r="X203" s="8" t="s">
        <v>2996</v>
      </c>
      <c r="Z203" s="2">
        <v>7140.0</v>
      </c>
      <c r="AA203" s="2">
        <v>212.0</v>
      </c>
      <c r="AB203" s="2">
        <v>495.0</v>
      </c>
      <c r="AC203" s="2">
        <v>148800.0</v>
      </c>
      <c r="AD203" s="2" t="s">
        <v>1003</v>
      </c>
      <c r="AE203" s="2" t="s">
        <v>1003</v>
      </c>
      <c r="AL203" s="6">
        <f>IFERROR(__xludf.DUMMYFUNCTION("IF(
  TRIM(AD203)="""",
  0,
  COUNTA(
    SPLIT(
      REGEXREPLACE(AD203,""\s*,\s*"","",""),
      "",""
    )
  )
)"),3.0)</f>
        <v>3</v>
      </c>
    </row>
    <row r="204">
      <c r="A204" s="2" t="s">
        <v>1809</v>
      </c>
      <c r="B204" s="2" t="s">
        <v>1809</v>
      </c>
      <c r="C204" s="2" t="s">
        <v>987</v>
      </c>
      <c r="D204" s="2" t="s">
        <v>988</v>
      </c>
      <c r="E204" s="2">
        <v>155300.0</v>
      </c>
      <c r="F204" s="2">
        <v>65100.0</v>
      </c>
      <c r="G204" s="2">
        <v>1013.0</v>
      </c>
      <c r="H204" s="8" t="s">
        <v>1271</v>
      </c>
      <c r="I204" s="2" t="s">
        <v>1810</v>
      </c>
      <c r="K204" s="10">
        <v>45832.673414351855</v>
      </c>
      <c r="L204" s="2">
        <v>1.750781383E9</v>
      </c>
      <c r="M204" s="2" t="s">
        <v>47</v>
      </c>
      <c r="N204" s="2" t="s">
        <v>47</v>
      </c>
      <c r="O204" s="2" t="s">
        <v>47</v>
      </c>
      <c r="P204" s="2" t="s">
        <v>47</v>
      </c>
      <c r="Q204" s="2" t="s">
        <v>47</v>
      </c>
      <c r="R204" s="2" t="s">
        <v>1412</v>
      </c>
      <c r="S204" s="2" t="s">
        <v>1413</v>
      </c>
      <c r="T204" s="8" t="s">
        <v>1414</v>
      </c>
      <c r="U204" s="8" t="s">
        <v>2288</v>
      </c>
      <c r="V204" s="2" t="s">
        <v>1419</v>
      </c>
      <c r="W204" s="8" t="s">
        <v>2998</v>
      </c>
      <c r="X204" s="8" t="s">
        <v>1815</v>
      </c>
      <c r="Z204" s="2">
        <v>7108.0</v>
      </c>
      <c r="AA204" s="2">
        <v>346.0</v>
      </c>
      <c r="AB204" s="2">
        <v>851.0</v>
      </c>
      <c r="AC204" s="2">
        <v>87700.0</v>
      </c>
      <c r="AD204" s="2" t="s">
        <v>1003</v>
      </c>
      <c r="AE204" s="2" t="s">
        <v>1003</v>
      </c>
      <c r="AL204" s="6">
        <f>IFERROR(__xludf.DUMMYFUNCTION("IF(
  TRIM(AD204)="""",
  0,
  COUNTA(
    SPLIT(
      REGEXREPLACE(AD204,""\s*,\s*"","",""),
      "",""
    )
  )
)"),3.0)</f>
        <v>3</v>
      </c>
    </row>
    <row r="205">
      <c r="A205" s="2" t="s">
        <v>3000</v>
      </c>
      <c r="B205" s="2" t="s">
        <v>3000</v>
      </c>
      <c r="C205" s="2" t="s">
        <v>69</v>
      </c>
      <c r="D205" s="2" t="s">
        <v>70</v>
      </c>
      <c r="E205" s="2">
        <v>175800.0</v>
      </c>
      <c r="F205" s="2">
        <v>886.0</v>
      </c>
      <c r="G205" s="2">
        <v>767.0</v>
      </c>
      <c r="H205" s="8" t="s">
        <v>84</v>
      </c>
      <c r="I205" s="2" t="s">
        <v>3004</v>
      </c>
      <c r="K205" s="10">
        <v>45906.9762962963</v>
      </c>
      <c r="L205" s="2">
        <v>1.757201152E9</v>
      </c>
      <c r="M205" s="2" t="s">
        <v>47</v>
      </c>
      <c r="N205" s="2" t="s">
        <v>47</v>
      </c>
      <c r="O205" s="2" t="s">
        <v>47</v>
      </c>
      <c r="P205" s="2" t="s">
        <v>47</v>
      </c>
      <c r="Q205" s="2" t="s">
        <v>47</v>
      </c>
      <c r="R205" s="2" t="s">
        <v>48</v>
      </c>
      <c r="S205" s="2" t="s">
        <v>3005</v>
      </c>
      <c r="T205" s="8" t="s">
        <v>3006</v>
      </c>
      <c r="U205" s="8" t="s">
        <v>1010</v>
      </c>
      <c r="V205" s="2" t="s">
        <v>70</v>
      </c>
      <c r="W205" s="8" t="s">
        <v>3010</v>
      </c>
      <c r="X205" s="8" t="s">
        <v>3012</v>
      </c>
      <c r="Z205" s="2">
        <v>7071.0</v>
      </c>
      <c r="AA205" s="2">
        <v>159.0</v>
      </c>
      <c r="AB205" s="2">
        <v>956.0</v>
      </c>
      <c r="AC205" s="2">
        <v>62900.0</v>
      </c>
      <c r="AD205" s="2" t="s">
        <v>3014</v>
      </c>
      <c r="AE205" s="2" t="s">
        <v>3014</v>
      </c>
      <c r="AL205" s="6">
        <f>IFERROR(__xludf.DUMMYFUNCTION("IF(
  TRIM(AD205)="""",
  0,
  COUNTA(
    SPLIT(
      REGEXREPLACE(AD205,""\s*,\s*"","",""),
      "",""
    )
  )
)"),5.0)</f>
        <v>5</v>
      </c>
    </row>
    <row r="206">
      <c r="A206" s="2" t="s">
        <v>1700</v>
      </c>
      <c r="B206" s="2" t="s">
        <v>1700</v>
      </c>
      <c r="C206" s="2" t="s">
        <v>987</v>
      </c>
      <c r="D206" s="2" t="s">
        <v>988</v>
      </c>
      <c r="E206" s="2">
        <v>155300.0</v>
      </c>
      <c r="F206" s="2">
        <v>65100.0</v>
      </c>
      <c r="G206" s="2">
        <v>1013.0</v>
      </c>
      <c r="H206" s="8" t="s">
        <v>1271</v>
      </c>
      <c r="I206" s="2" t="s">
        <v>1701</v>
      </c>
      <c r="K206" s="10">
        <v>45965.91824074074</v>
      </c>
      <c r="L206" s="2">
        <v>1.762293736E9</v>
      </c>
      <c r="M206" s="2" t="s">
        <v>47</v>
      </c>
      <c r="N206" s="2" t="s">
        <v>47</v>
      </c>
      <c r="O206" s="2" t="s">
        <v>47</v>
      </c>
      <c r="P206" s="2" t="s">
        <v>47</v>
      </c>
      <c r="Q206" s="2" t="s">
        <v>47</v>
      </c>
      <c r="R206" s="2" t="s">
        <v>48</v>
      </c>
      <c r="S206" s="2" t="s">
        <v>1702</v>
      </c>
      <c r="T206" s="8" t="s">
        <v>3016</v>
      </c>
      <c r="U206" s="8" t="s">
        <v>995</v>
      </c>
      <c r="V206" s="2" t="s">
        <v>988</v>
      </c>
      <c r="W206" s="8" t="s">
        <v>3018</v>
      </c>
      <c r="X206" s="8" t="s">
        <v>1711</v>
      </c>
      <c r="Z206" s="2">
        <v>6941.0</v>
      </c>
      <c r="AA206" s="2">
        <v>144.0</v>
      </c>
      <c r="AB206" s="2">
        <v>844.0</v>
      </c>
      <c r="AC206" s="2">
        <v>74500.0</v>
      </c>
      <c r="AD206" s="2" t="s">
        <v>1003</v>
      </c>
      <c r="AE206" s="2" t="s">
        <v>1003</v>
      </c>
      <c r="AH206" s="2" t="s">
        <v>144</v>
      </c>
      <c r="AL206" s="6">
        <f>IFERROR(__xludf.DUMMYFUNCTION("IF(
  TRIM(AD206)="""",
  0,
  COUNTA(
    SPLIT(
      REGEXREPLACE(AD206,""\s*,\s*"","",""),
      "",""
    )
  )
)"),3.0)</f>
        <v>3</v>
      </c>
    </row>
    <row r="207">
      <c r="A207" s="2" t="s">
        <v>3019</v>
      </c>
      <c r="B207" s="2" t="s">
        <v>3019</v>
      </c>
      <c r="C207" s="2" t="s">
        <v>3020</v>
      </c>
      <c r="D207" s="2" t="s">
        <v>3021</v>
      </c>
      <c r="E207" s="2">
        <v>1101.0</v>
      </c>
      <c r="F207" s="2">
        <v>170.0</v>
      </c>
      <c r="G207" s="2">
        <v>25.0</v>
      </c>
      <c r="H207" s="8" t="s">
        <v>3023</v>
      </c>
      <c r="I207" s="2" t="s">
        <v>3027</v>
      </c>
      <c r="J207" s="2" t="s">
        <v>279</v>
      </c>
      <c r="K207" s="10">
        <v>45898.95820601852</v>
      </c>
      <c r="L207" s="2">
        <v>1.756508389E9</v>
      </c>
      <c r="M207" s="2" t="s">
        <v>47</v>
      </c>
      <c r="N207" s="2" t="s">
        <v>47</v>
      </c>
      <c r="O207" s="2" t="s">
        <v>47</v>
      </c>
      <c r="P207" s="2" t="s">
        <v>47</v>
      </c>
      <c r="Q207" s="2" t="s">
        <v>47</v>
      </c>
      <c r="R207" s="2" t="s">
        <v>48</v>
      </c>
      <c r="S207" s="2" t="s">
        <v>3028</v>
      </c>
      <c r="T207" s="8" t="s">
        <v>3029</v>
      </c>
      <c r="U207" s="8" t="s">
        <v>3031</v>
      </c>
      <c r="V207" s="2" t="s">
        <v>3021</v>
      </c>
      <c r="W207" s="8" t="s">
        <v>3032</v>
      </c>
      <c r="X207" s="8" t="s">
        <v>3036</v>
      </c>
      <c r="Z207" s="2">
        <v>6893.0</v>
      </c>
      <c r="AA207" s="2">
        <v>298.0</v>
      </c>
      <c r="AB207" s="2">
        <v>997.0</v>
      </c>
      <c r="AC207" s="2">
        <v>106300.0</v>
      </c>
      <c r="AD207" s="2" t="s">
        <v>3037</v>
      </c>
      <c r="AE207" s="2" t="s">
        <v>3037</v>
      </c>
      <c r="AH207" s="2" t="s">
        <v>918</v>
      </c>
      <c r="AL207" s="6">
        <f>IFERROR(__xludf.DUMMYFUNCTION("IF(
  TRIM(AD207)="""",
  0,
  COUNTA(
    SPLIT(
      REGEXREPLACE(AD207,""\s*,\s*"","",""),
      "",""
    )
  )
)"),5.0)</f>
        <v>5</v>
      </c>
    </row>
    <row r="208">
      <c r="A208" s="2" t="s">
        <v>3038</v>
      </c>
      <c r="B208" s="2" t="s">
        <v>3038</v>
      </c>
      <c r="C208" s="2" t="s">
        <v>69</v>
      </c>
      <c r="D208" s="2" t="s">
        <v>70</v>
      </c>
      <c r="E208" s="2">
        <v>175800.0</v>
      </c>
      <c r="F208" s="2">
        <v>886.0</v>
      </c>
      <c r="G208" s="2">
        <v>767.0</v>
      </c>
      <c r="H208" s="8" t="s">
        <v>320</v>
      </c>
      <c r="I208" s="2" t="s">
        <v>3039</v>
      </c>
      <c r="K208" s="10">
        <v>45414.00894675926</v>
      </c>
      <c r="L208" s="2">
        <v>1.714608773E9</v>
      </c>
      <c r="M208" s="2" t="s">
        <v>47</v>
      </c>
      <c r="N208" s="2" t="s">
        <v>47</v>
      </c>
      <c r="O208" s="2" t="s">
        <v>47</v>
      </c>
      <c r="P208" s="2" t="s">
        <v>47</v>
      </c>
      <c r="Q208" s="2" t="s">
        <v>47</v>
      </c>
      <c r="R208" s="2" t="s">
        <v>48</v>
      </c>
      <c r="S208" s="2" t="s">
        <v>3041</v>
      </c>
      <c r="T208" s="8" t="s">
        <v>3042</v>
      </c>
      <c r="U208" s="8" t="s">
        <v>1010</v>
      </c>
      <c r="V208" s="2" t="s">
        <v>70</v>
      </c>
      <c r="W208" s="8" t="s">
        <v>3043</v>
      </c>
      <c r="X208" s="8" t="s">
        <v>3046</v>
      </c>
      <c r="Z208" s="2">
        <v>6769.0</v>
      </c>
      <c r="AA208" s="2">
        <v>105.0</v>
      </c>
      <c r="AB208" s="2">
        <v>1260.0</v>
      </c>
      <c r="AC208" s="2">
        <v>71300.0</v>
      </c>
      <c r="AD208" s="2" t="s">
        <v>3047</v>
      </c>
      <c r="AE208" s="2" t="s">
        <v>3047</v>
      </c>
      <c r="AH208" s="2" t="s">
        <v>1560</v>
      </c>
      <c r="AL208" s="6">
        <f>IFERROR(__xludf.DUMMYFUNCTION("IF(
  TRIM(AD208)="""",
  0,
  COUNTA(
    SPLIT(
      REGEXREPLACE(AD208,""\s*,\s*"","",""),
      "",""
    )
  )
)"),6.0)</f>
        <v>6</v>
      </c>
    </row>
    <row r="209">
      <c r="A209" s="2" t="s">
        <v>1644</v>
      </c>
      <c r="B209" s="2" t="s">
        <v>1644</v>
      </c>
      <c r="C209" s="2" t="s">
        <v>987</v>
      </c>
      <c r="D209" s="2" t="s">
        <v>988</v>
      </c>
      <c r="E209" s="2">
        <v>155300.0</v>
      </c>
      <c r="F209" s="2">
        <v>65100.0</v>
      </c>
      <c r="G209" s="2">
        <v>1013.0</v>
      </c>
      <c r="H209" s="8" t="s">
        <v>989</v>
      </c>
      <c r="I209" s="2" t="s">
        <v>1649</v>
      </c>
      <c r="K209" s="10">
        <v>45957.91888888889</v>
      </c>
      <c r="L209" s="2">
        <v>1.761602592E9</v>
      </c>
      <c r="M209" s="2" t="s">
        <v>47</v>
      </c>
      <c r="N209" s="2" t="s">
        <v>47</v>
      </c>
      <c r="O209" s="2" t="s">
        <v>47</v>
      </c>
      <c r="P209" s="2" t="s">
        <v>47</v>
      </c>
      <c r="Q209" s="2" t="s">
        <v>47</v>
      </c>
      <c r="R209" s="2" t="s">
        <v>48</v>
      </c>
      <c r="S209" s="2" t="s">
        <v>1650</v>
      </c>
      <c r="T209" s="8" t="s">
        <v>3048</v>
      </c>
      <c r="U209" s="8" t="s">
        <v>995</v>
      </c>
      <c r="V209" s="2" t="s">
        <v>988</v>
      </c>
      <c r="W209" s="8" t="s">
        <v>3049</v>
      </c>
      <c r="X209" s="8" t="s">
        <v>1657</v>
      </c>
      <c r="Z209" s="2">
        <v>6496.0</v>
      </c>
      <c r="AA209" s="2">
        <v>262.0</v>
      </c>
      <c r="AB209" s="2">
        <v>1275.0</v>
      </c>
      <c r="AC209" s="2">
        <v>94300.0</v>
      </c>
      <c r="AD209" s="2" t="s">
        <v>1003</v>
      </c>
      <c r="AE209" s="2" t="s">
        <v>1003</v>
      </c>
      <c r="AL209" s="6">
        <f>IFERROR(__xludf.DUMMYFUNCTION("IF(
  TRIM(AD209)="""",
  0,
  COUNTA(
    SPLIT(
      REGEXREPLACE(AD209,""\s*,\s*"","",""),
      "",""
    )
  )
)"),3.0)</f>
        <v>3</v>
      </c>
    </row>
    <row r="210">
      <c r="A210" s="2" t="s">
        <v>3052</v>
      </c>
      <c r="B210" s="2" t="s">
        <v>3052</v>
      </c>
      <c r="C210" s="2" t="s">
        <v>123</v>
      </c>
      <c r="D210" s="2" t="s">
        <v>124</v>
      </c>
      <c r="E210" s="2">
        <v>252600.0</v>
      </c>
      <c r="F210" s="2">
        <v>353.0</v>
      </c>
      <c r="G210" s="2">
        <v>674.0</v>
      </c>
      <c r="H210" s="8" t="s">
        <v>125</v>
      </c>
      <c r="I210" s="2" t="s">
        <v>3053</v>
      </c>
      <c r="J210" s="2" t="s">
        <v>3054</v>
      </c>
      <c r="K210" s="10">
        <v>45123.5531712963</v>
      </c>
      <c r="L210" s="2">
        <v>1.689513394E9</v>
      </c>
      <c r="M210" s="2" t="s">
        <v>47</v>
      </c>
      <c r="N210" s="2" t="s">
        <v>47</v>
      </c>
      <c r="O210" s="2" t="s">
        <v>47</v>
      </c>
      <c r="P210" s="2" t="s">
        <v>47</v>
      </c>
      <c r="Q210" s="2" t="s">
        <v>47</v>
      </c>
      <c r="R210" s="2" t="s">
        <v>48</v>
      </c>
      <c r="S210" s="2" t="s">
        <v>3055</v>
      </c>
      <c r="T210" s="8" t="s">
        <v>3056</v>
      </c>
      <c r="U210" s="8" t="s">
        <v>2048</v>
      </c>
      <c r="V210" s="2" t="s">
        <v>124</v>
      </c>
      <c r="W210" s="8" t="s">
        <v>3059</v>
      </c>
      <c r="X210" s="8" t="s">
        <v>3060</v>
      </c>
      <c r="Z210" s="2">
        <v>6480.0</v>
      </c>
      <c r="AA210" s="2">
        <v>170.0</v>
      </c>
      <c r="AB210" s="2">
        <v>977.0</v>
      </c>
      <c r="AC210" s="2">
        <v>80200.0</v>
      </c>
      <c r="AD210" s="2" t="s">
        <v>3064</v>
      </c>
      <c r="AE210" s="2" t="s">
        <v>3066</v>
      </c>
      <c r="AL210" s="6">
        <f>IFERROR(__xludf.DUMMYFUNCTION("IF(
  TRIM(AD210)="""",
  0,
  COUNTA(
    SPLIT(
      REGEXREPLACE(AD210,""\s*,\s*"","",""),
      "",""
    )
  )
)"),19.0)</f>
        <v>19</v>
      </c>
    </row>
    <row r="211">
      <c r="A211" s="2" t="s">
        <v>3067</v>
      </c>
      <c r="B211" s="2" t="s">
        <v>3067</v>
      </c>
      <c r="C211" s="2" t="s">
        <v>409</v>
      </c>
      <c r="D211" s="2" t="s">
        <v>410</v>
      </c>
      <c r="E211" s="2">
        <v>199700.0</v>
      </c>
      <c r="F211" s="2">
        <v>735.0</v>
      </c>
      <c r="G211" s="2">
        <v>145.0</v>
      </c>
      <c r="H211" s="8" t="s">
        <v>569</v>
      </c>
      <c r="I211" s="2" t="s">
        <v>3068</v>
      </c>
      <c r="J211" s="2" t="s">
        <v>3069</v>
      </c>
      <c r="K211" s="10">
        <v>45813.01121527778</v>
      </c>
      <c r="L211" s="2">
        <v>1.749082569E9</v>
      </c>
      <c r="M211" s="2" t="s">
        <v>47</v>
      </c>
      <c r="N211" s="2" t="s">
        <v>47</v>
      </c>
      <c r="O211" s="2" t="s">
        <v>47</v>
      </c>
      <c r="P211" s="2" t="s">
        <v>47</v>
      </c>
      <c r="Q211" s="2" t="s">
        <v>47</v>
      </c>
      <c r="R211" s="2" t="s">
        <v>48</v>
      </c>
      <c r="S211" s="2" t="s">
        <v>3070</v>
      </c>
      <c r="T211" s="8" t="s">
        <v>3071</v>
      </c>
      <c r="U211" s="8" t="s">
        <v>574</v>
      </c>
      <c r="V211" s="2" t="s">
        <v>410</v>
      </c>
      <c r="W211" s="8" t="s">
        <v>3077</v>
      </c>
      <c r="X211" s="8" t="s">
        <v>3081</v>
      </c>
      <c r="Z211" s="2">
        <v>6240.0</v>
      </c>
      <c r="AA211" s="2">
        <v>213.0</v>
      </c>
      <c r="AB211" s="2">
        <v>2188.0</v>
      </c>
      <c r="AC211" s="2">
        <v>97500.0</v>
      </c>
      <c r="AD211" s="2" t="s">
        <v>3083</v>
      </c>
      <c r="AE211" s="2" t="s">
        <v>3083</v>
      </c>
      <c r="AL211" s="6">
        <f>IFERROR(__xludf.DUMMYFUNCTION("IF(
  TRIM(AD211)="""",
  0,
  COUNTA(
    SPLIT(
      REGEXREPLACE(AD211,""\s*,\s*"","",""),
      "",""
    )
  )
)"),10.0)</f>
        <v>10</v>
      </c>
    </row>
    <row r="212">
      <c r="A212" s="2" t="s">
        <v>3084</v>
      </c>
      <c r="B212" s="2" t="s">
        <v>3084</v>
      </c>
      <c r="C212" s="2" t="s">
        <v>3085</v>
      </c>
      <c r="D212" s="2" t="s">
        <v>3086</v>
      </c>
      <c r="E212" s="2">
        <v>1036.0</v>
      </c>
      <c r="F212" s="2">
        <v>134.0</v>
      </c>
      <c r="G212" s="2">
        <v>62.0</v>
      </c>
      <c r="H212" s="8" t="s">
        <v>3088</v>
      </c>
      <c r="I212" s="2" t="s">
        <v>3089</v>
      </c>
      <c r="K212" s="10">
        <v>45964.74748842593</v>
      </c>
      <c r="L212" s="2">
        <v>1.762192583E9</v>
      </c>
      <c r="M212" s="2" t="s">
        <v>47</v>
      </c>
      <c r="N212" s="2" t="s">
        <v>47</v>
      </c>
      <c r="O212" s="2" t="s">
        <v>47</v>
      </c>
      <c r="P212" s="2" t="s">
        <v>47</v>
      </c>
      <c r="Q212" s="2" t="s">
        <v>47</v>
      </c>
      <c r="R212" s="2" t="s">
        <v>48</v>
      </c>
      <c r="S212" s="2" t="s">
        <v>3090</v>
      </c>
      <c r="T212" s="8" t="s">
        <v>3091</v>
      </c>
      <c r="U212" s="8" t="s">
        <v>3093</v>
      </c>
      <c r="V212" s="2" t="s">
        <v>3086</v>
      </c>
      <c r="W212" s="8" t="s">
        <v>3099</v>
      </c>
      <c r="X212" s="8" t="s">
        <v>3100</v>
      </c>
      <c r="Z212" s="2">
        <v>5462.0</v>
      </c>
      <c r="AA212" s="2">
        <v>251.0</v>
      </c>
      <c r="AB212" s="2">
        <v>640.0</v>
      </c>
      <c r="AC212" s="2">
        <v>64800.0</v>
      </c>
      <c r="AD212" s="2" t="s">
        <v>3101</v>
      </c>
      <c r="AE212" s="2" t="s">
        <v>3101</v>
      </c>
      <c r="AH212" s="2" t="s">
        <v>1560</v>
      </c>
      <c r="AL212" s="6">
        <f>IFERROR(__xludf.DUMMYFUNCTION("IF(
  TRIM(AD212)="""",
  0,
  COUNTA(
    SPLIT(
      REGEXREPLACE(AD212,""\s*,\s*"","",""),
      "",""
    )
  )
)"),5.0)</f>
        <v>5</v>
      </c>
    </row>
    <row r="213">
      <c r="A213" s="2" t="s">
        <v>3102</v>
      </c>
      <c r="B213" s="2" t="s">
        <v>3102</v>
      </c>
      <c r="C213" s="2" t="s">
        <v>3103</v>
      </c>
      <c r="D213" s="2" t="s">
        <v>3104</v>
      </c>
      <c r="E213" s="2">
        <v>14100.0</v>
      </c>
      <c r="F213" s="2">
        <v>33000.0</v>
      </c>
      <c r="G213" s="2">
        <v>242.0</v>
      </c>
      <c r="H213" s="8" t="s">
        <v>3105</v>
      </c>
      <c r="I213" s="2" t="s">
        <v>3106</v>
      </c>
      <c r="J213" s="2" t="s">
        <v>279</v>
      </c>
      <c r="K213" s="10">
        <v>45269.64542824074</v>
      </c>
      <c r="L213" s="2">
        <v>1.702135765E9</v>
      </c>
      <c r="M213" s="2" t="s">
        <v>47</v>
      </c>
      <c r="N213" s="2" t="s">
        <v>47</v>
      </c>
      <c r="O213" s="2" t="s">
        <v>47</v>
      </c>
      <c r="P213" s="2" t="s">
        <v>47</v>
      </c>
      <c r="Q213" s="2" t="s">
        <v>47</v>
      </c>
      <c r="R213" s="2" t="s">
        <v>3107</v>
      </c>
      <c r="S213" s="2" t="s">
        <v>3108</v>
      </c>
      <c r="U213" s="8" t="s">
        <v>3109</v>
      </c>
      <c r="V213" s="2" t="s">
        <v>3110</v>
      </c>
      <c r="W213" s="8" t="s">
        <v>3111</v>
      </c>
      <c r="X213" s="8" t="s">
        <v>3113</v>
      </c>
      <c r="Z213" s="2">
        <v>5349.0</v>
      </c>
      <c r="AA213" s="2">
        <v>149.0</v>
      </c>
      <c r="AB213" s="2">
        <v>2930.0</v>
      </c>
      <c r="AC213" s="2">
        <v>160200.0</v>
      </c>
      <c r="AD213" s="2" t="s">
        <v>3114</v>
      </c>
      <c r="AE213" s="2" t="s">
        <v>3114</v>
      </c>
      <c r="AL213" s="6">
        <f>IFERROR(__xludf.DUMMYFUNCTION("IF(
  TRIM(AD213)="""",
  0,
  COUNTA(
    SPLIT(
      REGEXREPLACE(AD213,""\s*,\s*"","",""),
      "",""
    )
  )
)"),7.0)</f>
        <v>7</v>
      </c>
    </row>
    <row r="214">
      <c r="A214" s="2" t="s">
        <v>1857</v>
      </c>
      <c r="B214" s="2" t="s">
        <v>1857</v>
      </c>
      <c r="C214" s="2" t="s">
        <v>69</v>
      </c>
      <c r="D214" s="2" t="s">
        <v>70</v>
      </c>
      <c r="E214" s="2">
        <v>175800.0</v>
      </c>
      <c r="F214" s="2">
        <v>886.0</v>
      </c>
      <c r="G214" s="2">
        <v>767.0</v>
      </c>
      <c r="H214" s="8" t="s">
        <v>320</v>
      </c>
      <c r="I214" s="2" t="s">
        <v>1858</v>
      </c>
      <c r="K214" s="10">
        <v>45729.98355324074</v>
      </c>
      <c r="L214" s="2">
        <v>1.741908979E9</v>
      </c>
      <c r="M214" s="2" t="s">
        <v>47</v>
      </c>
      <c r="N214" s="2" t="s">
        <v>47</v>
      </c>
      <c r="O214" s="2" t="s">
        <v>47</v>
      </c>
      <c r="P214" s="2" t="s">
        <v>47</v>
      </c>
      <c r="Q214" s="2" t="s">
        <v>47</v>
      </c>
      <c r="R214" s="2" t="s">
        <v>1860</v>
      </c>
      <c r="S214" s="2" t="s">
        <v>1861</v>
      </c>
      <c r="T214" s="8" t="s">
        <v>3117</v>
      </c>
      <c r="U214" s="8" t="s">
        <v>3119</v>
      </c>
      <c r="V214" s="2" t="s">
        <v>1872</v>
      </c>
      <c r="W214" s="8" t="s">
        <v>3121</v>
      </c>
      <c r="X214" s="8" t="s">
        <v>1886</v>
      </c>
      <c r="Z214" s="2">
        <v>5100.0</v>
      </c>
      <c r="AA214" s="2">
        <v>130.0</v>
      </c>
      <c r="AB214" s="2">
        <v>1216.0</v>
      </c>
      <c r="AC214" s="2">
        <v>75200.0</v>
      </c>
      <c r="AD214" s="2" t="s">
        <v>1888</v>
      </c>
      <c r="AE214" s="2" t="s">
        <v>1888</v>
      </c>
      <c r="AL214" s="6">
        <f>IFERROR(__xludf.DUMMYFUNCTION("IF(
  TRIM(AD214)="""",
  0,
  COUNTA(
    SPLIT(
      REGEXREPLACE(AD214,""\s*,\s*"","",""),
      "",""
    )
  )
)"),3.0)</f>
        <v>3</v>
      </c>
    </row>
    <row r="215">
      <c r="A215" s="2" t="s">
        <v>3123</v>
      </c>
      <c r="B215" s="2" t="s">
        <v>3123</v>
      </c>
      <c r="C215" s="2" t="s">
        <v>69</v>
      </c>
      <c r="D215" s="2" t="s">
        <v>70</v>
      </c>
      <c r="E215" s="2">
        <v>175800.0</v>
      </c>
      <c r="F215" s="2">
        <v>886.0</v>
      </c>
      <c r="G215" s="2">
        <v>767.0</v>
      </c>
      <c r="H215" s="8" t="s">
        <v>84</v>
      </c>
      <c r="I215" s="2" t="s">
        <v>3124</v>
      </c>
      <c r="K215" s="10">
        <v>45363.0466087963</v>
      </c>
      <c r="L215" s="2">
        <v>1.710205627E9</v>
      </c>
      <c r="M215" s="2" t="s">
        <v>47</v>
      </c>
      <c r="N215" s="2" t="s">
        <v>47</v>
      </c>
      <c r="O215" s="2" t="s">
        <v>47</v>
      </c>
      <c r="P215" s="2" t="s">
        <v>47</v>
      </c>
      <c r="Q215" s="2" t="s">
        <v>47</v>
      </c>
      <c r="R215" s="2" t="s">
        <v>48</v>
      </c>
      <c r="S215" s="2" t="s">
        <v>3126</v>
      </c>
      <c r="T215" s="8" t="s">
        <v>3127</v>
      </c>
      <c r="U215" s="8" t="s">
        <v>1010</v>
      </c>
      <c r="V215" s="2" t="s">
        <v>70</v>
      </c>
      <c r="W215" s="8" t="s">
        <v>3128</v>
      </c>
      <c r="X215" s="8" t="s">
        <v>3130</v>
      </c>
      <c r="Z215" s="2">
        <v>5099.0</v>
      </c>
      <c r="AA215" s="2">
        <v>40.0</v>
      </c>
      <c r="AB215" s="2">
        <v>414.0</v>
      </c>
      <c r="AC215" s="2">
        <v>44900.0</v>
      </c>
      <c r="AD215" s="2" t="s">
        <v>3131</v>
      </c>
      <c r="AE215" s="2" t="s">
        <v>3131</v>
      </c>
      <c r="AL215" s="6">
        <f>IFERROR(__xludf.DUMMYFUNCTION("IF(
  TRIM(AD215)="""",
  0,
  COUNTA(
    SPLIT(
      REGEXREPLACE(AD215,""\s*,\s*"","",""),
      "",""
    )
  )
)"),7.0)</f>
        <v>7</v>
      </c>
    </row>
    <row r="216">
      <c r="A216" s="2" t="s">
        <v>3132</v>
      </c>
      <c r="B216" s="2" t="s">
        <v>3132</v>
      </c>
      <c r="C216" s="2" t="s">
        <v>69</v>
      </c>
      <c r="D216" s="2" t="s">
        <v>70</v>
      </c>
      <c r="E216" s="2">
        <v>175800.0</v>
      </c>
      <c r="F216" s="2">
        <v>886.0</v>
      </c>
      <c r="G216" s="2">
        <v>767.0</v>
      </c>
      <c r="H216" s="8" t="s">
        <v>84</v>
      </c>
      <c r="I216" s="2" t="s">
        <v>3133</v>
      </c>
      <c r="K216" s="10">
        <v>45358.038564814815</v>
      </c>
      <c r="L216" s="2">
        <v>1.709772932E9</v>
      </c>
      <c r="M216" s="2" t="s">
        <v>47</v>
      </c>
      <c r="N216" s="2" t="s">
        <v>47</v>
      </c>
      <c r="O216" s="2" t="s">
        <v>47</v>
      </c>
      <c r="P216" s="2" t="s">
        <v>47</v>
      </c>
      <c r="Q216" s="2" t="s">
        <v>47</v>
      </c>
      <c r="R216" s="2" t="s">
        <v>48</v>
      </c>
      <c r="S216" s="2" t="s">
        <v>3135</v>
      </c>
      <c r="T216" s="8" t="s">
        <v>3136</v>
      </c>
      <c r="U216" s="8" t="s">
        <v>1052</v>
      </c>
      <c r="V216" s="2" t="s">
        <v>70</v>
      </c>
      <c r="W216" s="8" t="s">
        <v>3138</v>
      </c>
      <c r="X216" s="8" t="s">
        <v>3140</v>
      </c>
      <c r="Z216" s="2">
        <v>5037.0</v>
      </c>
      <c r="AA216" s="2">
        <v>100.0</v>
      </c>
      <c r="AB216" s="2">
        <v>190.0</v>
      </c>
      <c r="AC216" s="2">
        <v>40800.0</v>
      </c>
      <c r="AD216" s="2" t="s">
        <v>3141</v>
      </c>
      <c r="AE216" s="2" t="s">
        <v>3141</v>
      </c>
      <c r="AL216" s="6">
        <f>IFERROR(__xludf.DUMMYFUNCTION("IF(
  TRIM(AD216)="""",
  0,
  COUNTA(
    SPLIT(
      REGEXREPLACE(AD216,""\s*,\s*"","",""),
      "",""
    )
  )
)"),5.0)</f>
        <v>5</v>
      </c>
    </row>
    <row r="217">
      <c r="A217" s="2" t="s">
        <v>3142</v>
      </c>
      <c r="B217" s="2" t="s">
        <v>3142</v>
      </c>
      <c r="C217" s="2" t="s">
        <v>276</v>
      </c>
      <c r="D217" s="2" t="s">
        <v>277</v>
      </c>
      <c r="E217" s="2">
        <v>342900.0</v>
      </c>
      <c r="F217" s="2">
        <v>339.0</v>
      </c>
      <c r="G217" s="2">
        <v>487.0</v>
      </c>
      <c r="H217" s="8" t="s">
        <v>1061</v>
      </c>
      <c r="I217" s="2" t="s">
        <v>3143</v>
      </c>
      <c r="J217" s="2" t="s">
        <v>3144</v>
      </c>
      <c r="K217" s="10">
        <v>45716.024560185186</v>
      </c>
      <c r="L217" s="2">
        <v>1.740702922E9</v>
      </c>
      <c r="M217" s="2" t="s">
        <v>47</v>
      </c>
      <c r="N217" s="2" t="s">
        <v>47</v>
      </c>
      <c r="O217" s="2" t="s">
        <v>47</v>
      </c>
      <c r="P217" s="2" t="s">
        <v>47</v>
      </c>
      <c r="Q217" s="2" t="s">
        <v>47</v>
      </c>
      <c r="R217" s="2" t="s">
        <v>48</v>
      </c>
      <c r="S217" s="2" t="s">
        <v>3145</v>
      </c>
      <c r="T217" s="8" t="s">
        <v>3146</v>
      </c>
      <c r="U217" s="8" t="s">
        <v>290</v>
      </c>
      <c r="V217" s="2" t="s">
        <v>277</v>
      </c>
      <c r="W217" s="8" t="s">
        <v>3151</v>
      </c>
      <c r="X217" s="8" t="s">
        <v>3156</v>
      </c>
      <c r="Z217" s="2">
        <v>4966.0</v>
      </c>
      <c r="AA217" s="2">
        <v>131.0</v>
      </c>
      <c r="AB217" s="2">
        <v>480.0</v>
      </c>
      <c r="AC217" s="2">
        <v>51300.0</v>
      </c>
      <c r="AD217" s="2" t="s">
        <v>3157</v>
      </c>
      <c r="AE217" s="2" t="s">
        <v>3158</v>
      </c>
      <c r="AL217" s="6">
        <f>IFERROR(__xludf.DUMMYFUNCTION("IF(
  TRIM(AD217)="""",
  0,
  COUNTA(
    SPLIT(
      REGEXREPLACE(AD217,""\s*,\s*"","",""),
      "",""
    )
  )
)"),8.0)</f>
        <v>8</v>
      </c>
    </row>
    <row r="218">
      <c r="A218" s="2" t="s">
        <v>2711</v>
      </c>
      <c r="B218" s="2" t="s">
        <v>2711</v>
      </c>
      <c r="C218" s="2" t="s">
        <v>1630</v>
      </c>
      <c r="D218" s="2" t="s">
        <v>1631</v>
      </c>
      <c r="E218" s="2">
        <v>17300.0</v>
      </c>
      <c r="F218" s="2">
        <v>8466.0</v>
      </c>
      <c r="G218" s="2">
        <v>290.0</v>
      </c>
      <c r="H218" s="8" t="s">
        <v>3159</v>
      </c>
      <c r="I218" s="2" t="s">
        <v>2635</v>
      </c>
      <c r="J218" s="2" t="s">
        <v>2712</v>
      </c>
      <c r="K218" s="10">
        <v>45956.532430555555</v>
      </c>
      <c r="L218" s="2">
        <v>1.761482802E9</v>
      </c>
      <c r="M218" s="2" t="s">
        <v>47</v>
      </c>
      <c r="N218" s="2" t="s">
        <v>47</v>
      </c>
      <c r="O218" s="2" t="s">
        <v>47</v>
      </c>
      <c r="P218" s="2" t="s">
        <v>47</v>
      </c>
      <c r="Q218" s="2" t="s">
        <v>47</v>
      </c>
      <c r="R218" s="2" t="s">
        <v>48</v>
      </c>
      <c r="S218" s="2" t="s">
        <v>2713</v>
      </c>
      <c r="T218" s="8" t="s">
        <v>3161</v>
      </c>
      <c r="U218" s="8" t="s">
        <v>2931</v>
      </c>
      <c r="V218" s="2" t="s">
        <v>1631</v>
      </c>
      <c r="W218" s="8" t="s">
        <v>3163</v>
      </c>
      <c r="X218" s="8" t="s">
        <v>2719</v>
      </c>
      <c r="Z218" s="2">
        <v>4858.0</v>
      </c>
      <c r="AA218" s="2">
        <v>181.0</v>
      </c>
      <c r="AB218" s="2">
        <v>1789.0</v>
      </c>
      <c r="AC218" s="2">
        <v>127700.0</v>
      </c>
      <c r="AD218" s="2" t="s">
        <v>2648</v>
      </c>
      <c r="AE218" s="2" t="s">
        <v>2648</v>
      </c>
      <c r="AL218" s="6">
        <f>IFERROR(__xludf.DUMMYFUNCTION("IF(
  TRIM(AD218)="""",
  0,
  COUNTA(
    SPLIT(
      REGEXREPLACE(AD218,""\s*,\s*"","",""),
      "",""
    )
  )
)"),4.0)</f>
        <v>4</v>
      </c>
    </row>
    <row r="219">
      <c r="A219" s="2" t="s">
        <v>3168</v>
      </c>
      <c r="B219" s="2" t="s">
        <v>3168</v>
      </c>
      <c r="C219" s="2" t="s">
        <v>3169</v>
      </c>
      <c r="D219" s="2" t="s">
        <v>3170</v>
      </c>
      <c r="E219" s="2">
        <v>56100.0</v>
      </c>
      <c r="F219" s="2">
        <v>181.0</v>
      </c>
      <c r="G219" s="2">
        <v>108.0</v>
      </c>
      <c r="H219" s="8" t="s">
        <v>3171</v>
      </c>
      <c r="I219" s="2" t="s">
        <v>3172</v>
      </c>
      <c r="J219" s="2" t="s">
        <v>3173</v>
      </c>
      <c r="K219" s="10">
        <v>44981.109502314815</v>
      </c>
      <c r="L219" s="2">
        <v>1.677206261E9</v>
      </c>
      <c r="M219" s="2" t="s">
        <v>47</v>
      </c>
      <c r="N219" s="2" t="s">
        <v>47</v>
      </c>
      <c r="O219" s="2" t="s">
        <v>47</v>
      </c>
      <c r="P219" s="2" t="s">
        <v>47</v>
      </c>
      <c r="Q219" s="2" t="s">
        <v>47</v>
      </c>
      <c r="R219" s="2" t="s">
        <v>3174</v>
      </c>
      <c r="S219" s="2" t="s">
        <v>3175</v>
      </c>
      <c r="T219" s="8" t="s">
        <v>3176</v>
      </c>
      <c r="U219" s="8" t="s">
        <v>3178</v>
      </c>
      <c r="V219" s="2" t="s">
        <v>3179</v>
      </c>
      <c r="W219" s="8" t="s">
        <v>3180</v>
      </c>
      <c r="X219" s="8" t="s">
        <v>3181</v>
      </c>
      <c r="Z219" s="2">
        <v>4818.0</v>
      </c>
      <c r="AA219" s="2">
        <v>95.0</v>
      </c>
      <c r="AB219" s="2">
        <v>1860.0</v>
      </c>
      <c r="AC219" s="2">
        <v>160200.0</v>
      </c>
      <c r="AD219" s="2" t="s">
        <v>3182</v>
      </c>
      <c r="AE219" s="2" t="s">
        <v>3182</v>
      </c>
      <c r="AL219" s="6">
        <f>IFERROR(__xludf.DUMMYFUNCTION("IF(
  TRIM(AD219)="""",
  0,
  COUNTA(
    SPLIT(
      REGEXREPLACE(AD219,""\s*,\s*"","",""),
      "",""
    )
  )
)"),7.0)</f>
        <v>7</v>
      </c>
    </row>
    <row r="220">
      <c r="A220" s="2" t="s">
        <v>3183</v>
      </c>
      <c r="B220" s="2" t="s">
        <v>3183</v>
      </c>
      <c r="C220" s="2" t="s">
        <v>497</v>
      </c>
      <c r="D220" s="2" t="s">
        <v>497</v>
      </c>
      <c r="E220" s="2">
        <v>210400.0</v>
      </c>
      <c r="F220" s="2">
        <v>1015.0</v>
      </c>
      <c r="G220" s="2">
        <v>461.0</v>
      </c>
      <c r="H220" s="8" t="s">
        <v>747</v>
      </c>
      <c r="I220" s="2" t="s">
        <v>3184</v>
      </c>
      <c r="J220" s="2" t="s">
        <v>3185</v>
      </c>
      <c r="K220" s="10">
        <v>45178.58429398148</v>
      </c>
      <c r="L220" s="2">
        <v>1.694268083E9</v>
      </c>
      <c r="M220" s="2" t="s">
        <v>47</v>
      </c>
      <c r="N220" s="2" t="s">
        <v>47</v>
      </c>
      <c r="O220" s="2" t="s">
        <v>47</v>
      </c>
      <c r="P220" s="2" t="s">
        <v>47</v>
      </c>
      <c r="Q220" s="2" t="s">
        <v>47</v>
      </c>
      <c r="R220" s="2" t="s">
        <v>3186</v>
      </c>
      <c r="S220" s="2" t="s">
        <v>3187</v>
      </c>
      <c r="T220" s="8" t="s">
        <v>3189</v>
      </c>
      <c r="U220" s="8" t="s">
        <v>3190</v>
      </c>
      <c r="V220" s="2" t="s">
        <v>3191</v>
      </c>
      <c r="W220" s="8" t="s">
        <v>3192</v>
      </c>
      <c r="X220" s="8" t="s">
        <v>3194</v>
      </c>
      <c r="Z220" s="2">
        <v>4786.0</v>
      </c>
      <c r="AA220" s="2">
        <v>76.0</v>
      </c>
      <c r="AB220" s="2">
        <v>438.0</v>
      </c>
      <c r="AC220" s="2">
        <v>58500.0</v>
      </c>
      <c r="AD220" s="2" t="s">
        <v>3195</v>
      </c>
      <c r="AE220" s="2" t="s">
        <v>3195</v>
      </c>
      <c r="AL220" s="6">
        <f>IFERROR(__xludf.DUMMYFUNCTION("IF(
  TRIM(AD220)="""",
  0,
  COUNTA(
    SPLIT(
      REGEXREPLACE(AD220,""\s*,\s*"","",""),
      "",""
    )
  )
)"),8.0)</f>
        <v>8</v>
      </c>
    </row>
    <row r="221">
      <c r="A221" s="2" t="s">
        <v>3196</v>
      </c>
      <c r="B221" s="2" t="s">
        <v>3196</v>
      </c>
      <c r="C221" s="2" t="s">
        <v>1124</v>
      </c>
      <c r="D221" s="2" t="s">
        <v>1125</v>
      </c>
      <c r="E221" s="2">
        <v>733300.0</v>
      </c>
      <c r="F221" s="2">
        <v>3309.0</v>
      </c>
      <c r="G221" s="2">
        <v>1366.0</v>
      </c>
      <c r="H221" s="8" t="s">
        <v>1126</v>
      </c>
      <c r="I221" s="2" t="s">
        <v>3197</v>
      </c>
      <c r="K221" s="10">
        <v>45084.629537037035</v>
      </c>
      <c r="L221" s="2">
        <v>1.686150392E9</v>
      </c>
      <c r="M221" s="2" t="s">
        <v>47</v>
      </c>
      <c r="N221" s="2" t="s">
        <v>47</v>
      </c>
      <c r="O221" s="2" t="s">
        <v>47</v>
      </c>
      <c r="P221" s="2" t="s">
        <v>47</v>
      </c>
      <c r="Q221" s="2" t="s">
        <v>47</v>
      </c>
      <c r="R221" s="2" t="s">
        <v>48</v>
      </c>
      <c r="S221" s="2" t="s">
        <v>3198</v>
      </c>
      <c r="T221" s="8" t="s">
        <v>3199</v>
      </c>
      <c r="U221" s="8" t="s">
        <v>1132</v>
      </c>
      <c r="V221" s="2" t="s">
        <v>1125</v>
      </c>
      <c r="W221" s="8" t="s">
        <v>3201</v>
      </c>
      <c r="X221" s="8" t="s">
        <v>3203</v>
      </c>
      <c r="Z221" s="2">
        <v>4756.0</v>
      </c>
      <c r="AA221" s="2">
        <v>66.0</v>
      </c>
      <c r="AB221" s="2">
        <v>638.0</v>
      </c>
      <c r="AC221" s="2">
        <v>43800.0</v>
      </c>
      <c r="AD221" s="2" t="s">
        <v>1143</v>
      </c>
      <c r="AE221" s="2" t="s">
        <v>1143</v>
      </c>
      <c r="AL221" s="6">
        <f>IFERROR(__xludf.DUMMYFUNCTION("IF(
  TRIM(AD221)="""",
  0,
  COUNTA(
    SPLIT(
      REGEXREPLACE(AD221,""\s*,\s*"","",""),
      "",""
    )
  )
)"),5.0)</f>
        <v>5</v>
      </c>
    </row>
    <row r="222">
      <c r="A222" s="2" t="s">
        <v>1889</v>
      </c>
      <c r="B222" s="2" t="s">
        <v>1889</v>
      </c>
      <c r="C222" s="2" t="s">
        <v>1206</v>
      </c>
      <c r="D222" s="2" t="s">
        <v>1207</v>
      </c>
      <c r="E222" s="2">
        <v>34500.0</v>
      </c>
      <c r="F222" s="2">
        <v>3116.0</v>
      </c>
      <c r="G222" s="2">
        <v>148.0</v>
      </c>
      <c r="H222" s="8" t="s">
        <v>1534</v>
      </c>
      <c r="I222" s="2" t="s">
        <v>1896</v>
      </c>
      <c r="K222" s="10">
        <v>45704.61350694444</v>
      </c>
      <c r="L222" s="2">
        <v>1.739717007E9</v>
      </c>
      <c r="M222" s="2" t="s">
        <v>47</v>
      </c>
      <c r="N222" s="2" t="s">
        <v>47</v>
      </c>
      <c r="O222" s="2" t="s">
        <v>1898</v>
      </c>
      <c r="P222" s="2" t="s">
        <v>47</v>
      </c>
      <c r="Q222" s="2" t="s">
        <v>47</v>
      </c>
      <c r="R222" s="2" t="s">
        <v>48</v>
      </c>
      <c r="S222" s="2" t="s">
        <v>1900</v>
      </c>
      <c r="T222" s="8" t="s">
        <v>3204</v>
      </c>
      <c r="U222" s="8" t="s">
        <v>1539</v>
      </c>
      <c r="V222" s="2" t="s">
        <v>1207</v>
      </c>
      <c r="W222" s="8" t="s">
        <v>3206</v>
      </c>
      <c r="X222" s="8" t="s">
        <v>1911</v>
      </c>
      <c r="Z222" s="2">
        <v>4752.0</v>
      </c>
      <c r="AA222" s="2">
        <v>291.0</v>
      </c>
      <c r="AB222" s="2">
        <v>1226.0</v>
      </c>
      <c r="AC222" s="2">
        <v>278100.0</v>
      </c>
      <c r="AD222" s="2" t="s">
        <v>1912</v>
      </c>
      <c r="AE222" s="2" t="s">
        <v>1912</v>
      </c>
      <c r="AH222" s="2" t="s">
        <v>97</v>
      </c>
      <c r="AL222" s="6">
        <f>IFERROR(__xludf.DUMMYFUNCTION("IF(
  TRIM(AD222)="""",
  0,
  COUNTA(
    SPLIT(
      REGEXREPLACE(AD222,""\s*,\s*"","",""),
      "",""
    )
  )
)"),3.0)</f>
        <v>3</v>
      </c>
    </row>
    <row r="223">
      <c r="A223" s="2" t="s">
        <v>3209</v>
      </c>
      <c r="B223" s="2" t="s">
        <v>3209</v>
      </c>
      <c r="C223" s="2" t="s">
        <v>69</v>
      </c>
      <c r="D223" s="2" t="s">
        <v>70</v>
      </c>
      <c r="E223" s="2">
        <v>175800.0</v>
      </c>
      <c r="F223" s="2">
        <v>886.0</v>
      </c>
      <c r="G223" s="2">
        <v>767.0</v>
      </c>
      <c r="H223" s="8" t="s">
        <v>320</v>
      </c>
      <c r="I223" s="2" t="s">
        <v>3210</v>
      </c>
      <c r="K223" s="10">
        <v>45545.05520833333</v>
      </c>
      <c r="L223" s="2">
        <v>1.72593117E9</v>
      </c>
      <c r="M223" s="2" t="s">
        <v>47</v>
      </c>
      <c r="N223" s="2" t="s">
        <v>47</v>
      </c>
      <c r="O223" s="2" t="s">
        <v>47</v>
      </c>
      <c r="P223" s="2" t="s">
        <v>47</v>
      </c>
      <c r="Q223" s="2" t="s">
        <v>47</v>
      </c>
      <c r="R223" s="2" t="s">
        <v>3211</v>
      </c>
      <c r="S223" s="2" t="s">
        <v>3212</v>
      </c>
      <c r="T223" s="8" t="s">
        <v>3213</v>
      </c>
      <c r="U223" s="8" t="s">
        <v>3215</v>
      </c>
      <c r="V223" s="2" t="s">
        <v>3216</v>
      </c>
      <c r="W223" s="8" t="s">
        <v>3217</v>
      </c>
      <c r="X223" s="8" t="s">
        <v>3218</v>
      </c>
      <c r="Z223" s="2">
        <v>4709.0</v>
      </c>
      <c r="AA223" s="2">
        <v>89.0</v>
      </c>
      <c r="AB223" s="2">
        <v>771.0</v>
      </c>
      <c r="AC223" s="2">
        <v>51800.0</v>
      </c>
      <c r="AD223" s="2" t="s">
        <v>3219</v>
      </c>
      <c r="AE223" s="2" t="s">
        <v>3219</v>
      </c>
      <c r="AL223" s="6">
        <f>IFERROR(__xludf.DUMMYFUNCTION("IF(
  TRIM(AD223)="""",
  0,
  COUNTA(
    SPLIT(
      REGEXREPLACE(AD223,""\s*,\s*"","",""),
      "",""
    )
  )
)"),5.0)</f>
        <v>5</v>
      </c>
    </row>
    <row r="224">
      <c r="A224" s="2" t="s">
        <v>3221</v>
      </c>
      <c r="B224" s="2" t="s">
        <v>3221</v>
      </c>
      <c r="C224" s="2" t="s">
        <v>3222</v>
      </c>
      <c r="D224" s="2" t="s">
        <v>3223</v>
      </c>
      <c r="E224" s="2">
        <v>11700.0</v>
      </c>
      <c r="F224" s="2">
        <v>12300.0</v>
      </c>
      <c r="G224" s="2">
        <v>519.0</v>
      </c>
      <c r="H224" s="8" t="s">
        <v>3224</v>
      </c>
      <c r="I224" s="2" t="s">
        <v>3225</v>
      </c>
      <c r="K224" s="10">
        <v>45767.94519675926</v>
      </c>
      <c r="L224" s="2">
        <v>1.745188865E9</v>
      </c>
      <c r="M224" s="2" t="s">
        <v>47</v>
      </c>
      <c r="N224" s="2" t="s">
        <v>47</v>
      </c>
      <c r="O224" s="2" t="s">
        <v>47</v>
      </c>
      <c r="P224" s="2" t="s">
        <v>47</v>
      </c>
      <c r="Q224" s="2" t="s">
        <v>47</v>
      </c>
      <c r="R224" s="2" t="s">
        <v>3226</v>
      </c>
      <c r="S224" s="2" t="s">
        <v>3227</v>
      </c>
      <c r="T224" s="8" t="s">
        <v>3228</v>
      </c>
      <c r="U224" s="8" t="s">
        <v>3230</v>
      </c>
      <c r="V224" s="2" t="s">
        <v>3231</v>
      </c>
      <c r="W224" s="8" t="s">
        <v>3232</v>
      </c>
      <c r="X224" s="8" t="s">
        <v>3233</v>
      </c>
      <c r="Z224" s="2">
        <v>4684.0</v>
      </c>
      <c r="AA224" s="2">
        <v>150.0</v>
      </c>
      <c r="AB224" s="2">
        <v>759.0</v>
      </c>
      <c r="AC224" s="2">
        <v>64400.0</v>
      </c>
      <c r="AD224" s="2" t="s">
        <v>3235</v>
      </c>
      <c r="AE224" s="2" t="s">
        <v>3235</v>
      </c>
      <c r="AL224" s="6">
        <f>IFERROR(__xludf.DUMMYFUNCTION("IF(
  TRIM(AD224)="""",
  0,
  COUNTA(
    SPLIT(
      REGEXREPLACE(AD224,""\s*,\s*"","",""),
      "",""
    )
  )
)"),9.0)</f>
        <v>9</v>
      </c>
    </row>
    <row r="225">
      <c r="A225" s="2" t="s">
        <v>2738</v>
      </c>
      <c r="B225" s="2" t="s">
        <v>2738</v>
      </c>
      <c r="C225" s="2" t="s">
        <v>1630</v>
      </c>
      <c r="D225" s="2" t="s">
        <v>1631</v>
      </c>
      <c r="E225" s="2">
        <v>17300.0</v>
      </c>
      <c r="F225" s="2">
        <v>8466.0</v>
      </c>
      <c r="G225" s="2">
        <v>290.0</v>
      </c>
      <c r="H225" s="8" t="s">
        <v>3159</v>
      </c>
      <c r="I225" s="2" t="s">
        <v>2739</v>
      </c>
      <c r="K225" s="10">
        <v>45951.92696759259</v>
      </c>
      <c r="L225" s="2">
        <v>1.76108489E9</v>
      </c>
      <c r="M225" s="2" t="s">
        <v>47</v>
      </c>
      <c r="N225" s="2" t="s">
        <v>47</v>
      </c>
      <c r="O225" s="2" t="s">
        <v>47</v>
      </c>
      <c r="P225" s="2" t="s">
        <v>47</v>
      </c>
      <c r="Q225" s="2" t="s">
        <v>47</v>
      </c>
      <c r="R225" s="2" t="s">
        <v>48</v>
      </c>
      <c r="S225" s="2" t="s">
        <v>2740</v>
      </c>
      <c r="T225" s="8" t="s">
        <v>3236</v>
      </c>
      <c r="U225" s="8" t="s">
        <v>3238</v>
      </c>
      <c r="V225" s="2" t="s">
        <v>1631</v>
      </c>
      <c r="W225" s="8" t="s">
        <v>3240</v>
      </c>
      <c r="X225" s="8" t="s">
        <v>2746</v>
      </c>
      <c r="Z225" s="2">
        <v>4643.0</v>
      </c>
      <c r="AA225" s="2">
        <v>98.0</v>
      </c>
      <c r="AB225" s="2">
        <v>1950.0</v>
      </c>
      <c r="AC225" s="2">
        <v>69900.0</v>
      </c>
      <c r="AD225" s="2" t="s">
        <v>2648</v>
      </c>
      <c r="AE225" s="2" t="s">
        <v>2648</v>
      </c>
      <c r="AL225" s="6">
        <f>IFERROR(__xludf.DUMMYFUNCTION("IF(
  TRIM(AD225)="""",
  0,
  COUNTA(
    SPLIT(
      REGEXREPLACE(AD225,""\s*,\s*"","",""),
      "",""
    )
  )
)"),4.0)</f>
        <v>4</v>
      </c>
    </row>
    <row r="226">
      <c r="A226" s="2" t="s">
        <v>3242</v>
      </c>
      <c r="B226" s="2" t="s">
        <v>3242</v>
      </c>
      <c r="C226" s="2" t="s">
        <v>276</v>
      </c>
      <c r="D226" s="2" t="s">
        <v>277</v>
      </c>
      <c r="E226" s="2">
        <v>342900.0</v>
      </c>
      <c r="F226" s="2">
        <v>339.0</v>
      </c>
      <c r="G226" s="2">
        <v>487.0</v>
      </c>
      <c r="H226" s="8" t="s">
        <v>278</v>
      </c>
      <c r="I226" s="2" t="s">
        <v>3243</v>
      </c>
      <c r="J226" s="2" t="s">
        <v>3244</v>
      </c>
      <c r="K226" s="10">
        <v>45660.03790509259</v>
      </c>
      <c r="L226" s="2">
        <v>1.735865675E9</v>
      </c>
      <c r="M226" s="2" t="s">
        <v>47</v>
      </c>
      <c r="N226" s="2" t="s">
        <v>47</v>
      </c>
      <c r="O226" s="2" t="s">
        <v>47</v>
      </c>
      <c r="P226" s="2" t="s">
        <v>47</v>
      </c>
      <c r="Q226" s="2" t="s">
        <v>47</v>
      </c>
      <c r="R226" s="2" t="s">
        <v>48</v>
      </c>
      <c r="S226" s="2" t="s">
        <v>3245</v>
      </c>
      <c r="T226" s="8" t="s">
        <v>3246</v>
      </c>
      <c r="U226" s="8" t="s">
        <v>538</v>
      </c>
      <c r="V226" s="2" t="s">
        <v>277</v>
      </c>
      <c r="W226" s="8" t="s">
        <v>3248</v>
      </c>
      <c r="X226" s="8" t="s">
        <v>3250</v>
      </c>
      <c r="Z226" s="2">
        <v>4574.0</v>
      </c>
      <c r="AA226" s="2">
        <v>83.0</v>
      </c>
      <c r="AB226" s="2">
        <v>787.0</v>
      </c>
      <c r="AC226" s="2">
        <v>67600.0</v>
      </c>
      <c r="AD226" s="2" t="s">
        <v>3252</v>
      </c>
      <c r="AE226" s="2" t="s">
        <v>3252</v>
      </c>
      <c r="AL226" s="6">
        <f>IFERROR(__xludf.DUMMYFUNCTION("IF(
  TRIM(AD226)="""",
  0,
  COUNTA(
    SPLIT(
      REGEXREPLACE(AD226,""\s*,\s*"","",""),
      "",""
    )
  )
)"),9.0)</f>
        <v>9</v>
      </c>
    </row>
    <row r="227">
      <c r="A227" s="2" t="s">
        <v>2757</v>
      </c>
      <c r="B227" s="2" t="s">
        <v>2757</v>
      </c>
      <c r="C227" s="2" t="s">
        <v>69</v>
      </c>
      <c r="D227" s="2" t="s">
        <v>70</v>
      </c>
      <c r="E227" s="2">
        <v>175800.0</v>
      </c>
      <c r="F227" s="2">
        <v>886.0</v>
      </c>
      <c r="G227" s="2">
        <v>767.0</v>
      </c>
      <c r="H227" s="8" t="s">
        <v>320</v>
      </c>
      <c r="I227" s="2" t="s">
        <v>2758</v>
      </c>
      <c r="K227" s="10">
        <v>45700.01912037037</v>
      </c>
      <c r="L227" s="2">
        <v>1.739320052E9</v>
      </c>
      <c r="M227" s="2" t="s">
        <v>47</v>
      </c>
      <c r="N227" s="2" t="s">
        <v>47</v>
      </c>
      <c r="O227" s="2" t="s">
        <v>47</v>
      </c>
      <c r="P227" s="2" t="s">
        <v>47</v>
      </c>
      <c r="Q227" s="2" t="s">
        <v>47</v>
      </c>
      <c r="R227" s="2" t="s">
        <v>48</v>
      </c>
      <c r="S227" s="2" t="s">
        <v>2759</v>
      </c>
      <c r="T227" s="8" t="s">
        <v>3253</v>
      </c>
      <c r="U227" s="8" t="s">
        <v>1052</v>
      </c>
      <c r="V227" s="2" t="s">
        <v>70</v>
      </c>
      <c r="W227" s="8" t="s">
        <v>3255</v>
      </c>
      <c r="X227" s="8" t="s">
        <v>2770</v>
      </c>
      <c r="Z227" s="2">
        <v>4389.0</v>
      </c>
      <c r="AA227" s="2">
        <v>60.0</v>
      </c>
      <c r="AB227" s="2">
        <v>535.0</v>
      </c>
      <c r="AC227" s="2">
        <v>48500.0</v>
      </c>
      <c r="AD227" s="2" t="s">
        <v>2771</v>
      </c>
      <c r="AE227" s="2" t="s">
        <v>2771</v>
      </c>
      <c r="AL227" s="6">
        <f>IFERROR(__xludf.DUMMYFUNCTION("IF(
  TRIM(AD227)="""",
  0,
  COUNTA(
    SPLIT(
      REGEXREPLACE(AD227,""\s*,\s*"","",""),
      "",""
    )
  )
)"),4.0)</f>
        <v>4</v>
      </c>
    </row>
    <row r="228">
      <c r="A228" s="2" t="s">
        <v>3257</v>
      </c>
      <c r="B228" s="2" t="s">
        <v>3257</v>
      </c>
      <c r="C228" s="2" t="s">
        <v>3258</v>
      </c>
      <c r="D228" s="2" t="s">
        <v>3259</v>
      </c>
      <c r="E228" s="2">
        <v>25500.0</v>
      </c>
      <c r="F228" s="2">
        <v>654.0</v>
      </c>
      <c r="G228" s="2">
        <v>414.0</v>
      </c>
      <c r="H228" s="8" t="s">
        <v>3260</v>
      </c>
      <c r="I228" s="2" t="s">
        <v>3262</v>
      </c>
      <c r="K228" s="10">
        <v>45707.00570601852</v>
      </c>
      <c r="L228" s="2">
        <v>1.739923693E9</v>
      </c>
      <c r="M228" s="2" t="s">
        <v>47</v>
      </c>
      <c r="N228" s="2" t="s">
        <v>47</v>
      </c>
      <c r="O228" s="2" t="s">
        <v>47</v>
      </c>
      <c r="P228" s="2" t="s">
        <v>47</v>
      </c>
      <c r="Q228" s="2" t="s">
        <v>47</v>
      </c>
      <c r="R228" s="2" t="s">
        <v>48</v>
      </c>
      <c r="S228" s="2" t="s">
        <v>3263</v>
      </c>
      <c r="T228" s="8" t="s">
        <v>3264</v>
      </c>
      <c r="U228" s="8" t="s">
        <v>3265</v>
      </c>
      <c r="V228" s="2" t="s">
        <v>3259</v>
      </c>
      <c r="W228" s="8" t="s">
        <v>3267</v>
      </c>
      <c r="X228" s="8" t="s">
        <v>3268</v>
      </c>
      <c r="Z228" s="2">
        <v>4333.0</v>
      </c>
      <c r="AA228" s="2">
        <v>94.0</v>
      </c>
      <c r="AB228" s="2">
        <v>337.0</v>
      </c>
      <c r="AC228" s="2">
        <v>92600.0</v>
      </c>
      <c r="AD228" s="2" t="s">
        <v>3269</v>
      </c>
      <c r="AE228" s="2" t="s">
        <v>3269</v>
      </c>
      <c r="AH228" s="2" t="s">
        <v>144</v>
      </c>
      <c r="AL228" s="6">
        <f>IFERROR(__xludf.DUMMYFUNCTION("IF(
  TRIM(AD228)="""",
  0,
  COUNTA(
    SPLIT(
      REGEXREPLACE(AD228,""\s*,\s*"","",""),
      "",""
    )
  )
)"),2.0)</f>
        <v>2</v>
      </c>
    </row>
    <row r="229">
      <c r="A229" s="2" t="s">
        <v>2748</v>
      </c>
      <c r="B229" s="2" t="s">
        <v>2748</v>
      </c>
      <c r="C229" s="2" t="s">
        <v>1630</v>
      </c>
      <c r="D229" s="2" t="s">
        <v>1631</v>
      </c>
      <c r="E229" s="2">
        <v>17300.0</v>
      </c>
      <c r="F229" s="2">
        <v>8466.0</v>
      </c>
      <c r="G229" s="2">
        <v>290.0</v>
      </c>
      <c r="H229" s="8" t="s">
        <v>3159</v>
      </c>
      <c r="I229" s="2" t="s">
        <v>2635</v>
      </c>
      <c r="K229" s="10">
        <v>45950.90699074074</v>
      </c>
      <c r="L229" s="2">
        <v>1.760996764E9</v>
      </c>
      <c r="M229" s="2" t="s">
        <v>47</v>
      </c>
      <c r="N229" s="2" t="s">
        <v>47</v>
      </c>
      <c r="O229" s="2" t="s">
        <v>47</v>
      </c>
      <c r="P229" s="2" t="s">
        <v>47</v>
      </c>
      <c r="Q229" s="2" t="s">
        <v>47</v>
      </c>
      <c r="R229" s="2" t="s">
        <v>48</v>
      </c>
      <c r="S229" s="2" t="s">
        <v>2749</v>
      </c>
      <c r="T229" s="8" t="s">
        <v>3271</v>
      </c>
      <c r="U229" s="8" t="s">
        <v>3238</v>
      </c>
      <c r="V229" s="2" t="s">
        <v>1631</v>
      </c>
      <c r="W229" s="8" t="s">
        <v>3272</v>
      </c>
      <c r="X229" s="8" t="s">
        <v>2755</v>
      </c>
      <c r="Z229" s="2">
        <v>4293.0</v>
      </c>
      <c r="AA229" s="2">
        <v>289.0</v>
      </c>
      <c r="AB229" s="2">
        <v>1172.0</v>
      </c>
      <c r="AC229" s="2">
        <v>73600.0</v>
      </c>
      <c r="AD229" s="2" t="s">
        <v>2648</v>
      </c>
      <c r="AE229" s="2" t="s">
        <v>2648</v>
      </c>
      <c r="AL229" s="6">
        <f>IFERROR(__xludf.DUMMYFUNCTION("IF(
  TRIM(AD229)="""",
  0,
  COUNTA(
    SPLIT(
      REGEXREPLACE(AD229,""\s*,\s*"","",""),
      "",""
    )
  )
)"),4.0)</f>
        <v>4</v>
      </c>
    </row>
    <row r="230">
      <c r="A230" s="2" t="s">
        <v>3278</v>
      </c>
      <c r="B230" s="2" t="s">
        <v>3278</v>
      </c>
      <c r="C230" s="8" t="s">
        <v>3281</v>
      </c>
      <c r="D230" s="2" t="s">
        <v>3282</v>
      </c>
      <c r="E230" s="2">
        <v>10400.0</v>
      </c>
      <c r="F230" s="2">
        <v>64.0</v>
      </c>
      <c r="G230" s="2">
        <v>17.0</v>
      </c>
      <c r="H230" s="8" t="s">
        <v>3283</v>
      </c>
      <c r="I230" s="2" t="s">
        <v>3287</v>
      </c>
      <c r="J230" s="2" t="s">
        <v>3288</v>
      </c>
      <c r="K230" s="10">
        <v>45889.63295138889</v>
      </c>
      <c r="L230" s="2">
        <v>1.755702687E9</v>
      </c>
      <c r="M230" s="2" t="s">
        <v>47</v>
      </c>
      <c r="N230" s="2" t="s">
        <v>47</v>
      </c>
      <c r="O230" s="2" t="s">
        <v>47</v>
      </c>
      <c r="P230" s="2" t="s">
        <v>47</v>
      </c>
      <c r="Q230" s="2" t="s">
        <v>47</v>
      </c>
      <c r="R230" s="2" t="s">
        <v>3289</v>
      </c>
      <c r="S230" s="2" t="s">
        <v>3290</v>
      </c>
      <c r="T230" s="8" t="s">
        <v>3291</v>
      </c>
      <c r="U230" s="8" t="s">
        <v>3292</v>
      </c>
      <c r="V230" s="2" t="s">
        <v>3293</v>
      </c>
      <c r="X230" s="8" t="s">
        <v>3294</v>
      </c>
      <c r="Z230" s="2">
        <v>4221.0</v>
      </c>
      <c r="AA230" s="2">
        <v>63.0</v>
      </c>
      <c r="AB230" s="2">
        <v>384.0</v>
      </c>
      <c r="AC230" s="2">
        <v>53500.0</v>
      </c>
      <c r="AD230" s="2" t="s">
        <v>3296</v>
      </c>
      <c r="AE230" s="2" t="s">
        <v>3296</v>
      </c>
      <c r="AL230" s="6">
        <f>IFERROR(__xludf.DUMMYFUNCTION("IF(
  TRIM(AD230)="""",
  0,
  COUNTA(
    SPLIT(
      REGEXREPLACE(AD230,""\s*,\s*"","",""),
      "",""
    )
  )
)"),5.0)</f>
        <v>5</v>
      </c>
    </row>
    <row r="231">
      <c r="A231" s="2" t="s">
        <v>3297</v>
      </c>
      <c r="B231" s="2" t="s">
        <v>3297</v>
      </c>
      <c r="C231" s="2" t="s">
        <v>1179</v>
      </c>
      <c r="D231" s="2" t="s">
        <v>1180</v>
      </c>
      <c r="E231" s="2">
        <v>47900.0</v>
      </c>
      <c r="F231" s="2">
        <v>17100.0</v>
      </c>
      <c r="G231" s="2">
        <v>448.0</v>
      </c>
      <c r="H231" s="8" t="s">
        <v>1181</v>
      </c>
      <c r="I231" s="2" t="s">
        <v>3298</v>
      </c>
      <c r="K231" s="10">
        <v>45250.45443287037</v>
      </c>
      <c r="L231" s="2">
        <v>1.700477663E9</v>
      </c>
      <c r="M231" s="2" t="s">
        <v>47</v>
      </c>
      <c r="N231" s="2" t="s">
        <v>47</v>
      </c>
      <c r="O231" s="2" t="s">
        <v>47</v>
      </c>
      <c r="P231" s="2" t="s">
        <v>47</v>
      </c>
      <c r="Q231" s="2" t="s">
        <v>47</v>
      </c>
      <c r="R231" s="2" t="s">
        <v>48</v>
      </c>
      <c r="S231" s="2" t="s">
        <v>3300</v>
      </c>
      <c r="T231" s="8" t="s">
        <v>3301</v>
      </c>
      <c r="U231" s="8" t="s">
        <v>1187</v>
      </c>
      <c r="V231" s="2" t="s">
        <v>1180</v>
      </c>
      <c r="W231" s="8" t="s">
        <v>3308</v>
      </c>
      <c r="X231" s="8" t="s">
        <v>3311</v>
      </c>
      <c r="Z231" s="2">
        <v>4130.0</v>
      </c>
      <c r="AA231" s="2">
        <v>70.0</v>
      </c>
      <c r="AB231" s="2">
        <v>1717.0</v>
      </c>
      <c r="AC231" s="2">
        <v>69300.0</v>
      </c>
      <c r="AD231" s="2" t="s">
        <v>3313</v>
      </c>
      <c r="AE231" s="2" t="s">
        <v>3313</v>
      </c>
      <c r="AL231" s="6">
        <f>IFERROR(__xludf.DUMMYFUNCTION("IF(
  TRIM(AD231)="""",
  0,
  COUNTA(
    SPLIT(
      REGEXREPLACE(AD231,""\s*,\s*"","",""),
      "",""
    )
  )
)"),10.0)</f>
        <v>10</v>
      </c>
    </row>
    <row r="232">
      <c r="A232" s="2" t="s">
        <v>3314</v>
      </c>
      <c r="B232" s="2" t="s">
        <v>3314</v>
      </c>
      <c r="C232" s="2" t="s">
        <v>3062</v>
      </c>
      <c r="D232" s="2" t="s">
        <v>3063</v>
      </c>
      <c r="E232" s="2">
        <v>215500.0</v>
      </c>
      <c r="F232" s="2">
        <v>3799.0</v>
      </c>
      <c r="G232" s="2">
        <v>549.0</v>
      </c>
      <c r="H232" s="8" t="s">
        <v>3315</v>
      </c>
      <c r="I232" s="2" t="s">
        <v>3321</v>
      </c>
      <c r="J232" s="2" t="s">
        <v>3322</v>
      </c>
      <c r="K232" s="10">
        <v>45967.00971064815</v>
      </c>
      <c r="L232" s="2">
        <v>1.762388039E9</v>
      </c>
      <c r="M232" s="2" t="s">
        <v>47</v>
      </c>
      <c r="N232" s="2" t="s">
        <v>47</v>
      </c>
      <c r="O232" s="2" t="s">
        <v>47</v>
      </c>
      <c r="P232" s="2" t="s">
        <v>47</v>
      </c>
      <c r="Q232" s="2" t="s">
        <v>47</v>
      </c>
      <c r="R232" s="2" t="s">
        <v>48</v>
      </c>
      <c r="S232" s="2" t="s">
        <v>3323</v>
      </c>
      <c r="T232" s="8" t="s">
        <v>3324</v>
      </c>
      <c r="U232" s="8" t="s">
        <v>3326</v>
      </c>
      <c r="V232" s="2" t="s">
        <v>3063</v>
      </c>
      <c r="W232" s="8" t="s">
        <v>3328</v>
      </c>
      <c r="X232" s="8" t="s">
        <v>3330</v>
      </c>
      <c r="Z232" s="2">
        <v>3931.0</v>
      </c>
      <c r="AA232" s="2">
        <v>138.0</v>
      </c>
      <c r="AB232" s="2">
        <v>839.0</v>
      </c>
      <c r="AC232" s="2">
        <v>48700.0</v>
      </c>
      <c r="AD232" s="2" t="s">
        <v>3331</v>
      </c>
      <c r="AE232" s="2" t="s">
        <v>3331</v>
      </c>
      <c r="AL232" s="6">
        <f>IFERROR(__xludf.DUMMYFUNCTION("IF(
  TRIM(AD232)="""",
  0,
  COUNTA(
    SPLIT(
      REGEXREPLACE(AD232,""\s*,\s*"","",""),
      "",""
    )
  )
)"),5.0)</f>
        <v>5</v>
      </c>
    </row>
    <row r="233">
      <c r="A233" s="2" t="s">
        <v>3332</v>
      </c>
      <c r="B233" s="2" t="s">
        <v>3332</v>
      </c>
      <c r="C233" s="2" t="s">
        <v>123</v>
      </c>
      <c r="D233" s="2" t="s">
        <v>124</v>
      </c>
      <c r="E233" s="2">
        <v>252600.0</v>
      </c>
      <c r="F233" s="2">
        <v>353.0</v>
      </c>
      <c r="G233" s="2">
        <v>674.0</v>
      </c>
      <c r="H233" s="8" t="s">
        <v>125</v>
      </c>
      <c r="I233" s="2" t="s">
        <v>3334</v>
      </c>
      <c r="K233" s="10">
        <v>45849.52951388889</v>
      </c>
      <c r="L233" s="2">
        <v>1.75223775E9</v>
      </c>
      <c r="M233" s="2" t="s">
        <v>47</v>
      </c>
      <c r="N233" s="2" t="s">
        <v>47</v>
      </c>
      <c r="O233" s="2" t="s">
        <v>47</v>
      </c>
      <c r="P233" s="2" t="s">
        <v>47</v>
      </c>
      <c r="Q233" s="2" t="s">
        <v>47</v>
      </c>
      <c r="R233" s="2" t="s">
        <v>48</v>
      </c>
      <c r="S233" s="2" t="s">
        <v>3335</v>
      </c>
      <c r="T233" s="8" t="s">
        <v>3336</v>
      </c>
      <c r="U233" s="8" t="s">
        <v>738</v>
      </c>
      <c r="V233" s="2" t="s">
        <v>124</v>
      </c>
      <c r="W233" s="8" t="s">
        <v>3337</v>
      </c>
      <c r="X233" s="8" t="s">
        <v>3338</v>
      </c>
      <c r="Z233" s="2">
        <v>3886.0</v>
      </c>
      <c r="AA233" s="2">
        <v>109.0</v>
      </c>
      <c r="AB233" s="2">
        <v>448.0</v>
      </c>
      <c r="AC233" s="2">
        <v>32900.0</v>
      </c>
      <c r="AD233" s="2" t="s">
        <v>1394</v>
      </c>
      <c r="AE233" s="2" t="s">
        <v>1394</v>
      </c>
      <c r="AL233" s="6">
        <f>IFERROR(__xludf.DUMMYFUNCTION("IF(
  TRIM(AD233)="""",
  0,
  COUNTA(
    SPLIT(
      REGEXREPLACE(AD233,""\s*,\s*"","",""),
      "",""
    )
  )
)"),10.0)</f>
        <v>10</v>
      </c>
    </row>
    <row r="234">
      <c r="A234" s="2" t="s">
        <v>3340</v>
      </c>
      <c r="B234" s="2" t="s">
        <v>3340</v>
      </c>
      <c r="C234" s="2" t="s">
        <v>678</v>
      </c>
      <c r="D234" s="2" t="s">
        <v>679</v>
      </c>
      <c r="E234" s="2">
        <v>131000.0</v>
      </c>
      <c r="F234" s="2">
        <v>518.0</v>
      </c>
      <c r="G234" s="2">
        <v>468.0</v>
      </c>
      <c r="H234" s="8" t="s">
        <v>3341</v>
      </c>
      <c r="I234" s="2" t="s">
        <v>3342</v>
      </c>
      <c r="K234" s="10">
        <v>45171.635416666664</v>
      </c>
      <c r="L234" s="2">
        <v>1.6936677E9</v>
      </c>
      <c r="M234" s="2" t="s">
        <v>47</v>
      </c>
      <c r="N234" s="2" t="s">
        <v>47</v>
      </c>
      <c r="O234" s="2" t="s">
        <v>47</v>
      </c>
      <c r="P234" s="2" t="s">
        <v>47</v>
      </c>
      <c r="Q234" s="2" t="s">
        <v>47</v>
      </c>
      <c r="R234" s="2" t="s">
        <v>682</v>
      </c>
      <c r="S234" s="2" t="s">
        <v>3343</v>
      </c>
      <c r="T234" s="8" t="s">
        <v>3344</v>
      </c>
      <c r="U234" s="8" t="s">
        <v>3346</v>
      </c>
      <c r="V234" s="2" t="s">
        <v>679</v>
      </c>
      <c r="W234" s="8" t="s">
        <v>3347</v>
      </c>
      <c r="X234" s="8" t="s">
        <v>3349</v>
      </c>
      <c r="Z234" s="2">
        <v>3826.0</v>
      </c>
      <c r="AA234" s="2">
        <v>98.0</v>
      </c>
      <c r="AB234" s="2">
        <v>2127.0</v>
      </c>
      <c r="AC234" s="2">
        <v>65500.0</v>
      </c>
      <c r="AD234" s="2" t="s">
        <v>3350</v>
      </c>
      <c r="AE234" s="2" t="s">
        <v>3350</v>
      </c>
      <c r="AL234" s="6">
        <f>IFERROR(__xludf.DUMMYFUNCTION("IF(
  TRIM(AD234)="""",
  0,
  COUNTA(
    SPLIT(
      REGEXREPLACE(AD234,""\s*,\s*"","",""),
      "",""
    )
  )
)"),10.0)</f>
        <v>10</v>
      </c>
    </row>
    <row r="235">
      <c r="A235" s="2" t="s">
        <v>3351</v>
      </c>
      <c r="B235" s="2" t="s">
        <v>3351</v>
      </c>
      <c r="C235" s="2" t="s">
        <v>69</v>
      </c>
      <c r="D235" s="2" t="s">
        <v>70</v>
      </c>
      <c r="E235" s="2">
        <v>175800.0</v>
      </c>
      <c r="F235" s="2">
        <v>886.0</v>
      </c>
      <c r="G235" s="2">
        <v>767.0</v>
      </c>
      <c r="H235" s="8" t="s">
        <v>320</v>
      </c>
      <c r="I235" s="2" t="s">
        <v>3352</v>
      </c>
      <c r="J235" s="2" t="s">
        <v>3353</v>
      </c>
      <c r="K235" s="10">
        <v>45181.94304398148</v>
      </c>
      <c r="L235" s="2">
        <v>1.694558279E9</v>
      </c>
      <c r="M235" s="2" t="s">
        <v>47</v>
      </c>
      <c r="N235" s="2" t="s">
        <v>47</v>
      </c>
      <c r="O235" s="2" t="s">
        <v>47</v>
      </c>
      <c r="P235" s="2" t="s">
        <v>47</v>
      </c>
      <c r="Q235" s="2" t="s">
        <v>47</v>
      </c>
      <c r="R235" s="2" t="s">
        <v>3354</v>
      </c>
      <c r="S235" s="2" t="s">
        <v>3355</v>
      </c>
      <c r="T235" s="8" t="s">
        <v>3356</v>
      </c>
      <c r="U235" s="8" t="s">
        <v>3357</v>
      </c>
      <c r="V235" s="2" t="s">
        <v>3360</v>
      </c>
      <c r="W235" s="8" t="s">
        <v>3361</v>
      </c>
      <c r="X235" s="8" t="s">
        <v>3365</v>
      </c>
      <c r="Z235" s="2">
        <v>3819.0</v>
      </c>
      <c r="AA235" s="2">
        <v>156.0</v>
      </c>
      <c r="AB235" s="2">
        <v>324.0</v>
      </c>
      <c r="AC235" s="2">
        <v>51200.0</v>
      </c>
      <c r="AD235" s="2" t="s">
        <v>3366</v>
      </c>
      <c r="AE235" s="2" t="s">
        <v>3366</v>
      </c>
      <c r="AH235" s="2" t="s">
        <v>274</v>
      </c>
      <c r="AL235" s="6">
        <f>IFERROR(__xludf.DUMMYFUNCTION("IF(
  TRIM(AD235)="""",
  0,
  COUNTA(
    SPLIT(
      REGEXREPLACE(AD235,""\s*,\s*"","",""),
      "",""
    )
  )
)"),4.0)</f>
        <v>4</v>
      </c>
    </row>
    <row r="236">
      <c r="A236" s="2" t="s">
        <v>3367</v>
      </c>
      <c r="B236" s="2" t="s">
        <v>3367</v>
      </c>
      <c r="C236" s="2" t="s">
        <v>3368</v>
      </c>
      <c r="D236" s="2" t="s">
        <v>3369</v>
      </c>
      <c r="E236" s="2">
        <v>247.0</v>
      </c>
      <c r="F236" s="2">
        <v>210.0</v>
      </c>
      <c r="G236" s="2">
        <v>67.0</v>
      </c>
      <c r="H236" s="8" t="s">
        <v>3370</v>
      </c>
      <c r="I236" s="2" t="s">
        <v>3372</v>
      </c>
      <c r="K236" s="10">
        <v>45221.92005787037</v>
      </c>
      <c r="L236" s="2">
        <v>1.698012293E9</v>
      </c>
      <c r="M236" s="2" t="s">
        <v>47</v>
      </c>
      <c r="N236" s="2" t="s">
        <v>47</v>
      </c>
      <c r="O236" s="2" t="s">
        <v>47</v>
      </c>
      <c r="P236" s="2" t="s">
        <v>47</v>
      </c>
      <c r="Q236" s="2" t="s">
        <v>47</v>
      </c>
      <c r="R236" s="2" t="s">
        <v>48</v>
      </c>
      <c r="S236" s="2" t="s">
        <v>3373</v>
      </c>
      <c r="T236" s="8" t="s">
        <v>3374</v>
      </c>
      <c r="U236" s="8" t="s">
        <v>3378</v>
      </c>
      <c r="V236" s="2" t="s">
        <v>3369</v>
      </c>
      <c r="W236" s="8" t="s">
        <v>3382</v>
      </c>
      <c r="X236" s="8" t="s">
        <v>3385</v>
      </c>
      <c r="Z236" s="2">
        <v>3806.0</v>
      </c>
      <c r="AA236" s="2">
        <v>66.0</v>
      </c>
      <c r="AB236" s="2">
        <v>458.0</v>
      </c>
      <c r="AC236" s="2">
        <v>61200.0</v>
      </c>
      <c r="AD236" s="2" t="s">
        <v>3386</v>
      </c>
      <c r="AE236" s="2" t="s">
        <v>3386</v>
      </c>
      <c r="AL236" s="6">
        <f>IFERROR(__xludf.DUMMYFUNCTION("IF(
  TRIM(AD236)="""",
  0,
  COUNTA(
    SPLIT(
      REGEXREPLACE(AD236,""\s*,\s*"","",""),
      "",""
    )
  )
)"),6.0)</f>
        <v>6</v>
      </c>
    </row>
    <row r="237">
      <c r="A237" s="2" t="s">
        <v>3387</v>
      </c>
      <c r="B237" s="2" t="s">
        <v>3387</v>
      </c>
      <c r="C237" s="2" t="s">
        <v>1630</v>
      </c>
      <c r="D237" s="2" t="s">
        <v>1631</v>
      </c>
      <c r="E237" s="2">
        <v>17300.0</v>
      </c>
      <c r="F237" s="2">
        <v>8466.0</v>
      </c>
      <c r="G237" s="2">
        <v>290.0</v>
      </c>
      <c r="H237" s="8" t="s">
        <v>2926</v>
      </c>
      <c r="I237" s="2" t="s">
        <v>3388</v>
      </c>
      <c r="K237" s="10">
        <v>45953.07890046296</v>
      </c>
      <c r="L237" s="2">
        <v>1.761184417E9</v>
      </c>
      <c r="M237" s="2" t="s">
        <v>47</v>
      </c>
      <c r="N237" s="2" t="s">
        <v>47</v>
      </c>
      <c r="O237" s="2" t="s">
        <v>47</v>
      </c>
      <c r="P237" s="2" t="s">
        <v>47</v>
      </c>
      <c r="Q237" s="2" t="s">
        <v>47</v>
      </c>
      <c r="R237" s="2" t="s">
        <v>48</v>
      </c>
      <c r="S237" s="2" t="s">
        <v>3389</v>
      </c>
      <c r="T237" s="8" t="s">
        <v>3390</v>
      </c>
      <c r="U237" s="8" t="s">
        <v>2931</v>
      </c>
      <c r="V237" s="2" t="s">
        <v>1631</v>
      </c>
      <c r="W237" s="8" t="s">
        <v>3397</v>
      </c>
      <c r="X237" s="8" t="s">
        <v>3400</v>
      </c>
      <c r="Z237" s="2">
        <v>3786.0</v>
      </c>
      <c r="AA237" s="2">
        <v>160.0</v>
      </c>
      <c r="AB237" s="2">
        <v>761.0</v>
      </c>
      <c r="AC237" s="2">
        <v>50700.0</v>
      </c>
      <c r="AD237" s="2" t="s">
        <v>3401</v>
      </c>
      <c r="AE237" s="2" t="s">
        <v>3401</v>
      </c>
      <c r="AL237" s="6">
        <f>IFERROR(__xludf.DUMMYFUNCTION("IF(
  TRIM(AD237)="""",
  0,
  COUNTA(
    SPLIT(
      REGEXREPLACE(AD237,""\s*,\s*"","",""),
      "",""
    )
  )
)"),5.0)</f>
        <v>5</v>
      </c>
    </row>
    <row r="238">
      <c r="A238" s="2" t="s">
        <v>3402</v>
      </c>
      <c r="B238" s="2" t="s">
        <v>3402</v>
      </c>
      <c r="C238" s="2" t="s">
        <v>3403</v>
      </c>
      <c r="D238" s="2" t="s">
        <v>3404</v>
      </c>
      <c r="E238" s="2">
        <v>11600.0</v>
      </c>
      <c r="F238" s="2">
        <v>101.0</v>
      </c>
      <c r="G238" s="2">
        <v>7.0</v>
      </c>
      <c r="H238" s="8" t="s">
        <v>3405</v>
      </c>
      <c r="I238" s="2" t="s">
        <v>3407</v>
      </c>
      <c r="K238" s="10">
        <v>45015.91774305556</v>
      </c>
      <c r="L238" s="2">
        <v>1.680213693E9</v>
      </c>
      <c r="M238" s="2" t="s">
        <v>47</v>
      </c>
      <c r="N238" s="2" t="s">
        <v>47</v>
      </c>
      <c r="O238" s="2" t="s">
        <v>47</v>
      </c>
      <c r="P238" s="2" t="s">
        <v>47</v>
      </c>
      <c r="Q238" s="2" t="s">
        <v>47</v>
      </c>
      <c r="R238" s="2" t="s">
        <v>48</v>
      </c>
      <c r="S238" s="2" t="s">
        <v>3408</v>
      </c>
      <c r="T238" s="8" t="s">
        <v>3409</v>
      </c>
      <c r="U238" s="8" t="s">
        <v>3411</v>
      </c>
      <c r="V238" s="2" t="s">
        <v>3404</v>
      </c>
      <c r="W238" s="8" t="s">
        <v>3413</v>
      </c>
      <c r="X238" s="8" t="s">
        <v>3424</v>
      </c>
      <c r="Z238" s="2">
        <v>3652.0</v>
      </c>
      <c r="AA238" s="2">
        <v>50.0</v>
      </c>
      <c r="AB238" s="2">
        <v>869.0</v>
      </c>
      <c r="AC238" s="2">
        <v>84700.0</v>
      </c>
      <c r="AD238" s="2" t="s">
        <v>3425</v>
      </c>
      <c r="AE238" s="2" t="s">
        <v>3425</v>
      </c>
      <c r="AL238" s="6">
        <f>IFERROR(__xludf.DUMMYFUNCTION("IF(
  TRIM(AD238)="""",
  0,
  COUNTA(
    SPLIT(
      REGEXREPLACE(AD238,""\s*,\s*"","",""),
      "",""
    )
  )
)"),7.0)</f>
        <v>7</v>
      </c>
    </row>
    <row r="239">
      <c r="A239" s="2" t="s">
        <v>3426</v>
      </c>
      <c r="B239" s="2" t="s">
        <v>3426</v>
      </c>
      <c r="C239" s="2" t="s">
        <v>107</v>
      </c>
      <c r="D239" s="2" t="s">
        <v>108</v>
      </c>
      <c r="E239" s="2">
        <v>1300000.0</v>
      </c>
      <c r="F239" s="2">
        <v>93.0</v>
      </c>
      <c r="G239" s="2">
        <v>1698.0</v>
      </c>
      <c r="H239" s="8" t="s">
        <v>545</v>
      </c>
      <c r="I239" s="2" t="s">
        <v>3428</v>
      </c>
      <c r="K239" s="10">
        <v>44712.99024305555</v>
      </c>
      <c r="L239" s="2">
        <v>1.654040757E9</v>
      </c>
      <c r="M239" s="2" t="s">
        <v>47</v>
      </c>
      <c r="N239" s="2" t="s">
        <v>47</v>
      </c>
      <c r="O239" s="2" t="s">
        <v>47</v>
      </c>
      <c r="P239" s="2" t="s">
        <v>47</v>
      </c>
      <c r="Q239" s="2" t="s">
        <v>47</v>
      </c>
      <c r="R239" s="2" t="s">
        <v>48</v>
      </c>
      <c r="S239" s="2" t="s">
        <v>3429</v>
      </c>
      <c r="T239" s="8" t="s">
        <v>3430</v>
      </c>
      <c r="U239" s="8" t="s">
        <v>549</v>
      </c>
      <c r="V239" s="2" t="s">
        <v>108</v>
      </c>
      <c r="W239" s="8" t="s">
        <v>3433</v>
      </c>
      <c r="X239" s="8" t="s">
        <v>3437</v>
      </c>
      <c r="Z239" s="2">
        <v>3514.0</v>
      </c>
      <c r="AA239" s="2">
        <v>65.0</v>
      </c>
      <c r="AB239" s="2">
        <v>641.0</v>
      </c>
      <c r="AC239" s="2">
        <v>59800.0</v>
      </c>
      <c r="AD239" s="2" t="s">
        <v>3438</v>
      </c>
      <c r="AE239" s="2" t="s">
        <v>3438</v>
      </c>
      <c r="AL239" s="6">
        <f>IFERROR(__xludf.DUMMYFUNCTION("IF(
  TRIM(AD239)="""",
  0,
  COUNTA(
    SPLIT(
      REGEXREPLACE(AD239,""\s*,\s*"","",""),
      "",""
    )
  )
)"),9.0)</f>
        <v>9</v>
      </c>
    </row>
    <row r="240">
      <c r="A240" s="2" t="s">
        <v>1913</v>
      </c>
      <c r="B240" s="2" t="s">
        <v>1913</v>
      </c>
      <c r="C240" s="2" t="s">
        <v>1914</v>
      </c>
      <c r="D240" s="2" t="s">
        <v>1915</v>
      </c>
      <c r="E240" s="2">
        <v>137.0</v>
      </c>
      <c r="F240" s="2">
        <v>10.0</v>
      </c>
      <c r="G240" s="2">
        <v>6.0</v>
      </c>
      <c r="H240" s="8" t="s">
        <v>3439</v>
      </c>
      <c r="I240" s="2" t="s">
        <v>1918</v>
      </c>
      <c r="J240" s="2" t="s">
        <v>1919</v>
      </c>
      <c r="K240" s="10">
        <v>45354.65820601852</v>
      </c>
      <c r="L240" s="2">
        <v>1.709480869E9</v>
      </c>
      <c r="M240" s="2" t="s">
        <v>47</v>
      </c>
      <c r="N240" s="2" t="s">
        <v>47</v>
      </c>
      <c r="O240" s="2" t="s">
        <v>47</v>
      </c>
      <c r="P240" s="2" t="s">
        <v>47</v>
      </c>
      <c r="Q240" s="2" t="s">
        <v>47</v>
      </c>
      <c r="R240" s="2" t="s">
        <v>1920</v>
      </c>
      <c r="S240" s="2" t="s">
        <v>1921</v>
      </c>
      <c r="T240" s="8" t="s">
        <v>3441</v>
      </c>
      <c r="U240" s="8" t="s">
        <v>3442</v>
      </c>
      <c r="V240" s="2" t="s">
        <v>1419</v>
      </c>
      <c r="W240" s="8" t="s">
        <v>3444</v>
      </c>
      <c r="X240" s="8" t="s">
        <v>1929</v>
      </c>
      <c r="Z240" s="2">
        <v>3505.0</v>
      </c>
      <c r="AA240" s="2">
        <v>94.0</v>
      </c>
      <c r="AB240" s="2">
        <v>184.0</v>
      </c>
      <c r="AC240" s="2">
        <v>185800.0</v>
      </c>
      <c r="AD240" s="2" t="s">
        <v>1930</v>
      </c>
      <c r="AE240" s="2" t="s">
        <v>1930</v>
      </c>
      <c r="AL240" s="6">
        <f>IFERROR(__xludf.DUMMYFUNCTION("IF(
  TRIM(AD240)="""",
  0,
  COUNTA(
    SPLIT(
      REGEXREPLACE(AD240,""\s*,\s*"","",""),
      "",""
    )
  )
)"),3.0)</f>
        <v>3</v>
      </c>
    </row>
    <row r="241">
      <c r="A241" s="2" t="s">
        <v>1932</v>
      </c>
      <c r="B241" s="2" t="s">
        <v>1932</v>
      </c>
      <c r="C241" s="2" t="s">
        <v>1933</v>
      </c>
      <c r="D241" s="2" t="s">
        <v>1934</v>
      </c>
      <c r="E241" s="2">
        <v>3483.0</v>
      </c>
      <c r="F241" s="2">
        <v>0.0</v>
      </c>
      <c r="G241" s="2">
        <v>80.0</v>
      </c>
      <c r="H241" s="8" t="s">
        <v>3446</v>
      </c>
      <c r="I241" s="2" t="s">
        <v>1940</v>
      </c>
      <c r="K241" s="10">
        <v>45887.541666666664</v>
      </c>
      <c r="L241" s="2">
        <v>1.755522E9</v>
      </c>
      <c r="M241" s="2" t="s">
        <v>47</v>
      </c>
      <c r="N241" s="2" t="s">
        <v>47</v>
      </c>
      <c r="O241" s="2" t="s">
        <v>47</v>
      </c>
      <c r="P241" s="2" t="s">
        <v>47</v>
      </c>
      <c r="Q241" s="2" t="s">
        <v>47</v>
      </c>
      <c r="R241" s="2" t="s">
        <v>1941</v>
      </c>
      <c r="S241" s="2" t="s">
        <v>1942</v>
      </c>
      <c r="T241" s="8" t="s">
        <v>3448</v>
      </c>
      <c r="U241" s="8" t="s">
        <v>3452</v>
      </c>
      <c r="V241" s="2" t="s">
        <v>1934</v>
      </c>
      <c r="W241" s="8" t="s">
        <v>3454</v>
      </c>
      <c r="X241" s="8" t="s">
        <v>1954</v>
      </c>
      <c r="Z241" s="2">
        <v>3290.0</v>
      </c>
      <c r="AA241" s="2">
        <v>108.0</v>
      </c>
      <c r="AB241" s="2">
        <v>1241.0</v>
      </c>
      <c r="AC241" s="2">
        <v>66300.0</v>
      </c>
      <c r="AD241" s="2" t="s">
        <v>1955</v>
      </c>
      <c r="AE241" s="2" t="s">
        <v>1955</v>
      </c>
      <c r="AL241" s="6">
        <f>IFERROR(__xludf.DUMMYFUNCTION("IF(
  TRIM(AD241)="""",
  0,
  COUNTA(
    SPLIT(
      REGEXREPLACE(AD241,""\s*,\s*"","",""),
      "",""
    )
  )
)"),3.0)</f>
        <v>3</v>
      </c>
    </row>
    <row r="242">
      <c r="A242" s="2" t="s">
        <v>609</v>
      </c>
      <c r="B242" s="2" t="s">
        <v>609</v>
      </c>
      <c r="C242" s="2" t="s">
        <v>610</v>
      </c>
      <c r="D242" s="2" t="s">
        <v>611</v>
      </c>
      <c r="E242" s="2">
        <v>27500.0</v>
      </c>
      <c r="F242" s="2">
        <v>77.0</v>
      </c>
      <c r="G242" s="2">
        <v>285.0</v>
      </c>
      <c r="H242" s="8" t="s">
        <v>3457</v>
      </c>
      <c r="I242" s="2" t="s">
        <v>621</v>
      </c>
      <c r="K242" s="10">
        <v>44858.66166666667</v>
      </c>
      <c r="L242" s="2">
        <v>1.666626768E9</v>
      </c>
      <c r="M242" s="2" t="s">
        <v>47</v>
      </c>
      <c r="N242" s="2" t="s">
        <v>47</v>
      </c>
      <c r="O242" s="2" t="s">
        <v>47</v>
      </c>
      <c r="P242" s="2" t="s">
        <v>47</v>
      </c>
      <c r="Q242" s="2" t="s">
        <v>47</v>
      </c>
      <c r="R242" s="2" t="s">
        <v>48</v>
      </c>
      <c r="S242" s="2" t="s">
        <v>622</v>
      </c>
      <c r="T242" s="8" t="s">
        <v>3459</v>
      </c>
      <c r="U242" s="8" t="s">
        <v>3461</v>
      </c>
      <c r="V242" s="2" t="s">
        <v>611</v>
      </c>
      <c r="W242" s="8" t="s">
        <v>3463</v>
      </c>
      <c r="X242" s="8" t="s">
        <v>640</v>
      </c>
      <c r="Z242" s="2">
        <v>3277.0</v>
      </c>
      <c r="AA242" s="2">
        <v>133.0</v>
      </c>
      <c r="AB242" s="2">
        <v>706.0</v>
      </c>
      <c r="AC242" s="2">
        <v>61000.0</v>
      </c>
      <c r="AL242" s="6">
        <f>IFERROR(__xludf.DUMMYFUNCTION("IF(
  TRIM(AD242)="""",
  0,
  COUNTA(
    SPLIT(
      REGEXREPLACE(AD242,""\s*,\s*"","",""),
      "",""
    )
  )
)"),0.0)</f>
        <v>0</v>
      </c>
    </row>
    <row r="243">
      <c r="A243" s="2" t="s">
        <v>3467</v>
      </c>
      <c r="B243" s="2" t="s">
        <v>3467</v>
      </c>
      <c r="C243" s="2" t="s">
        <v>2016</v>
      </c>
      <c r="D243" s="2" t="s">
        <v>2017</v>
      </c>
      <c r="E243" s="2">
        <v>24100.0</v>
      </c>
      <c r="F243" s="2">
        <v>45.0</v>
      </c>
      <c r="G243" s="2">
        <v>263.0</v>
      </c>
      <c r="H243" s="8" t="s">
        <v>3468</v>
      </c>
      <c r="I243" s="2" t="s">
        <v>3473</v>
      </c>
      <c r="K243" s="10">
        <v>45189.93543981481</v>
      </c>
      <c r="L243" s="2">
        <v>1.695248822E9</v>
      </c>
      <c r="M243" s="2" t="s">
        <v>47</v>
      </c>
      <c r="N243" s="2" t="s">
        <v>47</v>
      </c>
      <c r="O243" s="2" t="s">
        <v>47</v>
      </c>
      <c r="P243" s="2" t="s">
        <v>47</v>
      </c>
      <c r="Q243" s="2" t="s">
        <v>47</v>
      </c>
      <c r="R243" s="2" t="s">
        <v>48</v>
      </c>
      <c r="S243" s="2" t="s">
        <v>3475</v>
      </c>
      <c r="T243" s="8" t="s">
        <v>3476</v>
      </c>
      <c r="U243" s="8" t="s">
        <v>3480</v>
      </c>
      <c r="V243" s="2" t="s">
        <v>2017</v>
      </c>
      <c r="W243" s="8" t="s">
        <v>3483</v>
      </c>
      <c r="X243" s="8" t="s">
        <v>3486</v>
      </c>
      <c r="Z243" s="2">
        <v>3275.0</v>
      </c>
      <c r="AA243" s="2">
        <v>96.0</v>
      </c>
      <c r="AB243" s="2">
        <v>363.0</v>
      </c>
      <c r="AC243" s="2">
        <v>36100.0</v>
      </c>
      <c r="AD243" s="2" t="s">
        <v>3487</v>
      </c>
      <c r="AE243" s="2" t="s">
        <v>3487</v>
      </c>
      <c r="AH243" s="2" t="s">
        <v>121</v>
      </c>
      <c r="AL243" s="6">
        <f>IFERROR(__xludf.DUMMYFUNCTION("IF(
  TRIM(AD243)="""",
  0,
  COUNTA(
    SPLIT(
      REGEXREPLACE(AD243,""\s*,\s*"","",""),
      "",""
    )
  )
)"),3.0)</f>
        <v>3</v>
      </c>
    </row>
    <row r="244">
      <c r="A244" s="2" t="s">
        <v>3488</v>
      </c>
      <c r="B244" s="2" t="s">
        <v>3488</v>
      </c>
      <c r="C244" s="2" t="s">
        <v>920</v>
      </c>
      <c r="D244" s="2" t="s">
        <v>921</v>
      </c>
      <c r="E244" s="2">
        <v>296100.0</v>
      </c>
      <c r="F244" s="2">
        <v>1905.0</v>
      </c>
      <c r="G244" s="2">
        <v>1402.0</v>
      </c>
      <c r="H244" s="8" t="s">
        <v>922</v>
      </c>
      <c r="I244" s="2" t="s">
        <v>3489</v>
      </c>
      <c r="K244" s="10">
        <v>45316.839780092596</v>
      </c>
      <c r="L244" s="2">
        <v>1.706213357E9</v>
      </c>
      <c r="M244" s="2" t="s">
        <v>47</v>
      </c>
      <c r="N244" s="2" t="s">
        <v>47</v>
      </c>
      <c r="O244" s="2" t="s">
        <v>47</v>
      </c>
      <c r="P244" s="2" t="s">
        <v>47</v>
      </c>
      <c r="Q244" s="2" t="s">
        <v>47</v>
      </c>
      <c r="R244" s="2" t="s">
        <v>48</v>
      </c>
      <c r="S244" s="2" t="s">
        <v>3490</v>
      </c>
      <c r="T244" s="8" t="s">
        <v>3491</v>
      </c>
      <c r="U244" s="8" t="s">
        <v>932</v>
      </c>
      <c r="V244" s="2" t="s">
        <v>921</v>
      </c>
      <c r="W244" s="8" t="s">
        <v>3497</v>
      </c>
      <c r="X244" s="8" t="s">
        <v>3501</v>
      </c>
      <c r="Z244" s="2">
        <v>3208.0</v>
      </c>
      <c r="AA244" s="2">
        <v>86.0</v>
      </c>
      <c r="AB244" s="2">
        <v>1288.0</v>
      </c>
      <c r="AC244" s="2">
        <v>88300.0</v>
      </c>
      <c r="AD244" s="2" t="s">
        <v>3503</v>
      </c>
      <c r="AE244" s="2" t="s">
        <v>3503</v>
      </c>
      <c r="AL244" s="6">
        <f>IFERROR(__xludf.DUMMYFUNCTION("IF(
  TRIM(AD244)="""",
  0,
  COUNTA(
    SPLIT(
      REGEXREPLACE(AD244,""\s*,\s*"","",""),
      "",""
    )
  )
)"),10.0)</f>
        <v>10</v>
      </c>
    </row>
    <row r="245">
      <c r="A245" s="2" t="s">
        <v>3504</v>
      </c>
      <c r="B245" s="2" t="s">
        <v>3504</v>
      </c>
      <c r="C245" s="2" t="s">
        <v>3505</v>
      </c>
      <c r="D245" s="2" t="s">
        <v>3506</v>
      </c>
      <c r="E245" s="2">
        <v>47200.0</v>
      </c>
      <c r="F245" s="2">
        <v>2499.0</v>
      </c>
      <c r="G245" s="2">
        <v>500.0</v>
      </c>
      <c r="H245" s="8" t="s">
        <v>3507</v>
      </c>
      <c r="I245" s="2" t="s">
        <v>3510</v>
      </c>
      <c r="J245" s="2" t="s">
        <v>3511</v>
      </c>
      <c r="K245" s="10">
        <v>45228.443391203706</v>
      </c>
      <c r="L245" s="2">
        <v>1.698575909E9</v>
      </c>
      <c r="M245" s="2" t="s">
        <v>47</v>
      </c>
      <c r="N245" s="2" t="s">
        <v>47</v>
      </c>
      <c r="O245" s="2" t="s">
        <v>47</v>
      </c>
      <c r="P245" s="2" t="s">
        <v>47</v>
      </c>
      <c r="Q245" s="2" t="s">
        <v>47</v>
      </c>
      <c r="R245" s="2" t="s">
        <v>3513</v>
      </c>
      <c r="S245" s="2" t="s">
        <v>3514</v>
      </c>
      <c r="T245" s="8" t="s">
        <v>3515</v>
      </c>
      <c r="U245" s="8" t="s">
        <v>3516</v>
      </c>
      <c r="V245" s="2" t="s">
        <v>3518</v>
      </c>
      <c r="W245" s="8" t="s">
        <v>3519</v>
      </c>
      <c r="X245" s="8" t="s">
        <v>3520</v>
      </c>
      <c r="Z245" s="2">
        <v>3199.0</v>
      </c>
      <c r="AA245" s="2">
        <v>181.0</v>
      </c>
      <c r="AB245" s="2">
        <v>311.0</v>
      </c>
      <c r="AC245" s="2">
        <v>86200.0</v>
      </c>
      <c r="AD245" s="2" t="s">
        <v>3521</v>
      </c>
      <c r="AE245" s="2" t="s">
        <v>3521</v>
      </c>
      <c r="AH245" s="2" t="s">
        <v>918</v>
      </c>
      <c r="AL245" s="6">
        <f>IFERROR(__xludf.DUMMYFUNCTION("IF(
  TRIM(AD245)="""",
  0,
  COUNTA(
    SPLIT(
      REGEXREPLACE(AD245,""\s*,\s*"","",""),
      "",""
    )
  )
)"),6.0)</f>
        <v>6</v>
      </c>
    </row>
    <row r="246">
      <c r="A246" s="2" t="s">
        <v>3522</v>
      </c>
      <c r="B246" s="2" t="s">
        <v>3522</v>
      </c>
      <c r="C246" s="2" t="s">
        <v>3523</v>
      </c>
      <c r="D246" s="2" t="s">
        <v>3524</v>
      </c>
      <c r="E246" s="2">
        <v>28000.0</v>
      </c>
      <c r="F246" s="2">
        <v>13100.0</v>
      </c>
      <c r="G246" s="2">
        <v>2167.0</v>
      </c>
      <c r="H246" s="8" t="s">
        <v>3525</v>
      </c>
      <c r="K246" s="10">
        <v>45564.86094907407</v>
      </c>
      <c r="L246" s="2">
        <v>1.727642386E9</v>
      </c>
      <c r="M246" s="2" t="s">
        <v>47</v>
      </c>
      <c r="N246" s="2" t="s">
        <v>47</v>
      </c>
      <c r="O246" s="2" t="s">
        <v>47</v>
      </c>
      <c r="P246" s="2" t="s">
        <v>47</v>
      </c>
      <c r="Q246" s="2" t="s">
        <v>47</v>
      </c>
      <c r="R246" s="2" t="s">
        <v>48</v>
      </c>
      <c r="S246" s="2" t="s">
        <v>3527</v>
      </c>
      <c r="T246" s="8" t="s">
        <v>3528</v>
      </c>
      <c r="U246" s="8" t="s">
        <v>3530</v>
      </c>
      <c r="V246" s="2" t="s">
        <v>3524</v>
      </c>
      <c r="W246" s="8" t="s">
        <v>3532</v>
      </c>
      <c r="X246" s="8" t="s">
        <v>3535</v>
      </c>
      <c r="Z246" s="2">
        <v>3084.0</v>
      </c>
      <c r="AA246" s="2">
        <v>183.0</v>
      </c>
      <c r="AB246" s="2">
        <v>1474.0</v>
      </c>
      <c r="AC246" s="2">
        <v>108600.0</v>
      </c>
      <c r="AL246" s="6">
        <f>IFERROR(__xludf.DUMMYFUNCTION("IF(
  TRIM(AD246)="""",
  0,
  COUNTA(
    SPLIT(
      REGEXREPLACE(AD246,""\s*,\s*"","",""),
      "",""
    )
  )
)"),0.0)</f>
        <v>0</v>
      </c>
    </row>
    <row r="247">
      <c r="A247" s="2" t="s">
        <v>3540</v>
      </c>
      <c r="B247" s="2" t="s">
        <v>3540</v>
      </c>
      <c r="C247" s="2" t="s">
        <v>3541</v>
      </c>
      <c r="D247" s="2" t="s">
        <v>3542</v>
      </c>
      <c r="E247" s="2">
        <v>1291.0</v>
      </c>
      <c r="F247" s="2">
        <v>62.0</v>
      </c>
      <c r="G247" s="2">
        <v>24.0</v>
      </c>
      <c r="H247" s="8" t="s">
        <v>3543</v>
      </c>
      <c r="I247" s="2" t="s">
        <v>3545</v>
      </c>
      <c r="K247" s="10">
        <v>45930.86819444445</v>
      </c>
      <c r="L247" s="2">
        <v>1.759265412E9</v>
      </c>
      <c r="M247" s="2" t="s">
        <v>47</v>
      </c>
      <c r="N247" s="2" t="s">
        <v>47</v>
      </c>
      <c r="O247" s="2" t="s">
        <v>47</v>
      </c>
      <c r="P247" s="2" t="s">
        <v>47</v>
      </c>
      <c r="Q247" s="2" t="s">
        <v>47</v>
      </c>
      <c r="R247" s="2" t="s">
        <v>48</v>
      </c>
      <c r="S247" s="2" t="s">
        <v>3546</v>
      </c>
      <c r="T247" s="8" t="s">
        <v>3548</v>
      </c>
      <c r="U247" s="8" t="s">
        <v>3552</v>
      </c>
      <c r="V247" s="2" t="s">
        <v>3542</v>
      </c>
      <c r="W247" s="8" t="s">
        <v>3556</v>
      </c>
      <c r="X247" s="8" t="s">
        <v>3559</v>
      </c>
      <c r="Z247" s="2">
        <v>3049.0</v>
      </c>
      <c r="AA247" s="2">
        <v>214.0</v>
      </c>
      <c r="AB247" s="2">
        <v>1227.0</v>
      </c>
      <c r="AC247" s="2">
        <v>65600.0</v>
      </c>
      <c r="AD247" s="2" t="s">
        <v>3561</v>
      </c>
      <c r="AE247" s="2" t="s">
        <v>3561</v>
      </c>
      <c r="AH247" s="2" t="s">
        <v>121</v>
      </c>
      <c r="AL247" s="6">
        <f>IFERROR(__xludf.DUMMYFUNCTION("IF(
  TRIM(AD247)="""",
  0,
  COUNTA(
    SPLIT(
      REGEXREPLACE(AD247,""\s*,\s*"","",""),
      "",""
    )
  )
)"),5.0)</f>
        <v>5</v>
      </c>
    </row>
    <row r="248">
      <c r="A248" s="2" t="s">
        <v>3562</v>
      </c>
      <c r="B248" s="2" t="s">
        <v>3562</v>
      </c>
      <c r="C248" s="2" t="s">
        <v>69</v>
      </c>
      <c r="D248" s="2" t="s">
        <v>70</v>
      </c>
      <c r="E248" s="2">
        <v>175800.0</v>
      </c>
      <c r="F248" s="2">
        <v>886.0</v>
      </c>
      <c r="G248" s="2">
        <v>767.0</v>
      </c>
      <c r="H248" s="8" t="s">
        <v>84</v>
      </c>
      <c r="I248" s="2" t="s">
        <v>3565</v>
      </c>
      <c r="K248" s="10">
        <v>45835.98019675926</v>
      </c>
      <c r="L248" s="2">
        <v>1.751067089E9</v>
      </c>
      <c r="M248" s="2" t="s">
        <v>47</v>
      </c>
      <c r="N248" s="2" t="s">
        <v>47</v>
      </c>
      <c r="O248" s="2" t="s">
        <v>47</v>
      </c>
      <c r="P248" s="2" t="s">
        <v>47</v>
      </c>
      <c r="Q248" s="2" t="s">
        <v>47</v>
      </c>
      <c r="R248" s="2" t="s">
        <v>48</v>
      </c>
      <c r="S248" s="2" t="s">
        <v>3566</v>
      </c>
      <c r="T248" s="8" t="s">
        <v>3568</v>
      </c>
      <c r="U248" s="8" t="s">
        <v>1010</v>
      </c>
      <c r="V248" s="2" t="s">
        <v>70</v>
      </c>
      <c r="W248" s="8" t="s">
        <v>3572</v>
      </c>
      <c r="X248" s="8" t="s">
        <v>3579</v>
      </c>
      <c r="Z248" s="2">
        <v>3025.0</v>
      </c>
      <c r="AA248" s="2">
        <v>58.0</v>
      </c>
      <c r="AB248" s="2">
        <v>196.0</v>
      </c>
      <c r="AC248" s="2">
        <v>28900.0</v>
      </c>
      <c r="AD248" s="2" t="s">
        <v>3584</v>
      </c>
      <c r="AE248" s="2" t="s">
        <v>3584</v>
      </c>
      <c r="AL248" s="6">
        <f>IFERROR(__xludf.DUMMYFUNCTION("IF(
  TRIM(AD248)="""",
  0,
  COUNTA(
    SPLIT(
      REGEXREPLACE(AD248,""\s*,\s*"","",""),
      "",""
    )
  )
)"),5.0)</f>
        <v>5</v>
      </c>
    </row>
    <row r="249">
      <c r="A249" s="2" t="s">
        <v>3585</v>
      </c>
      <c r="B249" s="2" t="s">
        <v>3585</v>
      </c>
      <c r="C249" s="2" t="s">
        <v>69</v>
      </c>
      <c r="D249" s="2" t="s">
        <v>70</v>
      </c>
      <c r="E249" s="2">
        <v>175800.0</v>
      </c>
      <c r="F249" s="2">
        <v>886.0</v>
      </c>
      <c r="G249" s="2">
        <v>767.0</v>
      </c>
      <c r="H249" s="8" t="s">
        <v>320</v>
      </c>
      <c r="I249" s="2" t="s">
        <v>3586</v>
      </c>
      <c r="J249" s="2" t="s">
        <v>3588</v>
      </c>
      <c r="K249" s="10">
        <v>45122.60423611111</v>
      </c>
      <c r="L249" s="2">
        <v>1.689431406E9</v>
      </c>
      <c r="M249" s="2" t="s">
        <v>47</v>
      </c>
      <c r="N249" s="2" t="s">
        <v>47</v>
      </c>
      <c r="O249" s="2" t="s">
        <v>47</v>
      </c>
      <c r="P249" s="2" t="s">
        <v>47</v>
      </c>
      <c r="Q249" s="2" t="s">
        <v>47</v>
      </c>
      <c r="R249" s="2" t="s">
        <v>48</v>
      </c>
      <c r="S249" s="2" t="s">
        <v>3589</v>
      </c>
      <c r="T249" s="8" t="s">
        <v>3590</v>
      </c>
      <c r="U249" s="8" t="s">
        <v>1052</v>
      </c>
      <c r="V249" s="2" t="s">
        <v>70</v>
      </c>
      <c r="W249" s="8" t="s">
        <v>3595</v>
      </c>
      <c r="X249" s="8" t="s">
        <v>3601</v>
      </c>
      <c r="Z249" s="2">
        <v>2958.0</v>
      </c>
      <c r="AA249" s="2">
        <v>141.0</v>
      </c>
      <c r="AB249" s="2">
        <v>293.0</v>
      </c>
      <c r="AC249" s="2">
        <v>27700.0</v>
      </c>
      <c r="AD249" s="2" t="s">
        <v>3602</v>
      </c>
      <c r="AE249" s="2" t="s">
        <v>3602</v>
      </c>
      <c r="AL249" s="6">
        <f>IFERROR(__xludf.DUMMYFUNCTION("IF(
  TRIM(AD249)="""",
  0,
  COUNTA(
    SPLIT(
      REGEXREPLACE(AD249,""\s*,\s*"","",""),
      "",""
    )
  )
)"),4.0)</f>
        <v>4</v>
      </c>
    </row>
    <row r="250">
      <c r="A250" s="2" t="s">
        <v>3575</v>
      </c>
      <c r="B250" s="2" t="s">
        <v>3575</v>
      </c>
      <c r="C250" s="2" t="s">
        <v>3576</v>
      </c>
      <c r="D250" s="2" t="s">
        <v>3577</v>
      </c>
      <c r="E250" s="2">
        <v>1132.0</v>
      </c>
      <c r="F250" s="2">
        <v>71.0</v>
      </c>
      <c r="G250" s="2">
        <v>9.0</v>
      </c>
      <c r="H250" s="8" t="s">
        <v>3603</v>
      </c>
      <c r="I250" s="2" t="s">
        <v>3580</v>
      </c>
      <c r="K250" s="10">
        <v>45905.51417824074</v>
      </c>
      <c r="L250" s="2">
        <v>1.757074825E9</v>
      </c>
      <c r="M250" s="2" t="s">
        <v>47</v>
      </c>
      <c r="N250" s="2" t="s">
        <v>47</v>
      </c>
      <c r="O250" s="2" t="s">
        <v>47</v>
      </c>
      <c r="P250" s="2" t="s">
        <v>47</v>
      </c>
      <c r="Q250" s="2" t="s">
        <v>47</v>
      </c>
      <c r="R250" s="2" t="s">
        <v>3581</v>
      </c>
      <c r="S250" s="2" t="s">
        <v>3582</v>
      </c>
      <c r="T250" s="8" t="s">
        <v>3583</v>
      </c>
      <c r="U250" s="8" t="s">
        <v>3587</v>
      </c>
      <c r="V250" s="2" t="s">
        <v>3591</v>
      </c>
      <c r="W250" s="8" t="s">
        <v>3612</v>
      </c>
      <c r="X250" s="8" t="s">
        <v>3593</v>
      </c>
      <c r="Z250" s="2">
        <v>2928.0</v>
      </c>
      <c r="AA250" s="2">
        <v>227.0</v>
      </c>
      <c r="AB250" s="2">
        <v>816.0</v>
      </c>
      <c r="AC250" s="2">
        <v>32900.0</v>
      </c>
      <c r="AD250" s="2" t="s">
        <v>3594</v>
      </c>
      <c r="AE250" s="2" t="s">
        <v>3594</v>
      </c>
      <c r="AL250" s="6">
        <f>IFERROR(__xludf.DUMMYFUNCTION("IF(
  TRIM(AD250)="""",
  0,
  COUNTA(
    SPLIT(
      REGEXREPLACE(AD250,""\s*,\s*"","",""),
      "",""
    )
  )
)"),5.0)</f>
        <v>5</v>
      </c>
    </row>
    <row r="251">
      <c r="A251" s="2" t="s">
        <v>2789</v>
      </c>
      <c r="B251" s="2" t="s">
        <v>2789</v>
      </c>
      <c r="C251" s="2" t="s">
        <v>107</v>
      </c>
      <c r="D251" s="2" t="s">
        <v>108</v>
      </c>
      <c r="E251" s="2">
        <v>1300000.0</v>
      </c>
      <c r="F251" s="2">
        <v>93.0</v>
      </c>
      <c r="G251" s="2">
        <v>1698.0</v>
      </c>
      <c r="H251" s="8" t="s">
        <v>545</v>
      </c>
      <c r="I251" s="2" t="s">
        <v>2790</v>
      </c>
      <c r="K251" s="10">
        <v>45035.07034722222</v>
      </c>
      <c r="L251" s="2">
        <v>1.681868478E9</v>
      </c>
      <c r="M251" s="2" t="s">
        <v>47</v>
      </c>
      <c r="N251" s="2" t="s">
        <v>47</v>
      </c>
      <c r="O251" s="2" t="s">
        <v>47</v>
      </c>
      <c r="P251" s="2" t="s">
        <v>47</v>
      </c>
      <c r="Q251" s="2" t="s">
        <v>47</v>
      </c>
      <c r="R251" s="2" t="s">
        <v>2791</v>
      </c>
      <c r="S251" s="2" t="s">
        <v>2792</v>
      </c>
      <c r="T251" s="8" t="s">
        <v>2793</v>
      </c>
      <c r="U251" s="8" t="s">
        <v>3621</v>
      </c>
      <c r="V251" s="2" t="s">
        <v>2796</v>
      </c>
      <c r="W251" s="8" t="s">
        <v>3629</v>
      </c>
      <c r="X251" s="8" t="s">
        <v>2798</v>
      </c>
      <c r="Z251" s="2">
        <v>2918.0</v>
      </c>
      <c r="AA251" s="2">
        <v>22.0</v>
      </c>
      <c r="AB251" s="2">
        <v>340.0</v>
      </c>
      <c r="AC251" s="2">
        <v>51000.0</v>
      </c>
      <c r="AD251" s="2" t="s">
        <v>2803</v>
      </c>
      <c r="AE251" s="2" t="s">
        <v>2803</v>
      </c>
      <c r="AH251" s="2" t="s">
        <v>1560</v>
      </c>
      <c r="AL251" s="6">
        <f>IFERROR(__xludf.DUMMYFUNCTION("IF(
  TRIM(AD251)="""",
  0,
  COUNTA(
    SPLIT(
      REGEXREPLACE(AD251,""\s*,\s*"","",""),
      "",""
    )
  )
)"),4.0)</f>
        <v>4</v>
      </c>
    </row>
    <row r="252">
      <c r="A252" s="2" t="s">
        <v>3632</v>
      </c>
      <c r="B252" s="2" t="s">
        <v>3632</v>
      </c>
      <c r="C252" s="2" t="s">
        <v>3633</v>
      </c>
      <c r="D252" s="2" t="s">
        <v>3634</v>
      </c>
      <c r="E252" s="2">
        <v>179800.0</v>
      </c>
      <c r="F252" s="2">
        <v>1774.0</v>
      </c>
      <c r="G252" s="2">
        <v>2771.0</v>
      </c>
      <c r="H252" s="8" t="s">
        <v>3635</v>
      </c>
      <c r="I252" s="2" t="s">
        <v>3641</v>
      </c>
      <c r="K252" s="10">
        <v>45106.42369212963</v>
      </c>
      <c r="L252" s="2">
        <v>1.688033407E9</v>
      </c>
      <c r="M252" s="2" t="s">
        <v>47</v>
      </c>
      <c r="N252" s="2" t="s">
        <v>47</v>
      </c>
      <c r="O252" s="2" t="s">
        <v>47</v>
      </c>
      <c r="P252" s="2" t="s">
        <v>47</v>
      </c>
      <c r="Q252" s="2" t="s">
        <v>47</v>
      </c>
      <c r="R252" s="2" t="s">
        <v>48</v>
      </c>
      <c r="S252" s="2" t="s">
        <v>3644</v>
      </c>
      <c r="T252" s="8" t="s">
        <v>3645</v>
      </c>
      <c r="U252" s="8" t="s">
        <v>3647</v>
      </c>
      <c r="V252" s="2" t="s">
        <v>3634</v>
      </c>
      <c r="W252" s="8" t="s">
        <v>3650</v>
      </c>
      <c r="X252" s="8" t="s">
        <v>3656</v>
      </c>
      <c r="Z252" s="2">
        <v>2842.0</v>
      </c>
      <c r="AA252" s="2">
        <v>184.0</v>
      </c>
      <c r="AB252" s="2">
        <v>156.0</v>
      </c>
      <c r="AC252" s="2">
        <v>64400.0</v>
      </c>
      <c r="AD252" s="2" t="s">
        <v>3657</v>
      </c>
      <c r="AE252" s="2" t="s">
        <v>3658</v>
      </c>
      <c r="AL252" s="6">
        <f>IFERROR(__xludf.DUMMYFUNCTION("IF(
  TRIM(AD252)="""",
  0,
  COUNTA(
    SPLIT(
      REGEXREPLACE(AD252,""\s*,\s*"","",""),
      "",""
    )
  )
)"),34.0)</f>
        <v>34</v>
      </c>
    </row>
    <row r="253">
      <c r="A253" s="2" t="s">
        <v>3660</v>
      </c>
      <c r="B253" s="2" t="s">
        <v>3660</v>
      </c>
      <c r="C253" s="2" t="s">
        <v>3661</v>
      </c>
      <c r="D253" s="2" t="s">
        <v>3662</v>
      </c>
      <c r="E253" s="2">
        <v>113200.0</v>
      </c>
      <c r="F253" s="2">
        <v>2257.0</v>
      </c>
      <c r="G253" s="2">
        <v>265.0</v>
      </c>
      <c r="H253" s="8" t="s">
        <v>3663</v>
      </c>
      <c r="I253" s="2" t="s">
        <v>3665</v>
      </c>
      <c r="K253" s="10">
        <v>45018.17575231481</v>
      </c>
      <c r="L253" s="2">
        <v>1.680408785E9</v>
      </c>
      <c r="M253" s="2" t="s">
        <v>47</v>
      </c>
      <c r="N253" s="2" t="s">
        <v>47</v>
      </c>
      <c r="O253" s="2" t="s">
        <v>47</v>
      </c>
      <c r="P253" s="2" t="s">
        <v>47</v>
      </c>
      <c r="Q253" s="2" t="s">
        <v>47</v>
      </c>
      <c r="R253" s="2" t="s">
        <v>48</v>
      </c>
      <c r="S253" s="2" t="s">
        <v>3666</v>
      </c>
      <c r="T253" s="8" t="s">
        <v>3668</v>
      </c>
      <c r="U253" s="8" t="s">
        <v>3678</v>
      </c>
      <c r="V253" s="2" t="s">
        <v>3662</v>
      </c>
      <c r="W253" s="8" t="s">
        <v>3681</v>
      </c>
      <c r="X253" s="8" t="s">
        <v>3687</v>
      </c>
      <c r="Z253" s="2">
        <v>2752.0</v>
      </c>
      <c r="AA253" s="2">
        <v>49.0</v>
      </c>
      <c r="AB253" s="2">
        <v>1222.0</v>
      </c>
      <c r="AC253" s="2">
        <v>42700.0</v>
      </c>
      <c r="AD253" s="2" t="s">
        <v>3689</v>
      </c>
      <c r="AE253" s="2" t="s">
        <v>3690</v>
      </c>
      <c r="AH253" s="2" t="s">
        <v>121</v>
      </c>
      <c r="AL253" s="6">
        <f>IFERROR(__xludf.DUMMYFUNCTION("IF(
  TRIM(AD253)="""",
  0,
  COUNTA(
    SPLIT(
      REGEXREPLACE(AD253,""\s*,\s*"","",""),
      "",""
    )
  )
)"),53.0)</f>
        <v>53</v>
      </c>
    </row>
    <row r="254">
      <c r="A254" s="2" t="s">
        <v>3691</v>
      </c>
      <c r="B254" s="2" t="s">
        <v>3691</v>
      </c>
      <c r="C254" s="2" t="s">
        <v>123</v>
      </c>
      <c r="D254" s="2" t="s">
        <v>124</v>
      </c>
      <c r="E254" s="2">
        <v>252600.0</v>
      </c>
      <c r="F254" s="2">
        <v>353.0</v>
      </c>
      <c r="G254" s="2">
        <v>674.0</v>
      </c>
      <c r="H254" s="8" t="s">
        <v>125</v>
      </c>
      <c r="I254" s="2" t="s">
        <v>3692</v>
      </c>
      <c r="K254" s="10">
        <v>45782.63533564815</v>
      </c>
      <c r="L254" s="2">
        <v>1.746458093E9</v>
      </c>
      <c r="M254" s="2" t="s">
        <v>47</v>
      </c>
      <c r="N254" s="2" t="s">
        <v>47</v>
      </c>
      <c r="O254" s="2" t="s">
        <v>47</v>
      </c>
      <c r="P254" s="2" t="s">
        <v>47</v>
      </c>
      <c r="Q254" s="2" t="s">
        <v>47</v>
      </c>
      <c r="R254" s="2" t="s">
        <v>48</v>
      </c>
      <c r="S254" s="2" t="s">
        <v>3693</v>
      </c>
      <c r="T254" s="8" t="s">
        <v>3694</v>
      </c>
      <c r="U254" s="8" t="s">
        <v>738</v>
      </c>
      <c r="V254" s="2" t="s">
        <v>124</v>
      </c>
      <c r="W254" s="8" t="s">
        <v>3697</v>
      </c>
      <c r="X254" s="8" t="s">
        <v>3702</v>
      </c>
      <c r="Z254" s="2">
        <v>2697.0</v>
      </c>
      <c r="AA254" s="2">
        <v>204.0</v>
      </c>
      <c r="AB254" s="2">
        <v>324.0</v>
      </c>
      <c r="AC254" s="2">
        <v>26400.0</v>
      </c>
      <c r="AD254" s="2" t="s">
        <v>1394</v>
      </c>
      <c r="AE254" s="2" t="s">
        <v>1394</v>
      </c>
      <c r="AL254" s="6">
        <f>IFERROR(__xludf.DUMMYFUNCTION("IF(
  TRIM(AD254)="""",
  0,
  COUNTA(
    SPLIT(
      REGEXREPLACE(AD254,""\s*,\s*"","",""),
      "",""
    )
  )
)"),10.0)</f>
        <v>10</v>
      </c>
    </row>
    <row r="255">
      <c r="A255" s="2" t="s">
        <v>3564</v>
      </c>
      <c r="B255" s="2" t="s">
        <v>3564</v>
      </c>
      <c r="C255" s="2" t="s">
        <v>69</v>
      </c>
      <c r="D255" s="2" t="s">
        <v>70</v>
      </c>
      <c r="E255" s="2">
        <v>175800.0</v>
      </c>
      <c r="F255" s="2">
        <v>886.0</v>
      </c>
      <c r="G255" s="2">
        <v>767.0</v>
      </c>
      <c r="H255" s="8" t="s">
        <v>320</v>
      </c>
      <c r="I255" s="2" t="s">
        <v>3567</v>
      </c>
      <c r="K255" s="10">
        <v>45952.98164351852</v>
      </c>
      <c r="L255" s="2">
        <v>1.761176014E9</v>
      </c>
      <c r="M255" s="2" t="s">
        <v>47</v>
      </c>
      <c r="N255" s="2" t="s">
        <v>47</v>
      </c>
      <c r="O255" s="2" t="s">
        <v>47</v>
      </c>
      <c r="P255" s="2" t="s">
        <v>47</v>
      </c>
      <c r="Q255" s="2" t="s">
        <v>47</v>
      </c>
      <c r="R255" s="2" t="s">
        <v>48</v>
      </c>
      <c r="S255" s="2" t="s">
        <v>3569</v>
      </c>
      <c r="T255" s="8" t="s">
        <v>3704</v>
      </c>
      <c r="U255" s="8" t="s">
        <v>1052</v>
      </c>
      <c r="V255" s="2" t="s">
        <v>70</v>
      </c>
      <c r="W255" s="8" t="s">
        <v>3710</v>
      </c>
      <c r="X255" s="8" t="s">
        <v>3573</v>
      </c>
      <c r="Z255" s="2">
        <v>2667.0</v>
      </c>
      <c r="AA255" s="2">
        <v>49.0</v>
      </c>
      <c r="AB255" s="2">
        <v>522.0</v>
      </c>
      <c r="AC255" s="2">
        <v>22900.0</v>
      </c>
      <c r="AD255" s="2" t="s">
        <v>3574</v>
      </c>
      <c r="AE255" s="2" t="s">
        <v>3574</v>
      </c>
      <c r="AH255" s="2" t="s">
        <v>918</v>
      </c>
      <c r="AL255" s="6">
        <f>IFERROR(__xludf.DUMMYFUNCTION("IF(
  TRIM(AD255)="""",
  0,
  COUNTA(
    SPLIT(
      REGEXREPLACE(AD255,""\s*,\s*"","",""),
      "",""
    )
  )
)"),5.0)</f>
        <v>5</v>
      </c>
    </row>
    <row r="256">
      <c r="A256" s="2" t="s">
        <v>3720</v>
      </c>
      <c r="B256" s="2" t="s">
        <v>3720</v>
      </c>
      <c r="C256" s="2" t="s">
        <v>3721</v>
      </c>
      <c r="D256" s="2" t="s">
        <v>3722</v>
      </c>
      <c r="E256" s="2">
        <v>454.0</v>
      </c>
      <c r="F256" s="2">
        <v>2635.0</v>
      </c>
      <c r="G256" s="2">
        <v>368.0</v>
      </c>
      <c r="H256" s="8" t="s">
        <v>3723</v>
      </c>
      <c r="I256" s="2" t="s">
        <v>3726</v>
      </c>
      <c r="K256" s="10">
        <v>45420.511145833334</v>
      </c>
      <c r="L256" s="2">
        <v>1.715170563E9</v>
      </c>
      <c r="M256" s="2" t="s">
        <v>47</v>
      </c>
      <c r="N256" s="2" t="s">
        <v>47</v>
      </c>
      <c r="O256" s="2" t="s">
        <v>47</v>
      </c>
      <c r="P256" s="2" t="s">
        <v>47</v>
      </c>
      <c r="Q256" s="2" t="s">
        <v>47</v>
      </c>
      <c r="R256" s="2" t="s">
        <v>2791</v>
      </c>
      <c r="S256" s="2" t="s">
        <v>3727</v>
      </c>
      <c r="U256" s="8" t="s">
        <v>3728</v>
      </c>
      <c r="V256" s="2" t="s">
        <v>3730</v>
      </c>
      <c r="W256" s="8" t="s">
        <v>3732</v>
      </c>
      <c r="X256" s="8" t="s">
        <v>3741</v>
      </c>
      <c r="Z256" s="2">
        <v>2484.0</v>
      </c>
      <c r="AA256" s="2">
        <v>158.0</v>
      </c>
      <c r="AB256" s="2">
        <v>837.0</v>
      </c>
      <c r="AC256" s="2">
        <v>190900.0</v>
      </c>
      <c r="AD256" s="2" t="s">
        <v>3742</v>
      </c>
      <c r="AE256" s="2" t="s">
        <v>3742</v>
      </c>
      <c r="AL256" s="6">
        <f>IFERROR(__xludf.DUMMYFUNCTION("IF(
  TRIM(AD256)="""",
  0,
  COUNTA(
    SPLIT(
      REGEXREPLACE(AD256,""\s*,\s*"","",""),
      "",""
    )
  )
)"),11.0)</f>
        <v>11</v>
      </c>
    </row>
    <row r="257">
      <c r="A257" s="2" t="s">
        <v>3743</v>
      </c>
      <c r="B257" s="2" t="s">
        <v>3743</v>
      </c>
      <c r="C257" s="2" t="s">
        <v>3744</v>
      </c>
      <c r="D257" s="2" t="s">
        <v>3744</v>
      </c>
      <c r="E257" s="2">
        <v>8775.0</v>
      </c>
      <c r="F257" s="2">
        <v>736.0</v>
      </c>
      <c r="G257" s="2">
        <v>265.0</v>
      </c>
      <c r="H257" s="8" t="s">
        <v>3745</v>
      </c>
      <c r="I257" s="2" t="s">
        <v>3751</v>
      </c>
      <c r="K257" s="10">
        <v>45100.699270833335</v>
      </c>
      <c r="L257" s="2">
        <v>1.687538817E9</v>
      </c>
      <c r="M257" s="2" t="s">
        <v>47</v>
      </c>
      <c r="N257" s="2" t="s">
        <v>47</v>
      </c>
      <c r="O257" s="2" t="s">
        <v>47</v>
      </c>
      <c r="P257" s="2" t="s">
        <v>47</v>
      </c>
      <c r="Q257" s="2" t="s">
        <v>47</v>
      </c>
      <c r="R257" s="2" t="s">
        <v>3752</v>
      </c>
      <c r="S257" s="2" t="s">
        <v>3753</v>
      </c>
      <c r="T257" s="8" t="s">
        <v>3754</v>
      </c>
      <c r="U257" s="8" t="s">
        <v>3758</v>
      </c>
      <c r="V257" s="2" t="s">
        <v>3759</v>
      </c>
      <c r="W257" s="8" t="s">
        <v>3760</v>
      </c>
      <c r="X257" s="8" t="s">
        <v>3763</v>
      </c>
      <c r="Z257" s="2">
        <v>2290.0</v>
      </c>
      <c r="AA257" s="2">
        <v>53.0</v>
      </c>
      <c r="AB257" s="2">
        <v>521.0</v>
      </c>
      <c r="AC257" s="2">
        <v>67900.0</v>
      </c>
      <c r="AD257" s="2" t="s">
        <v>3770</v>
      </c>
      <c r="AE257" s="2" t="s">
        <v>3770</v>
      </c>
      <c r="AL257" s="6">
        <f>IFERROR(__xludf.DUMMYFUNCTION("IF(
  TRIM(AD257)="""",
  0,
  COUNTA(
    SPLIT(
      REGEXREPLACE(AD257,""\s*,\s*"","",""),
      "",""
    )
  )
)"),15.0)</f>
        <v>15</v>
      </c>
    </row>
    <row r="258">
      <c r="A258" s="2" t="s">
        <v>3651</v>
      </c>
      <c r="B258" s="2" t="s">
        <v>3651</v>
      </c>
      <c r="C258" s="2" t="s">
        <v>123</v>
      </c>
      <c r="D258" s="2" t="s">
        <v>124</v>
      </c>
      <c r="E258" s="2">
        <v>252600.0</v>
      </c>
      <c r="F258" s="2">
        <v>353.0</v>
      </c>
      <c r="G258" s="2">
        <v>674.0</v>
      </c>
      <c r="H258" s="8" t="s">
        <v>1619</v>
      </c>
      <c r="I258" s="2" t="s">
        <v>3653</v>
      </c>
      <c r="K258" s="10">
        <v>45807.59048611111</v>
      </c>
      <c r="L258" s="2">
        <v>1.748614218E9</v>
      </c>
      <c r="M258" s="2" t="s">
        <v>47</v>
      </c>
      <c r="N258" s="2" t="s">
        <v>47</v>
      </c>
      <c r="O258" s="2" t="s">
        <v>47</v>
      </c>
      <c r="P258" s="2" t="s">
        <v>47</v>
      </c>
      <c r="Q258" s="2" t="s">
        <v>47</v>
      </c>
      <c r="R258" s="2" t="s">
        <v>48</v>
      </c>
      <c r="S258" s="2" t="s">
        <v>3654</v>
      </c>
      <c r="T258" s="8" t="s">
        <v>3772</v>
      </c>
      <c r="U258" s="8" t="s">
        <v>738</v>
      </c>
      <c r="V258" s="2" t="s">
        <v>124</v>
      </c>
      <c r="W258" s="8" t="s">
        <v>3775</v>
      </c>
      <c r="X258" s="8" t="s">
        <v>3664</v>
      </c>
      <c r="Z258" s="2">
        <v>2252.0</v>
      </c>
      <c r="AA258" s="2">
        <v>40.0</v>
      </c>
      <c r="AB258" s="2">
        <v>373.0</v>
      </c>
      <c r="AC258" s="2">
        <v>18100.0</v>
      </c>
      <c r="AD258" s="2" t="s">
        <v>3667</v>
      </c>
      <c r="AE258" s="2" t="s">
        <v>3667</v>
      </c>
      <c r="AL258" s="6">
        <f>IFERROR(__xludf.DUMMYFUNCTION("IF(
  TRIM(AD258)="""",
  0,
  COUNTA(
    SPLIT(
      REGEXREPLACE(AD258,""\s*,\s*"","",""),
      "",""
    )
  )
)"),5.0)</f>
        <v>5</v>
      </c>
    </row>
    <row r="259">
      <c r="A259" s="2" t="s">
        <v>2804</v>
      </c>
      <c r="B259" s="2" t="s">
        <v>2804</v>
      </c>
      <c r="C259" s="2" t="s">
        <v>2805</v>
      </c>
      <c r="D259" s="2" t="s">
        <v>2806</v>
      </c>
      <c r="E259" s="2">
        <v>14200.0</v>
      </c>
      <c r="F259" s="2">
        <v>5489.0</v>
      </c>
      <c r="G259" s="2">
        <v>128.0</v>
      </c>
      <c r="H259" s="8" t="s">
        <v>3784</v>
      </c>
      <c r="I259" s="2" t="s">
        <v>2808</v>
      </c>
      <c r="J259" s="2" t="s">
        <v>2809</v>
      </c>
      <c r="K259" s="10">
        <v>45833.97054398148</v>
      </c>
      <c r="L259" s="2">
        <v>1.750893455E9</v>
      </c>
      <c r="M259" s="2" t="s">
        <v>47</v>
      </c>
      <c r="N259" s="2" t="s">
        <v>47</v>
      </c>
      <c r="O259" s="2" t="s">
        <v>47</v>
      </c>
      <c r="P259" s="2" t="s">
        <v>47</v>
      </c>
      <c r="Q259" s="2" t="s">
        <v>47</v>
      </c>
      <c r="R259" s="2" t="s">
        <v>2810</v>
      </c>
      <c r="S259" s="2" t="s">
        <v>2811</v>
      </c>
      <c r="T259" s="8" t="s">
        <v>2812</v>
      </c>
      <c r="U259" s="8" t="s">
        <v>3796</v>
      </c>
      <c r="V259" s="2" t="s">
        <v>2815</v>
      </c>
      <c r="W259" s="8" t="s">
        <v>3797</v>
      </c>
      <c r="X259" s="8" t="s">
        <v>2822</v>
      </c>
      <c r="Z259" s="2">
        <v>2227.0</v>
      </c>
      <c r="AA259" s="2">
        <v>61.0</v>
      </c>
      <c r="AB259" s="2">
        <v>511.0</v>
      </c>
      <c r="AC259" s="2">
        <v>47800.0</v>
      </c>
      <c r="AD259" s="2" t="s">
        <v>2825</v>
      </c>
      <c r="AE259" s="2" t="s">
        <v>2825</v>
      </c>
      <c r="AL259" s="6">
        <f>IFERROR(__xludf.DUMMYFUNCTION("IF(
  TRIM(AD259)="""",
  0,
  COUNTA(
    SPLIT(
      REGEXREPLACE(AD259,""\s*,\s*"","",""),
      "",""
    )
  )
)"),4.0)</f>
        <v>4</v>
      </c>
    </row>
    <row r="260">
      <c r="A260" s="2" t="s">
        <v>2015</v>
      </c>
      <c r="B260" s="2" t="s">
        <v>2015</v>
      </c>
      <c r="C260" s="2" t="s">
        <v>2016</v>
      </c>
      <c r="D260" s="2" t="s">
        <v>2017</v>
      </c>
      <c r="E260" s="2">
        <v>24100.0</v>
      </c>
      <c r="F260" s="2">
        <v>45.0</v>
      </c>
      <c r="G260" s="2">
        <v>263.0</v>
      </c>
      <c r="H260" s="8" t="s">
        <v>3468</v>
      </c>
      <c r="I260" s="2" t="s">
        <v>2023</v>
      </c>
      <c r="K260" s="10">
        <v>45118.604166666664</v>
      </c>
      <c r="L260" s="2">
        <v>1.6890858E9</v>
      </c>
      <c r="M260" s="2" t="s">
        <v>47</v>
      </c>
      <c r="N260" s="2" t="s">
        <v>47</v>
      </c>
      <c r="O260" s="2" t="s">
        <v>47</v>
      </c>
      <c r="P260" s="2" t="s">
        <v>47</v>
      </c>
      <c r="Q260" s="2" t="s">
        <v>47</v>
      </c>
      <c r="R260" s="2" t="s">
        <v>2024</v>
      </c>
      <c r="S260" s="2" t="s">
        <v>2025</v>
      </c>
      <c r="T260" s="8" t="s">
        <v>3809</v>
      </c>
      <c r="U260" s="8" t="s">
        <v>3812</v>
      </c>
      <c r="V260" s="2" t="s">
        <v>2017</v>
      </c>
      <c r="W260" s="8" t="s">
        <v>3818</v>
      </c>
      <c r="X260" s="8" t="s">
        <v>2034</v>
      </c>
      <c r="Z260" s="2">
        <v>2215.0</v>
      </c>
      <c r="AA260" s="2">
        <v>33.0</v>
      </c>
      <c r="AB260" s="2">
        <v>348.0</v>
      </c>
      <c r="AC260" s="2">
        <v>54100.0</v>
      </c>
      <c r="AD260" s="2" t="s">
        <v>2035</v>
      </c>
      <c r="AE260" s="2" t="s">
        <v>2035</v>
      </c>
      <c r="AL260" s="6">
        <f>IFERROR(__xludf.DUMMYFUNCTION("IF(
  TRIM(AD260)="""",
  0,
  COUNTA(
    SPLIT(
      REGEXREPLACE(AD260,""\s*,\s*"","",""),
      "",""
    )
  )
)"),3.0)</f>
        <v>3</v>
      </c>
    </row>
    <row r="261">
      <c r="A261" s="2" t="s">
        <v>3825</v>
      </c>
      <c r="B261" s="2" t="s">
        <v>3825</v>
      </c>
      <c r="C261" s="2" t="s">
        <v>3713</v>
      </c>
      <c r="D261" s="2" t="s">
        <v>3714</v>
      </c>
      <c r="E261" s="2">
        <v>1584.0</v>
      </c>
      <c r="F261" s="2">
        <v>6912.0</v>
      </c>
      <c r="G261" s="2">
        <v>91.0</v>
      </c>
      <c r="H261" s="8" t="s">
        <v>3826</v>
      </c>
      <c r="I261" s="2" t="s">
        <v>3830</v>
      </c>
      <c r="J261" s="2" t="s">
        <v>3831</v>
      </c>
      <c r="K261" s="10">
        <v>45845.84614583333</v>
      </c>
      <c r="L261" s="2">
        <v>1.751919507E9</v>
      </c>
      <c r="M261" s="2" t="s">
        <v>47</v>
      </c>
      <c r="N261" s="2" t="s">
        <v>47</v>
      </c>
      <c r="O261" s="2" t="s">
        <v>47</v>
      </c>
      <c r="P261" s="2" t="s">
        <v>47</v>
      </c>
      <c r="Q261" s="2" t="s">
        <v>47</v>
      </c>
      <c r="R261" s="2" t="s">
        <v>48</v>
      </c>
      <c r="S261" s="2" t="s">
        <v>3832</v>
      </c>
      <c r="T261" s="8" t="s">
        <v>3833</v>
      </c>
      <c r="U261" s="8" t="s">
        <v>3836</v>
      </c>
      <c r="V261" s="2" t="s">
        <v>3714</v>
      </c>
      <c r="W261" s="8" t="s">
        <v>3843</v>
      </c>
      <c r="X261" s="8" t="s">
        <v>3847</v>
      </c>
      <c r="Z261" s="2">
        <v>2206.0</v>
      </c>
      <c r="AA261" s="2">
        <v>239.0</v>
      </c>
      <c r="AB261" s="2">
        <v>92.0</v>
      </c>
      <c r="AC261" s="2">
        <v>24200.0</v>
      </c>
      <c r="AD261" s="2" t="s">
        <v>3849</v>
      </c>
      <c r="AE261" s="2" t="s">
        <v>3849</v>
      </c>
      <c r="AH261" s="2" t="s">
        <v>1560</v>
      </c>
      <c r="AL261" s="6">
        <f>IFERROR(__xludf.DUMMYFUNCTION("IF(
  TRIM(AD261)="""",
  0,
  COUNTA(
    SPLIT(
      REGEXREPLACE(AD261,""\s*,\s*"","",""),
      "",""
    )
  )
)"),12.0)</f>
        <v>12</v>
      </c>
    </row>
    <row r="262">
      <c r="A262" s="2" t="s">
        <v>1990</v>
      </c>
      <c r="B262" s="2" t="s">
        <v>1990</v>
      </c>
      <c r="C262" s="2" t="s">
        <v>1380</v>
      </c>
      <c r="D262" s="2" t="s">
        <v>1381</v>
      </c>
      <c r="E262" s="2">
        <v>13000.0</v>
      </c>
      <c r="F262" s="2">
        <v>8520.0</v>
      </c>
      <c r="G262" s="2">
        <v>225.0</v>
      </c>
      <c r="H262" s="8" t="s">
        <v>3850</v>
      </c>
      <c r="I262" s="2" t="s">
        <v>1993</v>
      </c>
      <c r="K262" s="10">
        <v>45183.54582175926</v>
      </c>
      <c r="L262" s="2">
        <v>1.694696759E9</v>
      </c>
      <c r="M262" s="2" t="s">
        <v>47</v>
      </c>
      <c r="N262" s="2" t="s">
        <v>47</v>
      </c>
      <c r="O262" s="2" t="s">
        <v>47</v>
      </c>
      <c r="P262" s="2" t="s">
        <v>47</v>
      </c>
      <c r="Q262" s="2" t="s">
        <v>47</v>
      </c>
      <c r="R262" s="2" t="s">
        <v>48</v>
      </c>
      <c r="S262" s="2" t="s">
        <v>1994</v>
      </c>
      <c r="T262" s="8" t="s">
        <v>3852</v>
      </c>
      <c r="U262" s="8" t="s">
        <v>1592</v>
      </c>
      <c r="V262" s="2" t="s">
        <v>1381</v>
      </c>
      <c r="W262" s="8" t="s">
        <v>3859</v>
      </c>
      <c r="X262" s="8" t="s">
        <v>2007</v>
      </c>
      <c r="Z262" s="2">
        <v>2149.0</v>
      </c>
      <c r="AA262" s="2">
        <v>54.0</v>
      </c>
      <c r="AB262" s="2">
        <v>168.0</v>
      </c>
      <c r="AC262" s="2">
        <v>42000.0</v>
      </c>
      <c r="AD262" s="2" t="s">
        <v>2012</v>
      </c>
      <c r="AE262" s="2" t="s">
        <v>2012</v>
      </c>
      <c r="AL262" s="6">
        <f>IFERROR(__xludf.DUMMYFUNCTION("IF(
  TRIM(AD262)="""",
  0,
  COUNTA(
    SPLIT(
      REGEXREPLACE(AD262,""\s*,\s*"","",""),
      "",""
    )
  )
)"),3.0)</f>
        <v>3</v>
      </c>
    </row>
    <row r="263">
      <c r="A263" s="2" t="s">
        <v>3865</v>
      </c>
      <c r="B263" s="2" t="s">
        <v>3865</v>
      </c>
      <c r="C263" s="2" t="s">
        <v>3866</v>
      </c>
      <c r="D263" s="2" t="s">
        <v>3866</v>
      </c>
      <c r="E263" s="2">
        <v>1469.0</v>
      </c>
      <c r="F263" s="2">
        <v>489.0</v>
      </c>
      <c r="G263" s="2">
        <v>70.0</v>
      </c>
      <c r="H263" s="8" t="s">
        <v>3867</v>
      </c>
      <c r="I263" s="2" t="s">
        <v>3871</v>
      </c>
      <c r="J263" s="2" t="s">
        <v>3872</v>
      </c>
      <c r="K263" s="10">
        <v>45177.74758101852</v>
      </c>
      <c r="L263" s="2">
        <v>1.694195791E9</v>
      </c>
      <c r="M263" s="2" t="s">
        <v>47</v>
      </c>
      <c r="N263" s="2" t="s">
        <v>47</v>
      </c>
      <c r="O263" s="2" t="s">
        <v>47</v>
      </c>
      <c r="P263" s="2" t="s">
        <v>47</v>
      </c>
      <c r="Q263" s="2" t="s">
        <v>47</v>
      </c>
      <c r="R263" s="2" t="s">
        <v>48</v>
      </c>
      <c r="S263" s="2" t="s">
        <v>3873</v>
      </c>
      <c r="T263" s="8" t="s">
        <v>3874</v>
      </c>
      <c r="U263" s="8" t="s">
        <v>3877</v>
      </c>
      <c r="V263" s="2" t="s">
        <v>3866</v>
      </c>
      <c r="W263" s="8" t="s">
        <v>3879</v>
      </c>
      <c r="X263" s="8" t="s">
        <v>3889</v>
      </c>
      <c r="Z263" s="2">
        <v>2142.0</v>
      </c>
      <c r="AA263" s="2">
        <v>64.0</v>
      </c>
      <c r="AB263" s="2">
        <v>731.0</v>
      </c>
      <c r="AC263" s="2">
        <v>56000.0</v>
      </c>
      <c r="AD263" s="2" t="s">
        <v>3890</v>
      </c>
      <c r="AE263" s="2" t="s">
        <v>3890</v>
      </c>
      <c r="AH263" s="2" t="s">
        <v>1560</v>
      </c>
      <c r="AL263" s="6">
        <f>IFERROR(__xludf.DUMMYFUNCTION("IF(
  TRIM(AD263)="""",
  0,
  COUNTA(
    SPLIT(
      REGEXREPLACE(AD263,""\s*,\s*"","",""),
      "",""
    )
  )
)"),7.0)</f>
        <v>7</v>
      </c>
    </row>
    <row r="264">
      <c r="A264" s="2" t="s">
        <v>3892</v>
      </c>
      <c r="B264" s="2" t="s">
        <v>3892</v>
      </c>
      <c r="C264" s="2" t="s">
        <v>819</v>
      </c>
      <c r="D264" s="2" t="s">
        <v>820</v>
      </c>
      <c r="E264" s="2">
        <v>135200.0</v>
      </c>
      <c r="F264" s="2">
        <v>30800.0</v>
      </c>
      <c r="G264" s="2">
        <v>263.0</v>
      </c>
      <c r="H264" s="8" t="s">
        <v>821</v>
      </c>
      <c r="I264" s="2" t="s">
        <v>3893</v>
      </c>
      <c r="J264" s="2" t="s">
        <v>3894</v>
      </c>
      <c r="K264" s="10">
        <v>45138.93769675926</v>
      </c>
      <c r="L264" s="2">
        <v>1.690842617E9</v>
      </c>
      <c r="M264" s="2" t="s">
        <v>47</v>
      </c>
      <c r="N264" s="2" t="s">
        <v>47</v>
      </c>
      <c r="O264" s="2" t="s">
        <v>47</v>
      </c>
      <c r="P264" s="2" t="s">
        <v>47</v>
      </c>
      <c r="Q264" s="2" t="s">
        <v>47</v>
      </c>
      <c r="R264" s="2" t="s">
        <v>48</v>
      </c>
      <c r="S264" s="2" t="s">
        <v>3895</v>
      </c>
      <c r="T264" s="8" t="s">
        <v>3896</v>
      </c>
      <c r="U264" s="8" t="s">
        <v>3903</v>
      </c>
      <c r="V264" s="2" t="s">
        <v>3904</v>
      </c>
      <c r="W264" s="8" t="s">
        <v>3905</v>
      </c>
      <c r="X264" s="8" t="s">
        <v>3910</v>
      </c>
      <c r="Z264" s="2">
        <v>2056.0</v>
      </c>
      <c r="AA264" s="2">
        <v>161.0</v>
      </c>
      <c r="AB264" s="2">
        <v>84.0</v>
      </c>
      <c r="AC264" s="2">
        <v>23400.0</v>
      </c>
      <c r="AD264" s="2" t="s">
        <v>3914</v>
      </c>
      <c r="AE264" s="2" t="s">
        <v>3915</v>
      </c>
      <c r="AH264" s="2" t="s">
        <v>1560</v>
      </c>
      <c r="AL264" s="6">
        <f>IFERROR(__xludf.DUMMYFUNCTION("IF(
  TRIM(AD264)="""",
  0,
  COUNTA(
    SPLIT(
      REGEXREPLACE(AD264,""\s*,\s*"","",""),
      "",""
    )
  )
)"),8.0)</f>
        <v>8</v>
      </c>
    </row>
    <row r="265">
      <c r="A265" s="2" t="s">
        <v>3916</v>
      </c>
      <c r="B265" s="2" t="s">
        <v>3916</v>
      </c>
      <c r="C265" s="2" t="s">
        <v>3917</v>
      </c>
      <c r="D265" s="2" t="s">
        <v>3918</v>
      </c>
      <c r="E265" s="2">
        <v>70800.0</v>
      </c>
      <c r="F265" s="2">
        <v>1684.0</v>
      </c>
      <c r="G265" s="2">
        <v>99.0</v>
      </c>
      <c r="H265" s="8" t="s">
        <v>3919</v>
      </c>
      <c r="I265" s="2" t="s">
        <v>3921</v>
      </c>
      <c r="J265" s="2" t="s">
        <v>3922</v>
      </c>
      <c r="K265" s="10">
        <v>45469.05553240741</v>
      </c>
      <c r="L265" s="2">
        <v>1.719364798E9</v>
      </c>
      <c r="M265" s="2" t="s">
        <v>47</v>
      </c>
      <c r="N265" s="2" t="s">
        <v>47</v>
      </c>
      <c r="O265" s="2" t="s">
        <v>47</v>
      </c>
      <c r="P265" s="2" t="s">
        <v>47</v>
      </c>
      <c r="Q265" s="2" t="s">
        <v>47</v>
      </c>
      <c r="R265" s="2" t="s">
        <v>48</v>
      </c>
      <c r="S265" s="2" t="s">
        <v>3923</v>
      </c>
      <c r="T265" s="8" t="s">
        <v>3924</v>
      </c>
      <c r="U265" s="8" t="s">
        <v>3931</v>
      </c>
      <c r="V265" s="2" t="s">
        <v>3918</v>
      </c>
      <c r="W265" s="8" t="s">
        <v>3933</v>
      </c>
      <c r="X265" s="8" t="s">
        <v>3944</v>
      </c>
      <c r="Z265" s="2">
        <v>1992.0</v>
      </c>
      <c r="AA265" s="2">
        <v>26.0</v>
      </c>
      <c r="AB265" s="2">
        <v>626.0</v>
      </c>
      <c r="AC265" s="2">
        <v>67300.0</v>
      </c>
      <c r="AD265" s="2" t="s">
        <v>3945</v>
      </c>
      <c r="AE265" s="2" t="s">
        <v>3945</v>
      </c>
      <c r="AH265" s="2" t="s">
        <v>274</v>
      </c>
      <c r="AL265" s="6">
        <f>IFERROR(__xludf.DUMMYFUNCTION("IF(
  TRIM(AD265)="""",
  0,
  COUNTA(
    SPLIT(
      REGEXREPLACE(AD265,""\s*,\s*"","",""),
      "",""
    )
  )
)"),4.0)</f>
        <v>4</v>
      </c>
    </row>
    <row r="266">
      <c r="A266" s="2" t="s">
        <v>3946</v>
      </c>
      <c r="B266" s="2" t="s">
        <v>3946</v>
      </c>
      <c r="C266" s="2" t="s">
        <v>3947</v>
      </c>
      <c r="D266" s="2" t="s">
        <v>3948</v>
      </c>
      <c r="E266" s="2">
        <v>6003.0</v>
      </c>
      <c r="F266" s="2">
        <v>480.0</v>
      </c>
      <c r="G266" s="2">
        <v>1131.0</v>
      </c>
      <c r="H266" s="8" t="s">
        <v>3949</v>
      </c>
      <c r="I266" s="2" t="s">
        <v>3957</v>
      </c>
      <c r="K266" s="10">
        <v>45731.550578703704</v>
      </c>
      <c r="L266" s="2">
        <v>1.74204437E9</v>
      </c>
      <c r="M266" s="2" t="s">
        <v>47</v>
      </c>
      <c r="N266" s="2" t="s">
        <v>47</v>
      </c>
      <c r="O266" s="2" t="s">
        <v>47</v>
      </c>
      <c r="P266" s="2" t="s">
        <v>47</v>
      </c>
      <c r="Q266" s="2" t="s">
        <v>47</v>
      </c>
      <c r="R266" s="2" t="s">
        <v>48</v>
      </c>
      <c r="S266" s="2" t="s">
        <v>3958</v>
      </c>
      <c r="T266" s="8" t="s">
        <v>3959</v>
      </c>
      <c r="U266" s="8" t="s">
        <v>3961</v>
      </c>
      <c r="V266" s="2" t="s">
        <v>3948</v>
      </c>
      <c r="W266" s="8" t="s">
        <v>3968</v>
      </c>
      <c r="X266" s="8" t="s">
        <v>3974</v>
      </c>
      <c r="Z266" s="2">
        <v>1933.0</v>
      </c>
      <c r="AA266" s="2">
        <v>78.0</v>
      </c>
      <c r="AB266" s="2">
        <v>310.0</v>
      </c>
      <c r="AC266" s="2">
        <v>73800.0</v>
      </c>
      <c r="AD266" s="2" t="s">
        <v>3980</v>
      </c>
      <c r="AE266" s="2" t="s">
        <v>3980</v>
      </c>
      <c r="AL266" s="6">
        <f>IFERROR(__xludf.DUMMYFUNCTION("IF(
  TRIM(AD266)="""",
  0,
  COUNTA(
    SPLIT(
      REGEXREPLACE(AD266,""\s*,\s*"","",""),
      "",""
    )
  )
)"),3.0)</f>
        <v>3</v>
      </c>
    </row>
    <row r="267">
      <c r="A267" s="2" t="s">
        <v>2838</v>
      </c>
      <c r="B267" s="2" t="s">
        <v>2838</v>
      </c>
      <c r="C267" s="2" t="s">
        <v>2839</v>
      </c>
      <c r="D267" s="2" t="s">
        <v>2839</v>
      </c>
      <c r="E267" s="2">
        <v>150600.0</v>
      </c>
      <c r="F267" s="2">
        <v>828.0</v>
      </c>
      <c r="G267" s="2">
        <v>1841.0</v>
      </c>
      <c r="H267" s="8" t="s">
        <v>3982</v>
      </c>
      <c r="I267" s="2" t="s">
        <v>2843</v>
      </c>
      <c r="K267" s="10">
        <v>45247.0896875</v>
      </c>
      <c r="L267" s="2">
        <v>1.700186949E9</v>
      </c>
      <c r="M267" s="2" t="s">
        <v>47</v>
      </c>
      <c r="N267" s="2" t="s">
        <v>47</v>
      </c>
      <c r="O267" s="2" t="s">
        <v>47</v>
      </c>
      <c r="P267" s="2" t="s">
        <v>47</v>
      </c>
      <c r="Q267" s="2" t="s">
        <v>47</v>
      </c>
      <c r="R267" s="2" t="s">
        <v>48</v>
      </c>
      <c r="S267" s="2" t="s">
        <v>2844</v>
      </c>
      <c r="T267" s="8" t="s">
        <v>3985</v>
      </c>
      <c r="U267" s="8" t="s">
        <v>3989</v>
      </c>
      <c r="V267" s="2" t="s">
        <v>2839</v>
      </c>
      <c r="W267" s="8" t="s">
        <v>3997</v>
      </c>
      <c r="X267" s="8" t="s">
        <v>2849</v>
      </c>
      <c r="Z267" s="2">
        <v>1827.0</v>
      </c>
      <c r="AA267" s="2">
        <v>44.0</v>
      </c>
      <c r="AB267" s="2">
        <v>218.0</v>
      </c>
      <c r="AC267" s="2">
        <v>52100.0</v>
      </c>
      <c r="AD267" s="2" t="s">
        <v>2854</v>
      </c>
      <c r="AE267" s="2" t="s">
        <v>2854</v>
      </c>
      <c r="AH267" s="2" t="s">
        <v>144</v>
      </c>
      <c r="AL267" s="6">
        <f>IFERROR(__xludf.DUMMYFUNCTION("IF(
  TRIM(AD267)="""",
  0,
  COUNTA(
    SPLIT(
      REGEXREPLACE(AD267,""\s*,\s*"","",""),
      "",""
    )
  )
)"),4.0)</f>
        <v>4</v>
      </c>
    </row>
    <row r="268">
      <c r="A268" s="2" t="s">
        <v>4008</v>
      </c>
      <c r="B268" s="2" t="s">
        <v>4008</v>
      </c>
      <c r="C268" s="2" t="s">
        <v>276</v>
      </c>
      <c r="D268" s="2" t="s">
        <v>277</v>
      </c>
      <c r="E268" s="2">
        <v>342900.0</v>
      </c>
      <c r="F268" s="2">
        <v>339.0</v>
      </c>
      <c r="G268" s="2">
        <v>487.0</v>
      </c>
      <c r="H268" s="8" t="s">
        <v>1061</v>
      </c>
      <c r="I268" s="2" t="s">
        <v>4009</v>
      </c>
      <c r="J268" s="2" t="s">
        <v>4010</v>
      </c>
      <c r="K268" s="10">
        <v>45665.00699074074</v>
      </c>
      <c r="L268" s="2">
        <v>1.736295004E9</v>
      </c>
      <c r="M268" s="2" t="s">
        <v>47</v>
      </c>
      <c r="N268" s="2" t="s">
        <v>47</v>
      </c>
      <c r="O268" s="2" t="s">
        <v>47</v>
      </c>
      <c r="P268" s="2" t="s">
        <v>47</v>
      </c>
      <c r="Q268" s="2" t="s">
        <v>47</v>
      </c>
      <c r="R268" s="2" t="s">
        <v>48</v>
      </c>
      <c r="S268" s="2" t="s">
        <v>4011</v>
      </c>
      <c r="T268" s="8" t="s">
        <v>4012</v>
      </c>
      <c r="U268" s="8" t="s">
        <v>290</v>
      </c>
      <c r="V268" s="2" t="s">
        <v>277</v>
      </c>
      <c r="W268" s="8" t="s">
        <v>4016</v>
      </c>
      <c r="X268" s="8" t="s">
        <v>4020</v>
      </c>
      <c r="Z268" s="2">
        <v>1826.0</v>
      </c>
      <c r="AA268" s="2">
        <v>50.0</v>
      </c>
      <c r="AB268" s="2">
        <v>278.0</v>
      </c>
      <c r="AC268" s="2">
        <v>24100.0</v>
      </c>
      <c r="AD268" s="2" t="s">
        <v>4021</v>
      </c>
      <c r="AE268" s="2" t="s">
        <v>4021</v>
      </c>
      <c r="AL268" s="6">
        <f>IFERROR(__xludf.DUMMYFUNCTION("IF(
  TRIM(AD268)="""",
  0,
  COUNTA(
    SPLIT(
      REGEXREPLACE(AD268,""\s*,\s*"","",""),
      "",""
    )
  )
)"),8.0)</f>
        <v>8</v>
      </c>
    </row>
    <row r="269">
      <c r="A269" s="2" t="s">
        <v>4022</v>
      </c>
      <c r="B269" s="2" t="s">
        <v>4022</v>
      </c>
      <c r="C269" s="2" t="s">
        <v>69</v>
      </c>
      <c r="D269" s="2" t="s">
        <v>70</v>
      </c>
      <c r="E269" s="2">
        <v>175800.0</v>
      </c>
      <c r="F269" s="2">
        <v>886.0</v>
      </c>
      <c r="G269" s="2">
        <v>767.0</v>
      </c>
      <c r="H269" s="8" t="s">
        <v>84</v>
      </c>
      <c r="I269" s="2" t="s">
        <v>4023</v>
      </c>
      <c r="K269" s="10">
        <v>45516.98856481481</v>
      </c>
      <c r="L269" s="2">
        <v>1.723506212E9</v>
      </c>
      <c r="M269" s="2" t="s">
        <v>47</v>
      </c>
      <c r="N269" s="2" t="s">
        <v>47</v>
      </c>
      <c r="O269" s="2" t="s">
        <v>47</v>
      </c>
      <c r="P269" s="2" t="s">
        <v>47</v>
      </c>
      <c r="Q269" s="2" t="s">
        <v>47</v>
      </c>
      <c r="R269" s="2" t="s">
        <v>352</v>
      </c>
      <c r="S269" s="2" t="s">
        <v>4024</v>
      </c>
      <c r="T269" s="8" t="s">
        <v>4025</v>
      </c>
      <c r="U269" s="8" t="s">
        <v>356</v>
      </c>
      <c r="V269" s="2" t="s">
        <v>358</v>
      </c>
      <c r="W269" s="8" t="s">
        <v>4027</v>
      </c>
      <c r="X269" s="8" t="s">
        <v>4029</v>
      </c>
      <c r="Z269" s="2">
        <v>1774.0</v>
      </c>
      <c r="AA269" s="2">
        <v>31.0</v>
      </c>
      <c r="AB269" s="2">
        <v>136.0</v>
      </c>
      <c r="AC269" s="2">
        <v>17200.0</v>
      </c>
      <c r="AD269" s="2" t="s">
        <v>4030</v>
      </c>
      <c r="AE269" s="2" t="s">
        <v>4030</v>
      </c>
      <c r="AL269" s="6">
        <f>IFERROR(__xludf.DUMMYFUNCTION("IF(
  TRIM(AD269)="""",
  0,
  COUNTA(
    SPLIT(
      REGEXREPLACE(AD269,""\s*,\s*"","",""),
      "",""
    )
  )
)"),5.0)</f>
        <v>5</v>
      </c>
    </row>
    <row r="270">
      <c r="A270" s="2" t="s">
        <v>4031</v>
      </c>
      <c r="B270" s="2" t="s">
        <v>4031</v>
      </c>
      <c r="C270" s="2" t="s">
        <v>920</v>
      </c>
      <c r="D270" s="2" t="s">
        <v>921</v>
      </c>
      <c r="E270" s="2">
        <v>296100.0</v>
      </c>
      <c r="F270" s="2">
        <v>1905.0</v>
      </c>
      <c r="G270" s="2">
        <v>1402.0</v>
      </c>
      <c r="H270" s="8" t="s">
        <v>1322</v>
      </c>
      <c r="I270" s="2" t="s">
        <v>4032</v>
      </c>
      <c r="K270" s="10">
        <v>45303.56390046296</v>
      </c>
      <c r="L270" s="2">
        <v>1.705066321E9</v>
      </c>
      <c r="M270" s="2" t="s">
        <v>47</v>
      </c>
      <c r="N270" s="2" t="s">
        <v>47</v>
      </c>
      <c r="O270" s="2" t="s">
        <v>47</v>
      </c>
      <c r="P270" s="2" t="s">
        <v>47</v>
      </c>
      <c r="Q270" s="2" t="s">
        <v>47</v>
      </c>
      <c r="R270" s="2" t="s">
        <v>2440</v>
      </c>
      <c r="S270" s="2" t="s">
        <v>2441</v>
      </c>
      <c r="T270" s="8" t="s">
        <v>2442</v>
      </c>
      <c r="U270" s="8" t="s">
        <v>2895</v>
      </c>
      <c r="V270" s="2" t="s">
        <v>2445</v>
      </c>
      <c r="W270" s="8" t="s">
        <v>4034</v>
      </c>
      <c r="X270" s="8" t="s">
        <v>4038</v>
      </c>
      <c r="Z270" s="2">
        <v>1734.0</v>
      </c>
      <c r="AA270" s="2">
        <v>39.0</v>
      </c>
      <c r="AB270" s="2">
        <v>220.0</v>
      </c>
      <c r="AC270" s="2">
        <v>28800.0</v>
      </c>
      <c r="AD270" s="2" t="s">
        <v>4039</v>
      </c>
      <c r="AE270" s="2" t="s">
        <v>4039</v>
      </c>
      <c r="AH270" s="2" t="s">
        <v>144</v>
      </c>
      <c r="AL270" s="6">
        <f>IFERROR(__xludf.DUMMYFUNCTION("IF(
  TRIM(AD270)="""",
  0,
  COUNTA(
    SPLIT(
      REGEXREPLACE(AD270,""\s*,\s*"","",""),
      "",""
    )
  )
)"),10.0)</f>
        <v>10</v>
      </c>
    </row>
    <row r="271">
      <c r="A271" s="2" t="s">
        <v>4041</v>
      </c>
      <c r="B271" s="2" t="s">
        <v>4041</v>
      </c>
      <c r="C271" s="2" t="s">
        <v>276</v>
      </c>
      <c r="D271" s="2" t="s">
        <v>277</v>
      </c>
      <c r="E271" s="2">
        <v>342900.0</v>
      </c>
      <c r="F271" s="2">
        <v>339.0</v>
      </c>
      <c r="G271" s="2">
        <v>487.0</v>
      </c>
      <c r="H271" s="8" t="s">
        <v>1061</v>
      </c>
      <c r="I271" s="2" t="s">
        <v>1848</v>
      </c>
      <c r="J271" s="2" t="s">
        <v>4042</v>
      </c>
      <c r="K271" s="10">
        <v>45679.127337962964</v>
      </c>
      <c r="L271" s="2">
        <v>1.737515002E9</v>
      </c>
      <c r="M271" s="2" t="s">
        <v>47</v>
      </c>
      <c r="N271" s="2" t="s">
        <v>47</v>
      </c>
      <c r="O271" s="2" t="s">
        <v>47</v>
      </c>
      <c r="P271" s="2" t="s">
        <v>47</v>
      </c>
      <c r="Q271" s="2" t="s">
        <v>47</v>
      </c>
      <c r="R271" s="2" t="s">
        <v>48</v>
      </c>
      <c r="S271" s="2" t="s">
        <v>4043</v>
      </c>
      <c r="T271" s="8" t="s">
        <v>4044</v>
      </c>
      <c r="U271" s="8" t="s">
        <v>538</v>
      </c>
      <c r="V271" s="2" t="s">
        <v>277</v>
      </c>
      <c r="W271" s="8" t="s">
        <v>4046</v>
      </c>
      <c r="X271" s="8" t="s">
        <v>4048</v>
      </c>
      <c r="Z271" s="2">
        <v>1702.0</v>
      </c>
      <c r="AA271" s="2">
        <v>25.0</v>
      </c>
      <c r="AB271" s="2">
        <v>164.0</v>
      </c>
      <c r="AC271" s="2">
        <v>23900.0</v>
      </c>
      <c r="AD271" s="2" t="s">
        <v>1859</v>
      </c>
      <c r="AE271" s="2" t="s">
        <v>1859</v>
      </c>
      <c r="AL271" s="6">
        <f>IFERROR(__xludf.DUMMYFUNCTION("IF(
  TRIM(AD271)="""",
  0,
  COUNTA(
    SPLIT(
      REGEXREPLACE(AD271,""\s*,\s*"","",""),
      "",""
    )
  )
)"),9.0)</f>
        <v>9</v>
      </c>
    </row>
    <row r="272">
      <c r="A272" s="2" t="s">
        <v>4050</v>
      </c>
      <c r="B272" s="2" t="s">
        <v>4050</v>
      </c>
      <c r="C272" s="2" t="s">
        <v>819</v>
      </c>
      <c r="D272" s="2" t="s">
        <v>820</v>
      </c>
      <c r="E272" s="2">
        <v>135200.0</v>
      </c>
      <c r="F272" s="2">
        <v>30800.0</v>
      </c>
      <c r="G272" s="2">
        <v>263.0</v>
      </c>
      <c r="H272" s="8" t="s">
        <v>958</v>
      </c>
      <c r="I272" s="2" t="s">
        <v>4051</v>
      </c>
      <c r="J272" s="2" t="s">
        <v>4052</v>
      </c>
      <c r="K272" s="10">
        <v>45206.665659722225</v>
      </c>
      <c r="L272" s="2">
        <v>1.696694313E9</v>
      </c>
      <c r="M272" s="2" t="s">
        <v>47</v>
      </c>
      <c r="N272" s="2" t="s">
        <v>47</v>
      </c>
      <c r="O272" s="2" t="s">
        <v>47</v>
      </c>
      <c r="P272" s="2" t="s">
        <v>47</v>
      </c>
      <c r="Q272" s="2" t="s">
        <v>47</v>
      </c>
      <c r="R272" s="2" t="s">
        <v>48</v>
      </c>
      <c r="S272" s="2" t="s">
        <v>4053</v>
      </c>
      <c r="T272" s="8" t="s">
        <v>4054</v>
      </c>
      <c r="U272" s="8" t="s">
        <v>827</v>
      </c>
      <c r="V272" s="2" t="s">
        <v>820</v>
      </c>
      <c r="W272" s="8" t="s">
        <v>4056</v>
      </c>
      <c r="X272" s="8" t="s">
        <v>4058</v>
      </c>
      <c r="Z272" s="2">
        <v>1638.0</v>
      </c>
      <c r="AA272" s="2">
        <v>49.0</v>
      </c>
      <c r="AB272" s="2">
        <v>87.0</v>
      </c>
      <c r="AC272" s="2">
        <v>20600.0</v>
      </c>
      <c r="AD272" s="2" t="s">
        <v>4059</v>
      </c>
      <c r="AE272" s="2" t="s">
        <v>4059</v>
      </c>
      <c r="AL272" s="6">
        <f>IFERROR(__xludf.DUMMYFUNCTION("IF(
  TRIM(AD272)="""",
  0,
  COUNTA(
    SPLIT(
      REGEXREPLACE(AD272,""\s*,\s*"","",""),
      "",""
    )
  )
)"),12.0)</f>
        <v>12</v>
      </c>
    </row>
    <row r="273">
      <c r="A273" s="2" t="s">
        <v>3669</v>
      </c>
      <c r="B273" s="2" t="s">
        <v>3669</v>
      </c>
      <c r="C273" s="2" t="s">
        <v>3416</v>
      </c>
      <c r="D273" s="2" t="s">
        <v>3417</v>
      </c>
      <c r="E273" s="2">
        <v>2150.0</v>
      </c>
      <c r="F273" s="2">
        <v>41.0</v>
      </c>
      <c r="G273" s="2">
        <v>198.0</v>
      </c>
      <c r="H273" s="8" t="s">
        <v>4060</v>
      </c>
      <c r="I273" s="2" t="s">
        <v>3670</v>
      </c>
      <c r="J273" s="2" t="s">
        <v>3671</v>
      </c>
      <c r="K273" s="10">
        <v>45948.626608796294</v>
      </c>
      <c r="L273" s="2">
        <v>1.760799739E9</v>
      </c>
      <c r="M273" s="2" t="s">
        <v>47</v>
      </c>
      <c r="N273" s="2" t="s">
        <v>47</v>
      </c>
      <c r="O273" s="2" t="s">
        <v>47</v>
      </c>
      <c r="P273" s="2" t="s">
        <v>47</v>
      </c>
      <c r="Q273" s="2" t="s">
        <v>47</v>
      </c>
      <c r="R273" s="2" t="s">
        <v>3672</v>
      </c>
      <c r="S273" s="2" t="s">
        <v>3673</v>
      </c>
      <c r="T273" s="8" t="s">
        <v>3674</v>
      </c>
      <c r="U273" s="8" t="s">
        <v>4062</v>
      </c>
      <c r="V273" s="2" t="s">
        <v>3676</v>
      </c>
      <c r="W273" s="8" t="s">
        <v>4063</v>
      </c>
      <c r="X273" s="8" t="s">
        <v>3679</v>
      </c>
      <c r="Z273" s="2">
        <v>1603.0</v>
      </c>
      <c r="AA273" s="2">
        <v>70.0</v>
      </c>
      <c r="AB273" s="2">
        <v>896.0</v>
      </c>
      <c r="AC273" s="2">
        <v>37300.0</v>
      </c>
      <c r="AD273" s="2" t="s">
        <v>3680</v>
      </c>
      <c r="AE273" s="2" t="s">
        <v>3680</v>
      </c>
      <c r="AL273" s="6">
        <f>IFERROR(__xludf.DUMMYFUNCTION("IF(
  TRIM(AD273)="""",
  0,
  COUNTA(
    SPLIT(
      REGEXREPLACE(AD273,""\s*,\s*"","",""),
      "",""
    )
  )
)"),5.0)</f>
        <v>5</v>
      </c>
    </row>
    <row r="274">
      <c r="A274" s="2" t="s">
        <v>3682</v>
      </c>
      <c r="B274" s="2" t="s">
        <v>3682</v>
      </c>
      <c r="C274" s="2" t="s">
        <v>1240</v>
      </c>
      <c r="D274" s="2" t="s">
        <v>1241</v>
      </c>
      <c r="E274" s="2">
        <v>13400.0</v>
      </c>
      <c r="F274" s="2">
        <v>173.0</v>
      </c>
      <c r="G274" s="2">
        <v>234.0</v>
      </c>
      <c r="H274" s="8" t="s">
        <v>4065</v>
      </c>
      <c r="I274" s="2" t="s">
        <v>3683</v>
      </c>
      <c r="K274" s="10">
        <v>45890.88719907407</v>
      </c>
      <c r="L274" s="2">
        <v>1.755811054E9</v>
      </c>
      <c r="M274" s="2" t="s">
        <v>47</v>
      </c>
      <c r="N274" s="2" t="s">
        <v>47</v>
      </c>
      <c r="O274" s="2" t="s">
        <v>47</v>
      </c>
      <c r="P274" s="2" t="s">
        <v>47</v>
      </c>
      <c r="Q274" s="2" t="s">
        <v>47</v>
      </c>
      <c r="R274" s="2" t="s">
        <v>48</v>
      </c>
      <c r="S274" s="2" t="s">
        <v>3684</v>
      </c>
      <c r="T274" s="8" t="s">
        <v>4066</v>
      </c>
      <c r="U274" s="8" t="s">
        <v>1247</v>
      </c>
      <c r="V274" s="2" t="s">
        <v>1241</v>
      </c>
      <c r="W274" s="8" t="s">
        <v>4069</v>
      </c>
      <c r="X274" s="8" t="s">
        <v>3695</v>
      </c>
      <c r="Z274" s="2">
        <v>1595.0</v>
      </c>
      <c r="AA274" s="2">
        <v>45.0</v>
      </c>
      <c r="AB274" s="2">
        <v>390.0</v>
      </c>
      <c r="AC274" s="2">
        <v>25100.0</v>
      </c>
      <c r="AD274" s="2" t="s">
        <v>1251</v>
      </c>
      <c r="AE274" s="2" t="s">
        <v>1251</v>
      </c>
      <c r="AL274" s="6">
        <f>IFERROR(__xludf.DUMMYFUNCTION("IF(
  TRIM(AD274)="""",
  0,
  COUNTA(
    SPLIT(
      REGEXREPLACE(AD274,""\s*,\s*"","",""),
      "",""
    )
  )
)"),5.0)</f>
        <v>5</v>
      </c>
    </row>
    <row r="275">
      <c r="A275" s="2" t="s">
        <v>4074</v>
      </c>
      <c r="B275" s="2" t="s">
        <v>4074</v>
      </c>
      <c r="C275" s="2" t="s">
        <v>123</v>
      </c>
      <c r="D275" s="2" t="s">
        <v>124</v>
      </c>
      <c r="E275" s="2">
        <v>252600.0</v>
      </c>
      <c r="F275" s="2">
        <v>353.0</v>
      </c>
      <c r="G275" s="2">
        <v>674.0</v>
      </c>
      <c r="H275" s="8" t="s">
        <v>1619</v>
      </c>
      <c r="I275" s="2" t="s">
        <v>4075</v>
      </c>
      <c r="K275" s="10">
        <v>45790.51219907407</v>
      </c>
      <c r="L275" s="2">
        <v>1.747138654E9</v>
      </c>
      <c r="M275" s="2" t="s">
        <v>47</v>
      </c>
      <c r="N275" s="2" t="s">
        <v>47</v>
      </c>
      <c r="O275" s="2" t="s">
        <v>47</v>
      </c>
      <c r="P275" s="2" t="s">
        <v>47</v>
      </c>
      <c r="Q275" s="2" t="s">
        <v>47</v>
      </c>
      <c r="R275" s="2" t="s">
        <v>48</v>
      </c>
      <c r="S275" s="2" t="s">
        <v>4076</v>
      </c>
      <c r="T275" s="8" t="s">
        <v>4077</v>
      </c>
      <c r="U275" s="8" t="s">
        <v>738</v>
      </c>
      <c r="V275" s="2" t="s">
        <v>124</v>
      </c>
      <c r="W275" s="8" t="s">
        <v>4081</v>
      </c>
      <c r="X275" s="8" t="s">
        <v>4084</v>
      </c>
      <c r="Z275" s="2">
        <v>1446.0</v>
      </c>
      <c r="AA275" s="2">
        <v>29.0</v>
      </c>
      <c r="AB275" s="2">
        <v>204.0</v>
      </c>
      <c r="AC275" s="2">
        <v>14900.0</v>
      </c>
      <c r="AD275" s="2" t="s">
        <v>1394</v>
      </c>
      <c r="AE275" s="2" t="s">
        <v>1394</v>
      </c>
      <c r="AL275" s="6">
        <f>IFERROR(__xludf.DUMMYFUNCTION("IF(
  TRIM(AD275)="""",
  0,
  COUNTA(
    SPLIT(
      REGEXREPLACE(AD275,""\s*,\s*"","",""),
      "",""
    )
  )
)"),10.0)</f>
        <v>10</v>
      </c>
    </row>
    <row r="276">
      <c r="A276" s="2" t="s">
        <v>4085</v>
      </c>
      <c r="B276" s="2" t="s">
        <v>4085</v>
      </c>
      <c r="C276" s="2" t="s">
        <v>3661</v>
      </c>
      <c r="D276" s="2" t="s">
        <v>3662</v>
      </c>
      <c r="E276" s="2">
        <v>113200.0</v>
      </c>
      <c r="F276" s="2">
        <v>2257.0</v>
      </c>
      <c r="G276" s="2">
        <v>265.0</v>
      </c>
      <c r="H276" s="8" t="s">
        <v>4086</v>
      </c>
      <c r="I276" s="2" t="s">
        <v>4089</v>
      </c>
      <c r="K276" s="10">
        <v>45033.60690972222</v>
      </c>
      <c r="L276" s="2">
        <v>1.681742037E9</v>
      </c>
      <c r="M276" s="2" t="s">
        <v>47</v>
      </c>
      <c r="N276" s="2" t="s">
        <v>47</v>
      </c>
      <c r="O276" s="2" t="s">
        <v>47</v>
      </c>
      <c r="P276" s="2" t="s">
        <v>47</v>
      </c>
      <c r="Q276" s="2" t="s">
        <v>47</v>
      </c>
      <c r="R276" s="2" t="s">
        <v>48</v>
      </c>
      <c r="S276" s="2" t="s">
        <v>4090</v>
      </c>
      <c r="T276" s="8" t="s">
        <v>4091</v>
      </c>
      <c r="U276" s="8" t="s">
        <v>3678</v>
      </c>
      <c r="V276" s="2" t="s">
        <v>3662</v>
      </c>
      <c r="W276" s="8" t="s">
        <v>4093</v>
      </c>
      <c r="X276" s="8" t="s">
        <v>4095</v>
      </c>
      <c r="Z276" s="2">
        <v>1436.0</v>
      </c>
      <c r="AA276" s="2">
        <v>20.0</v>
      </c>
      <c r="AB276" s="2">
        <v>678.0</v>
      </c>
      <c r="AC276" s="2">
        <v>29900.0</v>
      </c>
      <c r="AD276" s="2" t="s">
        <v>4096</v>
      </c>
      <c r="AE276" s="2" t="s">
        <v>4097</v>
      </c>
      <c r="AL276" s="6">
        <f>IFERROR(__xludf.DUMMYFUNCTION("IF(
  TRIM(AD276)="""",
  0,
  COUNTA(
    SPLIT(
      REGEXREPLACE(AD276,""\s*,\s*"","",""),
      "",""
    )
  )
)"),73.0)</f>
        <v>73</v>
      </c>
    </row>
    <row r="277">
      <c r="A277" s="2" t="s">
        <v>4098</v>
      </c>
      <c r="B277" s="2" t="s">
        <v>4098</v>
      </c>
      <c r="C277" s="2" t="s">
        <v>4099</v>
      </c>
      <c r="D277" s="2" t="s">
        <v>4100</v>
      </c>
      <c r="E277" s="2">
        <v>230800.0</v>
      </c>
      <c r="F277" s="2">
        <v>32600.0</v>
      </c>
      <c r="G277" s="2">
        <v>141.0</v>
      </c>
      <c r="H277" s="8" t="s">
        <v>4102</v>
      </c>
      <c r="I277" s="2" t="s">
        <v>4106</v>
      </c>
      <c r="K277" s="10">
        <v>45471.99491898148</v>
      </c>
      <c r="L277" s="2">
        <v>1.719618761E9</v>
      </c>
      <c r="M277" s="2" t="s">
        <v>47</v>
      </c>
      <c r="N277" s="2" t="s">
        <v>47</v>
      </c>
      <c r="O277" s="2" t="s">
        <v>47</v>
      </c>
      <c r="P277" s="2" t="s">
        <v>47</v>
      </c>
      <c r="Q277" s="2" t="s">
        <v>47</v>
      </c>
      <c r="R277" s="2" t="s">
        <v>48</v>
      </c>
      <c r="S277" s="2" t="s">
        <v>4107</v>
      </c>
      <c r="T277" s="8" t="s">
        <v>4108</v>
      </c>
      <c r="U277" s="8" t="s">
        <v>4110</v>
      </c>
      <c r="V277" s="2" t="s">
        <v>4100</v>
      </c>
      <c r="W277" s="8" t="s">
        <v>4113</v>
      </c>
      <c r="X277" s="8" t="s">
        <v>4115</v>
      </c>
      <c r="Z277" s="2">
        <v>1359.0</v>
      </c>
      <c r="AA277" s="2">
        <v>18.0</v>
      </c>
      <c r="AB277" s="2">
        <v>135.0</v>
      </c>
      <c r="AC277" s="2">
        <v>45600.0</v>
      </c>
      <c r="AD277" s="2" t="s">
        <v>4117</v>
      </c>
      <c r="AE277" s="2" t="s">
        <v>4117</v>
      </c>
      <c r="AL277" s="6">
        <f>IFERROR(__xludf.DUMMYFUNCTION("IF(
  TRIM(AD277)="""",
  0,
  COUNTA(
    SPLIT(
      REGEXREPLACE(AD277,""\s*,\s*"","",""),
      "",""
    )
  )
)"),6.0)</f>
        <v>6</v>
      </c>
    </row>
    <row r="278">
      <c r="A278" s="2" t="s">
        <v>4118</v>
      </c>
      <c r="B278" s="2" t="s">
        <v>4118</v>
      </c>
      <c r="C278" s="2" t="s">
        <v>4119</v>
      </c>
      <c r="D278" s="2" t="s">
        <v>4120</v>
      </c>
      <c r="E278" s="2">
        <v>304.0</v>
      </c>
      <c r="F278" s="2">
        <v>0.0</v>
      </c>
      <c r="G278" s="2">
        <v>8.0</v>
      </c>
      <c r="H278" s="8" t="s">
        <v>4121</v>
      </c>
      <c r="I278" s="2" t="s">
        <v>4122</v>
      </c>
      <c r="K278" s="10">
        <v>45169.85800925926</v>
      </c>
      <c r="L278" s="2">
        <v>1.693514132E9</v>
      </c>
      <c r="M278" s="2" t="s">
        <v>47</v>
      </c>
      <c r="N278" s="2" t="s">
        <v>47</v>
      </c>
      <c r="O278" s="2" t="s">
        <v>47</v>
      </c>
      <c r="P278" s="2" t="s">
        <v>47</v>
      </c>
      <c r="Q278" s="2" t="s">
        <v>47</v>
      </c>
      <c r="R278" s="2" t="s">
        <v>2571</v>
      </c>
      <c r="S278" s="2" t="s">
        <v>2572</v>
      </c>
      <c r="T278" s="8" t="s">
        <v>2573</v>
      </c>
      <c r="U278" s="8" t="s">
        <v>2575</v>
      </c>
      <c r="V278" s="2" t="s">
        <v>2576</v>
      </c>
      <c r="W278" s="8" t="s">
        <v>4123</v>
      </c>
      <c r="X278" s="8" t="s">
        <v>4125</v>
      </c>
      <c r="Z278" s="2">
        <v>1355.0</v>
      </c>
      <c r="AA278" s="2">
        <v>18.0</v>
      </c>
      <c r="AB278" s="2">
        <v>153.0</v>
      </c>
      <c r="AC278" s="2">
        <v>32100.0</v>
      </c>
      <c r="AD278" s="2" t="s">
        <v>4126</v>
      </c>
      <c r="AE278" s="2" t="s">
        <v>4126</v>
      </c>
      <c r="AL278" s="6">
        <f>IFERROR(__xludf.DUMMYFUNCTION("IF(
  TRIM(AD278)="""",
  0,
  COUNTA(
    SPLIT(
      REGEXREPLACE(AD278,""\s*,\s*"","",""),
      "",""
    )
  )
)"),6.0)</f>
        <v>6</v>
      </c>
    </row>
    <row r="279">
      <c r="A279" s="2" t="s">
        <v>2052</v>
      </c>
      <c r="B279" s="2" t="s">
        <v>2052</v>
      </c>
      <c r="C279" s="2" t="s">
        <v>920</v>
      </c>
      <c r="D279" s="2" t="s">
        <v>921</v>
      </c>
      <c r="E279" s="2">
        <v>296100.0</v>
      </c>
      <c r="F279" s="2">
        <v>1905.0</v>
      </c>
      <c r="G279" s="2">
        <v>1402.0</v>
      </c>
      <c r="H279" s="8" t="s">
        <v>1322</v>
      </c>
      <c r="I279" s="2" t="s">
        <v>2053</v>
      </c>
      <c r="K279" s="10">
        <v>45906.91465277778</v>
      </c>
      <c r="L279" s="2">
        <v>1.757195826E9</v>
      </c>
      <c r="M279" s="2" t="s">
        <v>47</v>
      </c>
      <c r="N279" s="2" t="s">
        <v>47</v>
      </c>
      <c r="O279" s="2" t="s">
        <v>47</v>
      </c>
      <c r="P279" s="2" t="s">
        <v>47</v>
      </c>
      <c r="Q279" s="2" t="s">
        <v>47</v>
      </c>
      <c r="R279" s="2" t="s">
        <v>1282</v>
      </c>
      <c r="S279" s="2" t="s">
        <v>2054</v>
      </c>
      <c r="T279" s="8" t="s">
        <v>4127</v>
      </c>
      <c r="U279" s="8" t="s">
        <v>1233</v>
      </c>
      <c r="V279" s="2" t="s">
        <v>921</v>
      </c>
      <c r="W279" s="8" t="s">
        <v>4132</v>
      </c>
      <c r="X279" s="8" t="s">
        <v>2069</v>
      </c>
      <c r="Z279" s="2">
        <v>1284.0</v>
      </c>
      <c r="AA279" s="2">
        <v>11.0</v>
      </c>
      <c r="AB279" s="2">
        <v>434.0</v>
      </c>
      <c r="AC279" s="2">
        <v>28800.0</v>
      </c>
      <c r="AD279" s="2" t="s">
        <v>1289</v>
      </c>
      <c r="AE279" s="2" t="s">
        <v>1289</v>
      </c>
      <c r="AL279" s="6">
        <f>IFERROR(__xludf.DUMMYFUNCTION("IF(
  TRIM(AD279)="""",
  0,
  COUNTA(
    SPLIT(
      REGEXREPLACE(AD279,""\s*,\s*"","",""),
      "",""
    )
  )
)"),3.0)</f>
        <v>3</v>
      </c>
    </row>
    <row r="280">
      <c r="A280" s="2" t="s">
        <v>4137</v>
      </c>
      <c r="B280" s="2" t="s">
        <v>4137</v>
      </c>
      <c r="C280" s="2" t="s">
        <v>678</v>
      </c>
      <c r="D280" s="2" t="s">
        <v>679</v>
      </c>
      <c r="E280" s="2">
        <v>131000.0</v>
      </c>
      <c r="F280" s="2">
        <v>518.0</v>
      </c>
      <c r="G280" s="2">
        <v>468.0</v>
      </c>
      <c r="H280" s="8" t="s">
        <v>680</v>
      </c>
      <c r="I280" s="2" t="s">
        <v>4138</v>
      </c>
      <c r="J280" s="2" t="s">
        <v>4139</v>
      </c>
      <c r="K280" s="10">
        <v>45088.99099537037</v>
      </c>
      <c r="L280" s="2">
        <v>1.686527222E9</v>
      </c>
      <c r="M280" s="2" t="s">
        <v>47</v>
      </c>
      <c r="N280" s="2" t="s">
        <v>47</v>
      </c>
      <c r="O280" s="2" t="s">
        <v>47</v>
      </c>
      <c r="P280" s="2" t="s">
        <v>47</v>
      </c>
      <c r="Q280" s="2" t="s">
        <v>47</v>
      </c>
      <c r="R280" s="2" t="s">
        <v>4140</v>
      </c>
      <c r="S280" s="2" t="s">
        <v>4141</v>
      </c>
      <c r="U280" s="8" t="s">
        <v>4142</v>
      </c>
      <c r="V280" s="2" t="s">
        <v>4144</v>
      </c>
      <c r="W280" s="8" t="s">
        <v>4145</v>
      </c>
      <c r="X280" s="8" t="s">
        <v>4147</v>
      </c>
      <c r="Z280" s="2">
        <v>1171.0</v>
      </c>
      <c r="AA280" s="2">
        <v>5.0</v>
      </c>
      <c r="AB280" s="2">
        <v>151.0</v>
      </c>
      <c r="AC280" s="2">
        <v>26900.0</v>
      </c>
      <c r="AD280" s="2" t="s">
        <v>4149</v>
      </c>
      <c r="AE280" s="2" t="s">
        <v>4149</v>
      </c>
      <c r="AL280" s="6">
        <f>IFERROR(__xludf.DUMMYFUNCTION("IF(
  TRIM(AD280)="""",
  0,
  COUNTA(
    SPLIT(
      REGEXREPLACE(AD280,""\s*,\s*"","",""),
      "",""
    )
  )
)"),8.0)</f>
        <v>8</v>
      </c>
    </row>
    <row r="281">
      <c r="A281" s="2" t="s">
        <v>4153</v>
      </c>
      <c r="B281" s="2" t="s">
        <v>4153</v>
      </c>
      <c r="C281" s="2" t="s">
        <v>4154</v>
      </c>
      <c r="D281" s="2" t="s">
        <v>4155</v>
      </c>
      <c r="E281" s="2">
        <v>6172.0</v>
      </c>
      <c r="F281" s="2">
        <v>2549.0</v>
      </c>
      <c r="G281" s="2">
        <v>211.0</v>
      </c>
      <c r="H281" s="8" t="s">
        <v>4156</v>
      </c>
      <c r="I281" s="2" t="s">
        <v>4161</v>
      </c>
      <c r="K281" s="10">
        <v>45304.82938657407</v>
      </c>
      <c r="L281" s="2">
        <v>1.705175659E9</v>
      </c>
      <c r="M281" s="2" t="s">
        <v>47</v>
      </c>
      <c r="N281" s="2" t="s">
        <v>47</v>
      </c>
      <c r="O281" s="2" t="s">
        <v>47</v>
      </c>
      <c r="P281" s="2" t="s">
        <v>47</v>
      </c>
      <c r="Q281" s="2" t="s">
        <v>47</v>
      </c>
      <c r="R281" s="2" t="s">
        <v>48</v>
      </c>
      <c r="S281" s="2" t="s">
        <v>4162</v>
      </c>
      <c r="T281" s="8" t="s">
        <v>4163</v>
      </c>
      <c r="U281" s="8" t="s">
        <v>4165</v>
      </c>
      <c r="V281" s="2" t="s">
        <v>4155</v>
      </c>
      <c r="W281" s="8" t="s">
        <v>4167</v>
      </c>
      <c r="X281" s="8" t="s">
        <v>4172</v>
      </c>
      <c r="Z281" s="2">
        <v>1082.0</v>
      </c>
      <c r="AA281" s="2">
        <v>80.0</v>
      </c>
      <c r="AB281" s="2">
        <v>676.0</v>
      </c>
      <c r="AC281" s="2">
        <v>40200.0</v>
      </c>
      <c r="AD281" s="2" t="s">
        <v>4173</v>
      </c>
      <c r="AE281" s="2" t="s">
        <v>4173</v>
      </c>
      <c r="AL281" s="6">
        <f>IFERROR(__xludf.DUMMYFUNCTION("IF(
  TRIM(AD281)="""",
  0,
  COUNTA(
    SPLIT(
      REGEXREPLACE(AD281,""\s*,\s*"","",""),
      "",""
    )
  )
)"),13.0)</f>
        <v>13</v>
      </c>
    </row>
    <row r="282">
      <c r="A282" s="2" t="s">
        <v>2855</v>
      </c>
      <c r="B282" s="2" t="s">
        <v>2855</v>
      </c>
      <c r="C282" s="2" t="s">
        <v>69</v>
      </c>
      <c r="D282" s="2" t="s">
        <v>70</v>
      </c>
      <c r="E282" s="2">
        <v>175800.0</v>
      </c>
      <c r="F282" s="2">
        <v>886.0</v>
      </c>
      <c r="G282" s="2">
        <v>767.0</v>
      </c>
      <c r="H282" s="8" t="s">
        <v>84</v>
      </c>
      <c r="I282" s="2" t="s">
        <v>2856</v>
      </c>
      <c r="K282" s="10">
        <v>45500.01641203704</v>
      </c>
      <c r="L282" s="2">
        <v>1.722039818E9</v>
      </c>
      <c r="M282" s="2" t="s">
        <v>47</v>
      </c>
      <c r="N282" s="2" t="s">
        <v>47</v>
      </c>
      <c r="O282" s="2" t="s">
        <v>47</v>
      </c>
      <c r="P282" s="2" t="s">
        <v>47</v>
      </c>
      <c r="Q282" s="2" t="s">
        <v>47</v>
      </c>
      <c r="R282" s="2" t="s">
        <v>352</v>
      </c>
      <c r="S282" s="2" t="s">
        <v>2857</v>
      </c>
      <c r="T282" s="8" t="s">
        <v>4176</v>
      </c>
      <c r="U282" s="8" t="s">
        <v>356</v>
      </c>
      <c r="V282" s="2" t="s">
        <v>358</v>
      </c>
      <c r="W282" s="8" t="s">
        <v>4178</v>
      </c>
      <c r="X282" s="8" t="s">
        <v>2865</v>
      </c>
      <c r="Z282" s="2">
        <v>1037.0</v>
      </c>
      <c r="AA282" s="2">
        <v>8.0</v>
      </c>
      <c r="AB282" s="2">
        <v>97.0</v>
      </c>
      <c r="AC282" s="2">
        <v>15800.0</v>
      </c>
      <c r="AD282" s="2" t="s">
        <v>2866</v>
      </c>
      <c r="AE282" s="2" t="s">
        <v>2866</v>
      </c>
      <c r="AL282" s="6">
        <f>IFERROR(__xludf.DUMMYFUNCTION("IF(
  TRIM(AD282)="""",
  0,
  COUNTA(
    SPLIT(
      REGEXREPLACE(AD282,""\s*,\s*"","",""),
      "",""
    )
  )
)"),4.0)</f>
        <v>4</v>
      </c>
    </row>
    <row r="283">
      <c r="A283" s="2" t="s">
        <v>4181</v>
      </c>
      <c r="B283" s="2" t="s">
        <v>4181</v>
      </c>
      <c r="C283" s="2" t="s">
        <v>2463</v>
      </c>
      <c r="D283" s="2" t="s">
        <v>2463</v>
      </c>
      <c r="E283" s="2">
        <v>19000.0</v>
      </c>
      <c r="F283" s="2">
        <v>526.0</v>
      </c>
      <c r="G283" s="2">
        <v>169.0</v>
      </c>
      <c r="H283" s="8" t="s">
        <v>2464</v>
      </c>
      <c r="I283" s="2" t="s">
        <v>4182</v>
      </c>
      <c r="J283" s="2" t="s">
        <v>4183</v>
      </c>
      <c r="K283" s="10">
        <v>45521.088784722226</v>
      </c>
      <c r="L283" s="2">
        <v>1.723860471E9</v>
      </c>
      <c r="M283" s="2" t="s">
        <v>47</v>
      </c>
      <c r="N283" s="2" t="s">
        <v>47</v>
      </c>
      <c r="O283" s="2" t="s">
        <v>47</v>
      </c>
      <c r="P283" s="2" t="s">
        <v>47</v>
      </c>
      <c r="Q283" s="2" t="s">
        <v>47</v>
      </c>
      <c r="R283" s="2" t="s">
        <v>48</v>
      </c>
      <c r="S283" s="2" t="s">
        <v>4184</v>
      </c>
      <c r="T283" s="8" t="s">
        <v>4185</v>
      </c>
      <c r="U283" s="8" t="s">
        <v>2477</v>
      </c>
      <c r="V283" s="2" t="s">
        <v>2463</v>
      </c>
      <c r="W283" s="8" t="s">
        <v>4188</v>
      </c>
      <c r="X283" s="8" t="s">
        <v>4193</v>
      </c>
      <c r="Z283" s="2">
        <v>984.0</v>
      </c>
      <c r="AA283" s="2">
        <v>12.0</v>
      </c>
      <c r="AB283" s="2">
        <v>106.0</v>
      </c>
      <c r="AC283" s="2">
        <v>27600.0</v>
      </c>
      <c r="AD283" s="2" t="s">
        <v>4195</v>
      </c>
      <c r="AE283" s="2" t="s">
        <v>4197</v>
      </c>
      <c r="AL283" s="6">
        <f>IFERROR(__xludf.DUMMYFUNCTION("IF(
  TRIM(AD283)="""",
  0,
  COUNTA(
    SPLIT(
      REGEXREPLACE(AD283,""\s*,\s*"","",""),
      "",""
    )
  )
)"),15.0)</f>
        <v>15</v>
      </c>
    </row>
    <row r="284">
      <c r="A284" s="2" t="s">
        <v>2095</v>
      </c>
      <c r="B284" s="2" t="s">
        <v>2095</v>
      </c>
      <c r="C284" s="2" t="s">
        <v>987</v>
      </c>
      <c r="D284" s="2" t="s">
        <v>988</v>
      </c>
      <c r="E284" s="2">
        <v>155300.0</v>
      </c>
      <c r="F284" s="2">
        <v>65100.0</v>
      </c>
      <c r="G284" s="2">
        <v>1013.0</v>
      </c>
      <c r="H284" s="8" t="s">
        <v>1271</v>
      </c>
      <c r="I284" s="2" t="s">
        <v>2096</v>
      </c>
      <c r="K284" s="10">
        <v>45833.66894675926</v>
      </c>
      <c r="L284" s="2">
        <v>1.750867397E9</v>
      </c>
      <c r="M284" s="2" t="s">
        <v>47</v>
      </c>
      <c r="N284" s="2" t="s">
        <v>47</v>
      </c>
      <c r="O284" s="2" t="s">
        <v>47</v>
      </c>
      <c r="P284" s="2" t="s">
        <v>47</v>
      </c>
      <c r="Q284" s="2" t="s">
        <v>47</v>
      </c>
      <c r="R284" s="2" t="s">
        <v>204</v>
      </c>
      <c r="S284" s="2" t="s">
        <v>2097</v>
      </c>
      <c r="T284" s="8" t="s">
        <v>4200</v>
      </c>
      <c r="U284" s="8" t="s">
        <v>4202</v>
      </c>
      <c r="V284" s="2" t="s">
        <v>2106</v>
      </c>
      <c r="W284" s="8" t="s">
        <v>4204</v>
      </c>
      <c r="X284" s="8" t="s">
        <v>2110</v>
      </c>
      <c r="Z284" s="2">
        <v>934.0</v>
      </c>
      <c r="AA284" s="2">
        <v>51.0</v>
      </c>
      <c r="AB284" s="2">
        <v>132.0</v>
      </c>
      <c r="AC284" s="2">
        <v>29000.0</v>
      </c>
      <c r="AD284" s="2" t="s">
        <v>1003</v>
      </c>
      <c r="AE284" s="2" t="s">
        <v>1003</v>
      </c>
      <c r="AL284" s="6">
        <f>IFERROR(__xludf.DUMMYFUNCTION("IF(
  TRIM(AD284)="""",
  0,
  COUNTA(
    SPLIT(
      REGEXREPLACE(AD284,""\s*,\s*"","",""),
      "",""
    )
  )
)"),3.0)</f>
        <v>3</v>
      </c>
    </row>
    <row r="285">
      <c r="A285" s="2" t="s">
        <v>2122</v>
      </c>
      <c r="B285" s="2" t="s">
        <v>2122</v>
      </c>
      <c r="C285" s="2" t="s">
        <v>1362</v>
      </c>
      <c r="D285" s="2" t="s">
        <v>1362</v>
      </c>
      <c r="E285" s="2">
        <v>6477.0</v>
      </c>
      <c r="F285" s="2">
        <v>52.0</v>
      </c>
      <c r="G285" s="2">
        <v>50.0</v>
      </c>
      <c r="H285" s="8" t="s">
        <v>4206</v>
      </c>
      <c r="I285" s="2" t="s">
        <v>2124</v>
      </c>
      <c r="K285" s="10">
        <v>45631.835497685184</v>
      </c>
      <c r="L285" s="2">
        <v>1.733428987E9</v>
      </c>
      <c r="M285" s="2" t="s">
        <v>47</v>
      </c>
      <c r="N285" s="2" t="s">
        <v>47</v>
      </c>
      <c r="O285" s="2" t="s">
        <v>47</v>
      </c>
      <c r="P285" s="2" t="s">
        <v>47</v>
      </c>
      <c r="Q285" s="2" t="s">
        <v>47</v>
      </c>
      <c r="R285" s="2" t="s">
        <v>48</v>
      </c>
      <c r="S285" s="2" t="s">
        <v>2128</v>
      </c>
      <c r="T285" s="8" t="s">
        <v>4210</v>
      </c>
      <c r="U285" s="8" t="s">
        <v>4211</v>
      </c>
      <c r="V285" s="2" t="s">
        <v>1362</v>
      </c>
      <c r="W285" s="8" t="s">
        <v>4213</v>
      </c>
      <c r="X285" s="8" t="s">
        <v>2138</v>
      </c>
      <c r="Z285" s="2">
        <v>899.0</v>
      </c>
      <c r="AA285" s="2">
        <v>80.0</v>
      </c>
      <c r="AB285" s="2">
        <v>291.0</v>
      </c>
      <c r="AC285" s="2">
        <v>55800.0</v>
      </c>
      <c r="AD285" s="2" t="s">
        <v>1378</v>
      </c>
      <c r="AE285" s="2" t="s">
        <v>1378</v>
      </c>
      <c r="AL285" s="6">
        <f>IFERROR(__xludf.DUMMYFUNCTION("IF(
  TRIM(AD285)="""",
  0,
  COUNTA(
    SPLIT(
      REGEXREPLACE(AD285,""\s*,\s*"","",""),
      "",""
    )
  )
)"),3.0)</f>
        <v>3</v>
      </c>
    </row>
    <row r="286">
      <c r="A286" s="2" t="s">
        <v>4214</v>
      </c>
      <c r="B286" s="2" t="s">
        <v>4214</v>
      </c>
      <c r="C286" s="2" t="s">
        <v>920</v>
      </c>
      <c r="D286" s="2" t="s">
        <v>921</v>
      </c>
      <c r="E286" s="2">
        <v>296100.0</v>
      </c>
      <c r="F286" s="2">
        <v>1905.0</v>
      </c>
      <c r="G286" s="2">
        <v>1402.0</v>
      </c>
      <c r="H286" s="8" t="s">
        <v>922</v>
      </c>
      <c r="I286" s="2" t="s">
        <v>4215</v>
      </c>
      <c r="K286" s="10">
        <v>45261.02210648148</v>
      </c>
      <c r="L286" s="2">
        <v>1.70139071E9</v>
      </c>
      <c r="M286" s="2" t="s">
        <v>47</v>
      </c>
      <c r="N286" s="2" t="s">
        <v>47</v>
      </c>
      <c r="O286" s="2" t="s">
        <v>47</v>
      </c>
      <c r="P286" s="2" t="s">
        <v>47</v>
      </c>
      <c r="Q286" s="2" t="s">
        <v>47</v>
      </c>
      <c r="R286" s="12" t="s">
        <v>4216</v>
      </c>
      <c r="S286" s="2" t="s">
        <v>4217</v>
      </c>
      <c r="T286" s="8" t="s">
        <v>4218</v>
      </c>
      <c r="U286" s="8" t="s">
        <v>4221</v>
      </c>
      <c r="V286" s="12" t="s">
        <v>4222</v>
      </c>
      <c r="W286" s="8" t="s">
        <v>4223</v>
      </c>
      <c r="X286" s="8" t="s">
        <v>4228</v>
      </c>
      <c r="Z286" s="2">
        <v>794.0</v>
      </c>
      <c r="AA286" s="2">
        <v>28.0</v>
      </c>
      <c r="AB286" s="2">
        <v>46.0</v>
      </c>
      <c r="AC286" s="2">
        <v>30000.0</v>
      </c>
      <c r="AD286" s="2" t="s">
        <v>4230</v>
      </c>
      <c r="AE286" s="2" t="s">
        <v>4230</v>
      </c>
      <c r="AL286" s="6">
        <f>IFERROR(__xludf.DUMMYFUNCTION("IF(
  TRIM(AD286)="""",
  0,
  COUNTA(
    SPLIT(
      REGEXREPLACE(AD286,""\s*,\s*"","",""),
      "",""
    )
  )
)"),5.0)</f>
        <v>5</v>
      </c>
    </row>
    <row r="287">
      <c r="A287" s="2" t="s">
        <v>4231</v>
      </c>
      <c r="B287" s="2" t="s">
        <v>4231</v>
      </c>
      <c r="C287" s="2" t="s">
        <v>1362</v>
      </c>
      <c r="D287" s="2" t="s">
        <v>1362</v>
      </c>
      <c r="E287" s="2">
        <v>6477.0</v>
      </c>
      <c r="F287" s="2">
        <v>52.0</v>
      </c>
      <c r="G287" s="2">
        <v>50.0</v>
      </c>
      <c r="H287" s="8" t="s">
        <v>4206</v>
      </c>
      <c r="I287" s="2" t="s">
        <v>4232</v>
      </c>
      <c r="K287" s="10">
        <v>45646.87782407407</v>
      </c>
      <c r="L287" s="2">
        <v>1.734728644E9</v>
      </c>
      <c r="M287" s="2" t="s">
        <v>47</v>
      </c>
      <c r="N287" s="2" t="s">
        <v>47</v>
      </c>
      <c r="O287" s="2" t="s">
        <v>47</v>
      </c>
      <c r="P287" s="2" t="s">
        <v>47</v>
      </c>
      <c r="Q287" s="2" t="s">
        <v>47</v>
      </c>
      <c r="R287" s="2" t="s">
        <v>48</v>
      </c>
      <c r="S287" s="2" t="s">
        <v>4233</v>
      </c>
      <c r="T287" s="8" t="s">
        <v>4235</v>
      </c>
      <c r="U287" s="8" t="s">
        <v>4211</v>
      </c>
      <c r="V287" s="2" t="s">
        <v>1362</v>
      </c>
      <c r="W287" s="8" t="s">
        <v>4236</v>
      </c>
      <c r="X287" s="8" t="s">
        <v>4244</v>
      </c>
      <c r="Z287" s="2">
        <v>783.0</v>
      </c>
      <c r="AA287" s="2">
        <v>17.0</v>
      </c>
      <c r="AB287" s="2">
        <v>136.0</v>
      </c>
      <c r="AC287" s="2">
        <v>34500.0</v>
      </c>
      <c r="AD287" s="2" t="s">
        <v>1378</v>
      </c>
      <c r="AE287" s="2" t="s">
        <v>1378</v>
      </c>
      <c r="AL287" s="6">
        <f>IFERROR(__xludf.DUMMYFUNCTION("IF(
  TRIM(AD287)="""",
  0,
  COUNTA(
    SPLIT(
      REGEXREPLACE(AD287,""\s*,\s*"","",""),
      "",""
    )
  )
)"),3.0)</f>
        <v>3</v>
      </c>
    </row>
    <row r="288">
      <c r="A288" s="2" t="s">
        <v>4245</v>
      </c>
      <c r="B288" s="2" t="s">
        <v>4245</v>
      </c>
      <c r="C288" s="2" t="s">
        <v>4246</v>
      </c>
      <c r="D288" s="2" t="s">
        <v>4246</v>
      </c>
      <c r="E288" s="2">
        <v>479.0</v>
      </c>
      <c r="F288" s="2">
        <v>126.0</v>
      </c>
      <c r="G288" s="2">
        <v>19.0</v>
      </c>
      <c r="H288" s="8" t="s">
        <v>4247</v>
      </c>
      <c r="I288" s="2" t="s">
        <v>4249</v>
      </c>
      <c r="K288" s="10">
        <v>45866.588854166665</v>
      </c>
      <c r="L288" s="2">
        <v>1.753711677E9</v>
      </c>
      <c r="M288" s="2" t="s">
        <v>47</v>
      </c>
      <c r="N288" s="2" t="s">
        <v>47</v>
      </c>
      <c r="O288" s="2" t="s">
        <v>47</v>
      </c>
      <c r="P288" s="2" t="s">
        <v>47</v>
      </c>
      <c r="Q288" s="2" t="s">
        <v>47</v>
      </c>
      <c r="R288" s="2" t="s">
        <v>48</v>
      </c>
      <c r="S288" s="2" t="s">
        <v>4250</v>
      </c>
      <c r="T288" s="8" t="s">
        <v>4251</v>
      </c>
      <c r="U288" s="8" t="s">
        <v>4253</v>
      </c>
      <c r="V288" s="2" t="s">
        <v>4246</v>
      </c>
      <c r="W288" s="8" t="s">
        <v>4254</v>
      </c>
      <c r="X288" s="8" t="s">
        <v>4261</v>
      </c>
      <c r="Z288" s="2">
        <v>760.0</v>
      </c>
      <c r="AA288" s="2">
        <v>44.0</v>
      </c>
      <c r="AB288" s="2">
        <v>134.0</v>
      </c>
      <c r="AC288" s="2">
        <v>15400.0</v>
      </c>
      <c r="AD288" s="2" t="s">
        <v>4262</v>
      </c>
      <c r="AE288" s="2" t="s">
        <v>4262</v>
      </c>
      <c r="AL288" s="6">
        <f>IFERROR(__xludf.DUMMYFUNCTION("IF(
  TRIM(AD288)="""",
  0,
  COUNTA(
    SPLIT(
      REGEXREPLACE(AD288,""\s*,\s*"","",""),
      "",""
    )
  )
)"),11.0)</f>
        <v>11</v>
      </c>
    </row>
    <row r="289">
      <c r="A289" s="2" t="s">
        <v>4263</v>
      </c>
      <c r="B289" s="2" t="s">
        <v>4263</v>
      </c>
      <c r="C289" s="2" t="s">
        <v>2016</v>
      </c>
      <c r="D289" s="2" t="s">
        <v>2017</v>
      </c>
      <c r="E289" s="2">
        <v>24100.0</v>
      </c>
      <c r="F289" s="2">
        <v>45.0</v>
      </c>
      <c r="G289" s="2">
        <v>263.0</v>
      </c>
      <c r="H289" s="8" t="s">
        <v>4264</v>
      </c>
      <c r="I289" s="2" t="s">
        <v>4265</v>
      </c>
      <c r="K289" s="10">
        <v>45007.5721875</v>
      </c>
      <c r="L289" s="2">
        <v>1.679492637E9</v>
      </c>
      <c r="M289" s="2" t="s">
        <v>47</v>
      </c>
      <c r="N289" s="2" t="s">
        <v>47</v>
      </c>
      <c r="O289" s="2" t="s">
        <v>47</v>
      </c>
      <c r="P289" s="2" t="s">
        <v>47</v>
      </c>
      <c r="Q289" s="2" t="s">
        <v>47</v>
      </c>
      <c r="R289" s="2" t="s">
        <v>2024</v>
      </c>
      <c r="S289" s="2" t="s">
        <v>4266</v>
      </c>
      <c r="T289" s="8" t="s">
        <v>4267</v>
      </c>
      <c r="U289" s="8" t="s">
        <v>3812</v>
      </c>
      <c r="V289" s="2" t="s">
        <v>2017</v>
      </c>
      <c r="W289" s="8" t="s">
        <v>4269</v>
      </c>
      <c r="X289" s="8" t="s">
        <v>4277</v>
      </c>
      <c r="Z289" s="2">
        <v>758.0</v>
      </c>
      <c r="AA289" s="2">
        <v>16.0</v>
      </c>
      <c r="AB289" s="2">
        <v>174.0</v>
      </c>
      <c r="AC289" s="2">
        <v>43000.0</v>
      </c>
      <c r="AD289" s="2" t="s">
        <v>4282</v>
      </c>
      <c r="AE289" s="2" t="s">
        <v>4282</v>
      </c>
      <c r="AH289" s="2" t="s">
        <v>97</v>
      </c>
      <c r="AL289" s="6">
        <f>IFERROR(__xludf.DUMMYFUNCTION("IF(
  TRIM(AD289)="""",
  0,
  COUNTA(
    SPLIT(
      REGEXREPLACE(AD289,""\s*,\s*"","",""),
      "",""
    )
  )
)"),3.0)</f>
        <v>3</v>
      </c>
    </row>
    <row r="290">
      <c r="A290" s="2" t="s">
        <v>4283</v>
      </c>
      <c r="B290" s="2" t="s">
        <v>4283</v>
      </c>
      <c r="C290" s="2" t="s">
        <v>4284</v>
      </c>
      <c r="D290" s="2" t="s">
        <v>4285</v>
      </c>
      <c r="E290" s="2">
        <v>64.0</v>
      </c>
      <c r="F290" s="2">
        <v>1.0</v>
      </c>
      <c r="G290" s="2">
        <v>9.0</v>
      </c>
      <c r="H290" s="8" t="s">
        <v>4286</v>
      </c>
      <c r="I290" s="2" t="s">
        <v>4290</v>
      </c>
      <c r="J290" s="2" t="s">
        <v>4291</v>
      </c>
      <c r="K290" s="10">
        <v>45077.63564814815</v>
      </c>
      <c r="L290" s="2">
        <v>1.68554612E9</v>
      </c>
      <c r="M290" s="2" t="s">
        <v>47</v>
      </c>
      <c r="N290" s="2" t="s">
        <v>47</v>
      </c>
      <c r="O290" s="2" t="s">
        <v>47</v>
      </c>
      <c r="P290" s="2" t="s">
        <v>47</v>
      </c>
      <c r="Q290" s="2" t="s">
        <v>47</v>
      </c>
      <c r="R290" s="2" t="s">
        <v>48</v>
      </c>
      <c r="S290" s="2" t="s">
        <v>4292</v>
      </c>
      <c r="T290" s="8" t="s">
        <v>4293</v>
      </c>
      <c r="U290" s="8" t="s">
        <v>4300</v>
      </c>
      <c r="V290" s="2" t="s">
        <v>4285</v>
      </c>
      <c r="W290" s="8" t="s">
        <v>4301</v>
      </c>
      <c r="X290" s="8" t="s">
        <v>4303</v>
      </c>
      <c r="Z290" s="2">
        <v>673.0</v>
      </c>
      <c r="AA290" s="2">
        <v>40.0</v>
      </c>
      <c r="AB290" s="2">
        <v>113.0</v>
      </c>
      <c r="AC290" s="2">
        <v>22500.0</v>
      </c>
      <c r="AD290" s="2" t="s">
        <v>4305</v>
      </c>
      <c r="AE290" s="2" t="s">
        <v>4305</v>
      </c>
      <c r="AL290" s="6">
        <f>IFERROR(__xludf.DUMMYFUNCTION("IF(
  TRIM(AD290)="""",
  0,
  COUNTA(
    SPLIT(
      REGEXREPLACE(AD290,""\s*,\s*"","",""),
      "",""
    )
  )
)"),5.0)</f>
        <v>5</v>
      </c>
    </row>
    <row r="291">
      <c r="A291" s="2" t="s">
        <v>2867</v>
      </c>
      <c r="B291" s="2" t="s">
        <v>2867</v>
      </c>
      <c r="C291" s="2" t="s">
        <v>2868</v>
      </c>
      <c r="D291" s="2" t="s">
        <v>2869</v>
      </c>
      <c r="E291" s="2">
        <v>676.0</v>
      </c>
      <c r="F291" s="2">
        <v>440.0</v>
      </c>
      <c r="G291" s="2">
        <v>49.0</v>
      </c>
      <c r="H291" s="8" t="s">
        <v>4306</v>
      </c>
      <c r="I291" s="2" t="s">
        <v>2873</v>
      </c>
      <c r="K291" s="10">
        <v>45637.931180555555</v>
      </c>
      <c r="L291" s="2">
        <v>1.733955654E9</v>
      </c>
      <c r="M291" s="2" t="s">
        <v>47</v>
      </c>
      <c r="N291" s="2" t="s">
        <v>47</v>
      </c>
      <c r="O291" s="2" t="s">
        <v>47</v>
      </c>
      <c r="P291" s="2" t="s">
        <v>47</v>
      </c>
      <c r="Q291" s="2" t="s">
        <v>47</v>
      </c>
      <c r="R291" s="2" t="s">
        <v>2875</v>
      </c>
      <c r="S291" s="2" t="s">
        <v>2876</v>
      </c>
      <c r="T291" s="8" t="s">
        <v>2877</v>
      </c>
      <c r="U291" s="8" t="s">
        <v>2881</v>
      </c>
      <c r="V291" s="2" t="s">
        <v>2882</v>
      </c>
      <c r="W291" s="8" t="s">
        <v>4309</v>
      </c>
      <c r="X291" s="8" t="s">
        <v>2885</v>
      </c>
      <c r="Z291" s="2">
        <v>662.0</v>
      </c>
      <c r="AA291" s="2">
        <v>8.0</v>
      </c>
      <c r="AB291" s="2">
        <v>278.0</v>
      </c>
      <c r="AC291" s="2">
        <v>112400.0</v>
      </c>
      <c r="AD291" s="2" t="s">
        <v>2887</v>
      </c>
      <c r="AE291" s="2" t="s">
        <v>2887</v>
      </c>
      <c r="AL291" s="6">
        <f>IFERROR(__xludf.DUMMYFUNCTION("IF(
  TRIM(AD291)="""",
  0,
  COUNTA(
    SPLIT(
      REGEXREPLACE(AD291,""\s*,\s*"","",""),
      "",""
    )
  )
)"),4.0)</f>
        <v>4</v>
      </c>
    </row>
    <row r="292">
      <c r="A292" s="2" t="s">
        <v>4311</v>
      </c>
      <c r="B292" s="2" t="s">
        <v>4311</v>
      </c>
      <c r="C292" s="2" t="s">
        <v>239</v>
      </c>
      <c r="D292" s="2" t="s">
        <v>239</v>
      </c>
      <c r="E292" s="2">
        <v>29300.0</v>
      </c>
      <c r="F292" s="2">
        <v>135.0</v>
      </c>
      <c r="G292" s="2">
        <v>74.0</v>
      </c>
      <c r="H292" s="8" t="s">
        <v>240</v>
      </c>
      <c r="I292" s="2" t="s">
        <v>4312</v>
      </c>
      <c r="K292" s="10">
        <v>45112.649189814816</v>
      </c>
      <c r="L292" s="2">
        <v>1.68857129E9</v>
      </c>
      <c r="M292" s="2" t="s">
        <v>47</v>
      </c>
      <c r="N292" s="2" t="s">
        <v>47</v>
      </c>
      <c r="O292" s="2" t="s">
        <v>47</v>
      </c>
      <c r="P292" s="2" t="s">
        <v>47</v>
      </c>
      <c r="Q292" s="2" t="s">
        <v>47</v>
      </c>
      <c r="R292" s="2" t="s">
        <v>48</v>
      </c>
      <c r="S292" s="2" t="s">
        <v>4314</v>
      </c>
      <c r="T292" s="8" t="s">
        <v>4315</v>
      </c>
      <c r="U292" s="8" t="s">
        <v>4317</v>
      </c>
      <c r="V292" s="2" t="s">
        <v>239</v>
      </c>
      <c r="W292" s="8" t="s">
        <v>4318</v>
      </c>
      <c r="X292" s="8" t="s">
        <v>4321</v>
      </c>
      <c r="Z292" s="2">
        <v>645.0</v>
      </c>
      <c r="AA292" s="2">
        <v>26.0</v>
      </c>
      <c r="AB292" s="2">
        <v>117.0</v>
      </c>
      <c r="AC292" s="2">
        <v>11000.0</v>
      </c>
      <c r="AD292" s="2" t="s">
        <v>4322</v>
      </c>
      <c r="AE292" s="2" t="s">
        <v>4323</v>
      </c>
      <c r="AL292" s="6">
        <f>IFERROR(__xludf.DUMMYFUNCTION("IF(
  TRIM(AD292)="""",
  0,
  COUNTA(
    SPLIT(
      REGEXREPLACE(AD292,""\s*,\s*"","",""),
      "",""
    )
  )
)"),7.0)</f>
        <v>7</v>
      </c>
    </row>
    <row r="293">
      <c r="A293" s="2" t="s">
        <v>774</v>
      </c>
      <c r="B293" s="2" t="s">
        <v>774</v>
      </c>
      <c r="C293" s="2" t="s">
        <v>775</v>
      </c>
      <c r="D293" s="2" t="s">
        <v>776</v>
      </c>
      <c r="E293" s="2">
        <v>2304.0</v>
      </c>
      <c r="F293" s="2">
        <v>20300.0</v>
      </c>
      <c r="G293" s="2">
        <v>248.0</v>
      </c>
      <c r="H293" s="8" t="s">
        <v>4324</v>
      </c>
      <c r="I293" s="2" t="s">
        <v>781</v>
      </c>
      <c r="J293" s="2" t="s">
        <v>782</v>
      </c>
      <c r="K293" s="10">
        <v>45092.62986111111</v>
      </c>
      <c r="L293" s="2">
        <v>1.68684162E9</v>
      </c>
      <c r="M293" s="2" t="s">
        <v>47</v>
      </c>
      <c r="N293" s="2" t="s">
        <v>47</v>
      </c>
      <c r="O293" s="2" t="s">
        <v>47</v>
      </c>
      <c r="P293" s="2" t="s">
        <v>47</v>
      </c>
      <c r="Q293" s="2" t="s">
        <v>47</v>
      </c>
      <c r="R293" s="2" t="s">
        <v>48</v>
      </c>
      <c r="S293" s="2" t="s">
        <v>783</v>
      </c>
      <c r="T293" s="8" t="s">
        <v>4326</v>
      </c>
      <c r="U293" s="8" t="s">
        <v>4328</v>
      </c>
      <c r="V293" s="2" t="s">
        <v>776</v>
      </c>
      <c r="W293" s="8" t="s">
        <v>4329</v>
      </c>
      <c r="X293" s="8" t="s">
        <v>797</v>
      </c>
      <c r="Z293" s="2">
        <v>579.0</v>
      </c>
      <c r="AA293" s="2">
        <v>90.0</v>
      </c>
      <c r="AB293" s="2">
        <v>125.0</v>
      </c>
      <c r="AC293" s="2">
        <v>35200.0</v>
      </c>
      <c r="AH293" s="2" t="s">
        <v>256</v>
      </c>
      <c r="AL293" s="6">
        <f>IFERROR(__xludf.DUMMYFUNCTION("IF(
  TRIM(AD293)="""",
  0,
  COUNTA(
    SPLIT(
      REGEXREPLACE(AD293,""\s*,\s*"","",""),
      "",""
    )
  )
)"),0.0)</f>
        <v>0</v>
      </c>
    </row>
    <row r="294">
      <c r="A294" s="2" t="s">
        <v>2145</v>
      </c>
      <c r="B294" s="2" t="s">
        <v>2145</v>
      </c>
      <c r="C294" s="2" t="s">
        <v>1362</v>
      </c>
      <c r="D294" s="2" t="s">
        <v>1362</v>
      </c>
      <c r="E294" s="2">
        <v>6477.0</v>
      </c>
      <c r="F294" s="2">
        <v>52.0</v>
      </c>
      <c r="G294" s="2">
        <v>50.0</v>
      </c>
      <c r="H294" s="8" t="s">
        <v>1490</v>
      </c>
      <c r="I294" s="2" t="s">
        <v>2146</v>
      </c>
      <c r="K294" s="10">
        <v>45644.70266203704</v>
      </c>
      <c r="L294" s="2">
        <v>1.73454071E9</v>
      </c>
      <c r="M294" s="2" t="s">
        <v>47</v>
      </c>
      <c r="N294" s="2" t="s">
        <v>47</v>
      </c>
      <c r="O294" s="2" t="s">
        <v>47</v>
      </c>
      <c r="P294" s="2" t="s">
        <v>47</v>
      </c>
      <c r="Q294" s="2" t="s">
        <v>47</v>
      </c>
      <c r="R294" s="2" t="s">
        <v>48</v>
      </c>
      <c r="S294" s="2" t="s">
        <v>2147</v>
      </c>
      <c r="T294" s="8" t="s">
        <v>4332</v>
      </c>
      <c r="U294" s="8" t="s">
        <v>4211</v>
      </c>
      <c r="V294" s="2" t="s">
        <v>1362</v>
      </c>
      <c r="W294" s="8" t="s">
        <v>4335</v>
      </c>
      <c r="X294" s="8" t="s">
        <v>2157</v>
      </c>
      <c r="Z294" s="2">
        <v>567.0</v>
      </c>
      <c r="AA294" s="2">
        <v>28.0</v>
      </c>
      <c r="AB294" s="2">
        <v>144.0</v>
      </c>
      <c r="AC294" s="2">
        <v>18700.0</v>
      </c>
      <c r="AD294" s="2" t="s">
        <v>1378</v>
      </c>
      <c r="AE294" s="2" t="s">
        <v>1378</v>
      </c>
      <c r="AL294" s="6">
        <f>IFERROR(__xludf.DUMMYFUNCTION("IF(
  TRIM(AD294)="""",
  0,
  COUNTA(
    SPLIT(
      REGEXREPLACE(AD294,""\s*,\s*"","",""),
      "",""
    )
  )
)"),3.0)</f>
        <v>3</v>
      </c>
    </row>
    <row r="295">
      <c r="A295" s="2" t="s">
        <v>4340</v>
      </c>
      <c r="B295" s="2" t="s">
        <v>4340</v>
      </c>
      <c r="C295" s="2" t="s">
        <v>920</v>
      </c>
      <c r="D295" s="2" t="s">
        <v>921</v>
      </c>
      <c r="E295" s="2">
        <v>296100.0</v>
      </c>
      <c r="F295" s="2">
        <v>1905.0</v>
      </c>
      <c r="G295" s="2">
        <v>1402.0</v>
      </c>
      <c r="H295" s="8" t="s">
        <v>1322</v>
      </c>
      <c r="I295" s="2" t="s">
        <v>4342</v>
      </c>
      <c r="K295" s="10">
        <v>45742.00256944444</v>
      </c>
      <c r="L295" s="2">
        <v>1.742947422E9</v>
      </c>
      <c r="M295" s="2" t="s">
        <v>47</v>
      </c>
      <c r="N295" s="2" t="s">
        <v>47</v>
      </c>
      <c r="O295" s="2" t="s">
        <v>47</v>
      </c>
      <c r="P295" s="2" t="s">
        <v>47</v>
      </c>
      <c r="Q295" s="2" t="s">
        <v>47</v>
      </c>
      <c r="R295" s="2" t="s">
        <v>48</v>
      </c>
      <c r="S295" s="2" t="s">
        <v>4343</v>
      </c>
      <c r="T295" s="8" t="s">
        <v>4344</v>
      </c>
      <c r="U295" s="8" t="s">
        <v>1233</v>
      </c>
      <c r="V295" s="2" t="s">
        <v>921</v>
      </c>
      <c r="W295" s="8" t="s">
        <v>4347</v>
      </c>
      <c r="X295" s="8" t="s">
        <v>4350</v>
      </c>
      <c r="Z295" s="2">
        <v>556.0</v>
      </c>
      <c r="AA295" s="2">
        <v>28.0</v>
      </c>
      <c r="AB295" s="2">
        <v>199.0</v>
      </c>
      <c r="AC295" s="2">
        <v>12300.0</v>
      </c>
      <c r="AD295" s="2" t="s">
        <v>1338</v>
      </c>
      <c r="AE295" s="2" t="s">
        <v>1338</v>
      </c>
      <c r="AL295" s="6">
        <f>IFERROR(__xludf.DUMMYFUNCTION("IF(
  TRIM(AD295)="""",
  0,
  COUNTA(
    SPLIT(
      REGEXREPLACE(AD295,""\s*,\s*"","",""),
      "",""
    )
  )
)"),3.0)</f>
        <v>3</v>
      </c>
    </row>
    <row r="296">
      <c r="A296" s="2" t="s">
        <v>4351</v>
      </c>
      <c r="B296" s="2" t="s">
        <v>4351</v>
      </c>
      <c r="C296" s="2" t="s">
        <v>4352</v>
      </c>
      <c r="D296" s="2" t="s">
        <v>4353</v>
      </c>
      <c r="E296" s="2">
        <v>458.0</v>
      </c>
      <c r="F296" s="2">
        <v>1.0</v>
      </c>
      <c r="G296" s="2">
        <v>16.0</v>
      </c>
      <c r="H296" s="8" t="s">
        <v>4354</v>
      </c>
      <c r="I296" s="2" t="s">
        <v>4356</v>
      </c>
      <c r="K296" s="10">
        <v>45134.6187037037</v>
      </c>
      <c r="L296" s="2">
        <v>1.690469456E9</v>
      </c>
      <c r="M296" s="2" t="s">
        <v>47</v>
      </c>
      <c r="N296" s="2" t="s">
        <v>47</v>
      </c>
      <c r="O296" s="2" t="s">
        <v>47</v>
      </c>
      <c r="P296" s="2" t="s">
        <v>47</v>
      </c>
      <c r="Q296" s="2" t="s">
        <v>47</v>
      </c>
      <c r="R296" s="2" t="s">
        <v>48</v>
      </c>
      <c r="S296" s="2" t="s">
        <v>4357</v>
      </c>
      <c r="T296" s="8" t="s">
        <v>4358</v>
      </c>
      <c r="U296" s="8" t="s">
        <v>4360</v>
      </c>
      <c r="V296" s="2" t="s">
        <v>4353</v>
      </c>
      <c r="W296" s="8" t="s">
        <v>4362</v>
      </c>
      <c r="X296" s="8" t="s">
        <v>4363</v>
      </c>
      <c r="Z296" s="2">
        <v>534.0</v>
      </c>
      <c r="AA296" s="2">
        <v>48.0</v>
      </c>
      <c r="AB296" s="2">
        <v>417.0</v>
      </c>
      <c r="AC296" s="2">
        <v>60000.0</v>
      </c>
      <c r="AD296" s="2" t="s">
        <v>4364</v>
      </c>
      <c r="AE296" s="2" t="s">
        <v>4364</v>
      </c>
      <c r="AL296" s="6">
        <f>IFERROR(__xludf.DUMMYFUNCTION("IF(
  TRIM(AD296)="""",
  0,
  COUNTA(
    SPLIT(
      REGEXREPLACE(AD296,""\s*,\s*"","",""),
      "",""
    )
  )
)"),9.0)</f>
        <v>9</v>
      </c>
    </row>
    <row r="297">
      <c r="A297" s="2" t="s">
        <v>3712</v>
      </c>
      <c r="B297" s="2" t="s">
        <v>3712</v>
      </c>
      <c r="C297" s="2" t="s">
        <v>3713</v>
      </c>
      <c r="D297" s="2" t="s">
        <v>3714</v>
      </c>
      <c r="E297" s="2">
        <v>1584.0</v>
      </c>
      <c r="F297" s="2">
        <v>6912.0</v>
      </c>
      <c r="G297" s="2">
        <v>91.0</v>
      </c>
      <c r="H297" s="8" t="s">
        <v>4366</v>
      </c>
      <c r="I297" s="2" t="s">
        <v>3716</v>
      </c>
      <c r="J297" s="2" t="s">
        <v>3717</v>
      </c>
      <c r="K297" s="10">
        <v>45965.97466435185</v>
      </c>
      <c r="L297" s="2">
        <v>1.762298611E9</v>
      </c>
      <c r="M297" s="2" t="s">
        <v>47</v>
      </c>
      <c r="N297" s="2" t="s">
        <v>47</v>
      </c>
      <c r="O297" s="2" t="s">
        <v>47</v>
      </c>
      <c r="P297" s="2" t="s">
        <v>47</v>
      </c>
      <c r="Q297" s="2" t="s">
        <v>47</v>
      </c>
      <c r="R297" s="2" t="s">
        <v>48</v>
      </c>
      <c r="S297" s="2" t="s">
        <v>3718</v>
      </c>
      <c r="T297" s="8" t="s">
        <v>4367</v>
      </c>
      <c r="U297" s="8" t="s">
        <v>3836</v>
      </c>
      <c r="V297" s="2" t="s">
        <v>3714</v>
      </c>
      <c r="W297" s="8" t="s">
        <v>4369</v>
      </c>
      <c r="X297" s="8" t="s">
        <v>3729</v>
      </c>
      <c r="Z297" s="2">
        <v>515.0</v>
      </c>
      <c r="AA297" s="2">
        <v>45.0</v>
      </c>
      <c r="AB297" s="2">
        <v>70.0</v>
      </c>
      <c r="AC297" s="2">
        <v>5579.0</v>
      </c>
      <c r="AD297" s="2" t="s">
        <v>3731</v>
      </c>
      <c r="AE297" s="2" t="s">
        <v>3731</v>
      </c>
      <c r="AH297" s="2" t="s">
        <v>144</v>
      </c>
      <c r="AL297" s="6">
        <f>IFERROR(__xludf.DUMMYFUNCTION("IF(
  TRIM(AD297)="""",
  0,
  COUNTA(
    SPLIT(
      REGEXREPLACE(AD297,""\s*,\s*"","",""),
      "",""
    )
  )
)"),5.0)</f>
        <v>5</v>
      </c>
    </row>
    <row r="298">
      <c r="A298" s="2" t="s">
        <v>3800</v>
      </c>
      <c r="B298" s="2" t="s">
        <v>3800</v>
      </c>
      <c r="C298" s="2" t="s">
        <v>3801</v>
      </c>
      <c r="D298" s="2" t="s">
        <v>3802</v>
      </c>
      <c r="E298" s="2">
        <v>23400.0</v>
      </c>
      <c r="F298" s="2">
        <v>39.0</v>
      </c>
      <c r="G298" s="2">
        <v>177.0</v>
      </c>
      <c r="H298" s="8" t="s">
        <v>4375</v>
      </c>
      <c r="I298" s="2" t="s">
        <v>3804</v>
      </c>
      <c r="J298" s="2" t="s">
        <v>3805</v>
      </c>
      <c r="K298" s="10">
        <v>45152.61372685185</v>
      </c>
      <c r="L298" s="2">
        <v>1.692024226E9</v>
      </c>
      <c r="M298" s="2" t="s">
        <v>47</v>
      </c>
      <c r="N298" s="2" t="s">
        <v>47</v>
      </c>
      <c r="O298" s="2" t="s">
        <v>47</v>
      </c>
      <c r="P298" s="2" t="s">
        <v>47</v>
      </c>
      <c r="Q298" s="2" t="s">
        <v>47</v>
      </c>
      <c r="R298" s="2" t="s">
        <v>48</v>
      </c>
      <c r="S298" s="2" t="s">
        <v>3806</v>
      </c>
      <c r="T298" s="8" t="s">
        <v>4377</v>
      </c>
      <c r="U298" s="8" t="s">
        <v>4381</v>
      </c>
      <c r="V298" s="2" t="s">
        <v>3802</v>
      </c>
      <c r="W298" s="8" t="s">
        <v>4382</v>
      </c>
      <c r="X298" s="8" t="s">
        <v>3811</v>
      </c>
      <c r="Z298" s="2">
        <v>513.0</v>
      </c>
      <c r="AA298" s="2">
        <v>18.0</v>
      </c>
      <c r="AB298" s="2">
        <v>181.0</v>
      </c>
      <c r="AC298" s="2">
        <v>12100.0</v>
      </c>
      <c r="AD298" s="2" t="s">
        <v>3813</v>
      </c>
      <c r="AE298" s="2" t="s">
        <v>3813</v>
      </c>
      <c r="AH298" s="2" t="s">
        <v>144</v>
      </c>
      <c r="AL298" s="6">
        <f>IFERROR(__xludf.DUMMYFUNCTION("IF(
  TRIM(AD298)="""",
  0,
  COUNTA(
    SPLIT(
      REGEXREPLACE(AD298,""\s*,\s*"","",""),
      "",""
    )
  )
)"),5.0)</f>
        <v>5</v>
      </c>
    </row>
    <row r="299">
      <c r="A299" s="2" t="s">
        <v>4384</v>
      </c>
      <c r="B299" s="2" t="s">
        <v>4384</v>
      </c>
      <c r="C299" s="2" t="s">
        <v>4385</v>
      </c>
      <c r="D299" s="2" t="s">
        <v>4386</v>
      </c>
      <c r="E299" s="2">
        <v>2989.0</v>
      </c>
      <c r="F299" s="2">
        <v>127.0</v>
      </c>
      <c r="G299" s="2">
        <v>97.0</v>
      </c>
      <c r="H299" s="8" t="s">
        <v>4387</v>
      </c>
      <c r="I299" s="2" t="s">
        <v>4389</v>
      </c>
      <c r="K299" s="10">
        <v>45123.092199074075</v>
      </c>
      <c r="L299" s="2">
        <v>1.689473566E9</v>
      </c>
      <c r="M299" s="2" t="s">
        <v>47</v>
      </c>
      <c r="N299" s="2" t="s">
        <v>47</v>
      </c>
      <c r="O299" s="2" t="s">
        <v>47</v>
      </c>
      <c r="P299" s="2" t="s">
        <v>47</v>
      </c>
      <c r="Q299" s="2" t="s">
        <v>47</v>
      </c>
      <c r="R299" s="2" t="s">
        <v>4390</v>
      </c>
      <c r="S299" s="2" t="s">
        <v>4391</v>
      </c>
      <c r="T299" s="8" t="s">
        <v>4392</v>
      </c>
      <c r="U299" s="8" t="s">
        <v>4394</v>
      </c>
      <c r="V299" s="2" t="s">
        <v>4395</v>
      </c>
      <c r="W299" s="8" t="s">
        <v>4396</v>
      </c>
      <c r="X299" s="8" t="s">
        <v>4398</v>
      </c>
      <c r="Z299" s="2">
        <v>510.0</v>
      </c>
      <c r="AA299" s="2">
        <v>19.0</v>
      </c>
      <c r="AB299" s="2">
        <v>166.0</v>
      </c>
      <c r="AC299" s="2">
        <v>36400.0</v>
      </c>
      <c r="AD299" s="2" t="s">
        <v>4399</v>
      </c>
      <c r="AE299" s="2" t="s">
        <v>4399</v>
      </c>
      <c r="AH299" s="2" t="s">
        <v>97</v>
      </c>
      <c r="AL299" s="6">
        <f>IFERROR(__xludf.DUMMYFUNCTION("IF(
  TRIM(AD299)="""",
  0,
  COUNTA(
    SPLIT(
      REGEXREPLACE(AD299,""\s*,\s*"","",""),
      "",""
    )
  )
)"),24.0)</f>
        <v>24</v>
      </c>
    </row>
    <row r="300">
      <c r="A300" s="2" t="s">
        <v>4401</v>
      </c>
      <c r="B300" s="2" t="s">
        <v>4401</v>
      </c>
      <c r="C300" s="2" t="s">
        <v>4402</v>
      </c>
      <c r="D300" s="2" t="s">
        <v>4403</v>
      </c>
      <c r="E300" s="2">
        <v>2307.0</v>
      </c>
      <c r="F300" s="2">
        <v>87.0</v>
      </c>
      <c r="G300" s="2">
        <v>69.0</v>
      </c>
      <c r="H300" s="8" t="s">
        <v>4404</v>
      </c>
      <c r="I300" s="2" t="s">
        <v>4405</v>
      </c>
      <c r="K300" s="10">
        <v>45716.998761574076</v>
      </c>
      <c r="L300" s="2">
        <v>1.740787093E9</v>
      </c>
      <c r="M300" s="2" t="s">
        <v>47</v>
      </c>
      <c r="N300" s="2" t="s">
        <v>47</v>
      </c>
      <c r="O300" s="2" t="s">
        <v>47</v>
      </c>
      <c r="P300" s="2" t="s">
        <v>47</v>
      </c>
      <c r="Q300" s="2" t="s">
        <v>47</v>
      </c>
      <c r="R300" s="2" t="s">
        <v>4406</v>
      </c>
      <c r="S300" s="2" t="s">
        <v>4407</v>
      </c>
      <c r="T300" s="8" t="s">
        <v>4408</v>
      </c>
      <c r="U300" s="8" t="s">
        <v>4409</v>
      </c>
      <c r="V300" s="2" t="s">
        <v>4411</v>
      </c>
      <c r="W300" s="8" t="s">
        <v>4412</v>
      </c>
      <c r="X300" s="8" t="s">
        <v>4414</v>
      </c>
      <c r="Z300" s="2">
        <v>483.0</v>
      </c>
      <c r="AA300" s="2">
        <v>18.0</v>
      </c>
      <c r="AB300" s="2">
        <v>62.0</v>
      </c>
      <c r="AC300" s="2">
        <v>10600.0</v>
      </c>
      <c r="AD300" s="2" t="s">
        <v>4415</v>
      </c>
      <c r="AE300" s="2" t="s">
        <v>4415</v>
      </c>
      <c r="AL300" s="6">
        <f>IFERROR(__xludf.DUMMYFUNCTION("IF(
  TRIM(AD300)="""",
  0,
  COUNTA(
    SPLIT(
      REGEXREPLACE(AD300,""\s*,\s*"","",""),
      "",""
    )
  )
)"),7.0)</f>
        <v>7</v>
      </c>
    </row>
    <row r="301">
      <c r="A301" s="2" t="s">
        <v>4416</v>
      </c>
      <c r="B301" s="2" t="s">
        <v>4416</v>
      </c>
      <c r="C301" s="2" t="s">
        <v>920</v>
      </c>
      <c r="D301" s="2" t="s">
        <v>921</v>
      </c>
      <c r="E301" s="2">
        <v>296100.0</v>
      </c>
      <c r="F301" s="2">
        <v>1905.0</v>
      </c>
      <c r="G301" s="2">
        <v>1402.0</v>
      </c>
      <c r="H301" s="8" t="s">
        <v>1322</v>
      </c>
      <c r="I301" s="2" t="s">
        <v>4417</v>
      </c>
      <c r="K301" s="10">
        <v>45531.96009259259</v>
      </c>
      <c r="L301" s="2">
        <v>1.724799752E9</v>
      </c>
      <c r="M301" s="2" t="s">
        <v>47</v>
      </c>
      <c r="N301" s="2" t="s">
        <v>47</v>
      </c>
      <c r="O301" s="2" t="s">
        <v>47</v>
      </c>
      <c r="P301" s="2" t="s">
        <v>47</v>
      </c>
      <c r="Q301" s="2" t="s">
        <v>47</v>
      </c>
      <c r="R301" s="2" t="s">
        <v>4418</v>
      </c>
      <c r="S301" s="2" t="s">
        <v>4419</v>
      </c>
      <c r="U301" s="8" t="s">
        <v>4420</v>
      </c>
      <c r="V301" s="2" t="s">
        <v>4421</v>
      </c>
      <c r="W301" s="8" t="s">
        <v>4422</v>
      </c>
      <c r="X301" s="8" t="s">
        <v>4427</v>
      </c>
      <c r="Z301" s="2">
        <v>476.0</v>
      </c>
      <c r="AA301" s="2">
        <v>14.0</v>
      </c>
      <c r="AB301" s="2">
        <v>309.0</v>
      </c>
      <c r="AC301" s="2">
        <v>16200.0</v>
      </c>
      <c r="AD301" s="2" t="s">
        <v>4428</v>
      </c>
      <c r="AE301" s="2" t="s">
        <v>4428</v>
      </c>
      <c r="AL301" s="6">
        <f>IFERROR(__xludf.DUMMYFUNCTION("IF(
  TRIM(AD301)="""",
  0,
  COUNTA(
    SPLIT(
      REGEXREPLACE(AD301,""\s*,\s*"","",""),
      "",""
    )
  )
)"),7.0)</f>
        <v>7</v>
      </c>
    </row>
    <row r="302">
      <c r="A302" s="2" t="s">
        <v>960</v>
      </c>
      <c r="B302" s="2" t="s">
        <v>960</v>
      </c>
      <c r="C302" s="2" t="s">
        <v>961</v>
      </c>
      <c r="D302" s="2" t="s">
        <v>962</v>
      </c>
      <c r="E302" s="2">
        <v>424.0</v>
      </c>
      <c r="F302" s="2">
        <v>139.0</v>
      </c>
      <c r="G302" s="2">
        <v>25.0</v>
      </c>
      <c r="H302" s="8" t="s">
        <v>4429</v>
      </c>
      <c r="I302" s="2" t="s">
        <v>968</v>
      </c>
      <c r="K302" s="10">
        <v>45210.583703703705</v>
      </c>
      <c r="L302" s="2">
        <v>1.697032832E9</v>
      </c>
      <c r="M302" s="2" t="s">
        <v>47</v>
      </c>
      <c r="N302" s="2" t="s">
        <v>47</v>
      </c>
      <c r="O302" s="2" t="s">
        <v>47</v>
      </c>
      <c r="P302" s="2" t="s">
        <v>47</v>
      </c>
      <c r="Q302" s="2" t="s">
        <v>47</v>
      </c>
      <c r="R302" s="2" t="s">
        <v>48</v>
      </c>
      <c r="S302" s="2" t="s">
        <v>969</v>
      </c>
      <c r="T302" s="8" t="s">
        <v>4432</v>
      </c>
      <c r="U302" s="8" t="s">
        <v>4434</v>
      </c>
      <c r="V302" s="2" t="s">
        <v>962</v>
      </c>
      <c r="W302" s="8" t="s">
        <v>4437</v>
      </c>
      <c r="X302" s="8" t="s">
        <v>980</v>
      </c>
      <c r="Z302" s="2">
        <v>462.0</v>
      </c>
      <c r="AA302" s="2">
        <v>16.0</v>
      </c>
      <c r="AB302" s="2">
        <v>150.0</v>
      </c>
      <c r="AC302" s="2">
        <v>8676.0</v>
      </c>
      <c r="AD302" s="2" t="s">
        <v>981</v>
      </c>
      <c r="AE302" s="2" t="s">
        <v>981</v>
      </c>
      <c r="AL302" s="6">
        <f>IFERROR(__xludf.DUMMYFUNCTION("IF(
  TRIM(AD302)="""",
  0,
  COUNTA(
    SPLIT(
      REGEXREPLACE(AD302,""\s*,\s*"","",""),
      "",""
    )
  )
)"),1.0)</f>
        <v>1</v>
      </c>
    </row>
    <row r="303">
      <c r="A303" s="2" t="s">
        <v>4240</v>
      </c>
      <c r="B303" s="2" t="s">
        <v>4240</v>
      </c>
      <c r="C303" s="2" t="s">
        <v>3609</v>
      </c>
      <c r="D303" s="2" t="s">
        <v>3610</v>
      </c>
      <c r="E303" s="2">
        <v>10800.0</v>
      </c>
      <c r="F303" s="2">
        <v>307.0</v>
      </c>
      <c r="G303" s="2">
        <v>206.0</v>
      </c>
      <c r="H303" s="8" t="s">
        <v>4439</v>
      </c>
      <c r="I303" s="2" t="s">
        <v>4241</v>
      </c>
      <c r="K303" s="10">
        <v>45336.85050925926</v>
      </c>
      <c r="L303" s="2">
        <v>1.707942284E9</v>
      </c>
      <c r="M303" s="2" t="s">
        <v>47</v>
      </c>
      <c r="N303" s="2" t="s">
        <v>47</v>
      </c>
      <c r="O303" s="2" t="s">
        <v>47</v>
      </c>
      <c r="P303" s="2" t="s">
        <v>47</v>
      </c>
      <c r="Q303" s="2" t="s">
        <v>47</v>
      </c>
      <c r="R303" s="2" t="s">
        <v>48</v>
      </c>
      <c r="S303" s="2" t="s">
        <v>4242</v>
      </c>
      <c r="T303" s="8" t="s">
        <v>4440</v>
      </c>
      <c r="U303" s="8" t="s">
        <v>4446</v>
      </c>
      <c r="V303" s="2" t="s">
        <v>3610</v>
      </c>
      <c r="W303" s="8" t="s">
        <v>4447</v>
      </c>
      <c r="X303" s="8" t="s">
        <v>4255</v>
      </c>
      <c r="Z303" s="2">
        <v>393.0</v>
      </c>
      <c r="AA303" s="2">
        <v>22.0</v>
      </c>
      <c r="AB303" s="2">
        <v>128.0</v>
      </c>
      <c r="AC303" s="2">
        <v>13200.0</v>
      </c>
      <c r="AD303" s="2" t="s">
        <v>4256</v>
      </c>
      <c r="AE303" s="2" t="s">
        <v>4256</v>
      </c>
      <c r="AH303" s="2" t="s">
        <v>97</v>
      </c>
      <c r="AL303" s="6">
        <f>IFERROR(__xludf.DUMMYFUNCTION("IF(
  TRIM(AD303)="""",
  0,
  COUNTA(
    SPLIT(
      REGEXREPLACE(AD303,""\s*,\s*"","",""),
      "",""
    )
  )
)"),6.0)</f>
        <v>6</v>
      </c>
    </row>
    <row r="304">
      <c r="A304" s="2" t="s">
        <v>4455</v>
      </c>
      <c r="B304" s="2" t="s">
        <v>4455</v>
      </c>
      <c r="C304" s="2" t="s">
        <v>4456</v>
      </c>
      <c r="D304" s="2" t="s">
        <v>4457</v>
      </c>
      <c r="E304" s="2">
        <v>281600.0</v>
      </c>
      <c r="F304" s="2">
        <v>63700.0</v>
      </c>
      <c r="G304" s="2">
        <v>1671.0</v>
      </c>
      <c r="H304" s="8" t="s">
        <v>4458</v>
      </c>
      <c r="I304" s="2" t="s">
        <v>929</v>
      </c>
      <c r="K304" s="10">
        <v>45221.53277777778</v>
      </c>
      <c r="L304" s="2">
        <v>1.697978832E9</v>
      </c>
      <c r="M304" s="2" t="s">
        <v>47</v>
      </c>
      <c r="N304" s="2" t="s">
        <v>47</v>
      </c>
      <c r="O304" s="2" t="s">
        <v>47</v>
      </c>
      <c r="P304" s="2" t="s">
        <v>47</v>
      </c>
      <c r="Q304" s="2" t="s">
        <v>47</v>
      </c>
      <c r="R304" s="2" t="s">
        <v>2791</v>
      </c>
      <c r="S304" s="2" t="s">
        <v>2792</v>
      </c>
      <c r="T304" s="8" t="s">
        <v>2793</v>
      </c>
      <c r="U304" s="8" t="s">
        <v>3621</v>
      </c>
      <c r="V304" s="2" t="s">
        <v>2796</v>
      </c>
      <c r="W304" s="8" t="s">
        <v>4463</v>
      </c>
      <c r="X304" s="8" t="s">
        <v>4465</v>
      </c>
      <c r="Z304" s="2">
        <v>367.0</v>
      </c>
      <c r="AA304" s="2">
        <v>6.0</v>
      </c>
      <c r="AB304" s="2">
        <v>190.0</v>
      </c>
      <c r="AC304" s="2">
        <v>17000.0</v>
      </c>
      <c r="AD304" s="2" t="s">
        <v>59</v>
      </c>
      <c r="AE304" s="2" t="s">
        <v>59</v>
      </c>
      <c r="AL304" s="6">
        <f>IFERROR(__xludf.DUMMYFUNCTION("IF(
  TRIM(AD304)="""",
  0,
  COUNTA(
    SPLIT(
      REGEXREPLACE(AD304,""\s*,\s*"","",""),
      "",""
    )
  )
)"),1.0)</f>
        <v>1</v>
      </c>
    </row>
    <row r="305">
      <c r="A305" s="2" t="s">
        <v>4466</v>
      </c>
      <c r="B305" s="2" t="s">
        <v>4466</v>
      </c>
      <c r="C305" s="2" t="s">
        <v>3062</v>
      </c>
      <c r="D305" s="2" t="s">
        <v>3063</v>
      </c>
      <c r="E305" s="2">
        <v>215500.0</v>
      </c>
      <c r="F305" s="2">
        <v>3799.0</v>
      </c>
      <c r="G305" s="2">
        <v>549.0</v>
      </c>
      <c r="H305" s="8" t="s">
        <v>3315</v>
      </c>
      <c r="I305" s="2" t="s">
        <v>4468</v>
      </c>
      <c r="J305" s="2" t="s">
        <v>4469</v>
      </c>
      <c r="K305" s="10">
        <v>45967.93582175926</v>
      </c>
      <c r="L305" s="2">
        <v>1.762468055E9</v>
      </c>
      <c r="M305" s="2" t="s">
        <v>47</v>
      </c>
      <c r="N305" s="2" t="s">
        <v>47</v>
      </c>
      <c r="O305" s="2" t="s">
        <v>47</v>
      </c>
      <c r="P305" s="2" t="s">
        <v>47</v>
      </c>
      <c r="Q305" s="2" t="s">
        <v>47</v>
      </c>
      <c r="R305" s="2" t="s">
        <v>48</v>
      </c>
      <c r="S305" s="2" t="s">
        <v>4470</v>
      </c>
      <c r="T305" s="8" t="s">
        <v>4471</v>
      </c>
      <c r="U305" s="8" t="s">
        <v>3326</v>
      </c>
      <c r="V305" s="2" t="s">
        <v>3063</v>
      </c>
      <c r="W305" s="8" t="s">
        <v>4473</v>
      </c>
      <c r="X305" s="8" t="s">
        <v>4476</v>
      </c>
      <c r="Z305" s="2">
        <v>366.0</v>
      </c>
      <c r="AA305" s="2">
        <v>6.0</v>
      </c>
      <c r="AB305" s="2">
        <v>79.0</v>
      </c>
      <c r="AC305" s="2">
        <v>4365.0</v>
      </c>
      <c r="AD305" s="2" t="s">
        <v>4477</v>
      </c>
      <c r="AE305" s="2" t="s">
        <v>4477</v>
      </c>
      <c r="AL305" s="6">
        <f>IFERROR(__xludf.DUMMYFUNCTION("IF(
  TRIM(AD305)="""",
  0,
  COUNTA(
    SPLIT(
      REGEXREPLACE(AD305,""\s*,\s*"","",""),
      "",""
    )
  )
)"),5.0)</f>
        <v>5</v>
      </c>
    </row>
    <row r="306">
      <c r="A306" s="2" t="s">
        <v>4478</v>
      </c>
      <c r="B306" s="2" t="s">
        <v>4478</v>
      </c>
      <c r="C306" s="2" t="s">
        <v>4479</v>
      </c>
      <c r="D306" s="2" t="s">
        <v>4480</v>
      </c>
      <c r="E306" s="2">
        <v>10000.0</v>
      </c>
      <c r="F306" s="2">
        <v>4583.0</v>
      </c>
      <c r="G306" s="2">
        <v>88.0</v>
      </c>
      <c r="H306" s="8" t="s">
        <v>4481</v>
      </c>
      <c r="I306" s="2" t="s">
        <v>4483</v>
      </c>
      <c r="K306" s="10">
        <v>45670.522824074076</v>
      </c>
      <c r="L306" s="2">
        <v>1.736771572E9</v>
      </c>
      <c r="M306" s="2" t="s">
        <v>47</v>
      </c>
      <c r="N306" s="2" t="s">
        <v>47</v>
      </c>
      <c r="O306" s="2" t="s">
        <v>47</v>
      </c>
      <c r="P306" s="2" t="s">
        <v>47</v>
      </c>
      <c r="Q306" s="2" t="s">
        <v>47</v>
      </c>
      <c r="R306" s="2" t="s">
        <v>48</v>
      </c>
      <c r="S306" s="2" t="s">
        <v>4484</v>
      </c>
      <c r="T306" s="8" t="s">
        <v>4485</v>
      </c>
      <c r="U306" s="8" t="s">
        <v>4487</v>
      </c>
      <c r="V306" s="2" t="s">
        <v>4480</v>
      </c>
      <c r="X306" s="8" t="s">
        <v>4488</v>
      </c>
      <c r="Z306" s="2">
        <v>347.0</v>
      </c>
      <c r="AA306" s="2">
        <v>2.0</v>
      </c>
      <c r="AB306" s="2">
        <v>263.0</v>
      </c>
      <c r="AC306" s="2">
        <v>12600.0</v>
      </c>
      <c r="AD306" s="2" t="s">
        <v>4489</v>
      </c>
      <c r="AE306" s="2" t="s">
        <v>4489</v>
      </c>
      <c r="AL306" s="6">
        <f>IFERROR(__xludf.DUMMYFUNCTION("IF(
  TRIM(AD306)="""",
  0,
  COUNTA(
    SPLIT(
      REGEXREPLACE(AD306,""\s*,\s*"","",""),
      "",""
    )
  )
)"),8.0)</f>
        <v>8</v>
      </c>
    </row>
    <row r="307">
      <c r="A307" s="2" t="s">
        <v>4492</v>
      </c>
      <c r="B307" s="2" t="s">
        <v>4492</v>
      </c>
      <c r="C307" s="2" t="s">
        <v>4494</v>
      </c>
      <c r="D307" s="2" t="s">
        <v>4495</v>
      </c>
      <c r="E307" s="2">
        <v>3951.0</v>
      </c>
      <c r="F307" s="2">
        <v>560.0</v>
      </c>
      <c r="G307" s="2">
        <v>182.0</v>
      </c>
      <c r="H307" s="8" t="s">
        <v>4496</v>
      </c>
      <c r="I307" s="2" t="s">
        <v>4497</v>
      </c>
      <c r="K307" s="10">
        <v>45446.44210648148</v>
      </c>
      <c r="L307" s="2">
        <v>1.717410998E9</v>
      </c>
      <c r="M307" s="2" t="s">
        <v>47</v>
      </c>
      <c r="N307" s="2" t="s">
        <v>47</v>
      </c>
      <c r="O307" s="2" t="s">
        <v>47</v>
      </c>
      <c r="P307" s="2" t="s">
        <v>47</v>
      </c>
      <c r="Q307" s="2" t="s">
        <v>47</v>
      </c>
      <c r="R307" s="2" t="s">
        <v>4500</v>
      </c>
      <c r="S307" s="2" t="s">
        <v>4501</v>
      </c>
      <c r="T307" s="8" t="s">
        <v>4502</v>
      </c>
      <c r="U307" s="8" t="s">
        <v>4504</v>
      </c>
      <c r="V307" s="2" t="s">
        <v>4505</v>
      </c>
      <c r="W307" s="8" t="s">
        <v>4506</v>
      </c>
      <c r="X307" s="8" t="s">
        <v>4510</v>
      </c>
      <c r="Z307" s="2">
        <v>343.0</v>
      </c>
      <c r="AA307" s="2">
        <v>29.0</v>
      </c>
      <c r="AB307" s="2">
        <v>167.0</v>
      </c>
      <c r="AC307" s="2">
        <v>38400.0</v>
      </c>
      <c r="AD307" s="2" t="s">
        <v>4511</v>
      </c>
      <c r="AE307" s="2" t="s">
        <v>4511</v>
      </c>
      <c r="AH307" s="2" t="s">
        <v>97</v>
      </c>
      <c r="AL307" s="6">
        <f>IFERROR(__xludf.DUMMYFUNCTION("IF(
  TRIM(AD307)="""",
  0,
  COUNTA(
    SPLIT(
      REGEXREPLACE(AD307,""\s*,\s*"","",""),
      "",""
    )
  )
)"),8.0)</f>
        <v>8</v>
      </c>
    </row>
    <row r="308">
      <c r="A308" s="2" t="s">
        <v>3863</v>
      </c>
      <c r="B308" s="2" t="s">
        <v>3863</v>
      </c>
      <c r="C308" s="2" t="s">
        <v>3085</v>
      </c>
      <c r="D308" s="2" t="s">
        <v>3086</v>
      </c>
      <c r="E308" s="2">
        <v>1036.0</v>
      </c>
      <c r="F308" s="2">
        <v>134.0</v>
      </c>
      <c r="G308" s="2">
        <v>62.0</v>
      </c>
      <c r="H308" s="8" t="s">
        <v>4512</v>
      </c>
      <c r="I308" s="2" t="s">
        <v>3868</v>
      </c>
      <c r="K308" s="10">
        <v>45964.7421875</v>
      </c>
      <c r="L308" s="2">
        <v>1.762192125E9</v>
      </c>
      <c r="M308" s="2" t="s">
        <v>47</v>
      </c>
      <c r="N308" s="2" t="s">
        <v>47</v>
      </c>
      <c r="O308" s="2" t="s">
        <v>47</v>
      </c>
      <c r="P308" s="2" t="s">
        <v>47</v>
      </c>
      <c r="Q308" s="2" t="s">
        <v>47</v>
      </c>
      <c r="R308" s="2" t="s">
        <v>48</v>
      </c>
      <c r="S308" s="2" t="s">
        <v>3869</v>
      </c>
      <c r="T308" s="8" t="s">
        <v>4513</v>
      </c>
      <c r="U308" s="8" t="s">
        <v>4515</v>
      </c>
      <c r="V308" s="2" t="s">
        <v>3086</v>
      </c>
      <c r="W308" s="8" t="s">
        <v>4516</v>
      </c>
      <c r="X308" s="8" t="s">
        <v>3878</v>
      </c>
      <c r="Z308" s="2">
        <v>311.0</v>
      </c>
      <c r="AA308" s="2">
        <v>20.0</v>
      </c>
      <c r="AB308" s="2">
        <v>28.0</v>
      </c>
      <c r="AC308" s="2">
        <v>5497.0</v>
      </c>
      <c r="AD308" s="2" t="s">
        <v>3880</v>
      </c>
      <c r="AE308" s="2" t="s">
        <v>3880</v>
      </c>
      <c r="AL308" s="6">
        <f>IFERROR(__xludf.DUMMYFUNCTION("IF(
  TRIM(AD308)="""",
  0,
  COUNTA(
    SPLIT(
      REGEXREPLACE(AD308,""\s*,\s*"","",""),
      "",""
    )
  )
)"),5.0)</f>
        <v>5</v>
      </c>
    </row>
    <row r="309">
      <c r="A309" s="2" t="s">
        <v>4520</v>
      </c>
      <c r="B309" s="2" t="s">
        <v>4520</v>
      </c>
      <c r="C309" s="2" t="s">
        <v>4521</v>
      </c>
      <c r="D309" s="2" t="s">
        <v>4522</v>
      </c>
      <c r="E309" s="2">
        <v>2977.0</v>
      </c>
      <c r="F309" s="2">
        <v>1007.0</v>
      </c>
      <c r="G309" s="2">
        <v>40.0</v>
      </c>
      <c r="H309" s="8" t="s">
        <v>4523</v>
      </c>
      <c r="I309" s="2" t="s">
        <v>4524</v>
      </c>
      <c r="J309" s="2" t="s">
        <v>4525</v>
      </c>
      <c r="K309" s="10">
        <v>45258.64763888889</v>
      </c>
      <c r="L309" s="2">
        <v>1.701185556E9</v>
      </c>
      <c r="M309" s="2" t="s">
        <v>47</v>
      </c>
      <c r="N309" s="2" t="s">
        <v>47</v>
      </c>
      <c r="O309" s="2" t="s">
        <v>47</v>
      </c>
      <c r="P309" s="2" t="s">
        <v>47</v>
      </c>
      <c r="Q309" s="2" t="s">
        <v>47</v>
      </c>
      <c r="R309" s="2" t="s">
        <v>48</v>
      </c>
      <c r="S309" s="2" t="s">
        <v>4526</v>
      </c>
      <c r="T309" s="8" t="s">
        <v>4527</v>
      </c>
      <c r="U309" s="8" t="s">
        <v>4531</v>
      </c>
      <c r="V309" s="2" t="s">
        <v>4522</v>
      </c>
      <c r="X309" s="8" t="s">
        <v>4535</v>
      </c>
      <c r="Z309" s="2">
        <v>310.0</v>
      </c>
      <c r="AA309" s="2">
        <v>1.0</v>
      </c>
      <c r="AB309" s="2">
        <v>165.0</v>
      </c>
      <c r="AC309" s="2">
        <v>8460.0</v>
      </c>
      <c r="AD309" s="2" t="s">
        <v>4536</v>
      </c>
      <c r="AE309" s="2" t="s">
        <v>4537</v>
      </c>
      <c r="AL309" s="6">
        <f>IFERROR(__xludf.DUMMYFUNCTION("IF(
  TRIM(AD309)="""",
  0,
  COUNTA(
    SPLIT(
      REGEXREPLACE(AD309,""\s*,\s*"","",""),
      "",""
    )
  )
)"),8.0)</f>
        <v>8</v>
      </c>
    </row>
    <row r="310">
      <c r="A310" s="2" t="s">
        <v>3881</v>
      </c>
      <c r="B310" s="2" t="s">
        <v>3881</v>
      </c>
      <c r="C310" s="2" t="s">
        <v>3882</v>
      </c>
      <c r="D310" s="2" t="s">
        <v>3883</v>
      </c>
      <c r="E310" s="2">
        <v>30.0</v>
      </c>
      <c r="F310" s="2">
        <v>147.0</v>
      </c>
      <c r="G310" s="2">
        <v>16.0</v>
      </c>
      <c r="H310" s="8" t="s">
        <v>4538</v>
      </c>
      <c r="I310" s="2" t="s">
        <v>3885</v>
      </c>
      <c r="J310" s="2" t="s">
        <v>3886</v>
      </c>
      <c r="K310" s="10">
        <v>45663.943703703706</v>
      </c>
      <c r="L310" s="2">
        <v>1.736203136E9</v>
      </c>
      <c r="M310" s="2" t="s">
        <v>47</v>
      </c>
      <c r="N310" s="2" t="s">
        <v>47</v>
      </c>
      <c r="O310" s="2" t="s">
        <v>47</v>
      </c>
      <c r="P310" s="2" t="s">
        <v>47</v>
      </c>
      <c r="Q310" s="2" t="s">
        <v>47</v>
      </c>
      <c r="R310" s="2" t="s">
        <v>48</v>
      </c>
      <c r="S310" s="2" t="s">
        <v>3887</v>
      </c>
      <c r="T310" s="8" t="s">
        <v>4540</v>
      </c>
      <c r="U310" s="8" t="s">
        <v>4543</v>
      </c>
      <c r="V310" s="2" t="s">
        <v>3883</v>
      </c>
      <c r="X310" s="8" t="s">
        <v>3897</v>
      </c>
      <c r="Z310" s="2">
        <v>300.0</v>
      </c>
      <c r="AA310" s="2">
        <v>16.0</v>
      </c>
      <c r="AB310" s="2">
        <v>138.0</v>
      </c>
      <c r="AC310" s="2">
        <v>8019.0</v>
      </c>
      <c r="AD310" s="2" t="s">
        <v>3898</v>
      </c>
      <c r="AE310" s="2" t="s">
        <v>3898</v>
      </c>
      <c r="AL310" s="6">
        <f>IFERROR(__xludf.DUMMYFUNCTION("IF(
  TRIM(AD310)="""",
  0,
  COUNTA(
    SPLIT(
      REGEXREPLACE(AD310,""\s*,\s*"","",""),
      "",""
    )
  )
)"),5.0)</f>
        <v>5</v>
      </c>
    </row>
    <row r="311">
      <c r="A311" s="2" t="s">
        <v>4551</v>
      </c>
      <c r="B311" s="2" t="s">
        <v>4551</v>
      </c>
      <c r="C311" s="2" t="s">
        <v>4552</v>
      </c>
      <c r="D311" s="2" t="s">
        <v>4553</v>
      </c>
      <c r="E311" s="2">
        <v>1716.0</v>
      </c>
      <c r="F311" s="2">
        <v>26800.0</v>
      </c>
      <c r="G311" s="2">
        <v>483.0</v>
      </c>
      <c r="H311" s="8" t="s">
        <v>4554</v>
      </c>
      <c r="I311" s="2" t="s">
        <v>4556</v>
      </c>
      <c r="J311" s="2" t="s">
        <v>4557</v>
      </c>
      <c r="K311" s="10">
        <v>45710.746354166666</v>
      </c>
      <c r="L311" s="2">
        <v>1.740246885E9</v>
      </c>
      <c r="M311" s="2" t="s">
        <v>47</v>
      </c>
      <c r="N311" s="2" t="s">
        <v>47</v>
      </c>
      <c r="O311" s="2" t="s">
        <v>47</v>
      </c>
      <c r="P311" s="2" t="s">
        <v>47</v>
      </c>
      <c r="Q311" s="2" t="s">
        <v>47</v>
      </c>
      <c r="R311" s="2" t="s">
        <v>48</v>
      </c>
      <c r="S311" s="2" t="s">
        <v>4558</v>
      </c>
      <c r="T311" s="8" t="s">
        <v>4559</v>
      </c>
      <c r="U311" s="8" t="s">
        <v>4562</v>
      </c>
      <c r="V311" s="2" t="s">
        <v>4563</v>
      </c>
      <c r="W311" s="8" t="s">
        <v>4565</v>
      </c>
      <c r="X311" s="8" t="s">
        <v>4566</v>
      </c>
      <c r="Z311" s="2">
        <v>284.0</v>
      </c>
      <c r="AA311" s="2">
        <v>21.0</v>
      </c>
      <c r="AB311" s="2">
        <v>47.0</v>
      </c>
      <c r="AC311" s="2">
        <v>14300.0</v>
      </c>
      <c r="AD311" s="2" t="s">
        <v>4567</v>
      </c>
      <c r="AE311" s="2" t="s">
        <v>4567</v>
      </c>
      <c r="AL311" s="6">
        <f>IFERROR(__xludf.DUMMYFUNCTION("IF(
  TRIM(AD311)="""",
  0,
  COUNTA(
    SPLIT(
      REGEXREPLACE(AD311,""\s*,\s*"","",""),
      "",""
    )
  )
)"),6.0)</f>
        <v>6</v>
      </c>
    </row>
    <row r="312">
      <c r="A312" s="2" t="s">
        <v>4568</v>
      </c>
      <c r="B312" s="2" t="s">
        <v>4568</v>
      </c>
      <c r="C312" s="2" t="s">
        <v>4385</v>
      </c>
      <c r="D312" s="2" t="s">
        <v>4386</v>
      </c>
      <c r="E312" s="2">
        <v>2989.0</v>
      </c>
      <c r="F312" s="2">
        <v>127.0</v>
      </c>
      <c r="G312" s="2">
        <v>97.0</v>
      </c>
      <c r="H312" s="8" t="s">
        <v>4387</v>
      </c>
      <c r="I312" s="2" t="s">
        <v>4569</v>
      </c>
      <c r="K312" s="10">
        <v>45124.90109953703</v>
      </c>
      <c r="L312" s="2">
        <v>1.689629855E9</v>
      </c>
      <c r="M312" s="2" t="s">
        <v>47</v>
      </c>
      <c r="N312" s="2" t="s">
        <v>47</v>
      </c>
      <c r="O312" s="2" t="s">
        <v>47</v>
      </c>
      <c r="P312" s="2" t="s">
        <v>47</v>
      </c>
      <c r="Q312" s="2" t="s">
        <v>47</v>
      </c>
      <c r="R312" s="2" t="s">
        <v>75</v>
      </c>
      <c r="S312" s="2" t="s">
        <v>76</v>
      </c>
      <c r="U312" s="8" t="s">
        <v>4570</v>
      </c>
      <c r="V312" s="2" t="s">
        <v>79</v>
      </c>
      <c r="W312" s="8" t="s">
        <v>4572</v>
      </c>
      <c r="X312" s="8" t="s">
        <v>4573</v>
      </c>
      <c r="Z312" s="2">
        <v>267.0</v>
      </c>
      <c r="AA312" s="2">
        <v>11.0</v>
      </c>
      <c r="AB312" s="2">
        <v>200.0</v>
      </c>
      <c r="AC312" s="2">
        <v>12900.0</v>
      </c>
      <c r="AD312" s="2" t="s">
        <v>59</v>
      </c>
      <c r="AE312" s="2" t="s">
        <v>59</v>
      </c>
      <c r="AH312" s="2" t="s">
        <v>121</v>
      </c>
      <c r="AL312" s="6">
        <f>IFERROR(__xludf.DUMMYFUNCTION("IF(
  TRIM(AD312)="""",
  0,
  COUNTA(
    SPLIT(
      REGEXREPLACE(AD312,""\s*,\s*"","",""),
      "",""
    )
  )
)"),1.0)</f>
        <v>1</v>
      </c>
    </row>
    <row r="313">
      <c r="A313" s="2" t="s">
        <v>4528</v>
      </c>
      <c r="B313" s="2" t="s">
        <v>4528</v>
      </c>
      <c r="C313" s="2" t="s">
        <v>4529</v>
      </c>
      <c r="D313" s="2" t="s">
        <v>4529</v>
      </c>
      <c r="E313" s="2">
        <v>23100.0</v>
      </c>
      <c r="F313" s="2">
        <v>2183.0</v>
      </c>
      <c r="G313" s="2">
        <v>220.0</v>
      </c>
      <c r="H313" s="8" t="s">
        <v>4574</v>
      </c>
      <c r="I313" s="2" t="s">
        <v>4532</v>
      </c>
      <c r="J313" s="2" t="s">
        <v>4533</v>
      </c>
      <c r="K313" s="10">
        <v>45784.65185185185</v>
      </c>
      <c r="L313" s="2">
        <v>1.74663232E9</v>
      </c>
      <c r="M313" s="2" t="s">
        <v>47</v>
      </c>
      <c r="N313" s="2" t="s">
        <v>47</v>
      </c>
      <c r="O313" s="2" t="s">
        <v>47</v>
      </c>
      <c r="P313" s="2" t="s">
        <v>47</v>
      </c>
      <c r="Q313" s="2" t="s">
        <v>47</v>
      </c>
      <c r="R313" s="2" t="s">
        <v>204</v>
      </c>
      <c r="S313" s="2" t="s">
        <v>2520</v>
      </c>
      <c r="T313" s="8" t="s">
        <v>4581</v>
      </c>
      <c r="U313" s="8" t="s">
        <v>2754</v>
      </c>
      <c r="V313" s="2" t="s">
        <v>2530</v>
      </c>
      <c r="W313" s="8" t="s">
        <v>4584</v>
      </c>
      <c r="X313" s="8" t="s">
        <v>4541</v>
      </c>
      <c r="Z313" s="2">
        <v>240.0</v>
      </c>
      <c r="AA313" s="2">
        <v>18.0</v>
      </c>
      <c r="AB313" s="2">
        <v>127.0</v>
      </c>
      <c r="AC313" s="2">
        <v>6376.0</v>
      </c>
      <c r="AD313" s="2" t="s">
        <v>4542</v>
      </c>
      <c r="AE313" s="2" t="s">
        <v>4544</v>
      </c>
      <c r="AL313" s="6">
        <f>IFERROR(__xludf.DUMMYFUNCTION("IF(
  TRIM(AD313)="""",
  0,
  COUNTA(
    SPLIT(
      REGEXREPLACE(AD313,""\s*,\s*"","",""),
      "",""
    )
  )
)"),7.0)</f>
        <v>7</v>
      </c>
    </row>
    <row r="314">
      <c r="A314" s="2" t="s">
        <v>4257</v>
      </c>
      <c r="B314" s="2" t="s">
        <v>4257</v>
      </c>
      <c r="C314" s="2" t="s">
        <v>69</v>
      </c>
      <c r="D314" s="2" t="s">
        <v>70</v>
      </c>
      <c r="E314" s="2">
        <v>175800.0</v>
      </c>
      <c r="F314" s="2">
        <v>886.0</v>
      </c>
      <c r="G314" s="2">
        <v>767.0</v>
      </c>
      <c r="H314" s="8" t="s">
        <v>84</v>
      </c>
      <c r="I314" s="2" t="s">
        <v>4258</v>
      </c>
      <c r="K314" s="10">
        <v>45842.899305555555</v>
      </c>
      <c r="L314" s="2">
        <v>1.7516649E9</v>
      </c>
      <c r="M314" s="2" t="s">
        <v>47</v>
      </c>
      <c r="N314" s="2" t="s">
        <v>47</v>
      </c>
      <c r="O314" s="2" t="s">
        <v>47</v>
      </c>
      <c r="P314" s="2" t="s">
        <v>47</v>
      </c>
      <c r="Q314" s="2" t="s">
        <v>47</v>
      </c>
      <c r="R314" s="2" t="s">
        <v>352</v>
      </c>
      <c r="S314" s="2" t="s">
        <v>4259</v>
      </c>
      <c r="T314" s="8" t="s">
        <v>4594</v>
      </c>
      <c r="U314" s="8" t="s">
        <v>1052</v>
      </c>
      <c r="V314" s="2" t="s">
        <v>70</v>
      </c>
      <c r="W314" s="8" t="s">
        <v>4596</v>
      </c>
      <c r="X314" s="8" t="s">
        <v>4270</v>
      </c>
      <c r="Z314" s="2">
        <v>233.0</v>
      </c>
      <c r="AA314" s="2">
        <v>5.0</v>
      </c>
      <c r="AB314" s="2">
        <v>27.0</v>
      </c>
      <c r="AC314" s="2">
        <v>2042.0</v>
      </c>
      <c r="AD314" s="2" t="s">
        <v>4271</v>
      </c>
      <c r="AE314" s="2" t="s">
        <v>4271</v>
      </c>
      <c r="AL314" s="6">
        <f>IFERROR(__xludf.DUMMYFUNCTION("IF(
  TRIM(AD314)="""",
  0,
  COUNTA(
    SPLIT(
      REGEXREPLACE(AD314,""\s*,\s*"","",""),
      "",""
    )
  )
)"),6.0)</f>
        <v>6</v>
      </c>
    </row>
    <row r="315">
      <c r="A315" s="2" t="s">
        <v>4272</v>
      </c>
      <c r="B315" s="2" t="s">
        <v>4272</v>
      </c>
      <c r="C315" s="2" t="s">
        <v>4273</v>
      </c>
      <c r="D315" s="2" t="s">
        <v>4274</v>
      </c>
      <c r="E315" s="2">
        <v>9475.0</v>
      </c>
      <c r="F315" s="2">
        <v>1052.0</v>
      </c>
      <c r="G315" s="2">
        <v>354.0</v>
      </c>
      <c r="H315" s="8" t="s">
        <v>4598</v>
      </c>
      <c r="I315" s="2" t="s">
        <v>4276</v>
      </c>
      <c r="J315" s="2" t="s">
        <v>4278</v>
      </c>
      <c r="K315" s="10">
        <v>45209.70101851852</v>
      </c>
      <c r="L315" s="2">
        <v>1.696956568E9</v>
      </c>
      <c r="M315" s="2" t="s">
        <v>47</v>
      </c>
      <c r="N315" s="2" t="s">
        <v>47</v>
      </c>
      <c r="O315" s="2" t="s">
        <v>47</v>
      </c>
      <c r="P315" s="2" t="s">
        <v>47</v>
      </c>
      <c r="Q315" s="2" t="s">
        <v>47</v>
      </c>
      <c r="R315" s="2" t="s">
        <v>4279</v>
      </c>
      <c r="S315" s="2" t="s">
        <v>4280</v>
      </c>
      <c r="T315" s="8" t="s">
        <v>4281</v>
      </c>
      <c r="U315" s="8" t="s">
        <v>4605</v>
      </c>
      <c r="V315" s="2" t="s">
        <v>4288</v>
      </c>
      <c r="W315" s="8" t="s">
        <v>4610</v>
      </c>
      <c r="X315" s="8" t="s">
        <v>4294</v>
      </c>
      <c r="Z315" s="2">
        <v>215.0</v>
      </c>
      <c r="AA315" s="2">
        <v>2.0</v>
      </c>
      <c r="AB315" s="2">
        <v>15.0</v>
      </c>
      <c r="AC315" s="2">
        <v>4388.0</v>
      </c>
      <c r="AD315" s="2" t="s">
        <v>4295</v>
      </c>
      <c r="AE315" s="2" t="s">
        <v>4295</v>
      </c>
      <c r="AL315" s="6">
        <f>IFERROR(__xludf.DUMMYFUNCTION("IF(
  TRIM(AD315)="""",
  0,
  COUNTA(
    SPLIT(
      REGEXREPLACE(AD315,""\s*,\s*"","",""),
      "",""
    )
  )
)"),6.0)</f>
        <v>6</v>
      </c>
    </row>
    <row r="316">
      <c r="A316" s="2" t="s">
        <v>2900</v>
      </c>
      <c r="B316" s="2" t="s">
        <v>2900</v>
      </c>
      <c r="C316" s="8" t="s">
        <v>2901</v>
      </c>
      <c r="D316" s="2" t="s">
        <v>2902</v>
      </c>
      <c r="E316" s="2">
        <v>1965.0</v>
      </c>
      <c r="F316" s="2">
        <v>429.0</v>
      </c>
      <c r="G316" s="2">
        <v>510.0</v>
      </c>
      <c r="H316" s="8" t="s">
        <v>4612</v>
      </c>
      <c r="I316" s="2" t="s">
        <v>2905</v>
      </c>
      <c r="K316" s="10">
        <v>45927.84957175926</v>
      </c>
      <c r="L316" s="2">
        <v>1.759004603E9</v>
      </c>
      <c r="M316" s="2" t="s">
        <v>47</v>
      </c>
      <c r="N316" s="2" t="s">
        <v>47</v>
      </c>
      <c r="O316" s="2" t="s">
        <v>47</v>
      </c>
      <c r="P316" s="2" t="s">
        <v>47</v>
      </c>
      <c r="Q316" s="2" t="s">
        <v>47</v>
      </c>
      <c r="R316" s="2" t="s">
        <v>48</v>
      </c>
      <c r="S316" s="2" t="s">
        <v>2906</v>
      </c>
      <c r="T316" s="8" t="s">
        <v>4614</v>
      </c>
      <c r="U316" s="8" t="s">
        <v>4617</v>
      </c>
      <c r="V316" s="2" t="s">
        <v>2902</v>
      </c>
      <c r="W316" s="8" t="s">
        <v>4619</v>
      </c>
      <c r="X316" s="8" t="s">
        <v>2915</v>
      </c>
      <c r="Z316" s="2">
        <v>214.0</v>
      </c>
      <c r="AA316" s="2">
        <v>6.0</v>
      </c>
      <c r="AB316" s="2">
        <v>91.0</v>
      </c>
      <c r="AC316" s="2">
        <v>6292.0</v>
      </c>
      <c r="AD316" s="2" t="s">
        <v>2916</v>
      </c>
      <c r="AE316" s="2" t="s">
        <v>2916</v>
      </c>
      <c r="AH316" s="2" t="s">
        <v>97</v>
      </c>
      <c r="AL316" s="6">
        <f>IFERROR(__xludf.DUMMYFUNCTION("IF(
  TRIM(AD316)="""",
  0,
  COUNTA(
    SPLIT(
      REGEXREPLACE(AD316,""\s*,\s*"","",""),
      "",""
    )
  )
)"),4.0)</f>
        <v>4</v>
      </c>
    </row>
    <row r="317">
      <c r="A317" s="2" t="s">
        <v>4296</v>
      </c>
      <c r="B317" s="2" t="s">
        <v>4296</v>
      </c>
      <c r="C317" s="2" t="s">
        <v>2523</v>
      </c>
      <c r="D317" s="2" t="s">
        <v>2524</v>
      </c>
      <c r="E317" s="2">
        <v>1300000.0</v>
      </c>
      <c r="F317" s="2">
        <v>1178.0</v>
      </c>
      <c r="G317" s="2">
        <v>1116.0</v>
      </c>
      <c r="H317" s="8" t="s">
        <v>2525</v>
      </c>
      <c r="I317" s="2" t="s">
        <v>4297</v>
      </c>
      <c r="K317" s="10">
        <v>45540.627488425926</v>
      </c>
      <c r="L317" s="2">
        <v>1.725548615E9</v>
      </c>
      <c r="M317" s="2" t="s">
        <v>47</v>
      </c>
      <c r="N317" s="2" t="s">
        <v>47</v>
      </c>
      <c r="O317" s="2" t="s">
        <v>47</v>
      </c>
      <c r="P317" s="2" t="s">
        <v>47</v>
      </c>
      <c r="Q317" s="2" t="s">
        <v>47</v>
      </c>
      <c r="R317" s="2" t="s">
        <v>48</v>
      </c>
      <c r="S317" s="2" t="s">
        <v>4298</v>
      </c>
      <c r="T317" s="8" t="s">
        <v>4626</v>
      </c>
      <c r="U317" s="8" t="s">
        <v>4631</v>
      </c>
      <c r="V317" s="2" t="s">
        <v>2524</v>
      </c>
      <c r="W317" s="8" t="s">
        <v>4632</v>
      </c>
      <c r="X317" s="8" t="s">
        <v>4304</v>
      </c>
      <c r="Z317" s="2">
        <v>210.0</v>
      </c>
      <c r="AA317" s="2">
        <v>8.0</v>
      </c>
      <c r="AB317" s="2">
        <v>28.0</v>
      </c>
      <c r="AC317" s="2">
        <v>7638.0</v>
      </c>
      <c r="AD317" s="2" t="s">
        <v>4307</v>
      </c>
      <c r="AE317" s="2" t="s">
        <v>4307</v>
      </c>
      <c r="AL317" s="6">
        <f>IFERROR(__xludf.DUMMYFUNCTION("IF(
  TRIM(AD317)="""",
  0,
  COUNTA(
    SPLIT(
      REGEXREPLACE(AD317,""\s*,\s*"","",""),
      "",""
    )
  )
)"),6.0)</f>
        <v>6</v>
      </c>
    </row>
    <row r="318">
      <c r="A318" s="2" t="s">
        <v>4639</v>
      </c>
      <c r="B318" s="2" t="s">
        <v>4639</v>
      </c>
      <c r="C318" s="2" t="s">
        <v>4640</v>
      </c>
      <c r="D318" s="2" t="s">
        <v>4641</v>
      </c>
      <c r="E318" s="2">
        <v>10300.0</v>
      </c>
      <c r="F318" s="2">
        <v>1373.0</v>
      </c>
      <c r="G318" s="2">
        <v>881.0</v>
      </c>
      <c r="H318" s="8" t="s">
        <v>4642</v>
      </c>
      <c r="I318" s="2" t="s">
        <v>4648</v>
      </c>
      <c r="K318" s="10">
        <v>45544.98253472222</v>
      </c>
      <c r="L318" s="2">
        <v>1.725924891E9</v>
      </c>
      <c r="M318" s="2" t="s">
        <v>47</v>
      </c>
      <c r="N318" s="2" t="s">
        <v>47</v>
      </c>
      <c r="O318" s="2" t="s">
        <v>47</v>
      </c>
      <c r="P318" s="2" t="s">
        <v>47</v>
      </c>
      <c r="Q318" s="2" t="s">
        <v>47</v>
      </c>
      <c r="R318" s="2" t="s">
        <v>4649</v>
      </c>
      <c r="S318" s="2" t="s">
        <v>4650</v>
      </c>
      <c r="T318" s="8" t="s">
        <v>4651</v>
      </c>
      <c r="U318" s="8" t="s">
        <v>4652</v>
      </c>
      <c r="V318" s="2" t="s">
        <v>4654</v>
      </c>
      <c r="W318" s="8" t="s">
        <v>4655</v>
      </c>
      <c r="X318" s="8" t="s">
        <v>4657</v>
      </c>
      <c r="Z318" s="2">
        <v>180.0</v>
      </c>
      <c r="AA318" s="2">
        <v>23.0</v>
      </c>
      <c r="AB318" s="2">
        <v>124.0</v>
      </c>
      <c r="AC318" s="2">
        <v>6261.0</v>
      </c>
      <c r="AD318" s="2" t="s">
        <v>4659</v>
      </c>
      <c r="AE318" s="2" t="s">
        <v>4659</v>
      </c>
      <c r="AH318" s="2" t="s">
        <v>256</v>
      </c>
      <c r="AL318" s="6">
        <f>IFERROR(__xludf.DUMMYFUNCTION("IF(
  TRIM(AD318)="""",
  0,
  COUNTA(
    SPLIT(
      REGEXREPLACE(AD318,""\s*,\s*"","",""),
      "",""
    )
  )
)"),8.0)</f>
        <v>8</v>
      </c>
    </row>
    <row r="319">
      <c r="A319" s="2" t="s">
        <v>4660</v>
      </c>
      <c r="B319" s="2" t="s">
        <v>4660</v>
      </c>
      <c r="C319" s="2" t="s">
        <v>4661</v>
      </c>
      <c r="D319" s="2" t="s">
        <v>4662</v>
      </c>
      <c r="E319" s="2">
        <v>1729.0</v>
      </c>
      <c r="F319" s="2">
        <v>1353.0</v>
      </c>
      <c r="G319" s="2">
        <v>475.0</v>
      </c>
      <c r="H319" s="8" t="s">
        <v>4663</v>
      </c>
      <c r="I319" s="2" t="s">
        <v>4666</v>
      </c>
      <c r="K319" s="10">
        <v>45302.705925925926</v>
      </c>
      <c r="L319" s="2">
        <v>1.704992192E9</v>
      </c>
      <c r="M319" s="2" t="s">
        <v>47</v>
      </c>
      <c r="N319" s="2" t="s">
        <v>47</v>
      </c>
      <c r="O319" s="2" t="s">
        <v>47</v>
      </c>
      <c r="P319" s="2" t="s">
        <v>47</v>
      </c>
      <c r="Q319" s="2" t="s">
        <v>47</v>
      </c>
      <c r="R319" s="2" t="s">
        <v>204</v>
      </c>
      <c r="S319" s="2" t="s">
        <v>4667</v>
      </c>
      <c r="T319" s="8" t="s">
        <v>4668</v>
      </c>
      <c r="U319" s="8" t="s">
        <v>4670</v>
      </c>
      <c r="V319" s="2" t="s">
        <v>4672</v>
      </c>
      <c r="W319" s="8" t="s">
        <v>4673</v>
      </c>
      <c r="X319" s="8" t="s">
        <v>4676</v>
      </c>
      <c r="Z319" s="2">
        <v>148.0</v>
      </c>
      <c r="AA319" s="2">
        <v>0.0</v>
      </c>
      <c r="AB319" s="2">
        <v>84.0</v>
      </c>
      <c r="AC319" s="2">
        <v>23200.0</v>
      </c>
      <c r="AD319" s="2" t="s">
        <v>4677</v>
      </c>
      <c r="AE319" s="2" t="s">
        <v>4677</v>
      </c>
      <c r="AL319" s="6">
        <f>IFERROR(__xludf.DUMMYFUNCTION("IF(
  TRIM(AD319)="""",
  0,
  COUNTA(
    SPLIT(
      REGEXREPLACE(AD319,""\s*,\s*"","",""),
      "",""
    )
  )
)"),16.0)</f>
        <v>16</v>
      </c>
    </row>
    <row r="320">
      <c r="A320" s="2" t="s">
        <v>3936</v>
      </c>
      <c r="B320" s="2" t="s">
        <v>3936</v>
      </c>
      <c r="C320" s="2" t="s">
        <v>3937</v>
      </c>
      <c r="D320" s="2" t="s">
        <v>3938</v>
      </c>
      <c r="E320" s="2">
        <v>5271.0</v>
      </c>
      <c r="F320" s="2">
        <v>1522.0</v>
      </c>
      <c r="G320" s="2">
        <v>258.0</v>
      </c>
      <c r="H320" s="8" t="s">
        <v>4678</v>
      </c>
      <c r="I320" s="2" t="s">
        <v>3940</v>
      </c>
      <c r="J320" s="2" t="s">
        <v>3941</v>
      </c>
      <c r="K320" s="10">
        <v>45907.489652777775</v>
      </c>
      <c r="L320" s="2">
        <v>1.757245506E9</v>
      </c>
      <c r="M320" s="2" t="s">
        <v>47</v>
      </c>
      <c r="N320" s="2" t="s">
        <v>47</v>
      </c>
      <c r="O320" s="2" t="s">
        <v>47</v>
      </c>
      <c r="P320" s="2" t="s">
        <v>47</v>
      </c>
      <c r="Q320" s="2" t="s">
        <v>47</v>
      </c>
      <c r="R320" s="2" t="s">
        <v>942</v>
      </c>
      <c r="S320" s="2" t="s">
        <v>943</v>
      </c>
      <c r="T320" s="8" t="s">
        <v>944</v>
      </c>
      <c r="U320" s="8" t="s">
        <v>945</v>
      </c>
      <c r="V320" s="2" t="s">
        <v>951</v>
      </c>
      <c r="W320" s="8" t="s">
        <v>4680</v>
      </c>
      <c r="X320" s="8" t="s">
        <v>3950</v>
      </c>
      <c r="Z320" s="2">
        <v>110.0</v>
      </c>
      <c r="AA320" s="2">
        <v>8.0</v>
      </c>
      <c r="AB320" s="2">
        <v>9.0</v>
      </c>
      <c r="AC320" s="2">
        <v>2491.0</v>
      </c>
      <c r="AD320" s="2" t="s">
        <v>3951</v>
      </c>
      <c r="AE320" s="2" t="s">
        <v>3952</v>
      </c>
      <c r="AH320" s="2" t="s">
        <v>97</v>
      </c>
      <c r="AL320" s="6">
        <f>IFERROR(__xludf.DUMMYFUNCTION("IF(
  TRIM(AD320)="""",
  0,
  COUNTA(
    SPLIT(
      REGEXREPLACE(AD320,""\s*,\s*"","",""),
      "",""
    )
  )
)"),5.0)</f>
        <v>5</v>
      </c>
    </row>
    <row r="321">
      <c r="A321" s="2" t="s">
        <v>4682</v>
      </c>
      <c r="B321" s="2" t="s">
        <v>4682</v>
      </c>
      <c r="C321" s="2" t="s">
        <v>4683</v>
      </c>
      <c r="D321" s="2" t="s">
        <v>4684</v>
      </c>
      <c r="E321" s="2">
        <v>617.0</v>
      </c>
      <c r="F321" s="2">
        <v>7784.0</v>
      </c>
      <c r="G321" s="2">
        <v>183.0</v>
      </c>
      <c r="H321" s="8" t="s">
        <v>4685</v>
      </c>
      <c r="I321" s="2" t="s">
        <v>4687</v>
      </c>
      <c r="J321" s="2" t="s">
        <v>4688</v>
      </c>
      <c r="K321" s="10">
        <v>45146.91998842593</v>
      </c>
      <c r="L321" s="2">
        <v>1.691532287E9</v>
      </c>
      <c r="M321" s="2" t="s">
        <v>47</v>
      </c>
      <c r="N321" s="2" t="s">
        <v>47</v>
      </c>
      <c r="O321" s="2" t="s">
        <v>47</v>
      </c>
      <c r="P321" s="2" t="s">
        <v>47</v>
      </c>
      <c r="Q321" s="2" t="s">
        <v>47</v>
      </c>
      <c r="R321" s="2" t="s">
        <v>4689</v>
      </c>
      <c r="S321" s="2" t="s">
        <v>4690</v>
      </c>
      <c r="T321" s="8" t="s">
        <v>4691</v>
      </c>
      <c r="U321" s="8" t="s">
        <v>4692</v>
      </c>
      <c r="V321" s="2" t="s">
        <v>4694</v>
      </c>
      <c r="W321" s="8" t="s">
        <v>4695</v>
      </c>
      <c r="X321" s="8" t="s">
        <v>4697</v>
      </c>
      <c r="Z321" s="2">
        <v>81.0</v>
      </c>
      <c r="AA321" s="2">
        <v>6.0</v>
      </c>
      <c r="AB321" s="2">
        <v>44.0</v>
      </c>
      <c r="AC321" s="2">
        <v>3295.0</v>
      </c>
      <c r="AD321" s="2" t="s">
        <v>4698</v>
      </c>
      <c r="AE321" s="2" t="s">
        <v>4698</v>
      </c>
      <c r="AH321" s="2" t="s">
        <v>918</v>
      </c>
      <c r="AL321" s="6">
        <f>IFERROR(__xludf.DUMMYFUNCTION("IF(
  TRIM(AD321)="""",
  0,
  COUNTA(
    SPLIT(
      REGEXREPLACE(AD321,""\s*,\s*"","",""),
      "",""
    )
  )
)"),3.0)</f>
        <v>3</v>
      </c>
    </row>
    <row r="322">
      <c r="A322" s="2" t="s">
        <v>3964</v>
      </c>
      <c r="B322" s="2" t="s">
        <v>3964</v>
      </c>
      <c r="C322" s="2" t="s">
        <v>3937</v>
      </c>
      <c r="D322" s="2" t="s">
        <v>3938</v>
      </c>
      <c r="E322" s="2">
        <v>5271.0</v>
      </c>
      <c r="F322" s="2">
        <v>1522.0</v>
      </c>
      <c r="G322" s="2">
        <v>258.0</v>
      </c>
      <c r="H322" s="8" t="s">
        <v>4678</v>
      </c>
      <c r="I322" s="2" t="s">
        <v>3965</v>
      </c>
      <c r="J322" s="2" t="s">
        <v>3966</v>
      </c>
      <c r="K322" s="10">
        <v>45908.92665509259</v>
      </c>
      <c r="L322" s="2">
        <v>1.757369663E9</v>
      </c>
      <c r="M322" s="2" t="s">
        <v>47</v>
      </c>
      <c r="N322" s="2" t="s">
        <v>47</v>
      </c>
      <c r="O322" s="2" t="s">
        <v>47</v>
      </c>
      <c r="P322" s="2" t="s">
        <v>47</v>
      </c>
      <c r="Q322" s="2" t="s">
        <v>47</v>
      </c>
      <c r="R322" s="2" t="s">
        <v>942</v>
      </c>
      <c r="S322" s="2" t="s">
        <v>943</v>
      </c>
      <c r="T322" s="8" t="s">
        <v>944</v>
      </c>
      <c r="U322" s="8" t="s">
        <v>3942</v>
      </c>
      <c r="V322" s="2" t="s">
        <v>951</v>
      </c>
      <c r="W322" s="8" t="s">
        <v>4700</v>
      </c>
      <c r="X322" s="8" t="s">
        <v>3969</v>
      </c>
      <c r="Z322" s="2">
        <v>74.0</v>
      </c>
      <c r="AA322" s="2">
        <v>3.0</v>
      </c>
      <c r="AB322" s="2">
        <v>3.0</v>
      </c>
      <c r="AC322" s="2">
        <v>762.0</v>
      </c>
      <c r="AD322" s="2" t="s">
        <v>3951</v>
      </c>
      <c r="AE322" s="2" t="s">
        <v>3952</v>
      </c>
      <c r="AL322" s="6">
        <f>IFERROR(__xludf.DUMMYFUNCTION("IF(
  TRIM(AD322)="""",
  0,
  COUNTA(
    SPLIT(
      REGEXREPLACE(AD322,""\s*,\s*"","",""),
      "",""
    )
  )
)"),5.0)</f>
        <v>5</v>
      </c>
    </row>
    <row r="323">
      <c r="A323" s="2" t="s">
        <v>4703</v>
      </c>
      <c r="B323" s="2" t="s">
        <v>4703</v>
      </c>
      <c r="C323" s="2" t="s">
        <v>4385</v>
      </c>
      <c r="D323" s="2" t="s">
        <v>4386</v>
      </c>
      <c r="E323" s="2">
        <v>2989.0</v>
      </c>
      <c r="F323" s="2">
        <v>127.0</v>
      </c>
      <c r="G323" s="2">
        <v>97.0</v>
      </c>
      <c r="H323" s="8" t="s">
        <v>4704</v>
      </c>
      <c r="I323" s="2" t="s">
        <v>4705</v>
      </c>
      <c r="K323" s="10">
        <v>45218.44584490741</v>
      </c>
      <c r="L323" s="2">
        <v>1.697712121E9</v>
      </c>
      <c r="M323" s="2" t="s">
        <v>47</v>
      </c>
      <c r="N323" s="2" t="s">
        <v>47</v>
      </c>
      <c r="O323" s="2" t="s">
        <v>47</v>
      </c>
      <c r="P323" s="2" t="s">
        <v>47</v>
      </c>
      <c r="Q323" s="2" t="s">
        <v>47</v>
      </c>
      <c r="R323" s="2" t="s">
        <v>48</v>
      </c>
      <c r="S323" s="2" t="s">
        <v>4706</v>
      </c>
      <c r="T323" s="8" t="s">
        <v>4707</v>
      </c>
      <c r="U323" s="8" t="s">
        <v>4715</v>
      </c>
      <c r="V323" s="2" t="s">
        <v>4386</v>
      </c>
      <c r="W323" s="8" t="s">
        <v>4718</v>
      </c>
      <c r="X323" s="8" t="s">
        <v>4720</v>
      </c>
      <c r="Z323" s="2">
        <v>73.0</v>
      </c>
      <c r="AA323" s="2">
        <v>0.0</v>
      </c>
      <c r="AB323" s="2">
        <v>31.0</v>
      </c>
      <c r="AC323" s="2">
        <v>3307.0</v>
      </c>
      <c r="AD323" s="2" t="s">
        <v>4721</v>
      </c>
      <c r="AE323" s="2" t="s">
        <v>4721</v>
      </c>
      <c r="AL323" s="6">
        <f>IFERROR(__xludf.DUMMYFUNCTION("IF(
  TRIM(AD323)="""",
  0,
  COUNTA(
    SPLIT(
      REGEXREPLACE(AD323,""\s*,\s*"","",""),
      "",""
    )
  )
)"),21.0)</f>
        <v>21</v>
      </c>
    </row>
    <row r="324">
      <c r="A324" s="2" t="s">
        <v>2209</v>
      </c>
      <c r="B324" s="2" t="s">
        <v>2209</v>
      </c>
      <c r="C324" s="2" t="s">
        <v>2210</v>
      </c>
      <c r="D324" s="2" t="s">
        <v>2211</v>
      </c>
      <c r="E324" s="2">
        <v>7741.0</v>
      </c>
      <c r="F324" s="2">
        <v>105.0</v>
      </c>
      <c r="G324" s="2">
        <v>57.0</v>
      </c>
      <c r="H324" s="8" t="s">
        <v>4725</v>
      </c>
      <c r="I324" s="2" t="s">
        <v>2219</v>
      </c>
      <c r="K324" s="10">
        <v>45940.67900462963</v>
      </c>
      <c r="L324" s="2">
        <v>1.760113066E9</v>
      </c>
      <c r="M324" s="2" t="s">
        <v>47</v>
      </c>
      <c r="N324" s="2" t="s">
        <v>47</v>
      </c>
      <c r="O324" s="2" t="s">
        <v>47</v>
      </c>
      <c r="P324" s="2" t="s">
        <v>47</v>
      </c>
      <c r="Q324" s="2" t="s">
        <v>47</v>
      </c>
      <c r="R324" s="2" t="s">
        <v>48</v>
      </c>
      <c r="S324" s="2" t="s">
        <v>2220</v>
      </c>
      <c r="T324" s="8" t="s">
        <v>4730</v>
      </c>
      <c r="U324" s="8" t="s">
        <v>4736</v>
      </c>
      <c r="V324" s="2" t="s">
        <v>2211</v>
      </c>
      <c r="W324" s="8" t="s">
        <v>4737</v>
      </c>
      <c r="X324" s="8" t="s">
        <v>2236</v>
      </c>
      <c r="Z324" s="2">
        <v>71.0</v>
      </c>
      <c r="AA324" s="2">
        <v>9.0</v>
      </c>
      <c r="AB324" s="2">
        <v>51.0</v>
      </c>
      <c r="AC324" s="2">
        <v>2133.0</v>
      </c>
      <c r="AD324" s="2" t="s">
        <v>2237</v>
      </c>
      <c r="AE324" s="2" t="s">
        <v>2237</v>
      </c>
      <c r="AL324" s="6">
        <f>IFERROR(__xludf.DUMMYFUNCTION("IF(
  TRIM(AD324)="""",
  0,
  COUNTA(
    SPLIT(
      REGEXREPLACE(AD324,""\s*,\s*"","",""),
      "",""
    )
  )
)"),3.0)</f>
        <v>3</v>
      </c>
    </row>
    <row r="325">
      <c r="A325" s="2" t="s">
        <v>4742</v>
      </c>
      <c r="B325" s="2" t="s">
        <v>4742</v>
      </c>
      <c r="C325" s="2" t="s">
        <v>4744</v>
      </c>
      <c r="D325" s="2" t="s">
        <v>4745</v>
      </c>
      <c r="E325" s="2">
        <v>34.0</v>
      </c>
      <c r="F325" s="2">
        <v>25.0</v>
      </c>
      <c r="G325" s="2">
        <v>4.0</v>
      </c>
      <c r="H325" s="8" t="s">
        <v>4746</v>
      </c>
      <c r="I325" s="2" t="s">
        <v>4747</v>
      </c>
      <c r="K325" s="10">
        <v>45923.87359953704</v>
      </c>
      <c r="L325" s="2">
        <v>1.758661079E9</v>
      </c>
      <c r="M325" s="2" t="s">
        <v>47</v>
      </c>
      <c r="N325" s="2" t="s">
        <v>47</v>
      </c>
      <c r="O325" s="2" t="s">
        <v>47</v>
      </c>
      <c r="P325" s="2" t="s">
        <v>47</v>
      </c>
      <c r="Q325" s="2" t="s">
        <v>47</v>
      </c>
      <c r="R325" s="2" t="s">
        <v>48</v>
      </c>
      <c r="S325" s="2" t="s">
        <v>4748</v>
      </c>
      <c r="T325" s="8" t="s">
        <v>4749</v>
      </c>
      <c r="U325" s="8" t="s">
        <v>4751</v>
      </c>
      <c r="V325" s="2" t="s">
        <v>4745</v>
      </c>
      <c r="W325" s="8" t="s">
        <v>4753</v>
      </c>
      <c r="X325" s="8" t="s">
        <v>4758</v>
      </c>
      <c r="Z325" s="2">
        <v>61.0</v>
      </c>
      <c r="AA325" s="2">
        <v>3.0</v>
      </c>
      <c r="AB325" s="2">
        <v>3.0</v>
      </c>
      <c r="AC325" s="2">
        <v>805.0</v>
      </c>
      <c r="AD325" s="2" t="s">
        <v>4759</v>
      </c>
      <c r="AE325" s="2" t="s">
        <v>4759</v>
      </c>
      <c r="AL325" s="6">
        <f>IFERROR(__xludf.DUMMYFUNCTION("IF(
  TRIM(AD325)="""",
  0,
  COUNTA(
    SPLIT(
      REGEXREPLACE(AD325,""\s*,\s*"","",""),
      "",""
    )
  )
)"),5.0)</f>
        <v>5</v>
      </c>
    </row>
    <row r="326">
      <c r="A326" s="2" t="s">
        <v>4760</v>
      </c>
      <c r="B326" s="2" t="s">
        <v>4760</v>
      </c>
      <c r="C326" s="2" t="s">
        <v>4761</v>
      </c>
      <c r="D326" s="2" t="s">
        <v>4762</v>
      </c>
      <c r="E326" s="2">
        <v>3403.0</v>
      </c>
      <c r="F326" s="2">
        <v>21600.0</v>
      </c>
      <c r="G326" s="2">
        <v>242.0</v>
      </c>
      <c r="H326" s="8" t="s">
        <v>4763</v>
      </c>
      <c r="I326" s="2" t="s">
        <v>4769</v>
      </c>
      <c r="K326" s="10">
        <v>45128.87012731482</v>
      </c>
      <c r="L326" s="2">
        <v>1.689972779E9</v>
      </c>
      <c r="M326" s="2" t="s">
        <v>47</v>
      </c>
      <c r="N326" s="2" t="s">
        <v>47</v>
      </c>
      <c r="O326" s="2" t="s">
        <v>47</v>
      </c>
      <c r="P326" s="2" t="s">
        <v>47</v>
      </c>
      <c r="Q326" s="2" t="s">
        <v>47</v>
      </c>
      <c r="R326" s="2" t="s">
        <v>48</v>
      </c>
      <c r="S326" s="2" t="s">
        <v>4770</v>
      </c>
      <c r="T326" s="8" t="s">
        <v>4771</v>
      </c>
      <c r="U326" s="8" t="s">
        <v>4773</v>
      </c>
      <c r="V326" s="2" t="s">
        <v>4762</v>
      </c>
      <c r="W326" s="8" t="s">
        <v>4775</v>
      </c>
      <c r="X326" s="8" t="s">
        <v>4778</v>
      </c>
      <c r="Z326" s="2">
        <v>49.0</v>
      </c>
      <c r="AA326" s="2">
        <v>2.0</v>
      </c>
      <c r="AB326" s="2">
        <v>16.0</v>
      </c>
      <c r="AC326" s="2">
        <v>2174.0</v>
      </c>
      <c r="AD326" s="2" t="s">
        <v>4780</v>
      </c>
      <c r="AE326" s="2" t="s">
        <v>4780</v>
      </c>
      <c r="AH326" s="2" t="s">
        <v>256</v>
      </c>
      <c r="AL326" s="6">
        <f>IFERROR(__xludf.DUMMYFUNCTION("IF(
  TRIM(AD326)="""",
  0,
  COUNTA(
    SPLIT(
      REGEXREPLACE(AD326,""\s*,\s*"","",""),
      "",""
    )
  )
)"),4.0)</f>
        <v>4</v>
      </c>
    </row>
    <row r="327">
      <c r="A327" s="2" t="s">
        <v>3988</v>
      </c>
      <c r="B327" s="2" t="s">
        <v>3988</v>
      </c>
      <c r="C327" s="2" t="s">
        <v>3937</v>
      </c>
      <c r="D327" s="2" t="s">
        <v>3938</v>
      </c>
      <c r="E327" s="2">
        <v>5271.0</v>
      </c>
      <c r="F327" s="2">
        <v>1522.0</v>
      </c>
      <c r="G327" s="2">
        <v>258.0</v>
      </c>
      <c r="H327" s="8" t="s">
        <v>4678</v>
      </c>
      <c r="I327" s="2" t="s">
        <v>3990</v>
      </c>
      <c r="K327" s="10">
        <v>45902.98351851852</v>
      </c>
      <c r="L327" s="2">
        <v>1.756856176E9</v>
      </c>
      <c r="M327" s="2" t="s">
        <v>47</v>
      </c>
      <c r="N327" s="2" t="s">
        <v>47</v>
      </c>
      <c r="O327" s="2" t="s">
        <v>47</v>
      </c>
      <c r="P327" s="2" t="s">
        <v>47</v>
      </c>
      <c r="Q327" s="2" t="s">
        <v>47</v>
      </c>
      <c r="R327" s="2" t="s">
        <v>3991</v>
      </c>
      <c r="S327" s="2" t="s">
        <v>3992</v>
      </c>
      <c r="T327" s="8" t="s">
        <v>3993</v>
      </c>
      <c r="U327" s="8" t="s">
        <v>4782</v>
      </c>
      <c r="V327" s="2" t="s">
        <v>3995</v>
      </c>
      <c r="W327" s="8" t="s">
        <v>4783</v>
      </c>
      <c r="X327" s="8" t="s">
        <v>3998</v>
      </c>
      <c r="Z327" s="2">
        <v>45.0</v>
      </c>
      <c r="AA327" s="2">
        <v>0.0</v>
      </c>
      <c r="AB327" s="2">
        <v>4.0</v>
      </c>
      <c r="AC327" s="2">
        <v>772.0</v>
      </c>
      <c r="AD327" s="2" t="s">
        <v>3999</v>
      </c>
      <c r="AE327" s="2" t="s">
        <v>3999</v>
      </c>
      <c r="AL327" s="6">
        <f>IFERROR(__xludf.DUMMYFUNCTION("IF(
  TRIM(AD327)="""",
  0,
  COUNTA(
    SPLIT(
      REGEXREPLACE(AD327,""\s*,\s*"","",""),
      "",""
    )
  )
)"),5.0)</f>
        <v>5</v>
      </c>
    </row>
    <row r="328">
      <c r="A328" s="2" t="s">
        <v>4708</v>
      </c>
      <c r="B328" s="2" t="s">
        <v>4708</v>
      </c>
      <c r="C328" s="2" t="s">
        <v>3937</v>
      </c>
      <c r="D328" s="2" t="s">
        <v>3938</v>
      </c>
      <c r="E328" s="2">
        <v>5271.0</v>
      </c>
      <c r="F328" s="2">
        <v>1522.0</v>
      </c>
      <c r="G328" s="2">
        <v>258.0</v>
      </c>
      <c r="H328" s="8" t="s">
        <v>4678</v>
      </c>
      <c r="I328" s="2" t="s">
        <v>4709</v>
      </c>
      <c r="J328" s="2" t="s">
        <v>4710</v>
      </c>
      <c r="K328" s="10">
        <v>45841.63978009259</v>
      </c>
      <c r="L328" s="2">
        <v>1.751556077E9</v>
      </c>
      <c r="M328" s="2" t="s">
        <v>47</v>
      </c>
      <c r="N328" s="2" t="s">
        <v>47</v>
      </c>
      <c r="O328" s="2" t="s">
        <v>47</v>
      </c>
      <c r="P328" s="2" t="s">
        <v>47</v>
      </c>
      <c r="Q328" s="2" t="s">
        <v>47</v>
      </c>
      <c r="R328" s="2" t="s">
        <v>4711</v>
      </c>
      <c r="S328" s="2" t="s">
        <v>4712</v>
      </c>
      <c r="T328" s="8" t="s">
        <v>4713</v>
      </c>
      <c r="U328" s="8" t="s">
        <v>4786</v>
      </c>
      <c r="V328" s="2" t="s">
        <v>4716</v>
      </c>
      <c r="W328" s="8" t="s">
        <v>4787</v>
      </c>
      <c r="X328" s="8" t="s">
        <v>4719</v>
      </c>
      <c r="Z328" s="2">
        <v>45.0</v>
      </c>
      <c r="AA328" s="2">
        <v>0.0</v>
      </c>
      <c r="AB328" s="2">
        <v>1.0</v>
      </c>
      <c r="AC328" s="2">
        <v>724.0</v>
      </c>
      <c r="AD328" s="2" t="s">
        <v>4722</v>
      </c>
      <c r="AE328" s="2" t="s">
        <v>4723</v>
      </c>
      <c r="AL328" s="6">
        <f>IFERROR(__xludf.DUMMYFUNCTION("IF(
  TRIM(AD328)="""",
  0,
  COUNTA(
    SPLIT(
      REGEXREPLACE(AD328,""\s*,\s*"","",""),
      "",""
    )
  )
)"),8.0)</f>
        <v>8</v>
      </c>
    </row>
    <row r="329">
      <c r="A329" s="2" t="s">
        <v>4789</v>
      </c>
      <c r="B329" s="2" t="s">
        <v>4789</v>
      </c>
      <c r="C329" s="2" t="s">
        <v>3937</v>
      </c>
      <c r="D329" s="2" t="s">
        <v>3938</v>
      </c>
      <c r="E329" s="2">
        <v>5271.0</v>
      </c>
      <c r="F329" s="2">
        <v>1522.0</v>
      </c>
      <c r="G329" s="2">
        <v>258.0</v>
      </c>
      <c r="H329" s="8" t="s">
        <v>4678</v>
      </c>
      <c r="I329" s="2" t="s">
        <v>4790</v>
      </c>
      <c r="J329" s="2" t="s">
        <v>4791</v>
      </c>
      <c r="K329" s="10">
        <v>45864.72494212963</v>
      </c>
      <c r="L329" s="2">
        <v>1.753550635E9</v>
      </c>
      <c r="M329" s="2" t="s">
        <v>47</v>
      </c>
      <c r="N329" s="2" t="s">
        <v>47</v>
      </c>
      <c r="O329" s="2" t="s">
        <v>47</v>
      </c>
      <c r="P329" s="2" t="s">
        <v>47</v>
      </c>
      <c r="Q329" s="2" t="s">
        <v>47</v>
      </c>
      <c r="R329" s="2" t="s">
        <v>4792</v>
      </c>
      <c r="S329" s="2" t="s">
        <v>4793</v>
      </c>
      <c r="T329" s="8" t="s">
        <v>4794</v>
      </c>
      <c r="U329" s="8" t="s">
        <v>4795</v>
      </c>
      <c r="V329" s="2" t="s">
        <v>4800</v>
      </c>
      <c r="W329" s="8" t="s">
        <v>4801</v>
      </c>
      <c r="X329" s="8" t="s">
        <v>4806</v>
      </c>
      <c r="Z329" s="2">
        <v>43.0</v>
      </c>
      <c r="AA329" s="2">
        <v>1.0</v>
      </c>
      <c r="AB329" s="2">
        <v>3.0</v>
      </c>
      <c r="AC329" s="2">
        <v>502.0</v>
      </c>
      <c r="AD329" s="2" t="s">
        <v>4807</v>
      </c>
      <c r="AE329" s="2" t="s">
        <v>4807</v>
      </c>
      <c r="AL329" s="6">
        <f>IFERROR(__xludf.DUMMYFUNCTION("IF(
  TRIM(AD329)="""",
  0,
  COUNTA(
    SPLIT(
      REGEXREPLACE(AD329,""\s*,\s*"","",""),
      "",""
    )
  )
)"),11.0)</f>
        <v>11</v>
      </c>
    </row>
    <row r="330">
      <c r="A330" s="2" t="s">
        <v>4808</v>
      </c>
      <c r="B330" s="2" t="s">
        <v>4808</v>
      </c>
      <c r="C330" s="2" t="s">
        <v>4809</v>
      </c>
      <c r="D330" s="2" t="s">
        <v>4810</v>
      </c>
      <c r="E330" s="2">
        <v>30600.0</v>
      </c>
      <c r="F330" s="2">
        <v>255.0</v>
      </c>
      <c r="G330" s="2">
        <v>491.0</v>
      </c>
      <c r="H330" s="8" t="s">
        <v>4811</v>
      </c>
      <c r="I330" s="2" t="s">
        <v>4813</v>
      </c>
      <c r="J330" s="2" t="s">
        <v>4814</v>
      </c>
      <c r="K330" s="10">
        <v>45966.50377314815</v>
      </c>
      <c r="L330" s="2">
        <v>1.762344326E9</v>
      </c>
      <c r="M330" s="2" t="s">
        <v>47</v>
      </c>
      <c r="N330" s="2" t="s">
        <v>47</v>
      </c>
      <c r="O330" s="2" t="s">
        <v>47</v>
      </c>
      <c r="P330" s="2" t="s">
        <v>47</v>
      </c>
      <c r="Q330" s="2" t="s">
        <v>47</v>
      </c>
      <c r="R330" s="2" t="s">
        <v>4645</v>
      </c>
      <c r="S330" s="2" t="s">
        <v>4815</v>
      </c>
      <c r="T330" s="8" t="s">
        <v>4816</v>
      </c>
      <c r="U330" s="8" t="s">
        <v>4818</v>
      </c>
      <c r="V330" s="2" t="s">
        <v>4821</v>
      </c>
      <c r="W330" s="8" t="s">
        <v>4822</v>
      </c>
      <c r="X330" s="8" t="s">
        <v>4824</v>
      </c>
      <c r="Z330" s="2">
        <v>22.0</v>
      </c>
      <c r="AA330" s="2">
        <v>1.0</v>
      </c>
      <c r="AB330" s="2">
        <v>4.0</v>
      </c>
      <c r="AC330" s="2">
        <v>2039.0</v>
      </c>
      <c r="AD330" s="2" t="s">
        <v>4825</v>
      </c>
      <c r="AE330" s="2" t="s">
        <v>4825</v>
      </c>
      <c r="AL330" s="6">
        <f>IFERROR(__xludf.DUMMYFUNCTION("IF(
  TRIM(AD330)="""",
  0,
  COUNTA(
    SPLIT(
      REGEXREPLACE(AD330,""\s*,\s*"","",""),
      "",""
    )
  )
)"),5.0)</f>
        <v>5</v>
      </c>
    </row>
    <row r="331">
      <c r="A331" s="2" t="s">
        <v>4826</v>
      </c>
      <c r="B331" s="2" t="s">
        <v>4826</v>
      </c>
      <c r="C331" s="2" t="s">
        <v>4827</v>
      </c>
      <c r="D331" s="2" t="s">
        <v>4827</v>
      </c>
      <c r="E331" s="2">
        <v>4.0</v>
      </c>
      <c r="F331" s="2">
        <v>8.0</v>
      </c>
      <c r="G331" s="2">
        <v>2.0</v>
      </c>
      <c r="H331" s="8" t="s">
        <v>4828</v>
      </c>
      <c r="I331" s="2" t="s">
        <v>4830</v>
      </c>
      <c r="J331" s="2" t="s">
        <v>4831</v>
      </c>
      <c r="K331" s="10">
        <v>45974.02663194444</v>
      </c>
      <c r="L331" s="2">
        <v>1.762994301E9</v>
      </c>
      <c r="M331" s="2" t="s">
        <v>47</v>
      </c>
      <c r="N331" s="2" t="s">
        <v>47</v>
      </c>
      <c r="O331" s="2" t="s">
        <v>47</v>
      </c>
      <c r="P331" s="2" t="s">
        <v>47</v>
      </c>
      <c r="Q331" s="2" t="s">
        <v>47</v>
      </c>
      <c r="R331" s="2" t="s">
        <v>4832</v>
      </c>
      <c r="S331" s="2" t="s">
        <v>4833</v>
      </c>
      <c r="T331" s="8" t="s">
        <v>4834</v>
      </c>
      <c r="U331" s="8" t="s">
        <v>4835</v>
      </c>
      <c r="V331" s="2" t="s">
        <v>4836</v>
      </c>
      <c r="W331" s="8" t="s">
        <v>4837</v>
      </c>
      <c r="X331" s="8" t="s">
        <v>4840</v>
      </c>
      <c r="Z331" s="2">
        <v>2.0</v>
      </c>
      <c r="AA331" s="2">
        <v>0.0</v>
      </c>
      <c r="AB331" s="2">
        <v>0.0</v>
      </c>
      <c r="AC331" s="2">
        <v>66.0</v>
      </c>
      <c r="AD331" s="2" t="s">
        <v>4841</v>
      </c>
      <c r="AE331" s="2" t="s">
        <v>4841</v>
      </c>
      <c r="AH331" s="2" t="s">
        <v>256</v>
      </c>
      <c r="AL331" s="6">
        <f>IFERROR(__xludf.DUMMYFUNCTION("IF(
  TRIM(AD331)="""",
  0,
  COUNTA(
    SPLIT(
      REGEXREPLACE(AD331,""\s*,\s*"","",""),
      "",""
    )
  )
)"),3.0)</f>
        <v>3</v>
      </c>
    </row>
  </sheetData>
  <autoFilter ref="$A$1:$AL$331">
    <sortState ref="A1:AL331">
      <sortCondition descending="1" ref="Z1:Z331"/>
      <sortCondition ref="AL1:AL331"/>
    </sortState>
  </autoFilter>
  <hyperlinks>
    <hyperlink r:id="rId1" ref="H2"/>
    <hyperlink r:id="rId2" ref="T2"/>
    <hyperlink r:id="rId3" ref="U2"/>
    <hyperlink r:id="rId4" ref="W2"/>
    <hyperlink r:id="rId5" ref="X2"/>
    <hyperlink r:id="rId6" ref="H3"/>
    <hyperlink r:id="rId7" ref="T3"/>
    <hyperlink r:id="rId8" ref="U3"/>
    <hyperlink r:id="rId9" ref="W3"/>
    <hyperlink r:id="rId10" ref="X3"/>
    <hyperlink r:id="rId11" ref="H4"/>
    <hyperlink r:id="rId12" ref="U4"/>
    <hyperlink r:id="rId13" ref="W4"/>
    <hyperlink r:id="rId14" ref="X4"/>
    <hyperlink r:id="rId15" ref="H5"/>
    <hyperlink r:id="rId16" ref="T5"/>
    <hyperlink r:id="rId17" ref="U5"/>
    <hyperlink r:id="rId18" ref="W5"/>
    <hyperlink r:id="rId19" ref="X5"/>
    <hyperlink r:id="rId20" ref="H6"/>
    <hyperlink r:id="rId21" ref="T6"/>
    <hyperlink r:id="rId22" ref="U6"/>
    <hyperlink r:id="rId23" ref="W6"/>
    <hyperlink r:id="rId24" ref="X6"/>
    <hyperlink r:id="rId25" ref="H7"/>
    <hyperlink r:id="rId26" ref="T7"/>
    <hyperlink r:id="rId27" ref="U7"/>
    <hyperlink r:id="rId28" ref="W7"/>
    <hyperlink r:id="rId29" ref="X7"/>
    <hyperlink r:id="rId30" ref="H8"/>
    <hyperlink r:id="rId31" ref="T8"/>
    <hyperlink r:id="rId32" ref="U8"/>
    <hyperlink r:id="rId33" ref="W8"/>
    <hyperlink r:id="rId34" ref="X8"/>
    <hyperlink r:id="rId35" ref="H9"/>
    <hyperlink r:id="rId36" ref="T9"/>
    <hyperlink r:id="rId37" ref="U9"/>
    <hyperlink r:id="rId38" ref="W9"/>
    <hyperlink r:id="rId39" ref="X9"/>
    <hyperlink r:id="rId40" ref="H10"/>
    <hyperlink r:id="rId41" ref="T10"/>
    <hyperlink r:id="rId42" ref="U10"/>
    <hyperlink r:id="rId43" ref="W10"/>
    <hyperlink r:id="rId44" ref="X10"/>
    <hyperlink r:id="rId45" ref="H11"/>
    <hyperlink r:id="rId46" ref="T11"/>
    <hyperlink r:id="rId47" ref="U11"/>
    <hyperlink r:id="rId48" ref="X11"/>
    <hyperlink r:id="rId49" ref="H12"/>
    <hyperlink r:id="rId50" ref="T12"/>
    <hyperlink r:id="rId51" ref="U12"/>
    <hyperlink r:id="rId52" ref="W12"/>
    <hyperlink r:id="rId53" ref="X12"/>
    <hyperlink r:id="rId54" ref="H13"/>
    <hyperlink r:id="rId55" ref="T13"/>
    <hyperlink r:id="rId56" ref="U13"/>
    <hyperlink r:id="rId57" ref="W13"/>
    <hyperlink r:id="rId58" ref="X13"/>
    <hyperlink r:id="rId59" ref="H14"/>
    <hyperlink r:id="rId60" ref="T14"/>
    <hyperlink r:id="rId61" ref="U14"/>
    <hyperlink r:id="rId62" ref="W14"/>
    <hyperlink r:id="rId63" ref="X14"/>
    <hyperlink r:id="rId64" ref="H15"/>
    <hyperlink r:id="rId65" ref="T15"/>
    <hyperlink r:id="rId66" ref="U15"/>
    <hyperlink r:id="rId67" ref="W15"/>
    <hyperlink r:id="rId68" ref="X15"/>
    <hyperlink r:id="rId69" ref="H16"/>
    <hyperlink r:id="rId70" ref="U16"/>
    <hyperlink r:id="rId71" ref="W16"/>
    <hyperlink r:id="rId72" ref="X16"/>
    <hyperlink r:id="rId73" ref="H17"/>
    <hyperlink r:id="rId74" ref="T17"/>
    <hyperlink r:id="rId75" ref="U17"/>
    <hyperlink r:id="rId76" ref="W17"/>
    <hyperlink r:id="rId77" ref="X17"/>
    <hyperlink r:id="rId78" ref="H18"/>
    <hyperlink r:id="rId79" ref="T18"/>
    <hyperlink r:id="rId80" ref="U18"/>
    <hyperlink r:id="rId81" ref="W18"/>
    <hyperlink r:id="rId82" ref="X18"/>
    <hyperlink r:id="rId83" ref="H19"/>
    <hyperlink r:id="rId84" ref="T19"/>
    <hyperlink r:id="rId85" ref="U19"/>
    <hyperlink r:id="rId86" ref="W19"/>
    <hyperlink r:id="rId87" ref="X19"/>
    <hyperlink r:id="rId88" ref="H20"/>
    <hyperlink r:id="rId89" ref="T20"/>
    <hyperlink r:id="rId90" ref="U20"/>
    <hyperlink r:id="rId91" ref="W20"/>
    <hyperlink r:id="rId92" ref="X20"/>
    <hyperlink r:id="rId93" ref="H21"/>
    <hyperlink r:id="rId94" ref="T21"/>
    <hyperlink r:id="rId95" ref="U21"/>
    <hyperlink r:id="rId96" ref="W21"/>
    <hyperlink r:id="rId97" ref="X21"/>
    <hyperlink r:id="rId98" ref="H22"/>
    <hyperlink r:id="rId99" ref="T22"/>
    <hyperlink r:id="rId100" ref="U22"/>
    <hyperlink r:id="rId101" ref="W22"/>
    <hyperlink r:id="rId102" ref="X22"/>
    <hyperlink r:id="rId103" ref="H23"/>
    <hyperlink r:id="rId104" ref="T23"/>
    <hyperlink r:id="rId105" ref="U23"/>
    <hyperlink r:id="rId106" ref="W23"/>
    <hyperlink r:id="rId107" ref="X23"/>
    <hyperlink r:id="rId108" ref="H24"/>
    <hyperlink r:id="rId109" ref="T24"/>
    <hyperlink r:id="rId110" ref="U24"/>
    <hyperlink r:id="rId111" ref="W24"/>
    <hyperlink r:id="rId112" ref="X24"/>
    <hyperlink r:id="rId113" ref="H25"/>
    <hyperlink r:id="rId114" ref="T25"/>
    <hyperlink r:id="rId115" ref="U25"/>
    <hyperlink r:id="rId116" ref="W25"/>
    <hyperlink r:id="rId117" ref="X25"/>
    <hyperlink r:id="rId118" ref="H26"/>
    <hyperlink r:id="rId119" ref="T26"/>
    <hyperlink r:id="rId120" ref="U26"/>
    <hyperlink r:id="rId121" ref="W26"/>
    <hyperlink r:id="rId122" ref="X26"/>
    <hyperlink r:id="rId123" ref="H27"/>
    <hyperlink r:id="rId124" ref="T27"/>
    <hyperlink r:id="rId125" ref="U27"/>
    <hyperlink r:id="rId126" ref="W27"/>
    <hyperlink r:id="rId127" ref="X27"/>
    <hyperlink r:id="rId128" ref="H28"/>
    <hyperlink r:id="rId129" ref="T28"/>
    <hyperlink r:id="rId130" ref="U28"/>
    <hyperlink r:id="rId131" ref="W28"/>
    <hyperlink r:id="rId132" ref="X28"/>
    <hyperlink r:id="rId133" ref="H29"/>
    <hyperlink r:id="rId134" ref="T29"/>
    <hyperlink r:id="rId135" ref="U29"/>
    <hyperlink r:id="rId136" ref="W29"/>
    <hyperlink r:id="rId137" ref="X29"/>
    <hyperlink r:id="rId138" ref="H30"/>
    <hyperlink r:id="rId139" ref="T30"/>
    <hyperlink r:id="rId140" ref="U30"/>
    <hyperlink r:id="rId141" ref="W30"/>
    <hyperlink r:id="rId142" ref="X30"/>
    <hyperlink r:id="rId143" ref="H31"/>
    <hyperlink r:id="rId144" ref="T31"/>
    <hyperlink r:id="rId145" ref="U31"/>
    <hyperlink r:id="rId146" ref="W31"/>
    <hyperlink r:id="rId147" ref="X31"/>
    <hyperlink r:id="rId148" ref="H32"/>
    <hyperlink r:id="rId149" ref="T32"/>
    <hyperlink r:id="rId150" ref="U32"/>
    <hyperlink r:id="rId151" ref="W32"/>
    <hyperlink r:id="rId152" ref="X32"/>
    <hyperlink r:id="rId153" ref="H33"/>
    <hyperlink r:id="rId154" ref="T33"/>
    <hyperlink r:id="rId155" ref="U33"/>
    <hyperlink r:id="rId156" ref="W33"/>
    <hyperlink r:id="rId157" ref="X33"/>
    <hyperlink r:id="rId158" ref="H34"/>
    <hyperlink r:id="rId159" ref="T34"/>
    <hyperlink r:id="rId160" ref="U34"/>
    <hyperlink r:id="rId161" ref="W34"/>
    <hyperlink r:id="rId162" ref="X34"/>
    <hyperlink r:id="rId163" ref="H35"/>
    <hyperlink r:id="rId164" ref="T35"/>
    <hyperlink r:id="rId165" ref="U35"/>
    <hyperlink r:id="rId166" ref="W35"/>
    <hyperlink r:id="rId167" ref="X35"/>
    <hyperlink r:id="rId168" ref="H36"/>
    <hyperlink r:id="rId169" ref="T36"/>
    <hyperlink r:id="rId170" ref="U36"/>
    <hyperlink r:id="rId171" ref="W36"/>
    <hyperlink r:id="rId172" ref="X36"/>
    <hyperlink r:id="rId173" ref="H37"/>
    <hyperlink r:id="rId174" ref="T37"/>
    <hyperlink r:id="rId175" ref="U37"/>
    <hyperlink r:id="rId176" ref="W37"/>
    <hyperlink r:id="rId177" ref="X37"/>
    <hyperlink r:id="rId178" ref="H38"/>
    <hyperlink r:id="rId179" ref="T38"/>
    <hyperlink r:id="rId180" ref="U38"/>
    <hyperlink r:id="rId181" ref="W38"/>
    <hyperlink r:id="rId182" ref="X38"/>
    <hyperlink r:id="rId183" ref="H39"/>
    <hyperlink r:id="rId184" ref="T39"/>
    <hyperlink r:id="rId185" ref="U39"/>
    <hyperlink r:id="rId186" ref="W39"/>
    <hyperlink r:id="rId187" ref="X39"/>
    <hyperlink r:id="rId188" ref="H40"/>
    <hyperlink r:id="rId189" ref="T40"/>
    <hyperlink r:id="rId190" ref="U40"/>
    <hyperlink r:id="rId191" ref="W40"/>
    <hyperlink r:id="rId192" ref="X40"/>
    <hyperlink r:id="rId193" ref="H41"/>
    <hyperlink r:id="rId194" ref="T41"/>
    <hyperlink r:id="rId195" ref="U41"/>
    <hyperlink r:id="rId196" ref="W41"/>
    <hyperlink r:id="rId197" ref="X41"/>
    <hyperlink r:id="rId198" ref="H42"/>
    <hyperlink r:id="rId199" ref="T42"/>
    <hyperlink r:id="rId200" ref="U42"/>
    <hyperlink r:id="rId201" ref="W42"/>
    <hyperlink r:id="rId202" ref="X42"/>
    <hyperlink r:id="rId203" ref="H43"/>
    <hyperlink r:id="rId204" ref="T43"/>
    <hyperlink r:id="rId205" ref="U43"/>
    <hyperlink r:id="rId206" ref="X43"/>
    <hyperlink r:id="rId207" ref="H44"/>
    <hyperlink r:id="rId208" ref="T44"/>
    <hyperlink r:id="rId209" ref="U44"/>
    <hyperlink r:id="rId210" ref="W44"/>
    <hyperlink r:id="rId211" ref="X44"/>
    <hyperlink r:id="rId212" ref="H45"/>
    <hyperlink r:id="rId213" ref="T45"/>
    <hyperlink r:id="rId214" ref="U45"/>
    <hyperlink r:id="rId215" ref="W45"/>
    <hyperlink r:id="rId216" ref="X45"/>
    <hyperlink r:id="rId217" ref="H46"/>
    <hyperlink r:id="rId218" ref="T46"/>
    <hyperlink r:id="rId219" ref="U46"/>
    <hyperlink r:id="rId220" ref="W46"/>
    <hyperlink r:id="rId221" ref="X46"/>
    <hyperlink r:id="rId222" ref="H47"/>
    <hyperlink r:id="rId223" ref="T47"/>
    <hyperlink r:id="rId224" ref="U47"/>
    <hyperlink r:id="rId225" ref="W47"/>
    <hyperlink r:id="rId226" ref="X47"/>
    <hyperlink r:id="rId227" ref="H48"/>
    <hyperlink r:id="rId228" ref="T48"/>
    <hyperlink r:id="rId229" ref="U48"/>
    <hyperlink r:id="rId230" ref="W48"/>
    <hyperlink r:id="rId231" ref="X48"/>
    <hyperlink r:id="rId232" ref="H49"/>
    <hyperlink r:id="rId233" ref="T49"/>
    <hyperlink r:id="rId234" ref="U49"/>
    <hyperlink r:id="rId235" ref="W49"/>
    <hyperlink r:id="rId236" ref="X49"/>
    <hyperlink r:id="rId237" ref="H50"/>
    <hyperlink r:id="rId238" ref="T50"/>
    <hyperlink r:id="rId239" ref="U50"/>
    <hyperlink r:id="rId240" ref="W50"/>
    <hyperlink r:id="rId241" ref="X50"/>
    <hyperlink r:id="rId242" ref="H51"/>
    <hyperlink r:id="rId243" ref="T51"/>
    <hyperlink r:id="rId244" ref="U51"/>
    <hyperlink r:id="rId245" ref="W51"/>
    <hyperlink r:id="rId246" ref="X51"/>
    <hyperlink r:id="rId247" ref="H52"/>
    <hyperlink r:id="rId248" ref="T52"/>
    <hyperlink r:id="rId249" ref="U52"/>
    <hyperlink r:id="rId250" ref="W52"/>
    <hyperlink r:id="rId251" ref="X52"/>
    <hyperlink r:id="rId252" ref="H53"/>
    <hyperlink r:id="rId253" ref="T53"/>
    <hyperlink r:id="rId254" ref="U53"/>
    <hyperlink r:id="rId255" ref="W53"/>
    <hyperlink r:id="rId256" ref="X53"/>
    <hyperlink r:id="rId257" ref="H54"/>
    <hyperlink r:id="rId258" ref="T54"/>
    <hyperlink r:id="rId259" ref="U54"/>
    <hyperlink r:id="rId260" ref="W54"/>
    <hyperlink r:id="rId261" ref="X54"/>
    <hyperlink r:id="rId262" ref="H55"/>
    <hyperlink r:id="rId263" ref="T55"/>
    <hyperlink r:id="rId264" ref="U55"/>
    <hyperlink r:id="rId265" ref="W55"/>
    <hyperlink r:id="rId266" ref="X55"/>
    <hyperlink r:id="rId267" ref="H56"/>
    <hyperlink r:id="rId268" ref="T56"/>
    <hyperlink r:id="rId269" ref="U56"/>
    <hyperlink r:id="rId270" ref="X56"/>
    <hyperlink r:id="rId271" ref="H57"/>
    <hyperlink r:id="rId272" ref="T57"/>
    <hyperlink r:id="rId273" ref="U57"/>
    <hyperlink r:id="rId274" ref="W57"/>
    <hyperlink r:id="rId275" ref="X57"/>
    <hyperlink r:id="rId276" ref="H58"/>
    <hyperlink r:id="rId277" ref="T58"/>
    <hyperlink r:id="rId278" ref="U58"/>
    <hyperlink r:id="rId279" ref="W58"/>
    <hyperlink r:id="rId280" ref="X58"/>
    <hyperlink r:id="rId281" ref="H59"/>
    <hyperlink r:id="rId282" ref="T59"/>
    <hyperlink r:id="rId283" ref="U59"/>
    <hyperlink r:id="rId284" ref="W59"/>
    <hyperlink r:id="rId285" ref="X59"/>
    <hyperlink r:id="rId286" ref="H60"/>
    <hyperlink r:id="rId287" ref="T60"/>
    <hyperlink r:id="rId288" ref="U60"/>
    <hyperlink r:id="rId289" ref="W60"/>
    <hyperlink r:id="rId290" ref="X60"/>
    <hyperlink r:id="rId291" ref="H61"/>
    <hyperlink r:id="rId292" ref="T61"/>
    <hyperlink r:id="rId293" ref="U61"/>
    <hyperlink r:id="rId294" ref="W61"/>
    <hyperlink r:id="rId295" ref="X61"/>
    <hyperlink r:id="rId296" ref="H62"/>
    <hyperlink r:id="rId297" ref="T62"/>
    <hyperlink r:id="rId298" ref="U62"/>
    <hyperlink r:id="rId299" ref="W62"/>
    <hyperlink r:id="rId300" ref="X62"/>
    <hyperlink r:id="rId301" ref="H63"/>
    <hyperlink r:id="rId302" ref="T63"/>
    <hyperlink r:id="rId303" ref="U63"/>
    <hyperlink r:id="rId304" ref="W63"/>
    <hyperlink r:id="rId305" ref="X63"/>
    <hyperlink r:id="rId306" ref="H64"/>
    <hyperlink r:id="rId307" ref="T64"/>
    <hyperlink r:id="rId308" ref="U64"/>
    <hyperlink r:id="rId309" ref="W64"/>
    <hyperlink r:id="rId310" ref="X64"/>
    <hyperlink r:id="rId311" ref="H65"/>
    <hyperlink r:id="rId312" ref="T65"/>
    <hyperlink r:id="rId313" ref="U65"/>
    <hyperlink r:id="rId314" ref="W65"/>
    <hyperlink r:id="rId315" ref="X65"/>
    <hyperlink r:id="rId316" ref="H66"/>
    <hyperlink r:id="rId317" ref="T66"/>
    <hyperlink r:id="rId318" ref="U66"/>
    <hyperlink r:id="rId319" ref="W66"/>
    <hyperlink r:id="rId320" ref="X66"/>
    <hyperlink r:id="rId321" ref="H67"/>
    <hyperlink r:id="rId322" ref="T67"/>
    <hyperlink r:id="rId323" ref="U67"/>
    <hyperlink r:id="rId324" ref="W67"/>
    <hyperlink r:id="rId325" ref="X67"/>
    <hyperlink r:id="rId326" ref="H68"/>
    <hyperlink r:id="rId327" ref="T68"/>
    <hyperlink r:id="rId328" ref="U68"/>
    <hyperlink r:id="rId329" ref="W68"/>
    <hyperlink r:id="rId330" ref="X68"/>
    <hyperlink r:id="rId331" ref="H69"/>
    <hyperlink r:id="rId332" ref="T69"/>
    <hyperlink r:id="rId333" ref="U69"/>
    <hyperlink r:id="rId334" ref="X69"/>
    <hyperlink r:id="rId335" ref="H70"/>
    <hyperlink r:id="rId336" ref="T70"/>
    <hyperlink r:id="rId337" ref="U70"/>
    <hyperlink r:id="rId338" ref="W70"/>
    <hyperlink r:id="rId339" ref="X70"/>
    <hyperlink r:id="rId340" ref="H71"/>
    <hyperlink r:id="rId341" ref="T71"/>
    <hyperlink r:id="rId342" ref="U71"/>
    <hyperlink r:id="rId343" ref="W71"/>
    <hyperlink r:id="rId344" ref="X71"/>
    <hyperlink r:id="rId345" ref="H72"/>
    <hyperlink r:id="rId346" ref="T72"/>
    <hyperlink r:id="rId347" ref="U72"/>
    <hyperlink r:id="rId348" ref="W72"/>
    <hyperlink r:id="rId349" ref="X72"/>
    <hyperlink r:id="rId350" ref="H73"/>
    <hyperlink r:id="rId351" ref="T73"/>
    <hyperlink r:id="rId352" ref="U73"/>
    <hyperlink r:id="rId353" ref="W73"/>
    <hyperlink r:id="rId354" ref="X73"/>
    <hyperlink r:id="rId355" ref="H74"/>
    <hyperlink r:id="rId356" ref="T74"/>
    <hyperlink r:id="rId357" ref="U74"/>
    <hyperlink r:id="rId358" ref="W74"/>
    <hyperlink r:id="rId359" ref="X74"/>
    <hyperlink r:id="rId360" ref="H75"/>
    <hyperlink r:id="rId361" ref="T75"/>
    <hyperlink r:id="rId362" ref="U75"/>
    <hyperlink r:id="rId363" ref="W75"/>
    <hyperlink r:id="rId364" ref="X75"/>
    <hyperlink r:id="rId365" ref="H76"/>
    <hyperlink r:id="rId366" ref="T76"/>
    <hyperlink r:id="rId367" ref="U76"/>
    <hyperlink r:id="rId368" ref="W76"/>
    <hyperlink r:id="rId369" ref="X76"/>
    <hyperlink r:id="rId370" ref="H77"/>
    <hyperlink r:id="rId371" ref="T77"/>
    <hyperlink r:id="rId372" ref="U77"/>
    <hyperlink r:id="rId373" ref="W77"/>
    <hyperlink r:id="rId374" ref="X77"/>
    <hyperlink r:id="rId375" ref="H78"/>
    <hyperlink r:id="rId376" ref="T78"/>
    <hyperlink r:id="rId377" ref="U78"/>
    <hyperlink r:id="rId378" ref="W78"/>
    <hyperlink r:id="rId379" ref="X78"/>
    <hyperlink r:id="rId380" ref="H79"/>
    <hyperlink r:id="rId381" ref="T79"/>
    <hyperlink r:id="rId382" ref="U79"/>
    <hyperlink r:id="rId383" ref="W79"/>
    <hyperlink r:id="rId384" ref="X79"/>
    <hyperlink r:id="rId385" ref="H80"/>
    <hyperlink r:id="rId386" ref="T80"/>
    <hyperlink r:id="rId387" ref="U80"/>
    <hyperlink r:id="rId388" ref="W80"/>
    <hyperlink r:id="rId389" ref="X80"/>
    <hyperlink r:id="rId390" ref="H81"/>
    <hyperlink r:id="rId391" ref="T81"/>
    <hyperlink r:id="rId392" ref="U81"/>
    <hyperlink r:id="rId393" ref="W81"/>
    <hyperlink r:id="rId394" ref="X81"/>
    <hyperlink r:id="rId395" ref="H82"/>
    <hyperlink r:id="rId396" ref="T82"/>
    <hyperlink r:id="rId397" ref="U82"/>
    <hyperlink r:id="rId398" ref="W82"/>
    <hyperlink r:id="rId399" ref="X82"/>
    <hyperlink r:id="rId400" ref="H83"/>
    <hyperlink r:id="rId401" ref="T83"/>
    <hyperlink r:id="rId402" ref="U83"/>
    <hyperlink r:id="rId403" ref="W83"/>
    <hyperlink r:id="rId404" ref="X83"/>
    <hyperlink r:id="rId405" ref="H84"/>
    <hyperlink r:id="rId406" ref="T84"/>
    <hyperlink r:id="rId407" ref="U84"/>
    <hyperlink r:id="rId408" ref="W84"/>
    <hyperlink r:id="rId409" ref="X84"/>
    <hyperlink r:id="rId410" ref="H85"/>
    <hyperlink r:id="rId411" ref="T85"/>
    <hyperlink r:id="rId412" ref="U85"/>
    <hyperlink r:id="rId413" ref="W85"/>
    <hyperlink r:id="rId414" ref="X85"/>
    <hyperlink r:id="rId415" ref="H86"/>
    <hyperlink r:id="rId416" ref="T86"/>
    <hyperlink r:id="rId417" ref="U86"/>
    <hyperlink r:id="rId418" ref="W86"/>
    <hyperlink r:id="rId419" ref="X86"/>
    <hyperlink r:id="rId420" ref="H87"/>
    <hyperlink r:id="rId421" ref="T87"/>
    <hyperlink r:id="rId422" ref="U87"/>
    <hyperlink r:id="rId423" ref="W87"/>
    <hyperlink r:id="rId424" ref="X87"/>
    <hyperlink r:id="rId425" ref="H88"/>
    <hyperlink r:id="rId426" ref="T88"/>
    <hyperlink r:id="rId427" ref="U88"/>
    <hyperlink r:id="rId428" ref="W88"/>
    <hyperlink r:id="rId429" ref="X88"/>
    <hyperlink r:id="rId430" ref="H89"/>
    <hyperlink r:id="rId431" ref="U89"/>
    <hyperlink r:id="rId432" ref="W89"/>
    <hyperlink r:id="rId433" ref="X89"/>
    <hyperlink r:id="rId434" ref="H90"/>
    <hyperlink r:id="rId435" ref="T90"/>
    <hyperlink r:id="rId436" ref="U90"/>
    <hyperlink r:id="rId437" ref="W90"/>
    <hyperlink r:id="rId438" ref="X90"/>
    <hyperlink r:id="rId439" ref="H91"/>
    <hyperlink r:id="rId440" ref="T91"/>
    <hyperlink r:id="rId441" ref="U91"/>
    <hyperlink r:id="rId442" ref="X91"/>
    <hyperlink r:id="rId443" ref="H92"/>
    <hyperlink r:id="rId444" ref="T92"/>
    <hyperlink r:id="rId445" ref="U92"/>
    <hyperlink r:id="rId446" ref="X92"/>
    <hyperlink r:id="rId447" ref="H93"/>
    <hyperlink r:id="rId448" ref="T93"/>
    <hyperlink r:id="rId449" ref="U93"/>
    <hyperlink r:id="rId450" ref="W93"/>
    <hyperlink r:id="rId451" ref="X93"/>
    <hyperlink r:id="rId452" ref="H94"/>
    <hyperlink r:id="rId453" ref="T94"/>
    <hyperlink r:id="rId454" ref="U94"/>
    <hyperlink r:id="rId455" ref="W94"/>
    <hyperlink r:id="rId456" ref="X94"/>
    <hyperlink r:id="rId457" ref="H95"/>
    <hyperlink r:id="rId458" ref="T95"/>
    <hyperlink r:id="rId459" ref="U95"/>
    <hyperlink r:id="rId460" ref="W95"/>
    <hyperlink r:id="rId461" ref="X95"/>
    <hyperlink r:id="rId462" ref="H96"/>
    <hyperlink r:id="rId463" ref="T96"/>
    <hyperlink r:id="rId464" ref="U96"/>
    <hyperlink r:id="rId465" ref="W96"/>
    <hyperlink r:id="rId466" ref="X96"/>
    <hyperlink r:id="rId467" ref="H97"/>
    <hyperlink r:id="rId468" ref="T97"/>
    <hyperlink r:id="rId469" ref="U97"/>
    <hyperlink r:id="rId470" ref="W97"/>
    <hyperlink r:id="rId471" ref="X97"/>
    <hyperlink r:id="rId472" ref="H98"/>
    <hyperlink r:id="rId473" ref="T98"/>
    <hyperlink r:id="rId474" ref="U98"/>
    <hyperlink r:id="rId475" ref="W98"/>
    <hyperlink r:id="rId476" ref="X98"/>
    <hyperlink r:id="rId477" ref="H99"/>
    <hyperlink r:id="rId478" ref="T99"/>
    <hyperlink r:id="rId479" ref="U99"/>
    <hyperlink r:id="rId480" ref="W99"/>
    <hyperlink r:id="rId481" ref="X99"/>
    <hyperlink r:id="rId482" ref="H100"/>
    <hyperlink r:id="rId483" ref="T100"/>
    <hyperlink r:id="rId484" ref="U100"/>
    <hyperlink r:id="rId485" ref="W100"/>
    <hyperlink r:id="rId486" ref="X100"/>
    <hyperlink r:id="rId487" ref="H101"/>
    <hyperlink r:id="rId488" ref="T101"/>
    <hyperlink r:id="rId489" ref="U101"/>
    <hyperlink r:id="rId490" ref="W101"/>
    <hyperlink r:id="rId491" ref="X101"/>
    <hyperlink r:id="rId492" ref="H102"/>
    <hyperlink r:id="rId493" ref="T102"/>
    <hyperlink r:id="rId494" ref="U102"/>
    <hyperlink r:id="rId495" ref="W102"/>
    <hyperlink r:id="rId496" ref="X102"/>
    <hyperlink r:id="rId497" ref="H103"/>
    <hyperlink r:id="rId498" ref="T103"/>
    <hyperlink r:id="rId499" ref="U103"/>
    <hyperlink r:id="rId500" ref="W103"/>
    <hyperlink r:id="rId501" ref="X103"/>
    <hyperlink r:id="rId502" ref="H104"/>
    <hyperlink r:id="rId503" ref="T104"/>
    <hyperlink r:id="rId504" ref="U104"/>
    <hyperlink r:id="rId505" ref="W104"/>
    <hyperlink r:id="rId506" ref="X104"/>
    <hyperlink r:id="rId507" ref="H105"/>
    <hyperlink r:id="rId508" ref="T105"/>
    <hyperlink r:id="rId509" ref="U105"/>
    <hyperlink r:id="rId510" ref="W105"/>
    <hyperlink r:id="rId511" ref="X105"/>
    <hyperlink r:id="rId512" ref="H106"/>
    <hyperlink r:id="rId513" ref="T106"/>
    <hyperlink r:id="rId514" ref="U106"/>
    <hyperlink r:id="rId515" ref="W106"/>
    <hyperlink r:id="rId516" ref="X106"/>
    <hyperlink r:id="rId517" ref="H107"/>
    <hyperlink r:id="rId518" ref="T107"/>
    <hyperlink r:id="rId519" ref="U107"/>
    <hyperlink r:id="rId520" ref="W107"/>
    <hyperlink r:id="rId521" ref="X107"/>
    <hyperlink r:id="rId522" ref="H108"/>
    <hyperlink r:id="rId523" ref="T108"/>
    <hyperlink r:id="rId524" ref="U108"/>
    <hyperlink r:id="rId525" ref="W108"/>
    <hyperlink r:id="rId526" ref="X108"/>
    <hyperlink r:id="rId527" ref="H109"/>
    <hyperlink r:id="rId528" ref="T109"/>
    <hyperlink r:id="rId529" ref="U109"/>
    <hyperlink r:id="rId530" ref="W109"/>
    <hyperlink r:id="rId531" ref="X109"/>
    <hyperlink r:id="rId532" ref="H110"/>
    <hyperlink r:id="rId533" ref="T110"/>
    <hyperlink r:id="rId534" ref="U110"/>
    <hyperlink r:id="rId535" ref="W110"/>
    <hyperlink r:id="rId536" ref="X110"/>
    <hyperlink r:id="rId537" ref="H111"/>
    <hyperlink r:id="rId538" ref="T111"/>
    <hyperlink r:id="rId539" ref="U111"/>
    <hyperlink r:id="rId540" ref="W111"/>
    <hyperlink r:id="rId541" ref="X111"/>
    <hyperlink r:id="rId542" ref="H112"/>
    <hyperlink r:id="rId543" ref="T112"/>
    <hyperlink r:id="rId544" ref="U112"/>
    <hyperlink r:id="rId545" ref="W112"/>
    <hyperlink r:id="rId546" ref="X112"/>
    <hyperlink r:id="rId547" ref="H113"/>
    <hyperlink r:id="rId548" ref="T113"/>
    <hyperlink r:id="rId549" ref="U113"/>
    <hyperlink r:id="rId550" ref="W113"/>
    <hyperlink r:id="rId551" ref="X113"/>
    <hyperlink r:id="rId552" ref="H114"/>
    <hyperlink r:id="rId553" ref="T114"/>
    <hyperlink r:id="rId554" ref="U114"/>
    <hyperlink r:id="rId555" ref="W114"/>
    <hyperlink r:id="rId556" ref="X114"/>
    <hyperlink r:id="rId557" ref="H115"/>
    <hyperlink r:id="rId558" ref="T115"/>
    <hyperlink r:id="rId559" ref="U115"/>
    <hyperlink r:id="rId560" ref="W115"/>
    <hyperlink r:id="rId561" ref="X115"/>
    <hyperlink r:id="rId562" ref="H116"/>
    <hyperlink r:id="rId563" ref="T116"/>
    <hyperlink r:id="rId564" ref="U116"/>
    <hyperlink r:id="rId565" ref="W116"/>
    <hyperlink r:id="rId566" ref="X116"/>
    <hyperlink r:id="rId567" ref="H117"/>
    <hyperlink r:id="rId568" ref="T117"/>
    <hyperlink r:id="rId569" ref="U117"/>
    <hyperlink r:id="rId570" ref="W117"/>
    <hyperlink r:id="rId571" ref="X117"/>
    <hyperlink r:id="rId572" ref="H118"/>
    <hyperlink r:id="rId573" ref="T118"/>
    <hyperlink r:id="rId574" ref="U118"/>
    <hyperlink r:id="rId575" ref="W118"/>
    <hyperlink r:id="rId576" ref="X118"/>
    <hyperlink r:id="rId577" ref="H119"/>
    <hyperlink r:id="rId578" ref="T119"/>
    <hyperlink r:id="rId579" ref="U119"/>
    <hyperlink r:id="rId580" ref="W119"/>
    <hyperlink r:id="rId581" ref="X119"/>
    <hyperlink r:id="rId582" ref="H120"/>
    <hyperlink r:id="rId583" ref="T120"/>
    <hyperlink r:id="rId584" ref="U120"/>
    <hyperlink r:id="rId585" ref="W120"/>
    <hyperlink r:id="rId586" ref="X120"/>
    <hyperlink r:id="rId587" ref="H121"/>
    <hyperlink r:id="rId588" ref="T121"/>
    <hyperlink r:id="rId589" ref="U121"/>
    <hyperlink r:id="rId590" ref="W121"/>
    <hyperlink r:id="rId591" ref="X121"/>
    <hyperlink r:id="rId592" ref="H122"/>
    <hyperlink r:id="rId593" ref="T122"/>
    <hyperlink r:id="rId594" ref="U122"/>
    <hyperlink r:id="rId595" ref="W122"/>
    <hyperlink r:id="rId596" ref="X122"/>
    <hyperlink r:id="rId597" ref="H123"/>
    <hyperlink r:id="rId598" ref="T123"/>
    <hyperlink r:id="rId599" ref="U123"/>
    <hyperlink r:id="rId600" ref="W123"/>
    <hyperlink r:id="rId601" ref="X123"/>
    <hyperlink r:id="rId602" ref="H124"/>
    <hyperlink r:id="rId603" ref="T124"/>
    <hyperlink r:id="rId604" ref="U124"/>
    <hyperlink r:id="rId605" ref="W124"/>
    <hyperlink r:id="rId606" ref="X124"/>
    <hyperlink r:id="rId607" ref="H125"/>
    <hyperlink r:id="rId608" ref="T125"/>
    <hyperlink r:id="rId609" ref="U125"/>
    <hyperlink r:id="rId610" ref="W125"/>
    <hyperlink r:id="rId611" ref="X125"/>
    <hyperlink r:id="rId612" ref="H126"/>
    <hyperlink r:id="rId613" ref="T126"/>
    <hyperlink r:id="rId614" ref="U126"/>
    <hyperlink r:id="rId615" ref="W126"/>
    <hyperlink r:id="rId616" ref="X126"/>
    <hyperlink r:id="rId617" ref="H127"/>
    <hyperlink r:id="rId618" ref="T127"/>
    <hyperlink r:id="rId619" ref="U127"/>
    <hyperlink r:id="rId620" ref="W127"/>
    <hyperlink r:id="rId621" ref="X127"/>
    <hyperlink r:id="rId622" ref="H128"/>
    <hyperlink r:id="rId623" ref="T128"/>
    <hyperlink r:id="rId624" ref="U128"/>
    <hyperlink r:id="rId625" ref="W128"/>
    <hyperlink r:id="rId626" ref="X128"/>
    <hyperlink r:id="rId627" ref="H129"/>
    <hyperlink r:id="rId628" ref="T129"/>
    <hyperlink r:id="rId629" ref="U129"/>
    <hyperlink r:id="rId630" ref="W129"/>
    <hyperlink r:id="rId631" ref="X129"/>
    <hyperlink r:id="rId632" ref="H130"/>
    <hyperlink r:id="rId633" ref="T130"/>
    <hyperlink r:id="rId634" ref="U130"/>
    <hyperlink r:id="rId635" ref="W130"/>
    <hyperlink r:id="rId636" ref="X130"/>
    <hyperlink r:id="rId637" ref="H131"/>
    <hyperlink r:id="rId638" ref="T131"/>
    <hyperlink r:id="rId639" ref="U131"/>
    <hyperlink r:id="rId640" ref="W131"/>
    <hyperlink r:id="rId641" ref="X131"/>
    <hyperlink r:id="rId642" ref="H132"/>
    <hyperlink r:id="rId643" ref="T132"/>
    <hyperlink r:id="rId644" ref="U132"/>
    <hyperlink r:id="rId645" ref="W132"/>
    <hyperlink r:id="rId646" ref="X132"/>
    <hyperlink r:id="rId647" ref="H133"/>
    <hyperlink r:id="rId648" ref="T133"/>
    <hyperlink r:id="rId649" ref="U133"/>
    <hyperlink r:id="rId650" ref="W133"/>
    <hyperlink r:id="rId651" ref="X133"/>
    <hyperlink r:id="rId652" ref="H134"/>
    <hyperlink r:id="rId653" ref="T134"/>
    <hyperlink r:id="rId654" ref="U134"/>
    <hyperlink r:id="rId655" ref="W134"/>
    <hyperlink r:id="rId656" ref="X134"/>
    <hyperlink r:id="rId657" ref="H135"/>
    <hyperlink r:id="rId658" ref="T135"/>
    <hyperlink r:id="rId659" ref="U135"/>
    <hyperlink r:id="rId660" ref="W135"/>
    <hyperlink r:id="rId661" ref="X135"/>
    <hyperlink r:id="rId662" ref="H136"/>
    <hyperlink r:id="rId663" ref="T136"/>
    <hyperlink r:id="rId664" ref="U136"/>
    <hyperlink r:id="rId665" ref="W136"/>
    <hyperlink r:id="rId666" ref="X136"/>
    <hyperlink r:id="rId667" ref="H137"/>
    <hyperlink r:id="rId668" ref="T137"/>
    <hyperlink r:id="rId669" ref="U137"/>
    <hyperlink r:id="rId670" ref="W137"/>
    <hyperlink r:id="rId671" ref="X137"/>
    <hyperlink r:id="rId672" ref="H138"/>
    <hyperlink r:id="rId673" ref="T138"/>
    <hyperlink r:id="rId674" ref="U138"/>
    <hyperlink r:id="rId675" ref="W138"/>
    <hyperlink r:id="rId676" ref="X138"/>
    <hyperlink r:id="rId677" ref="H139"/>
    <hyperlink r:id="rId678" ref="T139"/>
    <hyperlink r:id="rId679" ref="U139"/>
    <hyperlink r:id="rId680" ref="X139"/>
    <hyperlink r:id="rId681" ref="H140"/>
    <hyperlink r:id="rId682" ref="T140"/>
    <hyperlink r:id="rId683" ref="U140"/>
    <hyperlink r:id="rId684" ref="W140"/>
    <hyperlink r:id="rId685" ref="X140"/>
    <hyperlink r:id="rId686" ref="H141"/>
    <hyperlink r:id="rId687" ref="T141"/>
    <hyperlink r:id="rId688" ref="U141"/>
    <hyperlink r:id="rId689" ref="W141"/>
    <hyperlink r:id="rId690" ref="X141"/>
    <hyperlink r:id="rId691" ref="H142"/>
    <hyperlink r:id="rId692" ref="T142"/>
    <hyperlink r:id="rId693" ref="U142"/>
    <hyperlink r:id="rId694" ref="W142"/>
    <hyperlink r:id="rId695" ref="X142"/>
    <hyperlink r:id="rId696" ref="H143"/>
    <hyperlink r:id="rId697" ref="T143"/>
    <hyperlink r:id="rId698" ref="U143"/>
    <hyperlink r:id="rId699" ref="W143"/>
    <hyperlink r:id="rId700" ref="X143"/>
    <hyperlink r:id="rId701" ref="H144"/>
    <hyperlink r:id="rId702" ref="T144"/>
    <hyperlink r:id="rId703" ref="U144"/>
    <hyperlink r:id="rId704" ref="W144"/>
    <hyperlink r:id="rId705" ref="X144"/>
    <hyperlink r:id="rId706" ref="H145"/>
    <hyperlink r:id="rId707" ref="U145"/>
    <hyperlink r:id="rId708" ref="W145"/>
    <hyperlink r:id="rId709" ref="X145"/>
    <hyperlink r:id="rId710" ref="H146"/>
    <hyperlink r:id="rId711" ref="T146"/>
    <hyperlink r:id="rId712" ref="U146"/>
    <hyperlink r:id="rId713" ref="W146"/>
    <hyperlink r:id="rId714" ref="X146"/>
    <hyperlink r:id="rId715" ref="H147"/>
    <hyperlink r:id="rId716" ref="T147"/>
    <hyperlink r:id="rId717" ref="U147"/>
    <hyperlink r:id="rId718" ref="W147"/>
    <hyperlink r:id="rId719" ref="X147"/>
    <hyperlink r:id="rId720" ref="H148"/>
    <hyperlink r:id="rId721" ref="T148"/>
    <hyperlink r:id="rId722" ref="U148"/>
    <hyperlink r:id="rId723" ref="W148"/>
    <hyperlink r:id="rId724" ref="X148"/>
    <hyperlink r:id="rId725" ref="H149"/>
    <hyperlink r:id="rId726" ref="T149"/>
    <hyperlink r:id="rId727" ref="U149"/>
    <hyperlink r:id="rId728" ref="W149"/>
    <hyperlink r:id="rId729" ref="X149"/>
    <hyperlink r:id="rId730" ref="H150"/>
    <hyperlink r:id="rId731" ref="T150"/>
    <hyperlink r:id="rId732" ref="U150"/>
    <hyperlink r:id="rId733" ref="W150"/>
    <hyperlink r:id="rId734" ref="X150"/>
    <hyperlink r:id="rId735" ref="H151"/>
    <hyperlink r:id="rId736" ref="T151"/>
    <hyperlink r:id="rId737" ref="U151"/>
    <hyperlink r:id="rId738" ref="W151"/>
    <hyperlink r:id="rId739" ref="X151"/>
    <hyperlink r:id="rId740" ref="H152"/>
    <hyperlink r:id="rId741" ref="T152"/>
    <hyperlink r:id="rId742" ref="U152"/>
    <hyperlink r:id="rId743" ref="W152"/>
    <hyperlink r:id="rId744" ref="X152"/>
    <hyperlink r:id="rId745" ref="H153"/>
    <hyperlink r:id="rId746" ref="T153"/>
    <hyperlink r:id="rId747" ref="U153"/>
    <hyperlink r:id="rId748" ref="W153"/>
    <hyperlink r:id="rId749" ref="X153"/>
    <hyperlink r:id="rId750" ref="H154"/>
    <hyperlink r:id="rId751" ref="T154"/>
    <hyperlink r:id="rId752" ref="U154"/>
    <hyperlink r:id="rId753" ref="W154"/>
    <hyperlink r:id="rId754" ref="X154"/>
    <hyperlink r:id="rId755" ref="H155"/>
    <hyperlink r:id="rId756" ref="T155"/>
    <hyperlink r:id="rId757" ref="U155"/>
    <hyperlink r:id="rId758" ref="W155"/>
    <hyperlink r:id="rId759" ref="X155"/>
    <hyperlink r:id="rId760" ref="H156"/>
    <hyperlink r:id="rId761" ref="T156"/>
    <hyperlink r:id="rId762" ref="U156"/>
    <hyperlink r:id="rId763" ref="W156"/>
    <hyperlink r:id="rId764" ref="X156"/>
    <hyperlink r:id="rId765" ref="H157"/>
    <hyperlink r:id="rId766" ref="T157"/>
    <hyperlink r:id="rId767" ref="U157"/>
    <hyperlink r:id="rId768" ref="W157"/>
    <hyperlink r:id="rId769" ref="X157"/>
    <hyperlink r:id="rId770" ref="H158"/>
    <hyperlink r:id="rId771" ref="T158"/>
    <hyperlink r:id="rId772" ref="U158"/>
    <hyperlink r:id="rId773" ref="W158"/>
    <hyperlink r:id="rId774" ref="X158"/>
    <hyperlink r:id="rId775" ref="H159"/>
    <hyperlink r:id="rId776" ref="T159"/>
    <hyperlink r:id="rId777" ref="U159"/>
    <hyperlink r:id="rId778" ref="W159"/>
    <hyperlink r:id="rId779" ref="X159"/>
    <hyperlink r:id="rId780" ref="H160"/>
    <hyperlink r:id="rId781" ref="T160"/>
    <hyperlink r:id="rId782" ref="U160"/>
    <hyperlink r:id="rId783" ref="W160"/>
    <hyperlink r:id="rId784" ref="X160"/>
    <hyperlink r:id="rId785" ref="H161"/>
    <hyperlink r:id="rId786" ref="T161"/>
    <hyperlink r:id="rId787" ref="U161"/>
    <hyperlink r:id="rId788" ref="W161"/>
    <hyperlink r:id="rId789" ref="X161"/>
    <hyperlink r:id="rId790" ref="H162"/>
    <hyperlink r:id="rId791" ref="T162"/>
    <hyperlink r:id="rId792" ref="U162"/>
    <hyperlink r:id="rId793" ref="W162"/>
    <hyperlink r:id="rId794" ref="X162"/>
    <hyperlink r:id="rId795" ref="H163"/>
    <hyperlink r:id="rId796" ref="T163"/>
    <hyperlink r:id="rId797" ref="U163"/>
    <hyperlink r:id="rId798" ref="W163"/>
    <hyperlink r:id="rId799" ref="X163"/>
    <hyperlink r:id="rId800" ref="H164"/>
    <hyperlink r:id="rId801" ref="T164"/>
    <hyperlink r:id="rId802" ref="U164"/>
    <hyperlink r:id="rId803" ref="W164"/>
    <hyperlink r:id="rId804" ref="X164"/>
    <hyperlink r:id="rId805" ref="H165"/>
    <hyperlink r:id="rId806" ref="T165"/>
    <hyperlink r:id="rId807" ref="U165"/>
    <hyperlink r:id="rId808" ref="W165"/>
    <hyperlink r:id="rId809" ref="X165"/>
    <hyperlink r:id="rId810" ref="H166"/>
    <hyperlink r:id="rId811" ref="T166"/>
    <hyperlink r:id="rId812" ref="U166"/>
    <hyperlink r:id="rId813" ref="X166"/>
    <hyperlink r:id="rId814" ref="H167"/>
    <hyperlink r:id="rId815" ref="T167"/>
    <hyperlink r:id="rId816" ref="U167"/>
    <hyperlink r:id="rId817" ref="W167"/>
    <hyperlink r:id="rId818" ref="X167"/>
    <hyperlink r:id="rId819" ref="H168"/>
    <hyperlink r:id="rId820" ref="T168"/>
    <hyperlink r:id="rId821" ref="U168"/>
    <hyperlink r:id="rId822" ref="W168"/>
    <hyperlink r:id="rId823" ref="X168"/>
    <hyperlink r:id="rId824" ref="H169"/>
    <hyperlink r:id="rId825" ref="T169"/>
    <hyperlink r:id="rId826" ref="U169"/>
    <hyperlink r:id="rId827" ref="W169"/>
    <hyperlink r:id="rId828" ref="X169"/>
    <hyperlink r:id="rId829" ref="H170"/>
    <hyperlink r:id="rId830" ref="T170"/>
    <hyperlink r:id="rId831" ref="U170"/>
    <hyperlink r:id="rId832" ref="W170"/>
    <hyperlink r:id="rId833" ref="X170"/>
    <hyperlink r:id="rId834" ref="H171"/>
    <hyperlink r:id="rId835" ref="T171"/>
    <hyperlink r:id="rId836" ref="U171"/>
    <hyperlink r:id="rId837" ref="W171"/>
    <hyperlink r:id="rId838" ref="X171"/>
    <hyperlink r:id="rId839" ref="H172"/>
    <hyperlink r:id="rId840" ref="T172"/>
    <hyperlink r:id="rId841" ref="U172"/>
    <hyperlink r:id="rId842" ref="W172"/>
    <hyperlink r:id="rId843" ref="X172"/>
    <hyperlink r:id="rId844" ref="H173"/>
    <hyperlink r:id="rId845" ref="T173"/>
    <hyperlink r:id="rId846" ref="U173"/>
    <hyperlink r:id="rId847" ref="W173"/>
    <hyperlink r:id="rId848" ref="X173"/>
    <hyperlink r:id="rId849" ref="H174"/>
    <hyperlink r:id="rId850" ref="T174"/>
    <hyperlink r:id="rId851" ref="U174"/>
    <hyperlink r:id="rId852" ref="W174"/>
    <hyperlink r:id="rId853" ref="X174"/>
    <hyperlink r:id="rId854" ref="H175"/>
    <hyperlink r:id="rId855" ref="T175"/>
    <hyperlink r:id="rId856" ref="U175"/>
    <hyperlink r:id="rId857" ref="W175"/>
    <hyperlink r:id="rId858" ref="X175"/>
    <hyperlink r:id="rId859" ref="H176"/>
    <hyperlink r:id="rId860" ref="T176"/>
    <hyperlink r:id="rId861" ref="U176"/>
    <hyperlink r:id="rId862" ref="W176"/>
    <hyperlink r:id="rId863" ref="X176"/>
    <hyperlink r:id="rId864" ref="H177"/>
    <hyperlink r:id="rId865" ref="T177"/>
    <hyperlink r:id="rId866" ref="U177"/>
    <hyperlink r:id="rId867" ref="W177"/>
    <hyperlink r:id="rId868" ref="X177"/>
    <hyperlink r:id="rId869" ref="H178"/>
    <hyperlink r:id="rId870" ref="T178"/>
    <hyperlink r:id="rId871" ref="U178"/>
    <hyperlink r:id="rId872" ref="W178"/>
    <hyperlink r:id="rId873" ref="X178"/>
    <hyperlink r:id="rId874" ref="H179"/>
    <hyperlink r:id="rId875" ref="T179"/>
    <hyperlink r:id="rId876" ref="U179"/>
    <hyperlink r:id="rId877" ref="W179"/>
    <hyperlink r:id="rId878" ref="X179"/>
    <hyperlink r:id="rId879" ref="H180"/>
    <hyperlink r:id="rId880" ref="T180"/>
    <hyperlink r:id="rId881" ref="U180"/>
    <hyperlink r:id="rId882" ref="W180"/>
    <hyperlink r:id="rId883" ref="X180"/>
    <hyperlink r:id="rId884" ref="H181"/>
    <hyperlink r:id="rId885" ref="T181"/>
    <hyperlink r:id="rId886" ref="U181"/>
    <hyperlink r:id="rId887" ref="W181"/>
    <hyperlink r:id="rId888" ref="X181"/>
    <hyperlink r:id="rId889" ref="H182"/>
    <hyperlink r:id="rId890" ref="T182"/>
    <hyperlink r:id="rId891" ref="U182"/>
    <hyperlink r:id="rId892" ref="W182"/>
    <hyperlink r:id="rId893" ref="X182"/>
    <hyperlink r:id="rId894" ref="H183"/>
    <hyperlink r:id="rId895" ref="T183"/>
    <hyperlink r:id="rId896" ref="U183"/>
    <hyperlink r:id="rId897" ref="W183"/>
    <hyperlink r:id="rId898" ref="X183"/>
    <hyperlink r:id="rId899" ref="H184"/>
    <hyperlink r:id="rId900" ref="T184"/>
    <hyperlink r:id="rId901" ref="U184"/>
    <hyperlink r:id="rId902" ref="W184"/>
    <hyperlink r:id="rId903" ref="X184"/>
    <hyperlink r:id="rId904" ref="H185"/>
    <hyperlink r:id="rId905" ref="T185"/>
    <hyperlink r:id="rId906" ref="U185"/>
    <hyperlink r:id="rId907" ref="W185"/>
    <hyperlink r:id="rId908" ref="X185"/>
    <hyperlink r:id="rId909" ref="H186"/>
    <hyperlink r:id="rId910" ref="T186"/>
    <hyperlink r:id="rId911" ref="U186"/>
    <hyperlink r:id="rId912" ref="W186"/>
    <hyperlink r:id="rId913" ref="X186"/>
    <hyperlink r:id="rId914" ref="H187"/>
    <hyperlink r:id="rId915" ref="T187"/>
    <hyperlink r:id="rId916" ref="U187"/>
    <hyperlink r:id="rId917" ref="W187"/>
    <hyperlink r:id="rId918" ref="X187"/>
    <hyperlink r:id="rId919" ref="H188"/>
    <hyperlink r:id="rId920" ref="T188"/>
    <hyperlink r:id="rId921" ref="U188"/>
    <hyperlink r:id="rId922" ref="W188"/>
    <hyperlink r:id="rId923" ref="X188"/>
    <hyperlink r:id="rId924" ref="H189"/>
    <hyperlink r:id="rId925" ref="T189"/>
    <hyperlink r:id="rId926" ref="U189"/>
    <hyperlink r:id="rId927" ref="W189"/>
    <hyperlink r:id="rId928" ref="X189"/>
    <hyperlink r:id="rId929" ref="H190"/>
    <hyperlink r:id="rId930" ref="T190"/>
    <hyperlink r:id="rId931" ref="U190"/>
    <hyperlink r:id="rId932" ref="W190"/>
    <hyperlink r:id="rId933" ref="X190"/>
    <hyperlink r:id="rId934" ref="H191"/>
    <hyperlink r:id="rId935" ref="T191"/>
    <hyperlink r:id="rId936" ref="U191"/>
    <hyperlink r:id="rId937" ref="W191"/>
    <hyperlink r:id="rId938" ref="X191"/>
    <hyperlink r:id="rId939" ref="H192"/>
    <hyperlink r:id="rId940" ref="T192"/>
    <hyperlink r:id="rId941" ref="U192"/>
    <hyperlink r:id="rId942" ref="W192"/>
    <hyperlink r:id="rId943" ref="X192"/>
    <hyperlink r:id="rId944" ref="H193"/>
    <hyperlink r:id="rId945" ref="T193"/>
    <hyperlink r:id="rId946" ref="U193"/>
    <hyperlink r:id="rId947" ref="W193"/>
    <hyperlink r:id="rId948" ref="X193"/>
    <hyperlink r:id="rId949" ref="H194"/>
    <hyperlink r:id="rId950" ref="T194"/>
    <hyperlink r:id="rId951" ref="U194"/>
    <hyperlink r:id="rId952" ref="W194"/>
    <hyperlink r:id="rId953" ref="X194"/>
    <hyperlink r:id="rId954" ref="H195"/>
    <hyperlink r:id="rId955" ref="T195"/>
    <hyperlink r:id="rId956" ref="U195"/>
    <hyperlink r:id="rId957" ref="W195"/>
    <hyperlink r:id="rId958" ref="X195"/>
    <hyperlink r:id="rId959" ref="H196"/>
    <hyperlink r:id="rId960" ref="T196"/>
    <hyperlink r:id="rId961" ref="U196"/>
    <hyperlink r:id="rId962" ref="W196"/>
    <hyperlink r:id="rId963" ref="X196"/>
    <hyperlink r:id="rId964" ref="H197"/>
    <hyperlink r:id="rId965" ref="T197"/>
    <hyperlink r:id="rId966" ref="U197"/>
    <hyperlink r:id="rId967" ref="W197"/>
    <hyperlink r:id="rId968" ref="X197"/>
    <hyperlink r:id="rId969" ref="H198"/>
    <hyperlink r:id="rId970" ref="T198"/>
    <hyperlink r:id="rId971" ref="U198"/>
    <hyperlink r:id="rId972" ref="W198"/>
    <hyperlink r:id="rId973" ref="X198"/>
    <hyperlink r:id="rId974" ref="H199"/>
    <hyperlink r:id="rId975" ref="T199"/>
    <hyperlink r:id="rId976" ref="U199"/>
    <hyperlink r:id="rId977" ref="W199"/>
    <hyperlink r:id="rId978" ref="X199"/>
    <hyperlink r:id="rId979" ref="H200"/>
    <hyperlink r:id="rId980" ref="T200"/>
    <hyperlink r:id="rId981" ref="U200"/>
    <hyperlink r:id="rId982" ref="W200"/>
    <hyperlink r:id="rId983" ref="X200"/>
    <hyperlink r:id="rId984" ref="H201"/>
    <hyperlink r:id="rId985" ref="T201"/>
    <hyperlink r:id="rId986" ref="U201"/>
    <hyperlink r:id="rId987" ref="W201"/>
    <hyperlink r:id="rId988" ref="X201"/>
    <hyperlink r:id="rId989" ref="H202"/>
    <hyperlink r:id="rId990" ref="T202"/>
    <hyperlink r:id="rId991" ref="U202"/>
    <hyperlink r:id="rId992" ref="W202"/>
    <hyperlink r:id="rId993" ref="X202"/>
    <hyperlink r:id="rId994" ref="H203"/>
    <hyperlink r:id="rId995" ref="T203"/>
    <hyperlink r:id="rId996" ref="U203"/>
    <hyperlink r:id="rId997" ref="W203"/>
    <hyperlink r:id="rId998" ref="X203"/>
    <hyperlink r:id="rId999" ref="H204"/>
    <hyperlink r:id="rId1000" ref="T204"/>
    <hyperlink r:id="rId1001" ref="U204"/>
    <hyperlink r:id="rId1002" ref="W204"/>
    <hyperlink r:id="rId1003" ref="X204"/>
    <hyperlink r:id="rId1004" ref="H205"/>
    <hyperlink r:id="rId1005" ref="T205"/>
    <hyperlink r:id="rId1006" ref="U205"/>
    <hyperlink r:id="rId1007" ref="W205"/>
    <hyperlink r:id="rId1008" ref="X205"/>
    <hyperlink r:id="rId1009" ref="H206"/>
    <hyperlink r:id="rId1010" ref="T206"/>
    <hyperlink r:id="rId1011" ref="U206"/>
    <hyperlink r:id="rId1012" ref="W206"/>
    <hyperlink r:id="rId1013" ref="X206"/>
    <hyperlink r:id="rId1014" ref="H207"/>
    <hyperlink r:id="rId1015" ref="T207"/>
    <hyperlink r:id="rId1016" ref="U207"/>
    <hyperlink r:id="rId1017" ref="W207"/>
    <hyperlink r:id="rId1018" ref="X207"/>
    <hyperlink r:id="rId1019" ref="H208"/>
    <hyperlink r:id="rId1020" ref="T208"/>
    <hyperlink r:id="rId1021" ref="U208"/>
    <hyperlink r:id="rId1022" ref="W208"/>
    <hyperlink r:id="rId1023" ref="X208"/>
    <hyperlink r:id="rId1024" ref="H209"/>
    <hyperlink r:id="rId1025" ref="T209"/>
    <hyperlink r:id="rId1026" ref="U209"/>
    <hyperlink r:id="rId1027" ref="W209"/>
    <hyperlink r:id="rId1028" ref="X209"/>
    <hyperlink r:id="rId1029" ref="H210"/>
    <hyperlink r:id="rId1030" ref="T210"/>
    <hyperlink r:id="rId1031" ref="U210"/>
    <hyperlink r:id="rId1032" ref="W210"/>
    <hyperlink r:id="rId1033" ref="X210"/>
    <hyperlink r:id="rId1034" ref="H211"/>
    <hyperlink r:id="rId1035" ref="T211"/>
    <hyperlink r:id="rId1036" ref="U211"/>
    <hyperlink r:id="rId1037" ref="W211"/>
    <hyperlink r:id="rId1038" ref="X211"/>
    <hyperlink r:id="rId1039" ref="H212"/>
    <hyperlink r:id="rId1040" ref="T212"/>
    <hyperlink r:id="rId1041" ref="U212"/>
    <hyperlink r:id="rId1042" ref="W212"/>
    <hyperlink r:id="rId1043" ref="X212"/>
    <hyperlink r:id="rId1044" ref="H213"/>
    <hyperlink r:id="rId1045" ref="U213"/>
    <hyperlink r:id="rId1046" ref="W213"/>
    <hyperlink r:id="rId1047" ref="X213"/>
    <hyperlink r:id="rId1048" ref="H214"/>
    <hyperlink r:id="rId1049" ref="T214"/>
    <hyperlink r:id="rId1050" ref="U214"/>
    <hyperlink r:id="rId1051" ref="W214"/>
    <hyperlink r:id="rId1052" ref="X214"/>
    <hyperlink r:id="rId1053" ref="H215"/>
    <hyperlink r:id="rId1054" ref="T215"/>
    <hyperlink r:id="rId1055" ref="U215"/>
    <hyperlink r:id="rId1056" ref="W215"/>
    <hyperlink r:id="rId1057" ref="X215"/>
    <hyperlink r:id="rId1058" ref="H216"/>
    <hyperlink r:id="rId1059" ref="T216"/>
    <hyperlink r:id="rId1060" ref="U216"/>
    <hyperlink r:id="rId1061" ref="W216"/>
    <hyperlink r:id="rId1062" ref="X216"/>
    <hyperlink r:id="rId1063" ref="H217"/>
    <hyperlink r:id="rId1064" ref="T217"/>
    <hyperlink r:id="rId1065" ref="U217"/>
    <hyperlink r:id="rId1066" ref="W217"/>
    <hyperlink r:id="rId1067" ref="X217"/>
    <hyperlink r:id="rId1068" ref="H218"/>
    <hyperlink r:id="rId1069" ref="T218"/>
    <hyperlink r:id="rId1070" ref="U218"/>
    <hyperlink r:id="rId1071" ref="W218"/>
    <hyperlink r:id="rId1072" ref="X218"/>
    <hyperlink r:id="rId1073" ref="H219"/>
    <hyperlink r:id="rId1074" ref="T219"/>
    <hyperlink r:id="rId1075" ref="U219"/>
    <hyperlink r:id="rId1076" ref="W219"/>
    <hyperlink r:id="rId1077" ref="X219"/>
    <hyperlink r:id="rId1078" ref="H220"/>
    <hyperlink r:id="rId1079" ref="T220"/>
    <hyperlink r:id="rId1080" ref="U220"/>
    <hyperlink r:id="rId1081" ref="W220"/>
    <hyperlink r:id="rId1082" ref="X220"/>
    <hyperlink r:id="rId1083" ref="H221"/>
    <hyperlink r:id="rId1084" ref="T221"/>
    <hyperlink r:id="rId1085" ref="U221"/>
    <hyperlink r:id="rId1086" ref="W221"/>
    <hyperlink r:id="rId1087" ref="X221"/>
    <hyperlink r:id="rId1088" ref="H222"/>
    <hyperlink r:id="rId1089" ref="T222"/>
    <hyperlink r:id="rId1090" ref="U222"/>
    <hyperlink r:id="rId1091" ref="W222"/>
    <hyperlink r:id="rId1092" ref="X222"/>
    <hyperlink r:id="rId1093" ref="H223"/>
    <hyperlink r:id="rId1094" ref="T223"/>
    <hyperlink r:id="rId1095" ref="U223"/>
    <hyperlink r:id="rId1096" ref="W223"/>
    <hyperlink r:id="rId1097" ref="X223"/>
    <hyperlink r:id="rId1098" ref="H224"/>
    <hyperlink r:id="rId1099" ref="T224"/>
    <hyperlink r:id="rId1100" ref="U224"/>
    <hyperlink r:id="rId1101" ref="W224"/>
    <hyperlink r:id="rId1102" ref="X224"/>
    <hyperlink r:id="rId1103" ref="H225"/>
    <hyperlink r:id="rId1104" ref="T225"/>
    <hyperlink r:id="rId1105" ref="U225"/>
    <hyperlink r:id="rId1106" ref="W225"/>
    <hyperlink r:id="rId1107" ref="X225"/>
    <hyperlink r:id="rId1108" ref="H226"/>
    <hyperlink r:id="rId1109" ref="T226"/>
    <hyperlink r:id="rId1110" ref="U226"/>
    <hyperlink r:id="rId1111" ref="W226"/>
    <hyperlink r:id="rId1112" ref="X226"/>
    <hyperlink r:id="rId1113" ref="H227"/>
    <hyperlink r:id="rId1114" ref="T227"/>
    <hyperlink r:id="rId1115" ref="U227"/>
    <hyperlink r:id="rId1116" ref="W227"/>
    <hyperlink r:id="rId1117" ref="X227"/>
    <hyperlink r:id="rId1118" ref="H228"/>
    <hyperlink r:id="rId1119" ref="T228"/>
    <hyperlink r:id="rId1120" ref="U228"/>
    <hyperlink r:id="rId1121" ref="W228"/>
    <hyperlink r:id="rId1122" ref="X228"/>
    <hyperlink r:id="rId1123" ref="H229"/>
    <hyperlink r:id="rId1124" ref="T229"/>
    <hyperlink r:id="rId1125" ref="U229"/>
    <hyperlink r:id="rId1126" ref="W229"/>
    <hyperlink r:id="rId1127" ref="X229"/>
    <hyperlink r:id="rId1128" ref="C230"/>
    <hyperlink r:id="rId1129" ref="H230"/>
    <hyperlink r:id="rId1130" ref="T230"/>
    <hyperlink r:id="rId1131" ref="U230"/>
    <hyperlink r:id="rId1132" ref="X230"/>
    <hyperlink r:id="rId1133" ref="H231"/>
    <hyperlink r:id="rId1134" ref="T231"/>
    <hyperlink r:id="rId1135" ref="U231"/>
    <hyperlink r:id="rId1136" ref="W231"/>
    <hyperlink r:id="rId1137" ref="X231"/>
    <hyperlink r:id="rId1138" ref="H232"/>
    <hyperlink r:id="rId1139" ref="T232"/>
    <hyperlink r:id="rId1140" ref="U232"/>
    <hyperlink r:id="rId1141" ref="W232"/>
    <hyperlink r:id="rId1142" ref="X232"/>
    <hyperlink r:id="rId1143" ref="H233"/>
    <hyperlink r:id="rId1144" ref="T233"/>
    <hyperlink r:id="rId1145" ref="U233"/>
    <hyperlink r:id="rId1146" ref="W233"/>
    <hyperlink r:id="rId1147" ref="X233"/>
    <hyperlink r:id="rId1148" ref="H234"/>
    <hyperlink r:id="rId1149" ref="T234"/>
    <hyperlink r:id="rId1150" ref="U234"/>
    <hyperlink r:id="rId1151" ref="W234"/>
    <hyperlink r:id="rId1152" ref="X234"/>
    <hyperlink r:id="rId1153" ref="H235"/>
    <hyperlink r:id="rId1154" ref="T235"/>
    <hyperlink r:id="rId1155" ref="U235"/>
    <hyperlink r:id="rId1156" ref="W235"/>
    <hyperlink r:id="rId1157" ref="X235"/>
    <hyperlink r:id="rId1158" ref="H236"/>
    <hyperlink r:id="rId1159" ref="T236"/>
    <hyperlink r:id="rId1160" ref="U236"/>
    <hyperlink r:id="rId1161" ref="W236"/>
    <hyperlink r:id="rId1162" ref="X236"/>
    <hyperlink r:id="rId1163" ref="H237"/>
    <hyperlink r:id="rId1164" ref="T237"/>
    <hyperlink r:id="rId1165" ref="U237"/>
    <hyperlink r:id="rId1166" ref="W237"/>
    <hyperlink r:id="rId1167" ref="X237"/>
    <hyperlink r:id="rId1168" ref="H238"/>
    <hyperlink r:id="rId1169" ref="T238"/>
    <hyperlink r:id="rId1170" ref="U238"/>
    <hyperlink r:id="rId1171" ref="W238"/>
    <hyperlink r:id="rId1172" ref="X238"/>
    <hyperlink r:id="rId1173" ref="H239"/>
    <hyperlink r:id="rId1174" ref="T239"/>
    <hyperlink r:id="rId1175" ref="U239"/>
    <hyperlink r:id="rId1176" ref="W239"/>
    <hyperlink r:id="rId1177" ref="X239"/>
    <hyperlink r:id="rId1178" ref="H240"/>
    <hyperlink r:id="rId1179" ref="T240"/>
    <hyperlink r:id="rId1180" ref="U240"/>
    <hyperlink r:id="rId1181" ref="W240"/>
    <hyperlink r:id="rId1182" ref="X240"/>
    <hyperlink r:id="rId1183" ref="H241"/>
    <hyperlink r:id="rId1184" ref="T241"/>
    <hyperlink r:id="rId1185" ref="U241"/>
    <hyperlink r:id="rId1186" ref="W241"/>
    <hyperlink r:id="rId1187" ref="X241"/>
    <hyperlink r:id="rId1188" ref="H242"/>
    <hyperlink r:id="rId1189" ref="T242"/>
    <hyperlink r:id="rId1190" ref="U242"/>
    <hyperlink r:id="rId1191" ref="W242"/>
    <hyperlink r:id="rId1192" ref="X242"/>
    <hyperlink r:id="rId1193" ref="H243"/>
    <hyperlink r:id="rId1194" ref="T243"/>
    <hyperlink r:id="rId1195" ref="U243"/>
    <hyperlink r:id="rId1196" ref="W243"/>
    <hyperlink r:id="rId1197" ref="X243"/>
    <hyperlink r:id="rId1198" ref="H244"/>
    <hyperlink r:id="rId1199" ref="T244"/>
    <hyperlink r:id="rId1200" ref="U244"/>
    <hyperlink r:id="rId1201" ref="W244"/>
    <hyperlink r:id="rId1202" ref="X244"/>
    <hyperlink r:id="rId1203" ref="H245"/>
    <hyperlink r:id="rId1204" ref="T245"/>
    <hyperlink r:id="rId1205" ref="U245"/>
    <hyperlink r:id="rId1206" ref="W245"/>
    <hyperlink r:id="rId1207" ref="X245"/>
    <hyperlink r:id="rId1208" ref="H246"/>
    <hyperlink r:id="rId1209" ref="T246"/>
    <hyperlink r:id="rId1210" ref="U246"/>
    <hyperlink r:id="rId1211" ref="W246"/>
    <hyperlink r:id="rId1212" ref="X246"/>
    <hyperlink r:id="rId1213" ref="H247"/>
    <hyperlink r:id="rId1214" ref="T247"/>
    <hyperlink r:id="rId1215" ref="U247"/>
    <hyperlink r:id="rId1216" ref="W247"/>
    <hyperlink r:id="rId1217" ref="X247"/>
    <hyperlink r:id="rId1218" ref="H248"/>
    <hyperlink r:id="rId1219" ref="T248"/>
    <hyperlink r:id="rId1220" ref="U248"/>
    <hyperlink r:id="rId1221" ref="W248"/>
    <hyperlink r:id="rId1222" ref="X248"/>
    <hyperlink r:id="rId1223" ref="H249"/>
    <hyperlink r:id="rId1224" ref="T249"/>
    <hyperlink r:id="rId1225" ref="U249"/>
    <hyperlink r:id="rId1226" ref="W249"/>
    <hyperlink r:id="rId1227" ref="X249"/>
    <hyperlink r:id="rId1228" ref="H250"/>
    <hyperlink r:id="rId1229" ref="T250"/>
    <hyperlink r:id="rId1230" ref="U250"/>
    <hyperlink r:id="rId1231" ref="W250"/>
    <hyperlink r:id="rId1232" ref="X250"/>
    <hyperlink r:id="rId1233" ref="H251"/>
    <hyperlink r:id="rId1234" ref="T251"/>
    <hyperlink r:id="rId1235" ref="U251"/>
    <hyperlink r:id="rId1236" ref="W251"/>
    <hyperlink r:id="rId1237" ref="X251"/>
    <hyperlink r:id="rId1238" ref="H252"/>
    <hyperlink r:id="rId1239" ref="T252"/>
    <hyperlink r:id="rId1240" ref="U252"/>
    <hyperlink r:id="rId1241" ref="W252"/>
    <hyperlink r:id="rId1242" ref="X252"/>
    <hyperlink r:id="rId1243" ref="H253"/>
    <hyperlink r:id="rId1244" ref="T253"/>
    <hyperlink r:id="rId1245" ref="U253"/>
    <hyperlink r:id="rId1246" ref="W253"/>
    <hyperlink r:id="rId1247" ref="X253"/>
    <hyperlink r:id="rId1248" ref="H254"/>
    <hyperlink r:id="rId1249" ref="T254"/>
    <hyperlink r:id="rId1250" ref="U254"/>
    <hyperlink r:id="rId1251" ref="W254"/>
    <hyperlink r:id="rId1252" ref="X254"/>
    <hyperlink r:id="rId1253" ref="H255"/>
    <hyperlink r:id="rId1254" ref="T255"/>
    <hyperlink r:id="rId1255" ref="U255"/>
    <hyperlink r:id="rId1256" ref="W255"/>
    <hyperlink r:id="rId1257" ref="X255"/>
    <hyperlink r:id="rId1258" ref="H256"/>
    <hyperlink r:id="rId1259" ref="U256"/>
    <hyperlink r:id="rId1260" ref="W256"/>
    <hyperlink r:id="rId1261" ref="X256"/>
    <hyperlink r:id="rId1262" ref="H257"/>
    <hyperlink r:id="rId1263" ref="T257"/>
    <hyperlink r:id="rId1264" ref="U257"/>
    <hyperlink r:id="rId1265" ref="W257"/>
    <hyperlink r:id="rId1266" ref="X257"/>
    <hyperlink r:id="rId1267" ref="H258"/>
    <hyperlink r:id="rId1268" ref="T258"/>
    <hyperlink r:id="rId1269" ref="U258"/>
    <hyperlink r:id="rId1270" ref="W258"/>
    <hyperlink r:id="rId1271" ref="X258"/>
    <hyperlink r:id="rId1272" ref="H259"/>
    <hyperlink r:id="rId1273" ref="T259"/>
    <hyperlink r:id="rId1274" ref="U259"/>
    <hyperlink r:id="rId1275" ref="W259"/>
    <hyperlink r:id="rId1276" ref="X259"/>
    <hyperlink r:id="rId1277" ref="H260"/>
    <hyperlink r:id="rId1278" ref="T260"/>
    <hyperlink r:id="rId1279" ref="U260"/>
    <hyperlink r:id="rId1280" ref="W260"/>
    <hyperlink r:id="rId1281" ref="X260"/>
    <hyperlink r:id="rId1282" ref="H261"/>
    <hyperlink r:id="rId1283" ref="T261"/>
    <hyperlink r:id="rId1284" ref="U261"/>
    <hyperlink r:id="rId1285" ref="W261"/>
    <hyperlink r:id="rId1286" ref="X261"/>
    <hyperlink r:id="rId1287" ref="H262"/>
    <hyperlink r:id="rId1288" ref="T262"/>
    <hyperlink r:id="rId1289" ref="U262"/>
    <hyperlink r:id="rId1290" ref="W262"/>
    <hyperlink r:id="rId1291" ref="X262"/>
    <hyperlink r:id="rId1292" ref="H263"/>
    <hyperlink r:id="rId1293" ref="T263"/>
    <hyperlink r:id="rId1294" ref="U263"/>
    <hyperlink r:id="rId1295" ref="W263"/>
    <hyperlink r:id="rId1296" ref="X263"/>
    <hyperlink r:id="rId1297" ref="H264"/>
    <hyperlink r:id="rId1298" ref="T264"/>
    <hyperlink r:id="rId1299" ref="U264"/>
    <hyperlink r:id="rId1300" ref="W264"/>
    <hyperlink r:id="rId1301" ref="X264"/>
    <hyperlink r:id="rId1302" ref="H265"/>
    <hyperlink r:id="rId1303" ref="T265"/>
    <hyperlink r:id="rId1304" ref="U265"/>
    <hyperlink r:id="rId1305" ref="W265"/>
    <hyperlink r:id="rId1306" ref="X265"/>
    <hyperlink r:id="rId1307" ref="H266"/>
    <hyperlink r:id="rId1308" ref="T266"/>
    <hyperlink r:id="rId1309" ref="U266"/>
    <hyperlink r:id="rId1310" ref="W266"/>
    <hyperlink r:id="rId1311" ref="X266"/>
    <hyperlink r:id="rId1312" ref="H267"/>
    <hyperlink r:id="rId1313" ref="T267"/>
    <hyperlink r:id="rId1314" ref="U267"/>
    <hyperlink r:id="rId1315" ref="W267"/>
    <hyperlink r:id="rId1316" ref="X267"/>
    <hyperlink r:id="rId1317" ref="H268"/>
    <hyperlink r:id="rId1318" ref="T268"/>
    <hyperlink r:id="rId1319" ref="U268"/>
    <hyperlink r:id="rId1320" ref="W268"/>
    <hyperlink r:id="rId1321" ref="X268"/>
    <hyperlink r:id="rId1322" ref="H269"/>
    <hyperlink r:id="rId1323" ref="T269"/>
    <hyperlink r:id="rId1324" ref="U269"/>
    <hyperlink r:id="rId1325" ref="W269"/>
    <hyperlink r:id="rId1326" ref="X269"/>
    <hyperlink r:id="rId1327" ref="H270"/>
    <hyperlink r:id="rId1328" ref="T270"/>
    <hyperlink r:id="rId1329" ref="U270"/>
    <hyperlink r:id="rId1330" ref="W270"/>
    <hyperlink r:id="rId1331" ref="X270"/>
    <hyperlink r:id="rId1332" ref="H271"/>
    <hyperlink r:id="rId1333" ref="T271"/>
    <hyperlink r:id="rId1334" ref="U271"/>
    <hyperlink r:id="rId1335" ref="W271"/>
    <hyperlink r:id="rId1336" ref="X271"/>
    <hyperlink r:id="rId1337" ref="H272"/>
    <hyperlink r:id="rId1338" ref="T272"/>
    <hyperlink r:id="rId1339" ref="U272"/>
    <hyperlink r:id="rId1340" ref="W272"/>
    <hyperlink r:id="rId1341" ref="X272"/>
    <hyperlink r:id="rId1342" ref="H273"/>
    <hyperlink r:id="rId1343" ref="T273"/>
    <hyperlink r:id="rId1344" ref="U273"/>
    <hyperlink r:id="rId1345" ref="W273"/>
    <hyperlink r:id="rId1346" ref="X273"/>
    <hyperlink r:id="rId1347" ref="H274"/>
    <hyperlink r:id="rId1348" ref="T274"/>
    <hyperlink r:id="rId1349" ref="U274"/>
    <hyperlink r:id="rId1350" ref="W274"/>
    <hyperlink r:id="rId1351" ref="X274"/>
    <hyperlink r:id="rId1352" ref="H275"/>
    <hyperlink r:id="rId1353" ref="T275"/>
    <hyperlink r:id="rId1354" ref="U275"/>
    <hyperlink r:id="rId1355" ref="W275"/>
    <hyperlink r:id="rId1356" ref="X275"/>
    <hyperlink r:id="rId1357" ref="H276"/>
    <hyperlink r:id="rId1358" ref="T276"/>
    <hyperlink r:id="rId1359" ref="U276"/>
    <hyperlink r:id="rId1360" ref="W276"/>
    <hyperlink r:id="rId1361" ref="X276"/>
    <hyperlink r:id="rId1362" ref="H277"/>
    <hyperlink r:id="rId1363" ref="T277"/>
    <hyperlink r:id="rId1364" ref="U277"/>
    <hyperlink r:id="rId1365" ref="W277"/>
    <hyperlink r:id="rId1366" ref="X277"/>
    <hyperlink r:id="rId1367" ref="H278"/>
    <hyperlink r:id="rId1368" ref="T278"/>
    <hyperlink r:id="rId1369" ref="U278"/>
    <hyperlink r:id="rId1370" ref="W278"/>
    <hyperlink r:id="rId1371" ref="X278"/>
    <hyperlink r:id="rId1372" ref="H279"/>
    <hyperlink r:id="rId1373" ref="T279"/>
    <hyperlink r:id="rId1374" ref="U279"/>
    <hyperlink r:id="rId1375" ref="W279"/>
    <hyperlink r:id="rId1376" ref="X279"/>
    <hyperlink r:id="rId1377" ref="H280"/>
    <hyperlink r:id="rId1378" ref="U280"/>
    <hyperlink r:id="rId1379" ref="W280"/>
    <hyperlink r:id="rId1380" ref="X280"/>
    <hyperlink r:id="rId1381" ref="H281"/>
    <hyperlink r:id="rId1382" ref="T281"/>
    <hyperlink r:id="rId1383" ref="U281"/>
    <hyperlink r:id="rId1384" ref="W281"/>
    <hyperlink r:id="rId1385" ref="X281"/>
    <hyperlink r:id="rId1386" ref="H282"/>
    <hyperlink r:id="rId1387" ref="T282"/>
    <hyperlink r:id="rId1388" ref="U282"/>
    <hyperlink r:id="rId1389" ref="W282"/>
    <hyperlink r:id="rId1390" ref="X282"/>
    <hyperlink r:id="rId1391" ref="H283"/>
    <hyperlink r:id="rId1392" ref="T283"/>
    <hyperlink r:id="rId1393" ref="U283"/>
    <hyperlink r:id="rId1394" ref="W283"/>
    <hyperlink r:id="rId1395" ref="X283"/>
    <hyperlink r:id="rId1396" ref="H284"/>
    <hyperlink r:id="rId1397" ref="T284"/>
    <hyperlink r:id="rId1398" ref="U284"/>
    <hyperlink r:id="rId1399" ref="W284"/>
    <hyperlink r:id="rId1400" ref="X284"/>
    <hyperlink r:id="rId1401" ref="H285"/>
    <hyperlink r:id="rId1402" ref="T285"/>
    <hyperlink r:id="rId1403" ref="U285"/>
    <hyperlink r:id="rId1404" ref="W285"/>
    <hyperlink r:id="rId1405" ref="X285"/>
    <hyperlink r:id="rId1406" ref="H286"/>
    <hyperlink r:id="rId1407" ref="T286"/>
    <hyperlink r:id="rId1408" ref="U286"/>
    <hyperlink r:id="rId1409" ref="W286"/>
    <hyperlink r:id="rId1410" ref="X286"/>
    <hyperlink r:id="rId1411" ref="H287"/>
    <hyperlink r:id="rId1412" ref="T287"/>
    <hyperlink r:id="rId1413" ref="U287"/>
    <hyperlink r:id="rId1414" ref="W287"/>
    <hyperlink r:id="rId1415" ref="X287"/>
    <hyperlink r:id="rId1416" ref="H288"/>
    <hyperlink r:id="rId1417" ref="T288"/>
    <hyperlink r:id="rId1418" ref="U288"/>
    <hyperlink r:id="rId1419" ref="W288"/>
    <hyperlink r:id="rId1420" ref="X288"/>
    <hyperlink r:id="rId1421" ref="H289"/>
    <hyperlink r:id="rId1422" ref="T289"/>
    <hyperlink r:id="rId1423" ref="U289"/>
    <hyperlink r:id="rId1424" ref="W289"/>
    <hyperlink r:id="rId1425" ref="X289"/>
    <hyperlink r:id="rId1426" ref="H290"/>
    <hyperlink r:id="rId1427" ref="T290"/>
    <hyperlink r:id="rId1428" ref="U290"/>
    <hyperlink r:id="rId1429" ref="W290"/>
    <hyperlink r:id="rId1430" ref="X290"/>
    <hyperlink r:id="rId1431" ref="H291"/>
    <hyperlink r:id="rId1432" ref="T291"/>
    <hyperlink r:id="rId1433" ref="U291"/>
    <hyperlink r:id="rId1434" ref="W291"/>
    <hyperlink r:id="rId1435" ref="X291"/>
    <hyperlink r:id="rId1436" ref="H292"/>
    <hyperlink r:id="rId1437" ref="T292"/>
    <hyperlink r:id="rId1438" ref="U292"/>
    <hyperlink r:id="rId1439" ref="W292"/>
    <hyperlink r:id="rId1440" ref="X292"/>
    <hyperlink r:id="rId1441" ref="H293"/>
    <hyperlink r:id="rId1442" ref="T293"/>
    <hyperlink r:id="rId1443" ref="U293"/>
    <hyperlink r:id="rId1444" ref="W293"/>
    <hyperlink r:id="rId1445" ref="X293"/>
    <hyperlink r:id="rId1446" ref="H294"/>
    <hyperlink r:id="rId1447" ref="T294"/>
    <hyperlink r:id="rId1448" ref="U294"/>
    <hyperlink r:id="rId1449" ref="W294"/>
    <hyperlink r:id="rId1450" ref="X294"/>
    <hyperlink r:id="rId1451" ref="H295"/>
    <hyperlink r:id="rId1452" ref="T295"/>
    <hyperlink r:id="rId1453" ref="U295"/>
    <hyperlink r:id="rId1454" ref="W295"/>
    <hyperlink r:id="rId1455" ref="X295"/>
    <hyperlink r:id="rId1456" ref="H296"/>
    <hyperlink r:id="rId1457" ref="T296"/>
    <hyperlink r:id="rId1458" ref="U296"/>
    <hyperlink r:id="rId1459" ref="W296"/>
    <hyperlink r:id="rId1460" ref="X296"/>
    <hyperlink r:id="rId1461" ref="H297"/>
    <hyperlink r:id="rId1462" ref="T297"/>
    <hyperlink r:id="rId1463" ref="U297"/>
    <hyperlink r:id="rId1464" ref="W297"/>
    <hyperlink r:id="rId1465" ref="X297"/>
    <hyperlink r:id="rId1466" ref="H298"/>
    <hyperlink r:id="rId1467" ref="T298"/>
    <hyperlink r:id="rId1468" ref="U298"/>
    <hyperlink r:id="rId1469" ref="W298"/>
    <hyperlink r:id="rId1470" ref="X298"/>
    <hyperlink r:id="rId1471" ref="H299"/>
    <hyperlink r:id="rId1472" ref="T299"/>
    <hyperlink r:id="rId1473" ref="U299"/>
    <hyperlink r:id="rId1474" ref="W299"/>
    <hyperlink r:id="rId1475" ref="X299"/>
    <hyperlink r:id="rId1476" ref="H300"/>
    <hyperlink r:id="rId1477" ref="T300"/>
    <hyperlink r:id="rId1478" ref="U300"/>
    <hyperlink r:id="rId1479" ref="W300"/>
    <hyperlink r:id="rId1480" ref="X300"/>
    <hyperlink r:id="rId1481" ref="H301"/>
    <hyperlink r:id="rId1482" ref="U301"/>
    <hyperlink r:id="rId1483" ref="W301"/>
    <hyperlink r:id="rId1484" ref="X301"/>
    <hyperlink r:id="rId1485" ref="H302"/>
    <hyperlink r:id="rId1486" ref="T302"/>
    <hyperlink r:id="rId1487" ref="U302"/>
    <hyperlink r:id="rId1488" ref="W302"/>
    <hyperlink r:id="rId1489" ref="X302"/>
    <hyperlink r:id="rId1490" ref="H303"/>
    <hyperlink r:id="rId1491" ref="T303"/>
    <hyperlink r:id="rId1492" ref="U303"/>
    <hyperlink r:id="rId1493" ref="W303"/>
    <hyperlink r:id="rId1494" ref="X303"/>
    <hyperlink r:id="rId1495" ref="H304"/>
    <hyperlink r:id="rId1496" ref="T304"/>
    <hyperlink r:id="rId1497" ref="U304"/>
    <hyperlink r:id="rId1498" ref="W304"/>
    <hyperlink r:id="rId1499" ref="X304"/>
    <hyperlink r:id="rId1500" ref="H305"/>
    <hyperlink r:id="rId1501" ref="T305"/>
    <hyperlink r:id="rId1502" ref="U305"/>
    <hyperlink r:id="rId1503" ref="W305"/>
    <hyperlink r:id="rId1504" ref="X305"/>
    <hyperlink r:id="rId1505" ref="H306"/>
    <hyperlink r:id="rId1506" ref="T306"/>
    <hyperlink r:id="rId1507" ref="U306"/>
    <hyperlink r:id="rId1508" ref="X306"/>
    <hyperlink r:id="rId1509" ref="H307"/>
    <hyperlink r:id="rId1510" ref="T307"/>
    <hyperlink r:id="rId1511" ref="U307"/>
    <hyperlink r:id="rId1512" ref="W307"/>
    <hyperlink r:id="rId1513" ref="X307"/>
    <hyperlink r:id="rId1514" ref="H308"/>
    <hyperlink r:id="rId1515" ref="T308"/>
    <hyperlink r:id="rId1516" ref="U308"/>
    <hyperlink r:id="rId1517" ref="W308"/>
    <hyperlink r:id="rId1518" ref="X308"/>
    <hyperlink r:id="rId1519" ref="H309"/>
    <hyperlink r:id="rId1520" ref="T309"/>
    <hyperlink r:id="rId1521" ref="U309"/>
    <hyperlink r:id="rId1522" ref="X309"/>
    <hyperlink r:id="rId1523" ref="H310"/>
    <hyperlink r:id="rId1524" ref="T310"/>
    <hyperlink r:id="rId1525" ref="U310"/>
    <hyperlink r:id="rId1526" ref="X310"/>
    <hyperlink r:id="rId1527" ref="H311"/>
    <hyperlink r:id="rId1528" ref="T311"/>
    <hyperlink r:id="rId1529" ref="U311"/>
    <hyperlink r:id="rId1530" ref="W311"/>
    <hyperlink r:id="rId1531" ref="X311"/>
    <hyperlink r:id="rId1532" ref="H312"/>
    <hyperlink r:id="rId1533" ref="U312"/>
    <hyperlink r:id="rId1534" ref="W312"/>
    <hyperlink r:id="rId1535" ref="X312"/>
    <hyperlink r:id="rId1536" ref="H313"/>
    <hyperlink r:id="rId1537" ref="T313"/>
    <hyperlink r:id="rId1538" ref="U313"/>
    <hyperlink r:id="rId1539" ref="W313"/>
    <hyperlink r:id="rId1540" ref="X313"/>
    <hyperlink r:id="rId1541" ref="H314"/>
    <hyperlink r:id="rId1542" ref="T314"/>
    <hyperlink r:id="rId1543" ref="U314"/>
    <hyperlink r:id="rId1544" ref="W314"/>
    <hyperlink r:id="rId1545" ref="X314"/>
    <hyperlink r:id="rId1546" ref="H315"/>
    <hyperlink r:id="rId1547" ref="T315"/>
    <hyperlink r:id="rId1548" ref="U315"/>
    <hyperlink r:id="rId1549" ref="W315"/>
    <hyperlink r:id="rId1550" ref="X315"/>
    <hyperlink r:id="rId1551" ref="C316"/>
    <hyperlink r:id="rId1552" ref="H316"/>
    <hyperlink r:id="rId1553" ref="T316"/>
    <hyperlink r:id="rId1554" ref="U316"/>
    <hyperlink r:id="rId1555" ref="W316"/>
    <hyperlink r:id="rId1556" ref="X316"/>
    <hyperlink r:id="rId1557" ref="H317"/>
    <hyperlink r:id="rId1558" ref="T317"/>
    <hyperlink r:id="rId1559" ref="U317"/>
    <hyperlink r:id="rId1560" ref="W317"/>
    <hyperlink r:id="rId1561" ref="X317"/>
    <hyperlink r:id="rId1562" ref="H318"/>
    <hyperlink r:id="rId1563" ref="T318"/>
    <hyperlink r:id="rId1564" ref="U318"/>
    <hyperlink r:id="rId1565" ref="W318"/>
    <hyperlink r:id="rId1566" ref="X318"/>
    <hyperlink r:id="rId1567" ref="H319"/>
    <hyperlink r:id="rId1568" ref="T319"/>
    <hyperlink r:id="rId1569" ref="U319"/>
    <hyperlink r:id="rId1570" ref="W319"/>
    <hyperlink r:id="rId1571" ref="X319"/>
    <hyperlink r:id="rId1572" ref="H320"/>
    <hyperlink r:id="rId1573" ref="T320"/>
    <hyperlink r:id="rId1574" ref="U320"/>
    <hyperlink r:id="rId1575" ref="W320"/>
    <hyperlink r:id="rId1576" ref="X320"/>
    <hyperlink r:id="rId1577" ref="H321"/>
    <hyperlink r:id="rId1578" ref="T321"/>
    <hyperlink r:id="rId1579" ref="U321"/>
    <hyperlink r:id="rId1580" ref="W321"/>
    <hyperlink r:id="rId1581" ref="X321"/>
    <hyperlink r:id="rId1582" ref="H322"/>
    <hyperlink r:id="rId1583" ref="T322"/>
    <hyperlink r:id="rId1584" ref="U322"/>
    <hyperlink r:id="rId1585" ref="W322"/>
    <hyperlink r:id="rId1586" ref="X322"/>
    <hyperlink r:id="rId1587" ref="H323"/>
    <hyperlink r:id="rId1588" ref="T323"/>
    <hyperlink r:id="rId1589" ref="U323"/>
    <hyperlink r:id="rId1590" ref="W323"/>
    <hyperlink r:id="rId1591" ref="X323"/>
    <hyperlink r:id="rId1592" ref="H324"/>
    <hyperlink r:id="rId1593" ref="T324"/>
    <hyperlink r:id="rId1594" ref="U324"/>
    <hyperlink r:id="rId1595" ref="W324"/>
    <hyperlink r:id="rId1596" ref="X324"/>
    <hyperlink r:id="rId1597" ref="H325"/>
    <hyperlink r:id="rId1598" ref="T325"/>
    <hyperlink r:id="rId1599" ref="U325"/>
    <hyperlink r:id="rId1600" ref="W325"/>
    <hyperlink r:id="rId1601" ref="X325"/>
    <hyperlink r:id="rId1602" ref="H326"/>
    <hyperlink r:id="rId1603" ref="T326"/>
    <hyperlink r:id="rId1604" ref="U326"/>
    <hyperlink r:id="rId1605" ref="W326"/>
    <hyperlink r:id="rId1606" ref="X326"/>
    <hyperlink r:id="rId1607" ref="H327"/>
    <hyperlink r:id="rId1608" ref="T327"/>
    <hyperlink r:id="rId1609" ref="U327"/>
    <hyperlink r:id="rId1610" ref="W327"/>
    <hyperlink r:id="rId1611" ref="X327"/>
    <hyperlink r:id="rId1612" ref="H328"/>
    <hyperlink r:id="rId1613" ref="T328"/>
    <hyperlink r:id="rId1614" ref="U328"/>
    <hyperlink r:id="rId1615" ref="W328"/>
    <hyperlink r:id="rId1616" ref="X328"/>
    <hyperlink r:id="rId1617" ref="H329"/>
    <hyperlink r:id="rId1618" ref="T329"/>
    <hyperlink r:id="rId1619" ref="U329"/>
    <hyperlink r:id="rId1620" ref="W329"/>
    <hyperlink r:id="rId1621" ref="X329"/>
    <hyperlink r:id="rId1622" ref="H330"/>
    <hyperlink r:id="rId1623" ref="T330"/>
    <hyperlink r:id="rId1624" ref="U330"/>
    <hyperlink r:id="rId1625" ref="W330"/>
    <hyperlink r:id="rId1626" ref="X330"/>
    <hyperlink r:id="rId1627" ref="H331"/>
    <hyperlink r:id="rId1628" ref="T331"/>
    <hyperlink r:id="rId1629" ref="U331"/>
    <hyperlink r:id="rId1630" ref="W331"/>
    <hyperlink r:id="rId1631" ref="X331"/>
  </hyperlinks>
  <drawing r:id="rId16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c r="AL1" s="3" t="s">
        <v>36</v>
      </c>
    </row>
    <row r="2">
      <c r="A2" s="1" t="s">
        <v>37</v>
      </c>
      <c r="B2" s="1" t="s">
        <v>37</v>
      </c>
      <c r="C2" s="1" t="s">
        <v>38</v>
      </c>
      <c r="D2" s="1" t="s">
        <v>38</v>
      </c>
      <c r="E2" s="4">
        <v>2000000.0</v>
      </c>
      <c r="F2" s="4">
        <v>6696.0</v>
      </c>
      <c r="G2" s="4">
        <v>2198.0</v>
      </c>
      <c r="H2" s="7" t="s">
        <v>39</v>
      </c>
      <c r="I2" s="1"/>
      <c r="J2" s="1" t="s">
        <v>44</v>
      </c>
      <c r="K2" s="9">
        <v>45704.031539351854</v>
      </c>
      <c r="L2" s="4">
        <v>1.739666725E9</v>
      </c>
      <c r="M2" s="1" t="s">
        <v>47</v>
      </c>
      <c r="N2" s="1" t="s">
        <v>47</v>
      </c>
      <c r="O2" s="1" t="s">
        <v>47</v>
      </c>
      <c r="P2" s="1" t="s">
        <v>47</v>
      </c>
      <c r="Q2" s="1" t="s">
        <v>47</v>
      </c>
      <c r="R2" s="1" t="s">
        <v>48</v>
      </c>
      <c r="S2" s="1" t="s">
        <v>49</v>
      </c>
      <c r="T2" s="7" t="s">
        <v>50</v>
      </c>
      <c r="U2" s="7" t="s">
        <v>53</v>
      </c>
      <c r="V2" s="1" t="s">
        <v>38</v>
      </c>
      <c r="W2" s="7" t="s">
        <v>55</v>
      </c>
      <c r="X2" s="7" t="s">
        <v>60</v>
      </c>
      <c r="Y2" s="1"/>
      <c r="Z2" s="4">
        <v>2900000.0</v>
      </c>
      <c r="AA2" s="4">
        <v>28600.0</v>
      </c>
      <c r="AB2" s="4">
        <v>168100.0</v>
      </c>
      <c r="AC2" s="4">
        <v>4.08E7</v>
      </c>
      <c r="AD2" s="1"/>
      <c r="AE2" s="1"/>
      <c r="AF2" s="1"/>
      <c r="AG2" s="1"/>
      <c r="AH2" s="1"/>
      <c r="AI2" s="1"/>
      <c r="AJ2" s="1"/>
      <c r="AK2" s="1"/>
      <c r="AL2" s="1">
        <f>IFERROR(__xludf.DUMMYFUNCTION("IF(
  TRIM(AD2)="""",
  0,
  COUNTA(
    SPLIT(
      REGEXREPLACE(AD2,""\s*,\s*"","",""),
      "",""
    )
  )
)"),0.0)</f>
        <v>0</v>
      </c>
    </row>
    <row r="3">
      <c r="A3" s="1" t="s">
        <v>68</v>
      </c>
      <c r="B3" s="1" t="s">
        <v>68</v>
      </c>
      <c r="C3" s="1" t="s">
        <v>69</v>
      </c>
      <c r="D3" s="1" t="s">
        <v>70</v>
      </c>
      <c r="E3" s="4">
        <v>176100.0</v>
      </c>
      <c r="F3" s="4">
        <v>889.0</v>
      </c>
      <c r="G3" s="4">
        <v>777.0</v>
      </c>
      <c r="H3" s="7" t="s">
        <v>71</v>
      </c>
      <c r="I3" s="1" t="s">
        <v>73</v>
      </c>
      <c r="J3" s="1" t="s">
        <v>74</v>
      </c>
      <c r="K3" s="9">
        <v>45096.6024537037</v>
      </c>
      <c r="L3" s="4">
        <v>1.687184852E9</v>
      </c>
      <c r="M3" s="1" t="s">
        <v>47</v>
      </c>
      <c r="N3" s="1" t="s">
        <v>47</v>
      </c>
      <c r="O3" s="1" t="s">
        <v>47</v>
      </c>
      <c r="P3" s="1" t="s">
        <v>47</v>
      </c>
      <c r="Q3" s="1" t="s">
        <v>47</v>
      </c>
      <c r="R3" s="1" t="s">
        <v>75</v>
      </c>
      <c r="S3" s="1" t="s">
        <v>76</v>
      </c>
      <c r="T3" s="1"/>
      <c r="U3" s="7" t="s">
        <v>77</v>
      </c>
      <c r="V3" s="1" t="s">
        <v>79</v>
      </c>
      <c r="W3" s="7" t="s">
        <v>80</v>
      </c>
      <c r="X3" s="7" t="s">
        <v>83</v>
      </c>
      <c r="Y3" s="1"/>
      <c r="Z3" s="4">
        <v>722000.0</v>
      </c>
      <c r="AA3" s="4">
        <v>11000.0</v>
      </c>
      <c r="AB3" s="4">
        <v>39900.0</v>
      </c>
      <c r="AC3" s="4">
        <v>7900000.0</v>
      </c>
      <c r="AD3" s="1"/>
      <c r="AE3" s="1"/>
      <c r="AF3" s="1"/>
      <c r="AG3" s="1"/>
      <c r="AH3" s="1" t="s">
        <v>85</v>
      </c>
      <c r="AI3" s="1"/>
      <c r="AJ3" s="1"/>
      <c r="AK3" s="1"/>
      <c r="AL3" s="1">
        <f>IFERROR(__xludf.DUMMYFUNCTION("IF(
  TRIM(AD3)="""",
  0,
  COUNTA(
    SPLIT(
      REGEXREPLACE(AD3,""\s*,\s*"","",""),
      "",""
    )
  )
)"),0.0)</f>
        <v>0</v>
      </c>
    </row>
    <row r="4">
      <c r="A4" s="1" t="s">
        <v>86</v>
      </c>
      <c r="B4" s="1" t="s">
        <v>86</v>
      </c>
      <c r="C4" s="1" t="s">
        <v>87</v>
      </c>
      <c r="D4" s="1" t="s">
        <v>88</v>
      </c>
      <c r="E4" s="4">
        <v>81800.0</v>
      </c>
      <c r="F4" s="4">
        <v>17.0</v>
      </c>
      <c r="G4" s="4">
        <v>67.0</v>
      </c>
      <c r="H4" s="7" t="s">
        <v>89</v>
      </c>
      <c r="I4" s="1" t="s">
        <v>91</v>
      </c>
      <c r="J4" s="1"/>
      <c r="K4" s="9">
        <v>45930.592094907406</v>
      </c>
      <c r="L4" s="4">
        <v>1.759241557E9</v>
      </c>
      <c r="M4" s="1" t="s">
        <v>47</v>
      </c>
      <c r="N4" s="1" t="s">
        <v>47</v>
      </c>
      <c r="O4" s="1" t="s">
        <v>47</v>
      </c>
      <c r="P4" s="1" t="s">
        <v>47</v>
      </c>
      <c r="Q4" s="1" t="s">
        <v>47</v>
      </c>
      <c r="R4" s="1" t="s">
        <v>48</v>
      </c>
      <c r="S4" s="1" t="s">
        <v>92</v>
      </c>
      <c r="T4" s="7" t="s">
        <v>93</v>
      </c>
      <c r="U4" s="7" t="s">
        <v>95</v>
      </c>
      <c r="V4" s="1" t="s">
        <v>88</v>
      </c>
      <c r="W4" s="7" t="s">
        <v>96</v>
      </c>
      <c r="X4" s="7" t="s">
        <v>102</v>
      </c>
      <c r="Y4" s="1"/>
      <c r="Z4" s="4">
        <v>174000.0</v>
      </c>
      <c r="AA4" s="4">
        <v>3535.0</v>
      </c>
      <c r="AB4" s="4">
        <v>80500.0</v>
      </c>
      <c r="AC4" s="4">
        <v>8800000.0</v>
      </c>
      <c r="AD4" s="1"/>
      <c r="AE4" s="1"/>
      <c r="AF4" s="1"/>
      <c r="AG4" s="1"/>
      <c r="AH4" s="1" t="s">
        <v>103</v>
      </c>
      <c r="AI4" s="1"/>
      <c r="AJ4" s="1"/>
      <c r="AK4" s="1"/>
      <c r="AL4" s="1">
        <f>IFERROR(__xludf.DUMMYFUNCTION("IF(
  TRIM(AD4)="""",
  0,
  COUNTA(
    SPLIT(
      REGEXREPLACE(AD4,""\s*,\s*"","",""),
      "",""
    )
  )
)"),0.0)</f>
        <v>0</v>
      </c>
    </row>
    <row r="5">
      <c r="A5" s="1" t="s">
        <v>106</v>
      </c>
      <c r="B5" s="1" t="s">
        <v>106</v>
      </c>
      <c r="C5" s="1" t="s">
        <v>107</v>
      </c>
      <c r="D5" s="1" t="s">
        <v>108</v>
      </c>
      <c r="E5" s="4">
        <v>1300000.0</v>
      </c>
      <c r="F5" s="4">
        <v>93.0</v>
      </c>
      <c r="G5" s="4">
        <v>1734.0</v>
      </c>
      <c r="H5" s="7" t="s">
        <v>110</v>
      </c>
      <c r="I5" s="1" t="s">
        <v>112</v>
      </c>
      <c r="J5" s="1"/>
      <c r="K5" s="9">
        <v>45836.916921296295</v>
      </c>
      <c r="L5" s="4">
        <v>1.751148022E9</v>
      </c>
      <c r="M5" s="1" t="s">
        <v>47</v>
      </c>
      <c r="N5" s="1" t="s">
        <v>47</v>
      </c>
      <c r="O5" s="1" t="s">
        <v>47</v>
      </c>
      <c r="P5" s="1" t="s">
        <v>47</v>
      </c>
      <c r="Q5" s="1" t="s">
        <v>47</v>
      </c>
      <c r="R5" s="1" t="s">
        <v>48</v>
      </c>
      <c r="S5" s="1" t="s">
        <v>113</v>
      </c>
      <c r="T5" s="7" t="s">
        <v>114</v>
      </c>
      <c r="U5" s="7" t="s">
        <v>117</v>
      </c>
      <c r="V5" s="1" t="s">
        <v>108</v>
      </c>
      <c r="W5" s="7" t="s">
        <v>118</v>
      </c>
      <c r="X5" s="7" t="s">
        <v>126</v>
      </c>
      <c r="Y5" s="1"/>
      <c r="Z5" s="4">
        <v>146900.0</v>
      </c>
      <c r="AA5" s="4">
        <v>878.0</v>
      </c>
      <c r="AB5" s="4">
        <v>13500.0</v>
      </c>
      <c r="AC5" s="4">
        <v>1800000.0</v>
      </c>
      <c r="AD5" s="1"/>
      <c r="AE5" s="1"/>
      <c r="AF5" s="1"/>
      <c r="AG5" s="1"/>
      <c r="AH5" s="1"/>
      <c r="AI5" s="1"/>
      <c r="AJ5" s="1"/>
      <c r="AK5" s="1"/>
      <c r="AL5" s="1">
        <f>IFERROR(__xludf.DUMMYFUNCTION("IF(
  TRIM(AD5)="""",
  0,
  COUNTA(
    SPLIT(
      REGEXREPLACE(AD5,""\s*,\s*"","",""),
      "",""
    )
  )
)"),0.0)</f>
        <v>0</v>
      </c>
    </row>
    <row r="6">
      <c r="A6" s="1" t="s">
        <v>127</v>
      </c>
      <c r="B6" s="1" t="s">
        <v>127</v>
      </c>
      <c r="C6" s="1" t="s">
        <v>107</v>
      </c>
      <c r="D6" s="1" t="s">
        <v>108</v>
      </c>
      <c r="E6" s="4">
        <v>1300000.0</v>
      </c>
      <c r="F6" s="4">
        <v>93.0</v>
      </c>
      <c r="G6" s="4">
        <v>1734.0</v>
      </c>
      <c r="H6" s="7" t="s">
        <v>110</v>
      </c>
      <c r="I6" s="1" t="s">
        <v>130</v>
      </c>
      <c r="J6" s="1" t="s">
        <v>131</v>
      </c>
      <c r="K6" s="9">
        <v>45186.07309027778</v>
      </c>
      <c r="L6" s="4">
        <v>1.694915115E9</v>
      </c>
      <c r="M6" s="1" t="s">
        <v>47</v>
      </c>
      <c r="N6" s="1" t="s">
        <v>47</v>
      </c>
      <c r="O6" s="1" t="s">
        <v>47</v>
      </c>
      <c r="P6" s="1" t="s">
        <v>47</v>
      </c>
      <c r="Q6" s="1" t="s">
        <v>47</v>
      </c>
      <c r="R6" s="1" t="s">
        <v>48</v>
      </c>
      <c r="S6" s="1" t="s">
        <v>135</v>
      </c>
      <c r="T6" s="7" t="s">
        <v>136</v>
      </c>
      <c r="U6" s="7" t="s">
        <v>140</v>
      </c>
      <c r="V6" s="1" t="s">
        <v>108</v>
      </c>
      <c r="W6" s="7" t="s">
        <v>141</v>
      </c>
      <c r="X6" s="7" t="s">
        <v>149</v>
      </c>
      <c r="Y6" s="1"/>
      <c r="Z6" s="4">
        <v>126200.0</v>
      </c>
      <c r="AA6" s="4">
        <v>1060.0</v>
      </c>
      <c r="AB6" s="4">
        <v>11600.0</v>
      </c>
      <c r="AC6" s="4">
        <v>1500000.0</v>
      </c>
      <c r="AD6" s="1"/>
      <c r="AE6" s="1"/>
      <c r="AF6" s="1"/>
      <c r="AG6" s="1"/>
      <c r="AH6" s="1"/>
      <c r="AI6" s="1"/>
      <c r="AJ6" s="1"/>
      <c r="AK6" s="1"/>
      <c r="AL6" s="1">
        <f>IFERROR(__xludf.DUMMYFUNCTION("IF(
  TRIM(AD6)="""",
  0,
  COUNTA(
    SPLIT(
      REGEXREPLACE(AD6,""\s*,\s*"","",""),
      "",""
    )
  )
)"),0.0)</f>
        <v>0</v>
      </c>
    </row>
    <row r="7">
      <c r="A7" s="1" t="s">
        <v>150</v>
      </c>
      <c r="B7" s="1" t="s">
        <v>150</v>
      </c>
      <c r="C7" s="1" t="s">
        <v>151</v>
      </c>
      <c r="D7" s="1" t="s">
        <v>152</v>
      </c>
      <c r="E7" s="4">
        <v>13600.0</v>
      </c>
      <c r="F7" s="4">
        <v>7.0</v>
      </c>
      <c r="G7" s="4">
        <v>87.0</v>
      </c>
      <c r="H7" s="7" t="s">
        <v>153</v>
      </c>
      <c r="I7" s="1" t="s">
        <v>157</v>
      </c>
      <c r="J7" s="1"/>
      <c r="K7" s="9">
        <v>45862.81989583333</v>
      </c>
      <c r="L7" s="4">
        <v>1.753386039E9</v>
      </c>
      <c r="M7" s="1" t="s">
        <v>47</v>
      </c>
      <c r="N7" s="1" t="s">
        <v>47</v>
      </c>
      <c r="O7" s="1" t="s">
        <v>47</v>
      </c>
      <c r="P7" s="1" t="s">
        <v>47</v>
      </c>
      <c r="Q7" s="1" t="s">
        <v>47</v>
      </c>
      <c r="R7" s="1" t="s">
        <v>158</v>
      </c>
      <c r="S7" s="1" t="s">
        <v>159</v>
      </c>
      <c r="T7" s="7" t="s">
        <v>160</v>
      </c>
      <c r="U7" s="7" t="s">
        <v>162</v>
      </c>
      <c r="V7" s="1" t="s">
        <v>152</v>
      </c>
      <c r="W7" s="7" t="s">
        <v>165</v>
      </c>
      <c r="X7" s="7" t="s">
        <v>171</v>
      </c>
      <c r="Y7" s="1"/>
      <c r="Z7" s="4">
        <v>95600.0</v>
      </c>
      <c r="AA7" s="4">
        <v>3092.0</v>
      </c>
      <c r="AB7" s="4">
        <v>8825.0</v>
      </c>
      <c r="AC7" s="4">
        <v>4000000.0</v>
      </c>
      <c r="AD7" s="1"/>
      <c r="AE7" s="1"/>
      <c r="AF7" s="1"/>
      <c r="AG7" s="1"/>
      <c r="AH7" s="1"/>
      <c r="AI7" s="1"/>
      <c r="AJ7" s="1"/>
      <c r="AK7" s="1"/>
      <c r="AL7" s="1">
        <f>IFERROR(__xludf.DUMMYFUNCTION("IF(
  TRIM(AD7)="""",
  0,
  COUNTA(
    SPLIT(
      REGEXREPLACE(AD7,""\s*,\s*"","",""),
      "",""
    )
  )
)"),0.0)</f>
        <v>0</v>
      </c>
    </row>
    <row r="8">
      <c r="A8" s="1" t="s">
        <v>176</v>
      </c>
      <c r="B8" s="1" t="s">
        <v>176</v>
      </c>
      <c r="C8" s="1" t="s">
        <v>107</v>
      </c>
      <c r="D8" s="1" t="s">
        <v>108</v>
      </c>
      <c r="E8" s="4">
        <v>1300000.0</v>
      </c>
      <c r="F8" s="4">
        <v>93.0</v>
      </c>
      <c r="G8" s="4">
        <v>1734.0</v>
      </c>
      <c r="H8" s="7" t="s">
        <v>110</v>
      </c>
      <c r="I8" s="1" t="s">
        <v>177</v>
      </c>
      <c r="J8" s="1"/>
      <c r="K8" s="9">
        <v>45356.91140046297</v>
      </c>
      <c r="L8" s="4">
        <v>1.709675545E9</v>
      </c>
      <c r="M8" s="1" t="s">
        <v>47</v>
      </c>
      <c r="N8" s="1" t="s">
        <v>47</v>
      </c>
      <c r="O8" s="1" t="s">
        <v>47</v>
      </c>
      <c r="P8" s="1" t="s">
        <v>47</v>
      </c>
      <c r="Q8" s="1" t="s">
        <v>47</v>
      </c>
      <c r="R8" s="1" t="s">
        <v>48</v>
      </c>
      <c r="S8" s="1" t="s">
        <v>178</v>
      </c>
      <c r="T8" s="7" t="s">
        <v>179</v>
      </c>
      <c r="U8" s="7" t="s">
        <v>117</v>
      </c>
      <c r="V8" s="1" t="s">
        <v>108</v>
      </c>
      <c r="W8" s="7" t="s">
        <v>182</v>
      </c>
      <c r="X8" s="7" t="s">
        <v>193</v>
      </c>
      <c r="Y8" s="1"/>
      <c r="Z8" s="4">
        <v>75200.0</v>
      </c>
      <c r="AA8" s="4">
        <v>655.0</v>
      </c>
      <c r="AB8" s="4">
        <v>8883.0</v>
      </c>
      <c r="AC8" s="4">
        <v>907000.0</v>
      </c>
      <c r="AD8" s="1"/>
      <c r="AE8" s="1"/>
      <c r="AF8" s="1"/>
      <c r="AG8" s="1"/>
      <c r="AH8" s="1" t="s">
        <v>144</v>
      </c>
      <c r="AI8" s="1"/>
      <c r="AJ8" s="1"/>
      <c r="AK8" s="1"/>
      <c r="AL8" s="1">
        <f>IFERROR(__xludf.DUMMYFUNCTION("IF(
  TRIM(AD8)="""",
  0,
  COUNTA(
    SPLIT(
      REGEXREPLACE(AD8,""\s*,\s*"","",""),
      "",""
    )
  )
)"),0.0)</f>
        <v>0</v>
      </c>
    </row>
    <row r="9">
      <c r="A9" s="1" t="s">
        <v>197</v>
      </c>
      <c r="B9" s="1" t="s">
        <v>197</v>
      </c>
      <c r="C9" s="1" t="s">
        <v>198</v>
      </c>
      <c r="D9" s="1" t="s">
        <v>199</v>
      </c>
      <c r="E9" s="4">
        <v>31100.0</v>
      </c>
      <c r="F9" s="4">
        <v>40500.0</v>
      </c>
      <c r="G9" s="4">
        <v>628.0</v>
      </c>
      <c r="H9" s="7" t="s">
        <v>200</v>
      </c>
      <c r="I9" s="1" t="s">
        <v>202</v>
      </c>
      <c r="J9" s="1" t="s">
        <v>203</v>
      </c>
      <c r="K9" s="9">
        <v>45960.81559027778</v>
      </c>
      <c r="L9" s="4">
        <v>1.761852867E9</v>
      </c>
      <c r="M9" s="1" t="s">
        <v>47</v>
      </c>
      <c r="N9" s="1" t="s">
        <v>47</v>
      </c>
      <c r="O9" s="1" t="s">
        <v>47</v>
      </c>
      <c r="P9" s="1" t="s">
        <v>47</v>
      </c>
      <c r="Q9" s="1" t="s">
        <v>47</v>
      </c>
      <c r="R9" s="1" t="s">
        <v>204</v>
      </c>
      <c r="S9" s="1" t="s">
        <v>206</v>
      </c>
      <c r="T9" s="7" t="s">
        <v>207</v>
      </c>
      <c r="U9" s="7" t="s">
        <v>215</v>
      </c>
      <c r="V9" s="1" t="s">
        <v>199</v>
      </c>
      <c r="W9" s="7" t="s">
        <v>218</v>
      </c>
      <c r="X9" s="7" t="s">
        <v>229</v>
      </c>
      <c r="Y9" s="1"/>
      <c r="Z9" s="4">
        <v>69100.0</v>
      </c>
      <c r="AA9" s="4">
        <v>1421.0</v>
      </c>
      <c r="AB9" s="4">
        <v>6321.0</v>
      </c>
      <c r="AC9" s="4">
        <v>468000.0</v>
      </c>
      <c r="AD9" s="1"/>
      <c r="AE9" s="1"/>
      <c r="AF9" s="1"/>
      <c r="AG9" s="1"/>
      <c r="AH9" s="1"/>
      <c r="AI9" s="1"/>
      <c r="AJ9" s="1"/>
      <c r="AK9" s="1"/>
      <c r="AL9" s="1">
        <f>IFERROR(__xludf.DUMMYFUNCTION("IF(
  TRIM(AD9)="""",
  0,
  COUNTA(
    SPLIT(
      REGEXREPLACE(AD9,""\s*,\s*"","",""),
      "",""
    )
  )
)"),0.0)</f>
        <v>0</v>
      </c>
    </row>
    <row r="10">
      <c r="A10" s="1" t="s">
        <v>231</v>
      </c>
      <c r="B10" s="1" t="s">
        <v>231</v>
      </c>
      <c r="C10" s="1" t="s">
        <v>232</v>
      </c>
      <c r="D10" s="1" t="s">
        <v>233</v>
      </c>
      <c r="E10" s="4">
        <v>2700000.0</v>
      </c>
      <c r="F10" s="4">
        <v>1039.0</v>
      </c>
      <c r="G10" s="4">
        <v>1180.0</v>
      </c>
      <c r="H10" s="7" t="s">
        <v>234</v>
      </c>
      <c r="I10" s="1" t="s">
        <v>241</v>
      </c>
      <c r="J10" s="1"/>
      <c r="K10" s="9">
        <v>45634.62079861111</v>
      </c>
      <c r="L10" s="4">
        <v>1.733669637E9</v>
      </c>
      <c r="M10" s="1" t="s">
        <v>47</v>
      </c>
      <c r="N10" s="1" t="s">
        <v>47</v>
      </c>
      <c r="O10" s="1" t="s">
        <v>47</v>
      </c>
      <c r="P10" s="1" t="s">
        <v>47</v>
      </c>
      <c r="Q10" s="1" t="s">
        <v>47</v>
      </c>
      <c r="R10" s="1" t="s">
        <v>48</v>
      </c>
      <c r="S10" s="1" t="s">
        <v>242</v>
      </c>
      <c r="T10" s="7" t="s">
        <v>243</v>
      </c>
      <c r="U10" s="7" t="s">
        <v>250</v>
      </c>
      <c r="V10" s="1" t="s">
        <v>233</v>
      </c>
      <c r="W10" s="7" t="s">
        <v>254</v>
      </c>
      <c r="X10" s="7" t="s">
        <v>266</v>
      </c>
      <c r="Y10" s="1"/>
      <c r="Z10" s="4">
        <v>53200.0</v>
      </c>
      <c r="AA10" s="4">
        <v>1592.0</v>
      </c>
      <c r="AB10" s="4">
        <v>2655.0</v>
      </c>
      <c r="AC10" s="4">
        <v>976500.0</v>
      </c>
      <c r="AD10" s="1"/>
      <c r="AE10" s="1"/>
      <c r="AF10" s="1"/>
      <c r="AG10" s="1"/>
      <c r="AH10" s="1"/>
      <c r="AI10" s="1"/>
      <c r="AJ10" s="1"/>
      <c r="AK10" s="1"/>
      <c r="AL10" s="1">
        <f>IFERROR(__xludf.DUMMYFUNCTION("IF(
  TRIM(AD10)="""",
  0,
  COUNTA(
    SPLIT(
      REGEXREPLACE(AD10,""\s*,\s*"","",""),
      "",""
    )
  )
)"),0.0)</f>
        <v>0</v>
      </c>
    </row>
    <row r="11">
      <c r="A11" s="1" t="s">
        <v>268</v>
      </c>
      <c r="B11" s="1" t="s">
        <v>268</v>
      </c>
      <c r="C11" s="1" t="s">
        <v>269</v>
      </c>
      <c r="D11" s="1" t="s">
        <v>270</v>
      </c>
      <c r="E11" s="4">
        <v>1.38E7</v>
      </c>
      <c r="F11" s="4">
        <v>4201.0</v>
      </c>
      <c r="G11" s="4">
        <v>2204.0</v>
      </c>
      <c r="H11" s="7" t="s">
        <v>271</v>
      </c>
      <c r="I11" s="1" t="s">
        <v>279</v>
      </c>
      <c r="J11" s="1" t="s">
        <v>280</v>
      </c>
      <c r="K11" s="9">
        <v>45884.64591435185</v>
      </c>
      <c r="L11" s="4">
        <v>1.755271807E9</v>
      </c>
      <c r="M11" s="1" t="s">
        <v>47</v>
      </c>
      <c r="N11" s="1" t="s">
        <v>47</v>
      </c>
      <c r="O11" s="1" t="s">
        <v>47</v>
      </c>
      <c r="P11" s="1" t="s">
        <v>47</v>
      </c>
      <c r="Q11" s="1" t="s">
        <v>47</v>
      </c>
      <c r="R11" s="1" t="s">
        <v>281</v>
      </c>
      <c r="S11" s="1" t="s">
        <v>282</v>
      </c>
      <c r="T11" s="7" t="s">
        <v>283</v>
      </c>
      <c r="U11" s="7" t="s">
        <v>288</v>
      </c>
      <c r="V11" s="1" t="s">
        <v>289</v>
      </c>
      <c r="W11" s="7" t="s">
        <v>291</v>
      </c>
      <c r="X11" s="7" t="s">
        <v>298</v>
      </c>
      <c r="Y11" s="1"/>
      <c r="Z11" s="4">
        <v>38500.0</v>
      </c>
      <c r="AA11" s="4">
        <v>241.0</v>
      </c>
      <c r="AB11" s="4">
        <v>1894.0</v>
      </c>
      <c r="AC11" s="4">
        <v>733100.0</v>
      </c>
      <c r="AD11" s="1"/>
      <c r="AE11" s="1"/>
      <c r="AF11" s="1"/>
      <c r="AG11" s="1"/>
      <c r="AH11" s="1" t="s">
        <v>300</v>
      </c>
      <c r="AI11" s="1"/>
      <c r="AJ11" s="1"/>
      <c r="AK11" s="1"/>
      <c r="AL11" s="1">
        <f>IFERROR(__xludf.DUMMYFUNCTION("IF(
  TRIM(AD11)="""",
  0,
  COUNTA(
    SPLIT(
      REGEXREPLACE(AD11,""\s*,\s*"","",""),
      "",""
    )
  )
)"),0.0)</f>
        <v>0</v>
      </c>
    </row>
    <row r="12">
      <c r="A12" s="1" t="s">
        <v>304</v>
      </c>
      <c r="B12" s="1" t="s">
        <v>304</v>
      </c>
      <c r="C12" s="1" t="s">
        <v>305</v>
      </c>
      <c r="D12" s="1" t="s">
        <v>306</v>
      </c>
      <c r="E12" s="4">
        <v>2600000.0</v>
      </c>
      <c r="F12" s="4">
        <v>7570.0</v>
      </c>
      <c r="G12" s="4">
        <v>1580.0</v>
      </c>
      <c r="H12" s="7" t="s">
        <v>307</v>
      </c>
      <c r="I12" s="1" t="s">
        <v>310</v>
      </c>
      <c r="J12" s="1" t="s">
        <v>311</v>
      </c>
      <c r="K12" s="9">
        <v>45391.55197916667</v>
      </c>
      <c r="L12" s="4">
        <v>1.712668491E9</v>
      </c>
      <c r="M12" s="1" t="s">
        <v>47</v>
      </c>
      <c r="N12" s="1" t="s">
        <v>47</v>
      </c>
      <c r="O12" s="1" t="s">
        <v>47</v>
      </c>
      <c r="P12" s="1" t="s">
        <v>47</v>
      </c>
      <c r="Q12" s="1" t="s">
        <v>47</v>
      </c>
      <c r="R12" s="1" t="s">
        <v>312</v>
      </c>
      <c r="S12" s="1" t="s">
        <v>313</v>
      </c>
      <c r="T12" s="1"/>
      <c r="U12" s="7" t="s">
        <v>314</v>
      </c>
      <c r="V12" s="1" t="s">
        <v>316</v>
      </c>
      <c r="W12" s="7" t="s">
        <v>317</v>
      </c>
      <c r="X12" s="7" t="s">
        <v>327</v>
      </c>
      <c r="Y12" s="1"/>
      <c r="Z12" s="4">
        <v>35600.0</v>
      </c>
      <c r="AA12" s="4">
        <v>2540.0</v>
      </c>
      <c r="AB12" s="4">
        <v>9717.0</v>
      </c>
      <c r="AC12" s="4">
        <v>1000000.0</v>
      </c>
      <c r="AD12" s="1"/>
      <c r="AE12" s="1"/>
      <c r="AF12" s="1"/>
      <c r="AG12" s="1"/>
      <c r="AH12" s="1"/>
      <c r="AI12" s="1"/>
      <c r="AJ12" s="1"/>
      <c r="AK12" s="1"/>
      <c r="AL12" s="1">
        <f>IFERROR(__xludf.DUMMYFUNCTION("IF(
  TRIM(AD12)="""",
  0,
  COUNTA(
    SPLIT(
      REGEXREPLACE(AD12,""\s*,\s*"","",""),
      "",""
    )
  )
)"),0.0)</f>
        <v>0</v>
      </c>
    </row>
    <row r="13">
      <c r="A13" s="1" t="s">
        <v>329</v>
      </c>
      <c r="B13" s="1" t="s">
        <v>329</v>
      </c>
      <c r="C13" s="1" t="s">
        <v>69</v>
      </c>
      <c r="D13" s="1" t="s">
        <v>70</v>
      </c>
      <c r="E13" s="4">
        <v>176100.0</v>
      </c>
      <c r="F13" s="4">
        <v>889.0</v>
      </c>
      <c r="G13" s="4">
        <v>777.0</v>
      </c>
      <c r="H13" s="7" t="s">
        <v>330</v>
      </c>
      <c r="I13" s="1" t="s">
        <v>341</v>
      </c>
      <c r="J13" s="1" t="s">
        <v>342</v>
      </c>
      <c r="K13" s="9">
        <v>45053.651666666665</v>
      </c>
      <c r="L13" s="4">
        <v>1.683473904E9</v>
      </c>
      <c r="M13" s="1" t="s">
        <v>47</v>
      </c>
      <c r="N13" s="1" t="s">
        <v>47</v>
      </c>
      <c r="O13" s="1" t="s">
        <v>47</v>
      </c>
      <c r="P13" s="1" t="s">
        <v>47</v>
      </c>
      <c r="Q13" s="1" t="s">
        <v>47</v>
      </c>
      <c r="R13" s="1" t="s">
        <v>48</v>
      </c>
      <c r="S13" s="1" t="s">
        <v>344</v>
      </c>
      <c r="T13" s="7" t="s">
        <v>347</v>
      </c>
      <c r="U13" s="7" t="s">
        <v>355</v>
      </c>
      <c r="V13" s="1" t="s">
        <v>70</v>
      </c>
      <c r="W13" s="7" t="s">
        <v>357</v>
      </c>
      <c r="X13" s="7" t="s">
        <v>368</v>
      </c>
      <c r="Y13" s="1"/>
      <c r="Z13" s="4">
        <v>33200.0</v>
      </c>
      <c r="AA13" s="4">
        <v>362.0</v>
      </c>
      <c r="AB13" s="4">
        <v>5011.0</v>
      </c>
      <c r="AC13" s="4">
        <v>589700.0</v>
      </c>
      <c r="AD13" s="1"/>
      <c r="AE13" s="1"/>
      <c r="AF13" s="1"/>
      <c r="AG13" s="1"/>
      <c r="AH13" s="1"/>
      <c r="AI13" s="1"/>
      <c r="AJ13" s="1"/>
      <c r="AK13" s="1"/>
      <c r="AL13" s="1">
        <f>IFERROR(__xludf.DUMMYFUNCTION("IF(
  TRIM(AD13)="""",
  0,
  COUNTA(
    SPLIT(
      REGEXREPLACE(AD13,""\s*,\s*"","",""),
      "",""
    )
  )
)"),0.0)</f>
        <v>0</v>
      </c>
    </row>
    <row r="14">
      <c r="A14" s="1" t="s">
        <v>371</v>
      </c>
      <c r="B14" s="1" t="s">
        <v>371</v>
      </c>
      <c r="C14" s="1" t="s">
        <v>372</v>
      </c>
      <c r="D14" s="1" t="s">
        <v>373</v>
      </c>
      <c r="E14" s="4">
        <v>95600.0</v>
      </c>
      <c r="F14" s="4">
        <v>120.0</v>
      </c>
      <c r="G14" s="4">
        <v>708.0</v>
      </c>
      <c r="H14" s="7" t="s">
        <v>374</v>
      </c>
      <c r="I14" s="1" t="s">
        <v>381</v>
      </c>
      <c r="J14" s="1"/>
      <c r="K14" s="9">
        <v>45776.791666666664</v>
      </c>
      <c r="L14" s="4">
        <v>1.7459532E9</v>
      </c>
      <c r="M14" s="1" t="s">
        <v>47</v>
      </c>
      <c r="N14" s="1" t="s">
        <v>47</v>
      </c>
      <c r="O14" s="1" t="s">
        <v>47</v>
      </c>
      <c r="P14" s="1" t="s">
        <v>47</v>
      </c>
      <c r="Q14" s="1" t="s">
        <v>47</v>
      </c>
      <c r="R14" s="1" t="s">
        <v>386</v>
      </c>
      <c r="S14" s="1" t="s">
        <v>387</v>
      </c>
      <c r="T14" s="7" t="s">
        <v>388</v>
      </c>
      <c r="U14" s="7" t="s">
        <v>392</v>
      </c>
      <c r="V14" s="1" t="s">
        <v>373</v>
      </c>
      <c r="W14" s="7" t="s">
        <v>394</v>
      </c>
      <c r="X14" s="7" t="s">
        <v>404</v>
      </c>
      <c r="Y14" s="1"/>
      <c r="Z14" s="4">
        <v>29100.0</v>
      </c>
      <c r="AA14" s="4">
        <v>510.0</v>
      </c>
      <c r="AB14" s="4">
        <v>3451.0</v>
      </c>
      <c r="AC14" s="4">
        <v>700600.0</v>
      </c>
      <c r="AD14" s="1"/>
      <c r="AE14" s="1"/>
      <c r="AF14" s="1"/>
      <c r="AG14" s="1"/>
      <c r="AH14" s="1" t="s">
        <v>85</v>
      </c>
      <c r="AI14" s="1"/>
      <c r="AJ14" s="1"/>
      <c r="AK14" s="1"/>
      <c r="AL14" s="1">
        <f>IFERROR(__xludf.DUMMYFUNCTION("IF(
  TRIM(AD14)="""",
  0,
  COUNTA(
    SPLIT(
      REGEXREPLACE(AD14,""\s*,\s*"","",""),
      "",""
    )
  )
)"),0.0)</f>
        <v>0</v>
      </c>
    </row>
    <row r="15">
      <c r="A15" s="1" t="s">
        <v>407</v>
      </c>
      <c r="B15" s="1" t="s">
        <v>407</v>
      </c>
      <c r="C15" s="1" t="s">
        <v>107</v>
      </c>
      <c r="D15" s="1" t="s">
        <v>108</v>
      </c>
      <c r="E15" s="4">
        <v>1300000.0</v>
      </c>
      <c r="F15" s="4">
        <v>93.0</v>
      </c>
      <c r="G15" s="4">
        <v>1734.0</v>
      </c>
      <c r="H15" s="7" t="s">
        <v>412</v>
      </c>
      <c r="I15" s="1" t="s">
        <v>417</v>
      </c>
      <c r="J15" s="1"/>
      <c r="K15" s="9">
        <v>45641.928819444445</v>
      </c>
      <c r="L15" s="4">
        <v>1.73430105E9</v>
      </c>
      <c r="M15" s="1" t="s">
        <v>47</v>
      </c>
      <c r="N15" s="1" t="s">
        <v>47</v>
      </c>
      <c r="O15" s="1" t="s">
        <v>47</v>
      </c>
      <c r="P15" s="1" t="s">
        <v>47</v>
      </c>
      <c r="Q15" s="1" t="s">
        <v>47</v>
      </c>
      <c r="R15" s="1" t="s">
        <v>48</v>
      </c>
      <c r="S15" s="1" t="s">
        <v>419</v>
      </c>
      <c r="T15" s="7" t="s">
        <v>420</v>
      </c>
      <c r="U15" s="7" t="s">
        <v>117</v>
      </c>
      <c r="V15" s="1" t="s">
        <v>108</v>
      </c>
      <c r="W15" s="7" t="s">
        <v>424</v>
      </c>
      <c r="X15" s="7" t="s">
        <v>433</v>
      </c>
      <c r="Y15" s="1"/>
      <c r="Z15" s="4">
        <v>27200.0</v>
      </c>
      <c r="AA15" s="4">
        <v>230.0</v>
      </c>
      <c r="AB15" s="4">
        <v>3535.0</v>
      </c>
      <c r="AC15" s="4">
        <v>780500.0</v>
      </c>
      <c r="AD15" s="1"/>
      <c r="AE15" s="1"/>
      <c r="AF15" s="1"/>
      <c r="AG15" s="1"/>
      <c r="AH15" s="1"/>
      <c r="AI15" s="1"/>
      <c r="AJ15" s="1"/>
      <c r="AK15" s="1"/>
      <c r="AL15" s="1">
        <f>IFERROR(__xludf.DUMMYFUNCTION("IF(
  TRIM(AD15)="""",
  0,
  COUNTA(
    SPLIT(
      REGEXREPLACE(AD15,""\s*,\s*"","",""),
      "",""
    )
  )
)"),0.0)</f>
        <v>0</v>
      </c>
    </row>
    <row r="16">
      <c r="A16" s="1" t="s">
        <v>435</v>
      </c>
      <c r="B16" s="1" t="s">
        <v>435</v>
      </c>
      <c r="C16" s="1" t="s">
        <v>436</v>
      </c>
      <c r="D16" s="1" t="s">
        <v>437</v>
      </c>
      <c r="E16" s="4">
        <v>7865.0</v>
      </c>
      <c r="F16" s="4">
        <v>133.0</v>
      </c>
      <c r="G16" s="4">
        <v>41.0</v>
      </c>
      <c r="H16" s="7" t="s">
        <v>438</v>
      </c>
      <c r="I16" s="1" t="s">
        <v>440</v>
      </c>
      <c r="J16" s="1"/>
      <c r="K16" s="9">
        <v>45855.0</v>
      </c>
      <c r="L16" s="4">
        <v>1.7527104E9</v>
      </c>
      <c r="M16" s="1" t="s">
        <v>47</v>
      </c>
      <c r="N16" s="1" t="s">
        <v>47</v>
      </c>
      <c r="O16" s="1" t="s">
        <v>47</v>
      </c>
      <c r="P16" s="1" t="s">
        <v>47</v>
      </c>
      <c r="Q16" s="1" t="s">
        <v>47</v>
      </c>
      <c r="R16" s="1" t="s">
        <v>442</v>
      </c>
      <c r="S16" s="1" t="s">
        <v>443</v>
      </c>
      <c r="T16" s="7" t="s">
        <v>444</v>
      </c>
      <c r="U16" s="7" t="s">
        <v>448</v>
      </c>
      <c r="V16" s="1" t="s">
        <v>437</v>
      </c>
      <c r="W16" s="7" t="s">
        <v>451</v>
      </c>
      <c r="X16" s="7" t="s">
        <v>459</v>
      </c>
      <c r="Y16" s="1"/>
      <c r="Z16" s="4">
        <v>24200.0</v>
      </c>
      <c r="AA16" s="4">
        <v>235.0</v>
      </c>
      <c r="AB16" s="4">
        <v>4300.0</v>
      </c>
      <c r="AC16" s="4">
        <v>567400.0</v>
      </c>
      <c r="AD16" s="1"/>
      <c r="AE16" s="1"/>
      <c r="AF16" s="1"/>
      <c r="AG16" s="1"/>
      <c r="AH16" s="1"/>
      <c r="AI16" s="1"/>
      <c r="AJ16" s="1"/>
      <c r="AK16" s="1"/>
      <c r="AL16" s="1">
        <f>IFERROR(__xludf.DUMMYFUNCTION("IF(
  TRIM(AD16)="""",
  0,
  COUNTA(
    SPLIT(
      REGEXREPLACE(AD16,""\s*,\s*"","",""),
      "",""
    )
  )
)"),0.0)</f>
        <v>0</v>
      </c>
    </row>
    <row r="17">
      <c r="A17" s="1" t="s">
        <v>460</v>
      </c>
      <c r="B17" s="1" t="s">
        <v>460</v>
      </c>
      <c r="C17" s="1" t="s">
        <v>461</v>
      </c>
      <c r="D17" s="1" t="s">
        <v>462</v>
      </c>
      <c r="E17" s="4">
        <v>80600.0</v>
      </c>
      <c r="F17" s="4">
        <v>24.0</v>
      </c>
      <c r="G17" s="4">
        <v>270.0</v>
      </c>
      <c r="H17" s="7" t="s">
        <v>464</v>
      </c>
      <c r="I17" s="1" t="s">
        <v>467</v>
      </c>
      <c r="J17" s="1"/>
      <c r="K17" s="9">
        <v>45951.59305555555</v>
      </c>
      <c r="L17" s="4">
        <v>1.76105604E9</v>
      </c>
      <c r="M17" s="1" t="s">
        <v>47</v>
      </c>
      <c r="N17" s="1" t="s">
        <v>47</v>
      </c>
      <c r="O17" s="1" t="s">
        <v>47</v>
      </c>
      <c r="P17" s="1" t="s">
        <v>47</v>
      </c>
      <c r="Q17" s="1" t="s">
        <v>47</v>
      </c>
      <c r="R17" s="1" t="s">
        <v>48</v>
      </c>
      <c r="S17" s="1" t="s">
        <v>470</v>
      </c>
      <c r="T17" s="7" t="s">
        <v>473</v>
      </c>
      <c r="U17" s="7" t="s">
        <v>482</v>
      </c>
      <c r="V17" s="1" t="s">
        <v>462</v>
      </c>
      <c r="W17" s="7" t="s">
        <v>489</v>
      </c>
      <c r="X17" s="7" t="s">
        <v>495</v>
      </c>
      <c r="Y17" s="1"/>
      <c r="Z17" s="4">
        <v>17600.0</v>
      </c>
      <c r="AA17" s="4">
        <v>657.0</v>
      </c>
      <c r="AB17" s="4">
        <v>4774.0</v>
      </c>
      <c r="AC17" s="4">
        <v>265300.0</v>
      </c>
      <c r="AD17" s="1"/>
      <c r="AE17" s="1"/>
      <c r="AF17" s="1"/>
      <c r="AG17" s="1"/>
      <c r="AH17" s="1"/>
      <c r="AI17" s="1"/>
      <c r="AJ17" s="1"/>
      <c r="AK17" s="1"/>
      <c r="AL17" s="1">
        <f>IFERROR(__xludf.DUMMYFUNCTION("IF(
  TRIM(AD17)="""",
  0,
  COUNTA(
    SPLIT(
      REGEXREPLACE(AD17,""\s*,\s*"","",""),
      "",""
    )
  )
)"),0.0)</f>
        <v>0</v>
      </c>
    </row>
    <row r="18">
      <c r="A18" s="1" t="s">
        <v>496</v>
      </c>
      <c r="B18" s="1" t="s">
        <v>496</v>
      </c>
      <c r="C18" s="1" t="s">
        <v>497</v>
      </c>
      <c r="D18" s="1" t="s">
        <v>497</v>
      </c>
      <c r="E18" s="4">
        <v>210400.0</v>
      </c>
      <c r="F18" s="4">
        <v>1017.0</v>
      </c>
      <c r="G18" s="4">
        <v>461.0</v>
      </c>
      <c r="H18" s="7" t="s">
        <v>499</v>
      </c>
      <c r="I18" s="1" t="s">
        <v>508</v>
      </c>
      <c r="J18" s="1"/>
      <c r="K18" s="9">
        <v>45705.97539351852</v>
      </c>
      <c r="L18" s="4">
        <v>1.739834674E9</v>
      </c>
      <c r="M18" s="1" t="s">
        <v>47</v>
      </c>
      <c r="N18" s="1" t="s">
        <v>47</v>
      </c>
      <c r="O18" s="1" t="s">
        <v>47</v>
      </c>
      <c r="P18" s="1" t="s">
        <v>47</v>
      </c>
      <c r="Q18" s="1" t="s">
        <v>47</v>
      </c>
      <c r="R18" s="1" t="s">
        <v>509</v>
      </c>
      <c r="S18" s="1" t="s">
        <v>510</v>
      </c>
      <c r="T18" s="7" t="s">
        <v>511</v>
      </c>
      <c r="U18" s="7" t="s">
        <v>514</v>
      </c>
      <c r="V18" s="1" t="s">
        <v>497</v>
      </c>
      <c r="W18" s="7" t="s">
        <v>525</v>
      </c>
      <c r="X18" s="7" t="s">
        <v>528</v>
      </c>
      <c r="Y18" s="1"/>
      <c r="Z18" s="4">
        <v>14900.0</v>
      </c>
      <c r="AA18" s="4">
        <v>328.0</v>
      </c>
      <c r="AB18" s="4">
        <v>2443.0</v>
      </c>
      <c r="AC18" s="4">
        <v>205700.0</v>
      </c>
      <c r="AD18" s="1"/>
      <c r="AE18" s="1"/>
      <c r="AF18" s="1"/>
      <c r="AG18" s="1"/>
      <c r="AH18" s="1"/>
      <c r="AI18" s="1"/>
      <c r="AJ18" s="1"/>
      <c r="AK18" s="1"/>
      <c r="AL18" s="1">
        <f>IFERROR(__xludf.DUMMYFUNCTION("IF(
  TRIM(AD18)="""",
  0,
  COUNTA(
    SPLIT(
      REGEXREPLACE(AD18,""\s*,\s*"","",""),
      "",""
    )
  )
)"),0.0)</f>
        <v>0</v>
      </c>
    </row>
    <row r="19">
      <c r="A19" s="1" t="s">
        <v>531</v>
      </c>
      <c r="B19" s="1" t="s">
        <v>531</v>
      </c>
      <c r="C19" s="1" t="s">
        <v>62</v>
      </c>
      <c r="D19" s="1" t="s">
        <v>63</v>
      </c>
      <c r="E19" s="4">
        <v>223800.0</v>
      </c>
      <c r="F19" s="4">
        <v>18.0</v>
      </c>
      <c r="G19" s="4">
        <v>820.0</v>
      </c>
      <c r="H19" s="7" t="s">
        <v>533</v>
      </c>
      <c r="I19" s="1" t="s">
        <v>539</v>
      </c>
      <c r="J19" s="1"/>
      <c r="K19" s="9">
        <v>45925.583333333336</v>
      </c>
      <c r="L19" s="4">
        <v>1.7588088E9</v>
      </c>
      <c r="M19" s="1" t="s">
        <v>47</v>
      </c>
      <c r="N19" s="1" t="s">
        <v>47</v>
      </c>
      <c r="O19" s="1" t="s">
        <v>47</v>
      </c>
      <c r="P19" s="1" t="s">
        <v>47</v>
      </c>
      <c r="Q19" s="1" t="s">
        <v>47</v>
      </c>
      <c r="R19" s="1" t="s">
        <v>48</v>
      </c>
      <c r="S19" s="1" t="s">
        <v>540</v>
      </c>
      <c r="T19" s="7" t="s">
        <v>541</v>
      </c>
      <c r="U19" s="7" t="s">
        <v>546</v>
      </c>
      <c r="V19" s="1" t="s">
        <v>63</v>
      </c>
      <c r="W19" s="7" t="s">
        <v>548</v>
      </c>
      <c r="X19" s="7" t="s">
        <v>551</v>
      </c>
      <c r="Y19" s="1"/>
      <c r="Z19" s="4">
        <v>14600.0</v>
      </c>
      <c r="AA19" s="4">
        <v>179.0</v>
      </c>
      <c r="AB19" s="4">
        <v>2909.0</v>
      </c>
      <c r="AC19" s="4">
        <v>245000.0</v>
      </c>
      <c r="AD19" s="1"/>
      <c r="AE19" s="1"/>
      <c r="AF19" s="1"/>
      <c r="AG19" s="1"/>
      <c r="AH19" s="1" t="s">
        <v>144</v>
      </c>
      <c r="AI19" s="1"/>
      <c r="AJ19" s="1"/>
      <c r="AK19" s="1"/>
      <c r="AL19" s="1">
        <f>IFERROR(__xludf.DUMMYFUNCTION("IF(
  TRIM(AD19)="""",
  0,
  COUNTA(
    SPLIT(
      REGEXREPLACE(AD19,""\s*,\s*"","",""),
      "",""
    )
  )
)"),0.0)</f>
        <v>0</v>
      </c>
    </row>
    <row r="20">
      <c r="A20" s="1" t="s">
        <v>556</v>
      </c>
      <c r="B20" s="1" t="s">
        <v>556</v>
      </c>
      <c r="C20" s="1" t="s">
        <v>497</v>
      </c>
      <c r="D20" s="1" t="s">
        <v>497</v>
      </c>
      <c r="E20" s="4">
        <v>210400.0</v>
      </c>
      <c r="F20" s="4">
        <v>1017.0</v>
      </c>
      <c r="G20" s="4">
        <v>461.0</v>
      </c>
      <c r="H20" s="7" t="s">
        <v>499</v>
      </c>
      <c r="I20" s="1" t="s">
        <v>560</v>
      </c>
      <c r="J20" s="1"/>
      <c r="K20" s="9">
        <v>45742.875</v>
      </c>
      <c r="L20" s="4">
        <v>1.7430228E9</v>
      </c>
      <c r="M20" s="1" t="s">
        <v>47</v>
      </c>
      <c r="N20" s="1" t="s">
        <v>47</v>
      </c>
      <c r="O20" s="1" t="s">
        <v>47</v>
      </c>
      <c r="P20" s="1" t="s">
        <v>47</v>
      </c>
      <c r="Q20" s="1" t="s">
        <v>47</v>
      </c>
      <c r="R20" s="1" t="s">
        <v>509</v>
      </c>
      <c r="S20" s="1" t="s">
        <v>561</v>
      </c>
      <c r="T20" s="7" t="s">
        <v>562</v>
      </c>
      <c r="U20" s="7" t="s">
        <v>514</v>
      </c>
      <c r="V20" s="1" t="s">
        <v>497</v>
      </c>
      <c r="W20" s="7" t="s">
        <v>566</v>
      </c>
      <c r="X20" s="7" t="s">
        <v>575</v>
      </c>
      <c r="Y20" s="1"/>
      <c r="Z20" s="4">
        <v>12100.0</v>
      </c>
      <c r="AA20" s="4">
        <v>299.0</v>
      </c>
      <c r="AB20" s="4">
        <v>2429.0</v>
      </c>
      <c r="AC20" s="4">
        <v>180400.0</v>
      </c>
      <c r="AD20" s="1"/>
      <c r="AE20" s="1"/>
      <c r="AF20" s="1"/>
      <c r="AG20" s="1"/>
      <c r="AH20" s="1"/>
      <c r="AI20" s="1"/>
      <c r="AJ20" s="1"/>
      <c r="AK20" s="1"/>
      <c r="AL20" s="1">
        <f>IFERROR(__xludf.DUMMYFUNCTION("IF(
  TRIM(AD20)="""",
  0,
  COUNTA(
    SPLIT(
      REGEXREPLACE(AD20,""\s*,\s*"","",""),
      "",""
    )
  )
)"),0.0)</f>
        <v>0</v>
      </c>
    </row>
    <row r="21">
      <c r="A21" s="1" t="s">
        <v>577</v>
      </c>
      <c r="B21" s="1" t="s">
        <v>577</v>
      </c>
      <c r="C21" s="1" t="s">
        <v>578</v>
      </c>
      <c r="D21" s="1" t="s">
        <v>579</v>
      </c>
      <c r="E21" s="4">
        <v>563600.0</v>
      </c>
      <c r="F21" s="4">
        <v>353.0</v>
      </c>
      <c r="G21" s="4">
        <v>4164.0</v>
      </c>
      <c r="H21" s="7" t="s">
        <v>580</v>
      </c>
      <c r="I21" s="1" t="s">
        <v>589</v>
      </c>
      <c r="J21" s="1" t="s">
        <v>589</v>
      </c>
      <c r="K21" s="9">
        <v>45045.57612268518</v>
      </c>
      <c r="L21" s="4">
        <v>1.682776177E9</v>
      </c>
      <c r="M21" s="1" t="s">
        <v>47</v>
      </c>
      <c r="N21" s="1" t="s">
        <v>47</v>
      </c>
      <c r="O21" s="1" t="s">
        <v>47</v>
      </c>
      <c r="P21" s="1" t="s">
        <v>47</v>
      </c>
      <c r="Q21" s="1" t="s">
        <v>47</v>
      </c>
      <c r="R21" s="1" t="s">
        <v>48</v>
      </c>
      <c r="S21" s="1" t="s">
        <v>590</v>
      </c>
      <c r="T21" s="7" t="s">
        <v>591</v>
      </c>
      <c r="U21" s="7" t="s">
        <v>599</v>
      </c>
      <c r="V21" s="1" t="s">
        <v>579</v>
      </c>
      <c r="W21" s="1"/>
      <c r="X21" s="7" t="s">
        <v>607</v>
      </c>
      <c r="Y21" s="1"/>
      <c r="Z21" s="4">
        <v>4818.0</v>
      </c>
      <c r="AA21" s="4">
        <v>97.0</v>
      </c>
      <c r="AB21" s="4">
        <v>1162.0</v>
      </c>
      <c r="AC21" s="4">
        <v>78300.0</v>
      </c>
      <c r="AD21" s="1"/>
      <c r="AE21" s="1"/>
      <c r="AF21" s="1"/>
      <c r="AG21" s="1"/>
      <c r="AH21" s="1"/>
      <c r="AI21" s="1"/>
      <c r="AJ21" s="1"/>
      <c r="AK21" s="1"/>
      <c r="AL21" s="1">
        <f>IFERROR(__xludf.DUMMYFUNCTION("IF(
  TRIM(AD21)="""",
  0,
  COUNTA(
    SPLIT(
      REGEXREPLACE(AD21,""\s*,\s*"","",""),
      "",""
    )
  )
)"),0.0)</f>
        <v>0</v>
      </c>
    </row>
    <row r="22">
      <c r="A22" s="1" t="s">
        <v>609</v>
      </c>
      <c r="B22" s="1" t="s">
        <v>609</v>
      </c>
      <c r="C22" s="1" t="s">
        <v>610</v>
      </c>
      <c r="D22" s="1" t="s">
        <v>611</v>
      </c>
      <c r="E22" s="4">
        <v>27600.0</v>
      </c>
      <c r="F22" s="4">
        <v>77.0</v>
      </c>
      <c r="G22" s="4">
        <v>285.0</v>
      </c>
      <c r="H22" s="7" t="s">
        <v>613</v>
      </c>
      <c r="I22" s="1" t="s">
        <v>621</v>
      </c>
      <c r="J22" s="1"/>
      <c r="K22" s="9">
        <v>44858.66166666667</v>
      </c>
      <c r="L22" s="4">
        <v>1.666626768E9</v>
      </c>
      <c r="M22" s="1" t="s">
        <v>47</v>
      </c>
      <c r="N22" s="1" t="s">
        <v>47</v>
      </c>
      <c r="O22" s="1" t="s">
        <v>47</v>
      </c>
      <c r="P22" s="1" t="s">
        <v>47</v>
      </c>
      <c r="Q22" s="1" t="s">
        <v>47</v>
      </c>
      <c r="R22" s="1" t="s">
        <v>48</v>
      </c>
      <c r="S22" s="1" t="s">
        <v>622</v>
      </c>
      <c r="T22" s="7" t="s">
        <v>623</v>
      </c>
      <c r="U22" s="7" t="s">
        <v>626</v>
      </c>
      <c r="V22" s="1" t="s">
        <v>611</v>
      </c>
      <c r="W22" s="7" t="s">
        <v>637</v>
      </c>
      <c r="X22" s="7" t="s">
        <v>640</v>
      </c>
      <c r="Y22" s="1"/>
      <c r="Z22" s="4">
        <v>3282.0</v>
      </c>
      <c r="AA22" s="4">
        <v>132.0</v>
      </c>
      <c r="AB22" s="4">
        <v>712.0</v>
      </c>
      <c r="AC22" s="4">
        <v>61300.0</v>
      </c>
      <c r="AD22" s="1"/>
      <c r="AE22" s="1"/>
      <c r="AF22" s="1"/>
      <c r="AG22" s="1"/>
      <c r="AH22" s="1"/>
      <c r="AI22" s="1"/>
      <c r="AJ22" s="1"/>
      <c r="AK22" s="1"/>
      <c r="AL22" s="1">
        <f>IFERROR(__xludf.DUMMYFUNCTION("IF(
  TRIM(AD22)="""",
  0,
  COUNTA(
    SPLIT(
      REGEXREPLACE(AD22,""\s*,\s*"","",""),
      "",""
    )
  )
)"),0.0)</f>
        <v>0</v>
      </c>
    </row>
    <row r="23">
      <c r="A23" s="1" t="s">
        <v>642</v>
      </c>
      <c r="B23" s="1" t="s">
        <v>642</v>
      </c>
      <c r="C23" s="1" t="s">
        <v>643</v>
      </c>
      <c r="D23" s="1" t="s">
        <v>645</v>
      </c>
      <c r="E23" s="4">
        <v>8426.0</v>
      </c>
      <c r="F23" s="4">
        <v>15800.0</v>
      </c>
      <c r="G23" s="4">
        <v>215.0</v>
      </c>
      <c r="H23" s="7" t="s">
        <v>646</v>
      </c>
      <c r="I23" s="1"/>
      <c r="J23" s="1"/>
      <c r="K23" s="9">
        <v>45664.732939814814</v>
      </c>
      <c r="L23" s="4">
        <v>1.736271326E9</v>
      </c>
      <c r="M23" s="1" t="s">
        <v>47</v>
      </c>
      <c r="N23" s="1" t="s">
        <v>47</v>
      </c>
      <c r="O23" s="1" t="s">
        <v>47</v>
      </c>
      <c r="P23" s="1" t="s">
        <v>47</v>
      </c>
      <c r="Q23" s="1" t="s">
        <v>47</v>
      </c>
      <c r="R23" s="1" t="s">
        <v>48</v>
      </c>
      <c r="S23" s="1" t="s">
        <v>655</v>
      </c>
      <c r="T23" s="7" t="s">
        <v>656</v>
      </c>
      <c r="U23" s="7" t="s">
        <v>659</v>
      </c>
      <c r="V23" s="1" t="s">
        <v>666</v>
      </c>
      <c r="W23" s="1"/>
      <c r="X23" s="7" t="s">
        <v>667</v>
      </c>
      <c r="Y23" s="1"/>
      <c r="Z23" s="4">
        <v>3044.0</v>
      </c>
      <c r="AA23" s="4">
        <v>287.0</v>
      </c>
      <c r="AB23" s="4">
        <v>896.0</v>
      </c>
      <c r="AC23" s="4">
        <v>91600.0</v>
      </c>
      <c r="AD23" s="1"/>
      <c r="AE23" s="1" t="s">
        <v>668</v>
      </c>
      <c r="AF23" s="1"/>
      <c r="AG23" s="1"/>
      <c r="AH23" s="1" t="s">
        <v>103</v>
      </c>
      <c r="AI23" s="1"/>
      <c r="AJ23" s="1"/>
      <c r="AK23" s="1"/>
      <c r="AL23" s="1">
        <f>IFERROR(__xludf.DUMMYFUNCTION("IF(
  TRIM(AD23)="""",
  0,
  COUNTA(
    SPLIT(
      REGEXREPLACE(AD23,""\s*,\s*"","",""),
      "",""
    )
  )
)"),0.0)</f>
        <v>0</v>
      </c>
    </row>
    <row r="24">
      <c r="A24" s="1" t="s">
        <v>669</v>
      </c>
      <c r="B24" s="1" t="s">
        <v>669</v>
      </c>
      <c r="C24" s="1" t="s">
        <v>670</v>
      </c>
      <c r="D24" s="1" t="s">
        <v>670</v>
      </c>
      <c r="E24" s="4">
        <v>39000.0</v>
      </c>
      <c r="F24" s="4">
        <v>223.0</v>
      </c>
      <c r="G24" s="4">
        <v>197.0</v>
      </c>
      <c r="H24" s="7" t="s">
        <v>671</v>
      </c>
      <c r="I24" s="1"/>
      <c r="J24" s="1"/>
      <c r="K24" s="9">
        <v>45973.51675925926</v>
      </c>
      <c r="L24" s="4">
        <v>1.762950248E9</v>
      </c>
      <c r="M24" s="1" t="s">
        <v>47</v>
      </c>
      <c r="N24" s="1" t="s">
        <v>47</v>
      </c>
      <c r="O24" s="1" t="s">
        <v>47</v>
      </c>
      <c r="P24" s="1" t="s">
        <v>47</v>
      </c>
      <c r="Q24" s="1" t="s">
        <v>47</v>
      </c>
      <c r="R24" s="1" t="s">
        <v>48</v>
      </c>
      <c r="S24" s="1" t="s">
        <v>673</v>
      </c>
      <c r="T24" s="7" t="s">
        <v>675</v>
      </c>
      <c r="U24" s="7" t="s">
        <v>686</v>
      </c>
      <c r="V24" s="1" t="s">
        <v>670</v>
      </c>
      <c r="W24" s="7" t="s">
        <v>688</v>
      </c>
      <c r="X24" s="7" t="s">
        <v>697</v>
      </c>
      <c r="Y24" s="1"/>
      <c r="Z24" s="4">
        <v>2272.0</v>
      </c>
      <c r="AA24" s="4">
        <v>45.0</v>
      </c>
      <c r="AB24" s="4">
        <v>425.0</v>
      </c>
      <c r="AC24" s="4">
        <v>38900.0</v>
      </c>
      <c r="AD24" s="1"/>
      <c r="AE24" s="1"/>
      <c r="AF24" s="1"/>
      <c r="AG24" s="1"/>
      <c r="AH24" s="1"/>
      <c r="AI24" s="1"/>
      <c r="AJ24" s="1"/>
      <c r="AK24" s="1"/>
      <c r="AL24" s="1">
        <f>IFERROR(__xludf.DUMMYFUNCTION("IF(
  TRIM(AD24)="""",
  0,
  COUNTA(
    SPLIT(
      REGEXREPLACE(AD24,""\s*,\s*"","",""),
      "",""
    )
  )
)"),0.0)</f>
        <v>0</v>
      </c>
    </row>
    <row r="25">
      <c r="A25" s="1" t="s">
        <v>698</v>
      </c>
      <c r="B25" s="1" t="s">
        <v>698</v>
      </c>
      <c r="C25" s="1" t="s">
        <v>670</v>
      </c>
      <c r="D25" s="1" t="s">
        <v>670</v>
      </c>
      <c r="E25" s="4">
        <v>39000.0</v>
      </c>
      <c r="F25" s="4">
        <v>223.0</v>
      </c>
      <c r="G25" s="4">
        <v>197.0</v>
      </c>
      <c r="H25" s="7" t="s">
        <v>671</v>
      </c>
      <c r="I25" s="1"/>
      <c r="J25" s="1"/>
      <c r="K25" s="9">
        <v>45960.071076388886</v>
      </c>
      <c r="L25" s="4">
        <v>1.761788541E9</v>
      </c>
      <c r="M25" s="1" t="s">
        <v>47</v>
      </c>
      <c r="N25" s="1" t="s">
        <v>47</v>
      </c>
      <c r="O25" s="1" t="s">
        <v>47</v>
      </c>
      <c r="P25" s="1" t="s">
        <v>47</v>
      </c>
      <c r="Q25" s="1" t="s">
        <v>47</v>
      </c>
      <c r="R25" s="1" t="s">
        <v>48</v>
      </c>
      <c r="S25" s="1" t="s">
        <v>700</v>
      </c>
      <c r="T25" s="7" t="s">
        <v>701</v>
      </c>
      <c r="U25" s="7" t="s">
        <v>709</v>
      </c>
      <c r="V25" s="1" t="s">
        <v>670</v>
      </c>
      <c r="W25" s="7" t="s">
        <v>712</v>
      </c>
      <c r="X25" s="7" t="s">
        <v>719</v>
      </c>
      <c r="Y25" s="1"/>
      <c r="Z25" s="4">
        <v>1992.0</v>
      </c>
      <c r="AA25" s="4">
        <v>40.0</v>
      </c>
      <c r="AB25" s="4">
        <v>349.0</v>
      </c>
      <c r="AC25" s="4">
        <v>31400.0</v>
      </c>
      <c r="AD25" s="1"/>
      <c r="AE25" s="1"/>
      <c r="AF25" s="1"/>
      <c r="AG25" s="1"/>
      <c r="AH25" s="1"/>
      <c r="AI25" s="1"/>
      <c r="AJ25" s="1"/>
      <c r="AK25" s="1"/>
      <c r="AL25" s="1">
        <f>IFERROR(__xludf.DUMMYFUNCTION("IF(
  TRIM(AD25)="""",
  0,
  COUNTA(
    SPLIT(
      REGEXREPLACE(AD25,""\s*,\s*"","",""),
      "",""
    )
  )
)"),0.0)</f>
        <v>0</v>
      </c>
    </row>
    <row r="26">
      <c r="A26" s="1" t="s">
        <v>724</v>
      </c>
      <c r="B26" s="1" t="s">
        <v>724</v>
      </c>
      <c r="C26" s="1" t="s">
        <v>497</v>
      </c>
      <c r="D26" s="1" t="s">
        <v>497</v>
      </c>
      <c r="E26" s="4">
        <v>210400.0</v>
      </c>
      <c r="F26" s="4">
        <v>1017.0</v>
      </c>
      <c r="G26" s="4">
        <v>461.0</v>
      </c>
      <c r="H26" s="7" t="s">
        <v>725</v>
      </c>
      <c r="I26" s="1" t="s">
        <v>727</v>
      </c>
      <c r="J26" s="1"/>
      <c r="K26" s="9">
        <v>45693.0</v>
      </c>
      <c r="L26" s="4">
        <v>1.7387136E9</v>
      </c>
      <c r="M26" s="1" t="s">
        <v>47</v>
      </c>
      <c r="N26" s="1" t="s">
        <v>47</v>
      </c>
      <c r="O26" s="1" t="s">
        <v>47</v>
      </c>
      <c r="P26" s="1" t="s">
        <v>47</v>
      </c>
      <c r="Q26" s="1" t="s">
        <v>47</v>
      </c>
      <c r="R26" s="1" t="s">
        <v>509</v>
      </c>
      <c r="S26" s="1" t="s">
        <v>728</v>
      </c>
      <c r="T26" s="7" t="s">
        <v>729</v>
      </c>
      <c r="U26" s="7" t="s">
        <v>737</v>
      </c>
      <c r="V26" s="1" t="s">
        <v>497</v>
      </c>
      <c r="W26" s="7" t="s">
        <v>739</v>
      </c>
      <c r="X26" s="7" t="s">
        <v>742</v>
      </c>
      <c r="Y26" s="1"/>
      <c r="Z26" s="4">
        <v>1876.0</v>
      </c>
      <c r="AA26" s="4">
        <v>35.0</v>
      </c>
      <c r="AB26" s="4">
        <v>360.0</v>
      </c>
      <c r="AC26" s="4">
        <v>24000.0</v>
      </c>
      <c r="AD26" s="1"/>
      <c r="AE26" s="1"/>
      <c r="AF26" s="1"/>
      <c r="AG26" s="1"/>
      <c r="AH26" s="1" t="s">
        <v>103</v>
      </c>
      <c r="AI26" s="1"/>
      <c r="AJ26" s="1"/>
      <c r="AK26" s="1"/>
      <c r="AL26" s="1">
        <f>IFERROR(__xludf.DUMMYFUNCTION("IF(
  TRIM(AD26)="""",
  0,
  COUNTA(
    SPLIT(
      REGEXREPLACE(AD26,""\s*,\s*"","",""),
      "",""
    )
  )
)"),0.0)</f>
        <v>0</v>
      </c>
    </row>
    <row r="27">
      <c r="A27" s="1" t="s">
        <v>746</v>
      </c>
      <c r="B27" s="1" t="s">
        <v>746</v>
      </c>
      <c r="C27" s="1" t="s">
        <v>748</v>
      </c>
      <c r="D27" s="1" t="s">
        <v>749</v>
      </c>
      <c r="E27" s="4">
        <v>121900.0</v>
      </c>
      <c r="F27" s="4">
        <v>2482.0</v>
      </c>
      <c r="G27" s="4">
        <v>1372.0</v>
      </c>
      <c r="H27" s="7" t="s">
        <v>750</v>
      </c>
      <c r="I27" s="1" t="s">
        <v>755</v>
      </c>
      <c r="J27" s="1"/>
      <c r="K27" s="9">
        <v>45506.941145833334</v>
      </c>
      <c r="L27" s="4">
        <v>1.722638115E9</v>
      </c>
      <c r="M27" s="1" t="s">
        <v>47</v>
      </c>
      <c r="N27" s="1" t="s">
        <v>47</v>
      </c>
      <c r="O27" s="1" t="s">
        <v>47</v>
      </c>
      <c r="P27" s="1" t="s">
        <v>47</v>
      </c>
      <c r="Q27" s="1" t="s">
        <v>47</v>
      </c>
      <c r="R27" s="1" t="s">
        <v>48</v>
      </c>
      <c r="S27" s="1" t="s">
        <v>756</v>
      </c>
      <c r="T27" s="7" t="s">
        <v>757</v>
      </c>
      <c r="U27" s="7" t="s">
        <v>759</v>
      </c>
      <c r="V27" s="1" t="s">
        <v>749</v>
      </c>
      <c r="W27" s="7" t="s">
        <v>761</v>
      </c>
      <c r="X27" s="7" t="s">
        <v>768</v>
      </c>
      <c r="Y27" s="1"/>
      <c r="Z27" s="4">
        <v>1107.0</v>
      </c>
      <c r="AA27" s="4">
        <v>61.0</v>
      </c>
      <c r="AB27" s="4">
        <v>308.0</v>
      </c>
      <c r="AC27" s="4">
        <v>24500.0</v>
      </c>
      <c r="AD27" s="1"/>
      <c r="AE27" s="1"/>
      <c r="AF27" s="1"/>
      <c r="AG27" s="1"/>
      <c r="AH27" s="1"/>
      <c r="AI27" s="1"/>
      <c r="AJ27" s="1"/>
      <c r="AK27" s="1"/>
      <c r="AL27" s="1">
        <f>IFERROR(__xludf.DUMMYFUNCTION("IF(
  TRIM(AD27)="""",
  0,
  COUNTA(
    SPLIT(
      REGEXREPLACE(AD27,""\s*,\s*"","",""),
      "",""
    )
  )
)"),0.0)</f>
        <v>0</v>
      </c>
    </row>
    <row r="28">
      <c r="A28" s="1" t="s">
        <v>774</v>
      </c>
      <c r="B28" s="1" t="s">
        <v>774</v>
      </c>
      <c r="C28" s="1" t="s">
        <v>775</v>
      </c>
      <c r="D28" s="1" t="s">
        <v>776</v>
      </c>
      <c r="E28" s="4">
        <v>2306.0</v>
      </c>
      <c r="F28" s="4">
        <v>20300.0</v>
      </c>
      <c r="G28" s="4">
        <v>248.0</v>
      </c>
      <c r="H28" s="7" t="s">
        <v>777</v>
      </c>
      <c r="I28" s="1" t="s">
        <v>781</v>
      </c>
      <c r="J28" s="1" t="s">
        <v>782</v>
      </c>
      <c r="K28" s="9">
        <v>45092.62986111111</v>
      </c>
      <c r="L28" s="4">
        <v>1.68684162E9</v>
      </c>
      <c r="M28" s="1" t="s">
        <v>47</v>
      </c>
      <c r="N28" s="1" t="s">
        <v>47</v>
      </c>
      <c r="O28" s="1" t="s">
        <v>47</v>
      </c>
      <c r="P28" s="1" t="s">
        <v>47</v>
      </c>
      <c r="Q28" s="1" t="s">
        <v>47</v>
      </c>
      <c r="R28" s="1" t="s">
        <v>48</v>
      </c>
      <c r="S28" s="1" t="s">
        <v>783</v>
      </c>
      <c r="T28" s="7" t="s">
        <v>784</v>
      </c>
      <c r="U28" s="7" t="s">
        <v>791</v>
      </c>
      <c r="V28" s="1" t="s">
        <v>776</v>
      </c>
      <c r="W28" s="7" t="s">
        <v>794</v>
      </c>
      <c r="X28" s="7" t="s">
        <v>797</v>
      </c>
      <c r="Y28" s="1"/>
      <c r="Z28" s="4">
        <v>594.0</v>
      </c>
      <c r="AA28" s="4">
        <v>92.0</v>
      </c>
      <c r="AB28" s="4">
        <v>133.0</v>
      </c>
      <c r="AC28" s="4">
        <v>36100.0</v>
      </c>
      <c r="AD28" s="1"/>
      <c r="AE28" s="1"/>
      <c r="AF28" s="1"/>
      <c r="AG28" s="1"/>
      <c r="AH28" s="1"/>
      <c r="AI28" s="1"/>
      <c r="AJ28" s="1"/>
      <c r="AK28" s="1"/>
      <c r="AL28" s="1">
        <f>IFERROR(__xludf.DUMMYFUNCTION("IF(
  TRIM(AD28)="""",
  0,
  COUNTA(
    SPLIT(
      REGEXREPLACE(AD28,""\s*,\s*"","",""),
      "",""
    )
  )
)"),0.0)</f>
        <v>0</v>
      </c>
    </row>
    <row r="29">
      <c r="A29" s="1" t="s">
        <v>798</v>
      </c>
      <c r="B29" s="1" t="s">
        <v>798</v>
      </c>
      <c r="C29" s="1" t="s">
        <v>799</v>
      </c>
      <c r="D29" s="1" t="s">
        <v>799</v>
      </c>
      <c r="E29" s="4">
        <v>409.0</v>
      </c>
      <c r="F29" s="4">
        <v>478.0</v>
      </c>
      <c r="G29" s="4">
        <v>99.0</v>
      </c>
      <c r="H29" s="7" t="s">
        <v>800</v>
      </c>
      <c r="I29" s="1" t="s">
        <v>802</v>
      </c>
      <c r="J29" s="1" t="s">
        <v>279</v>
      </c>
      <c r="K29" s="9">
        <v>45930.7871875</v>
      </c>
      <c r="L29" s="4">
        <v>1.759258413E9</v>
      </c>
      <c r="M29" s="1" t="s">
        <v>47</v>
      </c>
      <c r="N29" s="1" t="s">
        <v>47</v>
      </c>
      <c r="O29" s="1" t="s">
        <v>47</v>
      </c>
      <c r="P29" s="1" t="s">
        <v>47</v>
      </c>
      <c r="Q29" s="1" t="s">
        <v>47</v>
      </c>
      <c r="R29" s="1" t="s">
        <v>48</v>
      </c>
      <c r="S29" s="1" t="s">
        <v>803</v>
      </c>
      <c r="T29" s="7" t="s">
        <v>804</v>
      </c>
      <c r="U29" s="7" t="s">
        <v>811</v>
      </c>
      <c r="V29" s="1" t="s">
        <v>799</v>
      </c>
      <c r="W29" s="7" t="s">
        <v>812</v>
      </c>
      <c r="X29" s="7" t="s">
        <v>814</v>
      </c>
      <c r="Y29" s="1"/>
      <c r="Z29" s="4">
        <v>67.0</v>
      </c>
      <c r="AA29" s="4">
        <v>6.0</v>
      </c>
      <c r="AB29" s="4">
        <v>27.0</v>
      </c>
      <c r="AC29" s="4">
        <v>1305.0</v>
      </c>
      <c r="AD29" s="1"/>
      <c r="AE29" s="1"/>
      <c r="AF29" s="1"/>
      <c r="AG29" s="1"/>
      <c r="AH29" s="1"/>
      <c r="AI29" s="1"/>
      <c r="AJ29" s="1"/>
      <c r="AK29" s="1"/>
      <c r="AL29" s="1">
        <f>IFERROR(__xludf.DUMMYFUNCTION("IF(
  TRIM(AD29)="""",
  0,
  COUNTA(
    SPLIT(
      REGEXREPLACE(AD29,""\s*,\s*"","",""),
      "",""
    )
  )
)"),0.0)</f>
        <v>0</v>
      </c>
    </row>
    <row r="30">
      <c r="A30" s="1" t="s">
        <v>40</v>
      </c>
      <c r="B30" s="1" t="s">
        <v>40</v>
      </c>
      <c r="C30" s="1" t="s">
        <v>41</v>
      </c>
      <c r="D30" s="1" t="s">
        <v>42</v>
      </c>
      <c r="E30" s="4">
        <v>198800.0</v>
      </c>
      <c r="F30" s="4">
        <v>7255.0</v>
      </c>
      <c r="G30" s="4">
        <v>279.0</v>
      </c>
      <c r="H30" s="7" t="s">
        <v>816</v>
      </c>
      <c r="I30" s="1" t="s">
        <v>45</v>
      </c>
      <c r="J30" s="1" t="s">
        <v>46</v>
      </c>
      <c r="K30" s="9">
        <v>45082.88267361111</v>
      </c>
      <c r="L30" s="4">
        <v>1.685999463E9</v>
      </c>
      <c r="M30" s="1" t="s">
        <v>47</v>
      </c>
      <c r="N30" s="1" t="s">
        <v>47</v>
      </c>
      <c r="O30" s="1" t="s">
        <v>47</v>
      </c>
      <c r="P30" s="1" t="s">
        <v>47</v>
      </c>
      <c r="Q30" s="1" t="s">
        <v>47</v>
      </c>
      <c r="R30" s="1" t="s">
        <v>48</v>
      </c>
      <c r="S30" s="1" t="s">
        <v>51</v>
      </c>
      <c r="T30" s="7" t="s">
        <v>822</v>
      </c>
      <c r="U30" s="7" t="s">
        <v>826</v>
      </c>
      <c r="V30" s="1" t="s">
        <v>56</v>
      </c>
      <c r="W30" s="7" t="s">
        <v>829</v>
      </c>
      <c r="X30" s="7" t="s">
        <v>58</v>
      </c>
      <c r="Y30" s="1"/>
      <c r="Z30" s="4">
        <v>1100000.0</v>
      </c>
      <c r="AA30" s="4">
        <v>24500.0</v>
      </c>
      <c r="AB30" s="4">
        <v>54700.0</v>
      </c>
      <c r="AC30" s="4">
        <v>1.24E7</v>
      </c>
      <c r="AD30" s="1" t="s">
        <v>59</v>
      </c>
      <c r="AE30" s="1" t="s">
        <v>59</v>
      </c>
      <c r="AF30" s="1"/>
      <c r="AG30" s="1"/>
      <c r="AH30" s="1" t="s">
        <v>836</v>
      </c>
      <c r="AI30" s="1"/>
      <c r="AJ30" s="1"/>
      <c r="AK30" s="1"/>
      <c r="AL30" s="1">
        <f>IFERROR(__xludf.DUMMYFUNCTION("IF(
  TRIM(AD30)="""",
  0,
  COUNTA(
    SPLIT(
      REGEXREPLACE(AD30,""\s*,\s*"","",""),
      "",""
    )
  )
)"),1.0)</f>
        <v>1</v>
      </c>
    </row>
    <row r="31">
      <c r="A31" s="1" t="s">
        <v>501</v>
      </c>
      <c r="B31" s="1" t="s">
        <v>501</v>
      </c>
      <c r="C31" s="1" t="s">
        <v>502</v>
      </c>
      <c r="D31" s="1" t="s">
        <v>503</v>
      </c>
      <c r="E31" s="4">
        <v>593200.0</v>
      </c>
      <c r="F31" s="4">
        <v>37700.0</v>
      </c>
      <c r="G31" s="4">
        <v>120.0</v>
      </c>
      <c r="H31" s="7" t="s">
        <v>838</v>
      </c>
      <c r="I31" s="1" t="s">
        <v>505</v>
      </c>
      <c r="J31" s="1"/>
      <c r="K31" s="9">
        <v>44676.62332175926</v>
      </c>
      <c r="L31" s="4">
        <v>1.650898655E9</v>
      </c>
      <c r="M31" s="1" t="s">
        <v>47</v>
      </c>
      <c r="N31" s="1" t="s">
        <v>47</v>
      </c>
      <c r="O31" s="1" t="s">
        <v>47</v>
      </c>
      <c r="P31" s="1" t="s">
        <v>47</v>
      </c>
      <c r="Q31" s="1" t="s">
        <v>47</v>
      </c>
      <c r="R31" s="1" t="s">
        <v>48</v>
      </c>
      <c r="S31" s="1" t="s">
        <v>506</v>
      </c>
      <c r="T31" s="7" t="s">
        <v>842</v>
      </c>
      <c r="U31" s="7" t="s">
        <v>844</v>
      </c>
      <c r="V31" s="1" t="s">
        <v>503</v>
      </c>
      <c r="W31" s="7" t="s">
        <v>846</v>
      </c>
      <c r="X31" s="7" t="s">
        <v>515</v>
      </c>
      <c r="Y31" s="1"/>
      <c r="Z31" s="4">
        <v>140500.0</v>
      </c>
      <c r="AA31" s="4">
        <v>941.0</v>
      </c>
      <c r="AB31" s="4">
        <v>5950.0</v>
      </c>
      <c r="AC31" s="4">
        <v>1000000.0</v>
      </c>
      <c r="AD31" s="1" t="s">
        <v>516</v>
      </c>
      <c r="AE31" s="1" t="s">
        <v>516</v>
      </c>
      <c r="AF31" s="1"/>
      <c r="AG31" s="1"/>
      <c r="AH31" s="1"/>
      <c r="AI31" s="1"/>
      <c r="AJ31" s="1"/>
      <c r="AK31" s="1"/>
      <c r="AL31" s="1">
        <f>IFERROR(__xludf.DUMMYFUNCTION("IF(
  TRIM(AD31)="""",
  0,
  COUNTA(
    SPLIT(
      REGEXREPLACE(AD31,""\s*,\s*"","",""),
      "",""
    )
  )
)"),1.0)</f>
        <v>1</v>
      </c>
    </row>
    <row r="32">
      <c r="A32" s="1" t="s">
        <v>703</v>
      </c>
      <c r="B32" s="1" t="s">
        <v>703</v>
      </c>
      <c r="C32" s="1" t="s">
        <v>704</v>
      </c>
      <c r="D32" s="1" t="s">
        <v>704</v>
      </c>
      <c r="E32" s="4">
        <v>24700.0</v>
      </c>
      <c r="F32" s="4">
        <v>0.0</v>
      </c>
      <c r="G32" s="4">
        <v>193.0</v>
      </c>
      <c r="H32" s="7" t="s">
        <v>854</v>
      </c>
      <c r="I32" s="1" t="s">
        <v>706</v>
      </c>
      <c r="J32" s="1"/>
      <c r="K32" s="9">
        <v>45920.821388888886</v>
      </c>
      <c r="L32" s="4">
        <v>1.758397368E9</v>
      </c>
      <c r="M32" s="1" t="s">
        <v>47</v>
      </c>
      <c r="N32" s="1" t="s">
        <v>47</v>
      </c>
      <c r="O32" s="1" t="s">
        <v>47</v>
      </c>
      <c r="P32" s="1" t="s">
        <v>47</v>
      </c>
      <c r="Q32" s="1" t="s">
        <v>47</v>
      </c>
      <c r="R32" s="1" t="s">
        <v>48</v>
      </c>
      <c r="S32" s="1" t="s">
        <v>707</v>
      </c>
      <c r="T32" s="7" t="s">
        <v>856</v>
      </c>
      <c r="U32" s="7" t="s">
        <v>863</v>
      </c>
      <c r="V32" s="1" t="s">
        <v>704</v>
      </c>
      <c r="W32" s="7" t="s">
        <v>866</v>
      </c>
      <c r="X32" s="7" t="s">
        <v>713</v>
      </c>
      <c r="Y32" s="1"/>
      <c r="Z32" s="4">
        <v>104000.0</v>
      </c>
      <c r="AA32" s="4">
        <v>1667.0</v>
      </c>
      <c r="AB32" s="4">
        <v>29200.0</v>
      </c>
      <c r="AC32" s="4">
        <v>2100000.0</v>
      </c>
      <c r="AD32" s="1" t="s">
        <v>714</v>
      </c>
      <c r="AE32" s="1" t="s">
        <v>714</v>
      </c>
      <c r="AF32" s="1"/>
      <c r="AG32" s="1"/>
      <c r="AH32" s="1"/>
      <c r="AI32" s="1"/>
      <c r="AJ32" s="1"/>
      <c r="AK32" s="1"/>
      <c r="AL32" s="1">
        <f>IFERROR(__xludf.DUMMYFUNCTION("IF(
  TRIM(AD32)="""",
  0,
  COUNTA(
    SPLIT(
      REGEXREPLACE(AD32,""\s*,\s*"","",""),
      "",""
    )
  )
)"),1.0)</f>
        <v>1</v>
      </c>
    </row>
    <row r="33">
      <c r="A33" s="1" t="s">
        <v>870</v>
      </c>
      <c r="B33" s="1" t="s">
        <v>870</v>
      </c>
      <c r="C33" s="1" t="s">
        <v>871</v>
      </c>
      <c r="D33" s="1" t="s">
        <v>872</v>
      </c>
      <c r="E33" s="4">
        <v>625500.0</v>
      </c>
      <c r="F33" s="4">
        <v>7275.0</v>
      </c>
      <c r="G33" s="4">
        <v>305.0</v>
      </c>
      <c r="H33" s="7" t="s">
        <v>873</v>
      </c>
      <c r="I33" s="1" t="s">
        <v>874</v>
      </c>
      <c r="J33" s="1"/>
      <c r="K33" s="9">
        <v>45940.898043981484</v>
      </c>
      <c r="L33" s="4">
        <v>1.760131991E9</v>
      </c>
      <c r="M33" s="1" t="s">
        <v>47</v>
      </c>
      <c r="N33" s="1" t="s">
        <v>47</v>
      </c>
      <c r="O33" s="1" t="s">
        <v>47</v>
      </c>
      <c r="P33" s="1" t="s">
        <v>47</v>
      </c>
      <c r="Q33" s="1" t="s">
        <v>47</v>
      </c>
      <c r="R33" s="1" t="s">
        <v>48</v>
      </c>
      <c r="S33" s="1" t="s">
        <v>875</v>
      </c>
      <c r="T33" s="7" t="s">
        <v>876</v>
      </c>
      <c r="U33" s="7" t="s">
        <v>884</v>
      </c>
      <c r="V33" s="1" t="s">
        <v>872</v>
      </c>
      <c r="W33" s="7" t="s">
        <v>887</v>
      </c>
      <c r="X33" s="7" t="s">
        <v>891</v>
      </c>
      <c r="Y33" s="1"/>
      <c r="Z33" s="4">
        <v>44800.0</v>
      </c>
      <c r="AA33" s="4">
        <v>679.0</v>
      </c>
      <c r="AB33" s="4">
        <v>3031.0</v>
      </c>
      <c r="AC33" s="4">
        <v>424700.0</v>
      </c>
      <c r="AD33" s="1" t="s">
        <v>59</v>
      </c>
      <c r="AE33" s="1" t="s">
        <v>59</v>
      </c>
      <c r="AF33" s="1"/>
      <c r="AG33" s="1"/>
      <c r="AH33" s="1" t="s">
        <v>103</v>
      </c>
      <c r="AI33" s="1"/>
      <c r="AJ33" s="1"/>
      <c r="AK33" s="1"/>
      <c r="AL33" s="1">
        <f>IFERROR(__xludf.DUMMYFUNCTION("IF(
  TRIM(AD33)="""",
  0,
  COUNTA(
    SPLIT(
      REGEXREPLACE(AD33,""\s*,\s*"","",""),
      "",""
    )
  )
)"),1.0)</f>
        <v>1</v>
      </c>
    </row>
    <row r="34">
      <c r="A34" s="1" t="s">
        <v>892</v>
      </c>
      <c r="B34" s="1" t="s">
        <v>892</v>
      </c>
      <c r="C34" s="1" t="s">
        <v>893</v>
      </c>
      <c r="D34" s="1" t="s">
        <v>894</v>
      </c>
      <c r="E34" s="4">
        <v>71800.0</v>
      </c>
      <c r="F34" s="4">
        <v>22400.0</v>
      </c>
      <c r="G34" s="4">
        <v>693.0</v>
      </c>
      <c r="H34" s="7" t="s">
        <v>895</v>
      </c>
      <c r="I34" s="1" t="s">
        <v>902</v>
      </c>
      <c r="J34" s="1" t="s">
        <v>903</v>
      </c>
      <c r="K34" s="9">
        <v>45604.56736111111</v>
      </c>
      <c r="L34" s="4">
        <v>1.73107302E9</v>
      </c>
      <c r="M34" s="1" t="s">
        <v>47</v>
      </c>
      <c r="N34" s="1" t="s">
        <v>47</v>
      </c>
      <c r="O34" s="1" t="s">
        <v>47</v>
      </c>
      <c r="P34" s="1" t="s">
        <v>47</v>
      </c>
      <c r="Q34" s="1" t="s">
        <v>47</v>
      </c>
      <c r="R34" s="1" t="s">
        <v>48</v>
      </c>
      <c r="S34" s="1" t="s">
        <v>904</v>
      </c>
      <c r="T34" s="7" t="s">
        <v>905</v>
      </c>
      <c r="U34" s="7" t="s">
        <v>914</v>
      </c>
      <c r="V34" s="1" t="s">
        <v>894</v>
      </c>
      <c r="W34" s="7" t="s">
        <v>915</v>
      </c>
      <c r="X34" s="7" t="s">
        <v>923</v>
      </c>
      <c r="Y34" s="1"/>
      <c r="Z34" s="4">
        <v>21900.0</v>
      </c>
      <c r="AA34" s="4">
        <v>290.0</v>
      </c>
      <c r="AB34" s="4">
        <v>6189.0</v>
      </c>
      <c r="AC34" s="4">
        <v>477700.0</v>
      </c>
      <c r="AD34" s="1" t="s">
        <v>927</v>
      </c>
      <c r="AE34" s="1"/>
      <c r="AF34" s="1"/>
      <c r="AG34" s="1"/>
      <c r="AH34" s="1"/>
      <c r="AI34" s="1"/>
      <c r="AJ34" s="1"/>
      <c r="AK34" s="1"/>
      <c r="AL34" s="1">
        <f>IFERROR(__xludf.DUMMYFUNCTION("IF(
  TRIM(AD34)="""",
  0,
  COUNTA(
    SPLIT(
      REGEXREPLACE(AD34,""\s*,\s*"","",""),
      "",""
    )
  )
)"),1.0)</f>
        <v>1</v>
      </c>
    </row>
    <row r="35">
      <c r="A35" s="1" t="s">
        <v>928</v>
      </c>
      <c r="B35" s="1" t="s">
        <v>928</v>
      </c>
      <c r="C35" s="1" t="s">
        <v>670</v>
      </c>
      <c r="D35" s="1" t="s">
        <v>670</v>
      </c>
      <c r="E35" s="4">
        <v>39000.0</v>
      </c>
      <c r="F35" s="4">
        <v>223.0</v>
      </c>
      <c r="G35" s="4">
        <v>197.0</v>
      </c>
      <c r="H35" s="7" t="s">
        <v>671</v>
      </c>
      <c r="I35" s="1" t="s">
        <v>929</v>
      </c>
      <c r="J35" s="1"/>
      <c r="K35" s="9">
        <v>45973.97143518519</v>
      </c>
      <c r="L35" s="4">
        <v>1.762989532E9</v>
      </c>
      <c r="M35" s="1" t="s">
        <v>47</v>
      </c>
      <c r="N35" s="1" t="s">
        <v>47</v>
      </c>
      <c r="O35" s="1" t="s">
        <v>47</v>
      </c>
      <c r="P35" s="1" t="s">
        <v>47</v>
      </c>
      <c r="Q35" s="1" t="s">
        <v>47</v>
      </c>
      <c r="R35" s="1" t="s">
        <v>48</v>
      </c>
      <c r="S35" s="1" t="s">
        <v>930</v>
      </c>
      <c r="T35" s="7" t="s">
        <v>931</v>
      </c>
      <c r="U35" s="7" t="s">
        <v>709</v>
      </c>
      <c r="V35" s="1" t="s">
        <v>670</v>
      </c>
      <c r="W35" s="7" t="s">
        <v>933</v>
      </c>
      <c r="X35" s="7" t="s">
        <v>935</v>
      </c>
      <c r="Y35" s="1"/>
      <c r="Z35" s="4">
        <v>19200.0</v>
      </c>
      <c r="AA35" s="4">
        <v>283.0</v>
      </c>
      <c r="AB35" s="4">
        <v>3431.0</v>
      </c>
      <c r="AC35" s="4">
        <v>266200.0</v>
      </c>
      <c r="AD35" s="1" t="s">
        <v>59</v>
      </c>
      <c r="AE35" s="1" t="s">
        <v>59</v>
      </c>
      <c r="AF35" s="1"/>
      <c r="AG35" s="1"/>
      <c r="AH35" s="1"/>
      <c r="AI35" s="1"/>
      <c r="AJ35" s="1"/>
      <c r="AK35" s="1"/>
      <c r="AL35" s="1">
        <f>IFERROR(__xludf.DUMMYFUNCTION("IF(
  TRIM(AD35)="""",
  0,
  COUNTA(
    SPLIT(
      REGEXREPLACE(AD35,""\s*,\s*"","",""),
      "",""
    )
  )
)"),1.0)</f>
        <v>1</v>
      </c>
    </row>
    <row r="36">
      <c r="A36" s="1" t="s">
        <v>938</v>
      </c>
      <c r="B36" s="1" t="s">
        <v>938</v>
      </c>
      <c r="C36" s="1" t="s">
        <v>670</v>
      </c>
      <c r="D36" s="1" t="s">
        <v>670</v>
      </c>
      <c r="E36" s="4">
        <v>39000.0</v>
      </c>
      <c r="F36" s="4">
        <v>223.0</v>
      </c>
      <c r="G36" s="4">
        <v>197.0</v>
      </c>
      <c r="H36" s="7" t="s">
        <v>671</v>
      </c>
      <c r="I36" s="1" t="s">
        <v>929</v>
      </c>
      <c r="J36" s="1"/>
      <c r="K36" s="9">
        <v>45977.37770833333</v>
      </c>
      <c r="L36" s="4">
        <v>1.763283834E9</v>
      </c>
      <c r="M36" s="1" t="s">
        <v>47</v>
      </c>
      <c r="N36" s="1" t="s">
        <v>47</v>
      </c>
      <c r="O36" s="1" t="s">
        <v>47</v>
      </c>
      <c r="P36" s="1" t="s">
        <v>47</v>
      </c>
      <c r="Q36" s="1" t="s">
        <v>47</v>
      </c>
      <c r="R36" s="1" t="s">
        <v>942</v>
      </c>
      <c r="S36" s="1" t="s">
        <v>943</v>
      </c>
      <c r="T36" s="7" t="s">
        <v>944</v>
      </c>
      <c r="U36" s="7" t="s">
        <v>945</v>
      </c>
      <c r="V36" s="1" t="s">
        <v>951</v>
      </c>
      <c r="W36" s="7" t="s">
        <v>952</v>
      </c>
      <c r="X36" s="7" t="s">
        <v>959</v>
      </c>
      <c r="Y36" s="1"/>
      <c r="Z36" s="4">
        <v>13600.0</v>
      </c>
      <c r="AA36" s="4">
        <v>295.0</v>
      </c>
      <c r="AB36" s="4">
        <v>4455.0</v>
      </c>
      <c r="AC36" s="4">
        <v>231200.0</v>
      </c>
      <c r="AD36" s="1" t="s">
        <v>59</v>
      </c>
      <c r="AE36" s="1" t="s">
        <v>59</v>
      </c>
      <c r="AF36" s="1"/>
      <c r="AG36" s="1"/>
      <c r="AH36" s="1"/>
      <c r="AI36" s="1"/>
      <c r="AJ36" s="1"/>
      <c r="AK36" s="1"/>
      <c r="AL36" s="1">
        <f>IFERROR(__xludf.DUMMYFUNCTION("IF(
  TRIM(AD36)="""",
  0,
  COUNTA(
    SPLIT(
      REGEXREPLACE(AD36,""\s*,\s*"","",""),
      "",""
    )
  )
)"),1.0)</f>
        <v>1</v>
      </c>
    </row>
    <row r="37">
      <c r="A37" s="1" t="s">
        <v>960</v>
      </c>
      <c r="B37" s="1" t="s">
        <v>960</v>
      </c>
      <c r="C37" s="1" t="s">
        <v>961</v>
      </c>
      <c r="D37" s="1" t="s">
        <v>962</v>
      </c>
      <c r="E37" s="4">
        <v>449.0</v>
      </c>
      <c r="F37" s="4">
        <v>139.0</v>
      </c>
      <c r="G37" s="4">
        <v>25.0</v>
      </c>
      <c r="H37" s="7" t="s">
        <v>963</v>
      </c>
      <c r="I37" s="1" t="s">
        <v>968</v>
      </c>
      <c r="J37" s="1"/>
      <c r="K37" s="9">
        <v>45210.583703703705</v>
      </c>
      <c r="L37" s="4">
        <v>1.697032832E9</v>
      </c>
      <c r="M37" s="1" t="s">
        <v>47</v>
      </c>
      <c r="N37" s="1" t="s">
        <v>47</v>
      </c>
      <c r="O37" s="1" t="s">
        <v>47</v>
      </c>
      <c r="P37" s="1" t="s">
        <v>47</v>
      </c>
      <c r="Q37" s="1" t="s">
        <v>47</v>
      </c>
      <c r="R37" s="1" t="s">
        <v>48</v>
      </c>
      <c r="S37" s="1" t="s">
        <v>969</v>
      </c>
      <c r="T37" s="7" t="s">
        <v>970</v>
      </c>
      <c r="U37" s="7" t="s">
        <v>972</v>
      </c>
      <c r="V37" s="1" t="s">
        <v>962</v>
      </c>
      <c r="W37" s="7" t="s">
        <v>974</v>
      </c>
      <c r="X37" s="7" t="s">
        <v>980</v>
      </c>
      <c r="Y37" s="1"/>
      <c r="Z37" s="4">
        <v>622.0</v>
      </c>
      <c r="AA37" s="4">
        <v>22.0</v>
      </c>
      <c r="AB37" s="4">
        <v>197.0</v>
      </c>
      <c r="AC37" s="4">
        <v>11600.0</v>
      </c>
      <c r="AD37" s="1" t="s">
        <v>981</v>
      </c>
      <c r="AE37" s="1" t="s">
        <v>981</v>
      </c>
      <c r="AF37" s="1"/>
      <c r="AG37" s="1"/>
      <c r="AH37" s="1"/>
      <c r="AI37" s="1"/>
      <c r="AJ37" s="1"/>
      <c r="AK37" s="1"/>
      <c r="AL37" s="1">
        <f>IFERROR(__xludf.DUMMYFUNCTION("IF(
  TRIM(AD37)="""",
  0,
  COUNTA(
    SPLIT(
      REGEXREPLACE(AD37,""\s*,\s*"","",""),
      "",""
    )
  )
)"),1.0)</f>
        <v>1</v>
      </c>
    </row>
    <row r="38">
      <c r="A38" s="1" t="s">
        <v>332</v>
      </c>
      <c r="B38" s="1" t="s">
        <v>332</v>
      </c>
      <c r="C38" s="1" t="s">
        <v>333</v>
      </c>
      <c r="D38" s="1" t="s">
        <v>334</v>
      </c>
      <c r="E38" s="4">
        <v>157000.0</v>
      </c>
      <c r="F38" s="4">
        <v>91800.0</v>
      </c>
      <c r="G38" s="4">
        <v>788.0</v>
      </c>
      <c r="H38" s="7" t="s">
        <v>983</v>
      </c>
      <c r="I38" s="1" t="s">
        <v>336</v>
      </c>
      <c r="J38" s="1" t="s">
        <v>337</v>
      </c>
      <c r="K38" s="9">
        <v>45664.003842592596</v>
      </c>
      <c r="L38" s="4">
        <v>1.736208332E9</v>
      </c>
      <c r="M38" s="1" t="s">
        <v>47</v>
      </c>
      <c r="N38" s="1" t="s">
        <v>47</v>
      </c>
      <c r="O38" s="1" t="s">
        <v>47</v>
      </c>
      <c r="P38" s="1" t="s">
        <v>47</v>
      </c>
      <c r="Q38" s="1" t="s">
        <v>47</v>
      </c>
      <c r="R38" s="1" t="s">
        <v>338</v>
      </c>
      <c r="S38" s="1" t="s">
        <v>339</v>
      </c>
      <c r="T38" s="7" t="s">
        <v>340</v>
      </c>
      <c r="U38" s="7" t="s">
        <v>990</v>
      </c>
      <c r="V38" s="1" t="s">
        <v>345</v>
      </c>
      <c r="W38" s="7" t="s">
        <v>991</v>
      </c>
      <c r="X38" s="7" t="s">
        <v>348</v>
      </c>
      <c r="Y38" s="1"/>
      <c r="Z38" s="4">
        <v>224400.0</v>
      </c>
      <c r="AA38" s="4">
        <v>14100.0</v>
      </c>
      <c r="AB38" s="4">
        <v>25900.0</v>
      </c>
      <c r="AC38" s="4">
        <v>3400000.0</v>
      </c>
      <c r="AD38" s="1" t="s">
        <v>349</v>
      </c>
      <c r="AE38" s="1" t="s">
        <v>349</v>
      </c>
      <c r="AF38" s="1"/>
      <c r="AG38" s="1"/>
      <c r="AH38" s="1"/>
      <c r="AI38" s="1"/>
      <c r="AJ38" s="1"/>
      <c r="AK38" s="1"/>
      <c r="AL38" s="1">
        <f>IFERROR(__xludf.DUMMYFUNCTION("IF(
  TRIM(AD38)="""",
  0,
  COUNTA(
    SPLIT(
      REGEXREPLACE(AD38,""\s*,\s*"","",""),
      "",""
    )
  )
)"),2.0)</f>
        <v>2</v>
      </c>
    </row>
    <row r="39">
      <c r="A39" s="1" t="s">
        <v>996</v>
      </c>
      <c r="B39" s="1" t="s">
        <v>996</v>
      </c>
      <c r="C39" s="1" t="s">
        <v>62</v>
      </c>
      <c r="D39" s="1" t="s">
        <v>63</v>
      </c>
      <c r="E39" s="4">
        <v>223800.0</v>
      </c>
      <c r="F39" s="4">
        <v>18.0</v>
      </c>
      <c r="G39" s="4">
        <v>820.0</v>
      </c>
      <c r="H39" s="7" t="s">
        <v>997</v>
      </c>
      <c r="I39" s="1" t="s">
        <v>999</v>
      </c>
      <c r="J39" s="1"/>
      <c r="K39" s="9">
        <v>45048.06903935185</v>
      </c>
      <c r="L39" s="4">
        <v>1.682991565E9</v>
      </c>
      <c r="M39" s="1" t="s">
        <v>47</v>
      </c>
      <c r="N39" s="1" t="s">
        <v>47</v>
      </c>
      <c r="O39" s="1" t="s">
        <v>47</v>
      </c>
      <c r="P39" s="1" t="s">
        <v>47</v>
      </c>
      <c r="Q39" s="1" t="s">
        <v>47</v>
      </c>
      <c r="R39" s="1" t="s">
        <v>48</v>
      </c>
      <c r="S39" s="1" t="s">
        <v>1000</v>
      </c>
      <c r="T39" s="7" t="s">
        <v>1001</v>
      </c>
      <c r="U39" s="7" t="s">
        <v>546</v>
      </c>
      <c r="V39" s="1" t="s">
        <v>63</v>
      </c>
      <c r="W39" s="7" t="s">
        <v>1009</v>
      </c>
      <c r="X39" s="7" t="s">
        <v>1011</v>
      </c>
      <c r="Y39" s="1"/>
      <c r="Z39" s="4">
        <v>152400.0</v>
      </c>
      <c r="AA39" s="4">
        <v>2409.0</v>
      </c>
      <c r="AB39" s="4">
        <v>9709.0</v>
      </c>
      <c r="AC39" s="4">
        <v>2000000.0</v>
      </c>
      <c r="AD39" s="1" t="s">
        <v>1013</v>
      </c>
      <c r="AE39" s="1" t="s">
        <v>1013</v>
      </c>
      <c r="AF39" s="1"/>
      <c r="AG39" s="1"/>
      <c r="AH39" s="1" t="s">
        <v>300</v>
      </c>
      <c r="AI39" s="1"/>
      <c r="AJ39" s="1"/>
      <c r="AK39" s="1"/>
      <c r="AL39" s="1">
        <f>IFERROR(__xludf.DUMMYFUNCTION("IF(
  TRIM(AD39)="""",
  0,
  COUNTA(
    SPLIT(
      REGEXREPLACE(AD39,""\s*,\s*"","",""),
      "",""
    )
  )
)"),2.0)</f>
        <v>2</v>
      </c>
    </row>
    <row r="40">
      <c r="A40" s="1" t="s">
        <v>1014</v>
      </c>
      <c r="B40" s="1" t="s">
        <v>1014</v>
      </c>
      <c r="C40" s="1" t="s">
        <v>1015</v>
      </c>
      <c r="D40" s="1" t="s">
        <v>1016</v>
      </c>
      <c r="E40" s="4">
        <v>42200.0</v>
      </c>
      <c r="F40" s="4">
        <v>993.0</v>
      </c>
      <c r="G40" s="4">
        <v>363.0</v>
      </c>
      <c r="H40" s="7" t="s">
        <v>1017</v>
      </c>
      <c r="I40" s="1" t="s">
        <v>1019</v>
      </c>
      <c r="J40" s="1"/>
      <c r="K40" s="9">
        <v>45091.58944444444</v>
      </c>
      <c r="L40" s="4">
        <v>1.686751728E9</v>
      </c>
      <c r="M40" s="1" t="s">
        <v>47</v>
      </c>
      <c r="N40" s="1" t="s">
        <v>47</v>
      </c>
      <c r="O40" s="1" t="s">
        <v>47</v>
      </c>
      <c r="P40" s="1" t="s">
        <v>47</v>
      </c>
      <c r="Q40" s="1" t="s">
        <v>47</v>
      </c>
      <c r="R40" s="1" t="s">
        <v>48</v>
      </c>
      <c r="S40" s="1" t="s">
        <v>1020</v>
      </c>
      <c r="T40" s="7" t="s">
        <v>1021</v>
      </c>
      <c r="U40" s="7" t="s">
        <v>1030</v>
      </c>
      <c r="V40" s="1" t="s">
        <v>1016</v>
      </c>
      <c r="W40" s="7" t="s">
        <v>1031</v>
      </c>
      <c r="X40" s="7" t="s">
        <v>1035</v>
      </c>
      <c r="Y40" s="1"/>
      <c r="Z40" s="4">
        <v>118000.0</v>
      </c>
      <c r="AA40" s="4">
        <v>1447.0</v>
      </c>
      <c r="AB40" s="4">
        <v>17500.0</v>
      </c>
      <c r="AC40" s="4">
        <v>1900000.0</v>
      </c>
      <c r="AD40" s="1" t="s">
        <v>1036</v>
      </c>
      <c r="AE40" s="1" t="s">
        <v>1036</v>
      </c>
      <c r="AF40" s="1"/>
      <c r="AG40" s="1"/>
      <c r="AH40" s="1" t="s">
        <v>836</v>
      </c>
      <c r="AI40" s="1"/>
      <c r="AJ40" s="1"/>
      <c r="AK40" s="1"/>
      <c r="AL40" s="1">
        <f>IFERROR(__xludf.DUMMYFUNCTION("IF(
  TRIM(AD40)="""",
  0,
  COUNTA(
    SPLIT(
      REGEXREPLACE(AD40,""\s*,\s*"","",""),
      "",""
    )
  )
)"),2.0)</f>
        <v>2</v>
      </c>
    </row>
    <row r="41">
      <c r="A41" s="1" t="s">
        <v>1037</v>
      </c>
      <c r="B41" s="1" t="s">
        <v>1037</v>
      </c>
      <c r="C41" s="1" t="s">
        <v>1038</v>
      </c>
      <c r="D41" s="1" t="s">
        <v>1039</v>
      </c>
      <c r="E41" s="4">
        <v>1100000.0</v>
      </c>
      <c r="F41" s="4">
        <v>4398.0</v>
      </c>
      <c r="G41" s="4">
        <v>1136.0</v>
      </c>
      <c r="H41" s="7" t="s">
        <v>1040</v>
      </c>
      <c r="I41" s="1" t="s">
        <v>1044</v>
      </c>
      <c r="J41" s="1" t="s">
        <v>1045</v>
      </c>
      <c r="K41" s="9">
        <v>45345.89942129629</v>
      </c>
      <c r="L41" s="4">
        <v>1.70872411E9</v>
      </c>
      <c r="M41" s="1" t="s">
        <v>47</v>
      </c>
      <c r="N41" s="1" t="s">
        <v>47</v>
      </c>
      <c r="O41" s="1" t="s">
        <v>47</v>
      </c>
      <c r="P41" s="1" t="s">
        <v>47</v>
      </c>
      <c r="Q41" s="1" t="s">
        <v>47</v>
      </c>
      <c r="R41" s="1" t="s">
        <v>48</v>
      </c>
      <c r="S41" s="1" t="s">
        <v>1046</v>
      </c>
      <c r="T41" s="7" t="s">
        <v>1048</v>
      </c>
      <c r="U41" s="7" t="s">
        <v>1051</v>
      </c>
      <c r="V41" s="1" t="s">
        <v>1039</v>
      </c>
      <c r="W41" s="7" t="s">
        <v>1054</v>
      </c>
      <c r="X41" s="7" t="s">
        <v>1056</v>
      </c>
      <c r="Y41" s="1"/>
      <c r="Z41" s="4">
        <v>87700.0</v>
      </c>
      <c r="AA41" s="4">
        <v>1617.0</v>
      </c>
      <c r="AB41" s="4">
        <v>3013.0</v>
      </c>
      <c r="AC41" s="4">
        <v>935500.0</v>
      </c>
      <c r="AD41" s="1" t="s">
        <v>1058</v>
      </c>
      <c r="AE41" s="1" t="s">
        <v>1059</v>
      </c>
      <c r="AF41" s="1"/>
      <c r="AG41" s="1"/>
      <c r="AH41" s="1"/>
      <c r="AI41" s="1"/>
      <c r="AJ41" s="1"/>
      <c r="AK41" s="1"/>
      <c r="AL41" s="1">
        <f>IFERROR(__xludf.DUMMYFUNCTION("IF(
  TRIM(AD41)="""",
  0,
  COUNTA(
    SPLIT(
      REGEXREPLACE(AD41,""\s*,\s*"","",""),
      "",""
    )
  )
)"),2.0)</f>
        <v>2</v>
      </c>
    </row>
    <row r="42">
      <c r="A42" s="1" t="s">
        <v>1062</v>
      </c>
      <c r="B42" s="1" t="s">
        <v>1062</v>
      </c>
      <c r="C42" s="1" t="s">
        <v>1063</v>
      </c>
      <c r="D42" s="1" t="s">
        <v>1064</v>
      </c>
      <c r="E42" s="4">
        <v>1.3E7</v>
      </c>
      <c r="F42" s="4">
        <v>262.0</v>
      </c>
      <c r="G42" s="4">
        <v>22600.0</v>
      </c>
      <c r="H42" s="7" t="s">
        <v>1065</v>
      </c>
      <c r="I42" s="1" t="s">
        <v>1070</v>
      </c>
      <c r="J42" s="1"/>
      <c r="K42" s="9">
        <v>45623.003796296296</v>
      </c>
      <c r="L42" s="4">
        <v>1.732665928E9</v>
      </c>
      <c r="M42" s="1" t="s">
        <v>47</v>
      </c>
      <c r="N42" s="1" t="s">
        <v>47</v>
      </c>
      <c r="O42" s="1" t="s">
        <v>47</v>
      </c>
      <c r="P42" s="1" t="s">
        <v>47</v>
      </c>
      <c r="Q42" s="1" t="s">
        <v>47</v>
      </c>
      <c r="R42" s="1" t="s">
        <v>48</v>
      </c>
      <c r="S42" s="1" t="s">
        <v>1071</v>
      </c>
      <c r="T42" s="7" t="s">
        <v>1072</v>
      </c>
      <c r="U42" s="7" t="s">
        <v>1074</v>
      </c>
      <c r="V42" s="1" t="s">
        <v>1064</v>
      </c>
      <c r="W42" s="7" t="s">
        <v>1075</v>
      </c>
      <c r="X42" s="7" t="s">
        <v>1079</v>
      </c>
      <c r="Y42" s="1"/>
      <c r="Z42" s="4">
        <v>79600.0</v>
      </c>
      <c r="AA42" s="4">
        <v>2931.0</v>
      </c>
      <c r="AB42" s="4">
        <v>10100.0</v>
      </c>
      <c r="AC42" s="4">
        <v>1900000.0</v>
      </c>
      <c r="AD42" s="1" t="s">
        <v>1081</v>
      </c>
      <c r="AE42" s="1" t="s">
        <v>1081</v>
      </c>
      <c r="AF42" s="1"/>
      <c r="AG42" s="1"/>
      <c r="AH42" s="1"/>
      <c r="AI42" s="1"/>
      <c r="AJ42" s="1"/>
      <c r="AK42" s="1"/>
      <c r="AL42" s="1">
        <f>IFERROR(__xludf.DUMMYFUNCTION("IF(
  TRIM(AD42)="""",
  0,
  COUNTA(
    SPLIT(
      REGEXREPLACE(AD42,""\s*,\s*"","",""),
      "",""
    )
  )
)"),2.0)</f>
        <v>2</v>
      </c>
    </row>
    <row r="43">
      <c r="A43" s="1" t="s">
        <v>1082</v>
      </c>
      <c r="B43" s="1" t="s">
        <v>1082</v>
      </c>
      <c r="C43" s="1" t="s">
        <v>1083</v>
      </c>
      <c r="D43" s="1" t="s">
        <v>1083</v>
      </c>
      <c r="E43" s="4">
        <v>148800.0</v>
      </c>
      <c r="F43" s="4">
        <v>1970.0</v>
      </c>
      <c r="G43" s="4">
        <v>295.0</v>
      </c>
      <c r="H43" s="7" t="s">
        <v>1084</v>
      </c>
      <c r="I43" s="1" t="s">
        <v>1085</v>
      </c>
      <c r="J43" s="1"/>
      <c r="K43" s="9">
        <v>45810.858981481484</v>
      </c>
      <c r="L43" s="4">
        <v>1.748896616E9</v>
      </c>
      <c r="M43" s="1" t="s">
        <v>47</v>
      </c>
      <c r="N43" s="1" t="s">
        <v>47</v>
      </c>
      <c r="O43" s="1" t="s">
        <v>47</v>
      </c>
      <c r="P43" s="1" t="s">
        <v>47</v>
      </c>
      <c r="Q43" s="1" t="s">
        <v>47</v>
      </c>
      <c r="R43" s="1" t="s">
        <v>1086</v>
      </c>
      <c r="S43" s="1" t="s">
        <v>1087</v>
      </c>
      <c r="T43" s="7" t="s">
        <v>1088</v>
      </c>
      <c r="U43" s="7" t="s">
        <v>1091</v>
      </c>
      <c r="V43" s="1" t="s">
        <v>1083</v>
      </c>
      <c r="W43" s="7" t="s">
        <v>1092</v>
      </c>
      <c r="X43" s="7" t="s">
        <v>1098</v>
      </c>
      <c r="Y43" s="1"/>
      <c r="Z43" s="4">
        <v>13700.0</v>
      </c>
      <c r="AA43" s="4">
        <v>245.0</v>
      </c>
      <c r="AB43" s="4">
        <v>2079.0</v>
      </c>
      <c r="AC43" s="4">
        <v>185700.0</v>
      </c>
      <c r="AD43" s="1" t="s">
        <v>1099</v>
      </c>
      <c r="AE43" s="1" t="s">
        <v>1099</v>
      </c>
      <c r="AF43" s="1"/>
      <c r="AG43" s="1"/>
      <c r="AH43" s="1"/>
      <c r="AI43" s="1"/>
      <c r="AJ43" s="1"/>
      <c r="AK43" s="1"/>
      <c r="AL43" s="1">
        <f>IFERROR(__xludf.DUMMYFUNCTION("IF(
  TRIM(AD43)="""",
  0,
  COUNTA(
    SPLIT(
      REGEXREPLACE(AD43,""\s*,\s*"","",""),
      "",""
    )
  )
)"),2.0)</f>
        <v>2</v>
      </c>
    </row>
    <row r="44">
      <c r="A44" s="1" t="s">
        <v>1100</v>
      </c>
      <c r="B44" s="1" t="s">
        <v>1100</v>
      </c>
      <c r="C44" s="1" t="s">
        <v>1101</v>
      </c>
      <c r="D44" s="1" t="s">
        <v>1102</v>
      </c>
      <c r="E44" s="4">
        <v>4832.0</v>
      </c>
      <c r="F44" s="4">
        <v>914.0</v>
      </c>
      <c r="G44" s="4">
        <v>136.0</v>
      </c>
      <c r="H44" s="7" t="s">
        <v>1103</v>
      </c>
      <c r="I44" s="1" t="s">
        <v>1105</v>
      </c>
      <c r="J44" s="1" t="s">
        <v>1107</v>
      </c>
      <c r="K44" s="9">
        <v>45196.61944444444</v>
      </c>
      <c r="L44" s="4">
        <v>1.69582632E9</v>
      </c>
      <c r="M44" s="1" t="s">
        <v>47</v>
      </c>
      <c r="N44" s="1" t="s">
        <v>47</v>
      </c>
      <c r="O44" s="1" t="s">
        <v>47</v>
      </c>
      <c r="P44" s="1" t="s">
        <v>47</v>
      </c>
      <c r="Q44" s="1" t="s">
        <v>47</v>
      </c>
      <c r="R44" s="1" t="s">
        <v>48</v>
      </c>
      <c r="S44" s="1" t="s">
        <v>1108</v>
      </c>
      <c r="T44" s="7" t="s">
        <v>1109</v>
      </c>
      <c r="U44" s="7" t="s">
        <v>1119</v>
      </c>
      <c r="V44" s="1" t="s">
        <v>1102</v>
      </c>
      <c r="W44" s="7" t="s">
        <v>1121</v>
      </c>
      <c r="X44" s="7" t="s">
        <v>1130</v>
      </c>
      <c r="Y44" s="1"/>
      <c r="Z44" s="4">
        <v>713.0</v>
      </c>
      <c r="AA44" s="4">
        <v>53.0</v>
      </c>
      <c r="AB44" s="4">
        <v>518.0</v>
      </c>
      <c r="AC44" s="4">
        <v>10600.0</v>
      </c>
      <c r="AD44" s="1" t="s">
        <v>1131</v>
      </c>
      <c r="AE44" s="1" t="s">
        <v>1131</v>
      </c>
      <c r="AF44" s="1"/>
      <c r="AG44" s="1"/>
      <c r="AH44" s="1"/>
      <c r="AI44" s="1"/>
      <c r="AJ44" s="1"/>
      <c r="AK44" s="1"/>
      <c r="AL44" s="1">
        <f>IFERROR(__xludf.DUMMYFUNCTION("IF(
  TRIM(AD44)="""",
  0,
  COUNTA(
    SPLIT(
      REGEXREPLACE(AD44,""\s*,\s*"","",""),
      "",""
    )
  )
)"),2.0)</f>
        <v>2</v>
      </c>
    </row>
    <row r="45">
      <c r="A45" s="1" t="s">
        <v>1133</v>
      </c>
      <c r="B45" s="1" t="s">
        <v>1133</v>
      </c>
      <c r="C45" s="1" t="s">
        <v>1134</v>
      </c>
      <c r="D45" s="1" t="s">
        <v>1135</v>
      </c>
      <c r="E45" s="4">
        <v>98700.0</v>
      </c>
      <c r="F45" s="4">
        <v>651.0</v>
      </c>
      <c r="G45" s="4">
        <v>232.0</v>
      </c>
      <c r="H45" s="7" t="s">
        <v>1136</v>
      </c>
      <c r="I45" s="1" t="s">
        <v>1138</v>
      </c>
      <c r="J45" s="1" t="s">
        <v>1139</v>
      </c>
      <c r="K45" s="9">
        <v>45432.73420138889</v>
      </c>
      <c r="L45" s="4">
        <v>1.716226635E9</v>
      </c>
      <c r="M45" s="1" t="s">
        <v>47</v>
      </c>
      <c r="N45" s="1" t="s">
        <v>47</v>
      </c>
      <c r="O45" s="1" t="s">
        <v>47</v>
      </c>
      <c r="P45" s="1" t="s">
        <v>47</v>
      </c>
      <c r="Q45" s="1" t="s">
        <v>47</v>
      </c>
      <c r="R45" s="1" t="s">
        <v>48</v>
      </c>
      <c r="S45" s="1" t="s">
        <v>1140</v>
      </c>
      <c r="T45" s="7" t="s">
        <v>1141</v>
      </c>
      <c r="U45" s="7" t="s">
        <v>1148</v>
      </c>
      <c r="V45" s="1" t="s">
        <v>1135</v>
      </c>
      <c r="W45" s="7" t="s">
        <v>1154</v>
      </c>
      <c r="X45" s="7" t="s">
        <v>1156</v>
      </c>
      <c r="Y45" s="1"/>
      <c r="Z45" s="4">
        <v>535.0</v>
      </c>
      <c r="AA45" s="4">
        <v>8.0</v>
      </c>
      <c r="AB45" s="4">
        <v>115.0</v>
      </c>
      <c r="AC45" s="4">
        <v>15200.0</v>
      </c>
      <c r="AD45" s="1" t="s">
        <v>1158</v>
      </c>
      <c r="AE45" s="1" t="s">
        <v>1158</v>
      </c>
      <c r="AF45" s="1"/>
      <c r="AG45" s="1"/>
      <c r="AH45" s="1"/>
      <c r="AI45" s="1"/>
      <c r="AJ45" s="1"/>
      <c r="AK45" s="1"/>
      <c r="AL45" s="1">
        <f>IFERROR(__xludf.DUMMYFUNCTION("IF(
  TRIM(AD45)="""",
  0,
  COUNTA(
    SPLIT(
      REGEXREPLACE(AD45,""\s*,\s*"","",""),
      "",""
    )
  )
)"),2.0)</f>
        <v>2</v>
      </c>
    </row>
    <row r="46">
      <c r="A46" s="1" t="s">
        <v>1159</v>
      </c>
      <c r="B46" s="1" t="s">
        <v>1159</v>
      </c>
      <c r="C46" s="1" t="s">
        <v>1160</v>
      </c>
      <c r="D46" s="1" t="s">
        <v>1161</v>
      </c>
      <c r="E46" s="4">
        <v>516.0</v>
      </c>
      <c r="F46" s="4">
        <v>16300.0</v>
      </c>
      <c r="G46" s="4">
        <v>39.0</v>
      </c>
      <c r="H46" s="7" t="s">
        <v>1162</v>
      </c>
      <c r="I46" s="1" t="s">
        <v>1166</v>
      </c>
      <c r="J46" s="1"/>
      <c r="K46" s="9">
        <v>45665.00509259259</v>
      </c>
      <c r="L46" s="4">
        <v>1.73629484E9</v>
      </c>
      <c r="M46" s="1" t="s">
        <v>47</v>
      </c>
      <c r="N46" s="1" t="s">
        <v>47</v>
      </c>
      <c r="O46" s="1" t="s">
        <v>47</v>
      </c>
      <c r="P46" s="1" t="s">
        <v>47</v>
      </c>
      <c r="Q46" s="1" t="s">
        <v>47</v>
      </c>
      <c r="R46" s="1" t="s">
        <v>48</v>
      </c>
      <c r="S46" s="1" t="s">
        <v>1167</v>
      </c>
      <c r="T46" s="7" t="s">
        <v>1168</v>
      </c>
      <c r="U46" s="7" t="s">
        <v>1173</v>
      </c>
      <c r="V46" s="1" t="s">
        <v>1161</v>
      </c>
      <c r="W46" s="7" t="s">
        <v>1177</v>
      </c>
      <c r="X46" s="7" t="s">
        <v>1186</v>
      </c>
      <c r="Y46" s="1"/>
      <c r="Z46" s="4">
        <v>260.0</v>
      </c>
      <c r="AA46" s="4">
        <v>12.0</v>
      </c>
      <c r="AB46" s="4">
        <v>23.0</v>
      </c>
      <c r="AC46" s="4">
        <v>9185.0</v>
      </c>
      <c r="AD46" s="1" t="s">
        <v>1188</v>
      </c>
      <c r="AE46" s="1" t="s">
        <v>1188</v>
      </c>
      <c r="AF46" s="1"/>
      <c r="AG46" s="1"/>
      <c r="AH46" s="1"/>
      <c r="AI46" s="1"/>
      <c r="AJ46" s="1"/>
      <c r="AK46" s="1"/>
      <c r="AL46" s="1">
        <f>IFERROR(__xludf.DUMMYFUNCTION("IF(
  TRIM(AD46)="""",
  0,
  COUNTA(
    SPLIT(
      REGEXREPLACE(AD46,""\s*,\s*"","",""),
      "",""
    )
  )
)"),2.0)</f>
        <v>2</v>
      </c>
    </row>
    <row r="47">
      <c r="A47" s="1" t="s">
        <v>98</v>
      </c>
      <c r="B47" s="1" t="s">
        <v>98</v>
      </c>
      <c r="C47" s="1" t="s">
        <v>99</v>
      </c>
      <c r="D47" s="1" t="s">
        <v>100</v>
      </c>
      <c r="E47" s="4">
        <v>3600000.0</v>
      </c>
      <c r="F47" s="4">
        <v>6660.0</v>
      </c>
      <c r="G47" s="4">
        <v>955.0</v>
      </c>
      <c r="H47" s="7" t="s">
        <v>1189</v>
      </c>
      <c r="I47" s="1" t="s">
        <v>104</v>
      </c>
      <c r="J47" s="1" t="s">
        <v>105</v>
      </c>
      <c r="K47" s="9">
        <v>44712.62769675926</v>
      </c>
      <c r="L47" s="4">
        <v>1.654009433E9</v>
      </c>
      <c r="M47" s="1" t="s">
        <v>47</v>
      </c>
      <c r="N47" s="1" t="s">
        <v>47</v>
      </c>
      <c r="O47" s="1" t="s">
        <v>47</v>
      </c>
      <c r="P47" s="1" t="s">
        <v>47</v>
      </c>
      <c r="Q47" s="1" t="s">
        <v>47</v>
      </c>
      <c r="R47" s="1" t="s">
        <v>48</v>
      </c>
      <c r="S47" s="1" t="s">
        <v>109</v>
      </c>
      <c r="T47" s="7" t="s">
        <v>1191</v>
      </c>
      <c r="U47" s="7" t="s">
        <v>1199</v>
      </c>
      <c r="V47" s="1" t="s">
        <v>100</v>
      </c>
      <c r="W47" s="7" t="s">
        <v>1200</v>
      </c>
      <c r="X47" s="7" t="s">
        <v>119</v>
      </c>
      <c r="Y47" s="1"/>
      <c r="Z47" s="4">
        <v>656200.0</v>
      </c>
      <c r="AA47" s="4">
        <v>7529.0</v>
      </c>
      <c r="AB47" s="4">
        <v>13200.0</v>
      </c>
      <c r="AC47" s="4">
        <v>4100000.0</v>
      </c>
      <c r="AD47" s="1" t="s">
        <v>120</v>
      </c>
      <c r="AE47" s="1" t="s">
        <v>120</v>
      </c>
      <c r="AF47" s="1"/>
      <c r="AG47" s="1"/>
      <c r="AH47" s="1" t="s">
        <v>121</v>
      </c>
      <c r="AI47" s="1"/>
      <c r="AJ47" s="1"/>
      <c r="AK47" s="1"/>
      <c r="AL47" s="1">
        <f>IFERROR(__xludf.DUMMYFUNCTION("IF(
  TRIM(AD47)="""",
  0,
  COUNTA(
    SPLIT(
      REGEXREPLACE(AD47,""\s*,\s*"","",""),
      "",""
    )
  )
)"),3.0)</f>
        <v>3</v>
      </c>
    </row>
    <row r="48">
      <c r="A48" s="1" t="s">
        <v>319</v>
      </c>
      <c r="B48" s="1" t="s">
        <v>319</v>
      </c>
      <c r="C48" s="1" t="s">
        <v>69</v>
      </c>
      <c r="D48" s="1" t="s">
        <v>70</v>
      </c>
      <c r="E48" s="4">
        <v>176100.0</v>
      </c>
      <c r="F48" s="4">
        <v>889.0</v>
      </c>
      <c r="G48" s="4">
        <v>777.0</v>
      </c>
      <c r="H48" s="7" t="s">
        <v>330</v>
      </c>
      <c r="I48" s="1" t="s">
        <v>321</v>
      </c>
      <c r="J48" s="1"/>
      <c r="K48" s="9">
        <v>45127.681550925925</v>
      </c>
      <c r="L48" s="4">
        <v>1.689870086E9</v>
      </c>
      <c r="M48" s="1" t="s">
        <v>47</v>
      </c>
      <c r="N48" s="1" t="s">
        <v>47</v>
      </c>
      <c r="O48" s="1" t="s">
        <v>47</v>
      </c>
      <c r="P48" s="1" t="s">
        <v>47</v>
      </c>
      <c r="Q48" s="1" t="s">
        <v>47</v>
      </c>
      <c r="R48" s="1" t="s">
        <v>322</v>
      </c>
      <c r="S48" s="1" t="s">
        <v>323</v>
      </c>
      <c r="T48" s="1"/>
      <c r="U48" s="7" t="s">
        <v>1204</v>
      </c>
      <c r="V48" s="1" t="s">
        <v>325</v>
      </c>
      <c r="W48" s="7" t="s">
        <v>1209</v>
      </c>
      <c r="X48" s="7" t="s">
        <v>328</v>
      </c>
      <c r="Y48" s="1"/>
      <c r="Z48" s="4">
        <v>233900.0</v>
      </c>
      <c r="AA48" s="4">
        <v>3514.0</v>
      </c>
      <c r="AB48" s="4">
        <v>17800.0</v>
      </c>
      <c r="AC48" s="4">
        <v>2300000.0</v>
      </c>
      <c r="AD48" s="1" t="s">
        <v>331</v>
      </c>
      <c r="AE48" s="1" t="s">
        <v>331</v>
      </c>
      <c r="AF48" s="1"/>
      <c r="AG48" s="1"/>
      <c r="AH48" s="1"/>
      <c r="AI48" s="1"/>
      <c r="AJ48" s="1"/>
      <c r="AK48" s="1"/>
      <c r="AL48" s="1">
        <f>IFERROR(__xludf.DUMMYFUNCTION("IF(
  TRIM(AD48)="""",
  0,
  COUNTA(
    SPLIT(
      REGEXREPLACE(AD48,""\s*,\s*"","",""),
      "",""
    )
  )
)"),3.0)</f>
        <v>3</v>
      </c>
    </row>
    <row r="49">
      <c r="A49" s="1" t="s">
        <v>1213</v>
      </c>
      <c r="B49" s="1" t="s">
        <v>1213</v>
      </c>
      <c r="C49" s="1" t="s">
        <v>987</v>
      </c>
      <c r="D49" s="1" t="s">
        <v>988</v>
      </c>
      <c r="E49" s="4">
        <v>159500.0</v>
      </c>
      <c r="F49" s="4">
        <v>66800.0</v>
      </c>
      <c r="G49" s="4">
        <v>1031.0</v>
      </c>
      <c r="H49" s="7" t="s">
        <v>1214</v>
      </c>
      <c r="I49" s="1" t="s">
        <v>1216</v>
      </c>
      <c r="J49" s="1"/>
      <c r="K49" s="9">
        <v>45841.9200462963</v>
      </c>
      <c r="L49" s="4">
        <v>1.751580292E9</v>
      </c>
      <c r="M49" s="1" t="s">
        <v>47</v>
      </c>
      <c r="N49" s="1" t="s">
        <v>47</v>
      </c>
      <c r="O49" s="1" t="s">
        <v>47</v>
      </c>
      <c r="P49" s="1" t="s">
        <v>47</v>
      </c>
      <c r="Q49" s="1" t="s">
        <v>47</v>
      </c>
      <c r="R49" s="1" t="s">
        <v>1217</v>
      </c>
      <c r="S49" s="1" t="s">
        <v>1218</v>
      </c>
      <c r="T49" s="7" t="s">
        <v>1219</v>
      </c>
      <c r="U49" s="7" t="s">
        <v>1220</v>
      </c>
      <c r="V49" s="1" t="s">
        <v>1222</v>
      </c>
      <c r="W49" s="7" t="s">
        <v>1223</v>
      </c>
      <c r="X49" s="7" t="s">
        <v>1224</v>
      </c>
      <c r="Y49" s="1"/>
      <c r="Z49" s="4">
        <v>193500.0</v>
      </c>
      <c r="AA49" s="4">
        <v>2574.0</v>
      </c>
      <c r="AB49" s="4">
        <v>17200.0</v>
      </c>
      <c r="AC49" s="4">
        <v>2300000.0</v>
      </c>
      <c r="AD49" s="1" t="s">
        <v>1003</v>
      </c>
      <c r="AE49" s="1" t="s">
        <v>1003</v>
      </c>
      <c r="AF49" s="1"/>
      <c r="AG49" s="1"/>
      <c r="AH49" s="1" t="s">
        <v>918</v>
      </c>
      <c r="AI49" s="1"/>
      <c r="AJ49" s="1"/>
      <c r="AK49" s="1"/>
      <c r="AL49" s="1">
        <f>IFERROR(__xludf.DUMMYFUNCTION("IF(
  TRIM(AD49)="""",
  0,
  COUNTA(
    SPLIT(
      REGEXREPLACE(AD49,""\s*,\s*"","",""),
      "",""
    )
  )
)"),3.0)</f>
        <v>3</v>
      </c>
    </row>
    <row r="50">
      <c r="A50" s="1" t="s">
        <v>425</v>
      </c>
      <c r="B50" s="1" t="s">
        <v>425</v>
      </c>
      <c r="C50" s="1" t="s">
        <v>426</v>
      </c>
      <c r="D50" s="1" t="s">
        <v>427</v>
      </c>
      <c r="E50" s="4">
        <v>3700000.0</v>
      </c>
      <c r="F50" s="4">
        <v>64500.0</v>
      </c>
      <c r="G50" s="4">
        <v>1326.0</v>
      </c>
      <c r="H50" s="7" t="s">
        <v>1227</v>
      </c>
      <c r="I50" s="1" t="s">
        <v>429</v>
      </c>
      <c r="J50" s="1" t="s">
        <v>430</v>
      </c>
      <c r="K50" s="9">
        <v>44419.965532407405</v>
      </c>
      <c r="L50" s="4">
        <v>1.628723422E9</v>
      </c>
      <c r="M50" s="1" t="s">
        <v>47</v>
      </c>
      <c r="N50" s="1" t="s">
        <v>47</v>
      </c>
      <c r="O50" s="1" t="s">
        <v>47</v>
      </c>
      <c r="P50" s="1" t="s">
        <v>47</v>
      </c>
      <c r="Q50" s="1" t="s">
        <v>47</v>
      </c>
      <c r="R50" s="1" t="s">
        <v>204</v>
      </c>
      <c r="S50" s="1" t="s">
        <v>431</v>
      </c>
      <c r="T50" s="7" t="s">
        <v>1232</v>
      </c>
      <c r="U50" s="7" t="s">
        <v>1234</v>
      </c>
      <c r="V50" s="1" t="s">
        <v>427</v>
      </c>
      <c r="W50" s="7" t="s">
        <v>1236</v>
      </c>
      <c r="X50" s="7" t="s">
        <v>441</v>
      </c>
      <c r="Y50" s="1"/>
      <c r="Z50" s="4">
        <v>156300.0</v>
      </c>
      <c r="AA50" s="4">
        <v>5386.0</v>
      </c>
      <c r="AB50" s="4">
        <v>12400.0</v>
      </c>
      <c r="AC50" s="4">
        <v>1200000.0</v>
      </c>
      <c r="AD50" s="1" t="s">
        <v>445</v>
      </c>
      <c r="AE50" s="1" t="s">
        <v>445</v>
      </c>
      <c r="AF50" s="1"/>
      <c r="AG50" s="1"/>
      <c r="AH50" s="1" t="s">
        <v>144</v>
      </c>
      <c r="AI50" s="1"/>
      <c r="AJ50" s="1"/>
      <c r="AK50" s="1"/>
      <c r="AL50" s="1">
        <f>IFERROR(__xludf.DUMMYFUNCTION("IF(
  TRIM(AD50)="""",
  0,
  COUNTA(
    SPLIT(
      REGEXREPLACE(AD50,""\s*,\s*"","",""),
      "",""
    )
  )
)"),3.0)</f>
        <v>3</v>
      </c>
    </row>
    <row r="51">
      <c r="A51" s="1" t="s">
        <v>469</v>
      </c>
      <c r="B51" s="1" t="s">
        <v>469</v>
      </c>
      <c r="C51" s="1" t="s">
        <v>471</v>
      </c>
      <c r="D51" s="1" t="s">
        <v>472</v>
      </c>
      <c r="E51" s="4">
        <v>216300.0</v>
      </c>
      <c r="F51" s="4">
        <v>2.0</v>
      </c>
      <c r="G51" s="4">
        <v>379.0</v>
      </c>
      <c r="H51" s="7" t="s">
        <v>1245</v>
      </c>
      <c r="I51" s="1" t="s">
        <v>475</v>
      </c>
      <c r="J51" s="1"/>
      <c r="K51" s="9">
        <v>45245.646631944444</v>
      </c>
      <c r="L51" s="4">
        <v>1.700062269E9</v>
      </c>
      <c r="M51" s="1" t="s">
        <v>47</v>
      </c>
      <c r="N51" s="1" t="s">
        <v>47</v>
      </c>
      <c r="O51" s="1" t="s">
        <v>47</v>
      </c>
      <c r="P51" s="1" t="s">
        <v>47</v>
      </c>
      <c r="Q51" s="1" t="s">
        <v>47</v>
      </c>
      <c r="R51" s="1" t="s">
        <v>476</v>
      </c>
      <c r="S51" s="1" t="s">
        <v>477</v>
      </c>
      <c r="T51" s="7" t="s">
        <v>478</v>
      </c>
      <c r="U51" s="7" t="s">
        <v>479</v>
      </c>
      <c r="V51" s="1" t="s">
        <v>480</v>
      </c>
      <c r="W51" s="7" t="s">
        <v>1248</v>
      </c>
      <c r="X51" s="7" t="s">
        <v>483</v>
      </c>
      <c r="Y51" s="1"/>
      <c r="Z51" s="4">
        <v>142000.0</v>
      </c>
      <c r="AA51" s="4">
        <v>1526.0</v>
      </c>
      <c r="AB51" s="4">
        <v>14600.0</v>
      </c>
      <c r="AC51" s="4">
        <v>1400000.0</v>
      </c>
      <c r="AD51" s="1" t="s">
        <v>484</v>
      </c>
      <c r="AE51" s="1" t="s">
        <v>484</v>
      </c>
      <c r="AF51" s="1"/>
      <c r="AG51" s="1"/>
      <c r="AH51" s="1"/>
      <c r="AI51" s="1"/>
      <c r="AJ51" s="1"/>
      <c r="AK51" s="1"/>
      <c r="AL51" s="1">
        <f>IFERROR(__xludf.DUMMYFUNCTION("IF(
  TRIM(AD51)="""",
  0,
  COUNTA(
    SPLIT(
      REGEXREPLACE(AD51,""\s*,\s*"","",""),
      "",""
    )
  )
)"),3.0)</f>
        <v>3</v>
      </c>
    </row>
    <row r="52">
      <c r="A52" s="1" t="s">
        <v>986</v>
      </c>
      <c r="B52" s="1" t="s">
        <v>986</v>
      </c>
      <c r="C52" s="1" t="s">
        <v>987</v>
      </c>
      <c r="D52" s="1" t="s">
        <v>988</v>
      </c>
      <c r="E52" s="4">
        <v>159500.0</v>
      </c>
      <c r="F52" s="4">
        <v>66800.0</v>
      </c>
      <c r="G52" s="4">
        <v>1031.0</v>
      </c>
      <c r="H52" s="7" t="s">
        <v>1214</v>
      </c>
      <c r="I52" s="1" t="s">
        <v>992</v>
      </c>
      <c r="J52" s="1"/>
      <c r="K52" s="9">
        <v>45861.919328703705</v>
      </c>
      <c r="L52" s="4">
        <v>1.75330823E9</v>
      </c>
      <c r="M52" s="1" t="s">
        <v>47</v>
      </c>
      <c r="N52" s="1" t="s">
        <v>47</v>
      </c>
      <c r="O52" s="1" t="s">
        <v>47</v>
      </c>
      <c r="P52" s="1" t="s">
        <v>47</v>
      </c>
      <c r="Q52" s="1" t="s">
        <v>47</v>
      </c>
      <c r="R52" s="1" t="s">
        <v>48</v>
      </c>
      <c r="S52" s="1" t="s">
        <v>993</v>
      </c>
      <c r="T52" s="7" t="s">
        <v>1256</v>
      </c>
      <c r="U52" s="7" t="s">
        <v>1262</v>
      </c>
      <c r="V52" s="1" t="s">
        <v>988</v>
      </c>
      <c r="W52" s="7" t="s">
        <v>1266</v>
      </c>
      <c r="X52" s="7" t="s">
        <v>1002</v>
      </c>
      <c r="Y52" s="1"/>
      <c r="Z52" s="4">
        <v>67000.0</v>
      </c>
      <c r="AA52" s="4">
        <v>4014.0</v>
      </c>
      <c r="AB52" s="4">
        <v>14300.0</v>
      </c>
      <c r="AC52" s="4">
        <v>2000000.0</v>
      </c>
      <c r="AD52" s="1" t="s">
        <v>1003</v>
      </c>
      <c r="AE52" s="1" t="s">
        <v>1003</v>
      </c>
      <c r="AF52" s="1"/>
      <c r="AG52" s="1"/>
      <c r="AH52" s="1"/>
      <c r="AI52" s="1"/>
      <c r="AJ52" s="1"/>
      <c r="AK52" s="1"/>
      <c r="AL52" s="1">
        <f>IFERROR(__xludf.DUMMYFUNCTION("IF(
  TRIM(AD52)="""",
  0,
  COUNTA(
    SPLIT(
      REGEXREPLACE(AD52,""\s*,\s*"","",""),
      "",""
    )
  )
)"),3.0)</f>
        <v>3</v>
      </c>
    </row>
    <row r="53">
      <c r="A53" s="1" t="s">
        <v>1004</v>
      </c>
      <c r="B53" s="1" t="s">
        <v>1004</v>
      </c>
      <c r="C53" s="1" t="s">
        <v>69</v>
      </c>
      <c r="D53" s="1" t="s">
        <v>70</v>
      </c>
      <c r="E53" s="4">
        <v>176100.0</v>
      </c>
      <c r="F53" s="4">
        <v>889.0</v>
      </c>
      <c r="G53" s="4">
        <v>777.0</v>
      </c>
      <c r="H53" s="7" t="s">
        <v>330</v>
      </c>
      <c r="I53" s="1" t="s">
        <v>1005</v>
      </c>
      <c r="J53" s="1" t="s">
        <v>1006</v>
      </c>
      <c r="K53" s="9">
        <v>45087.60314814815</v>
      </c>
      <c r="L53" s="4">
        <v>1.686407312E9</v>
      </c>
      <c r="M53" s="1" t="s">
        <v>47</v>
      </c>
      <c r="N53" s="1" t="s">
        <v>47</v>
      </c>
      <c r="O53" s="1" t="s">
        <v>47</v>
      </c>
      <c r="P53" s="1" t="s">
        <v>47</v>
      </c>
      <c r="Q53" s="1" t="s">
        <v>47</v>
      </c>
      <c r="R53" s="1" t="s">
        <v>48</v>
      </c>
      <c r="S53" s="1" t="s">
        <v>1007</v>
      </c>
      <c r="T53" s="7" t="s">
        <v>1272</v>
      </c>
      <c r="U53" s="7" t="s">
        <v>355</v>
      </c>
      <c r="V53" s="1" t="s">
        <v>70</v>
      </c>
      <c r="W53" s="7" t="s">
        <v>1276</v>
      </c>
      <c r="X53" s="7" t="s">
        <v>1018</v>
      </c>
      <c r="Y53" s="1"/>
      <c r="Z53" s="4">
        <v>63200.0</v>
      </c>
      <c r="AA53" s="4">
        <v>1761.0</v>
      </c>
      <c r="AB53" s="4">
        <v>7269.0</v>
      </c>
      <c r="AC53" s="4">
        <v>496900.0</v>
      </c>
      <c r="AD53" s="1" t="s">
        <v>1022</v>
      </c>
      <c r="AE53" s="1" t="s">
        <v>1022</v>
      </c>
      <c r="AF53" s="1"/>
      <c r="AG53" s="1"/>
      <c r="AH53" s="1"/>
      <c r="AI53" s="1"/>
      <c r="AJ53" s="1"/>
      <c r="AK53" s="1"/>
      <c r="AL53" s="1">
        <f>IFERROR(__xludf.DUMMYFUNCTION("IF(
  TRIM(AD53)="""",
  0,
  COUNTA(
    SPLIT(
      REGEXREPLACE(AD53,""\s*,\s*"","",""),
      "",""
    )
  )
)"),3.0)</f>
        <v>3</v>
      </c>
    </row>
    <row r="54">
      <c r="A54" s="1" t="s">
        <v>1278</v>
      </c>
      <c r="B54" s="1" t="s">
        <v>1278</v>
      </c>
      <c r="C54" s="1" t="s">
        <v>920</v>
      </c>
      <c r="D54" s="1" t="s">
        <v>921</v>
      </c>
      <c r="E54" s="4">
        <v>299500.0</v>
      </c>
      <c r="F54" s="4">
        <v>1919.0</v>
      </c>
      <c r="G54" s="4">
        <v>1418.0</v>
      </c>
      <c r="H54" s="7" t="s">
        <v>1280</v>
      </c>
      <c r="I54" s="1" t="s">
        <v>1281</v>
      </c>
      <c r="J54" s="1"/>
      <c r="K54" s="9">
        <v>45966.01405092593</v>
      </c>
      <c r="L54" s="4">
        <v>1.762302014E9</v>
      </c>
      <c r="M54" s="1" t="s">
        <v>47</v>
      </c>
      <c r="N54" s="1" t="s">
        <v>47</v>
      </c>
      <c r="O54" s="1" t="s">
        <v>47</v>
      </c>
      <c r="P54" s="1" t="s">
        <v>47</v>
      </c>
      <c r="Q54" s="1" t="s">
        <v>47</v>
      </c>
      <c r="R54" s="1" t="s">
        <v>1282</v>
      </c>
      <c r="S54" s="1" t="s">
        <v>1283</v>
      </c>
      <c r="T54" s="7" t="s">
        <v>1285</v>
      </c>
      <c r="U54" s="7" t="s">
        <v>1287</v>
      </c>
      <c r="V54" s="1" t="s">
        <v>921</v>
      </c>
      <c r="W54" s="7" t="s">
        <v>1290</v>
      </c>
      <c r="X54" s="7" t="s">
        <v>1288</v>
      </c>
      <c r="Y54" s="1"/>
      <c r="Z54" s="4">
        <v>51100.0</v>
      </c>
      <c r="AA54" s="4">
        <v>505.0</v>
      </c>
      <c r="AB54" s="4">
        <v>15600.0</v>
      </c>
      <c r="AC54" s="4">
        <v>1000000.0</v>
      </c>
      <c r="AD54" s="1" t="s">
        <v>1289</v>
      </c>
      <c r="AE54" s="1" t="s">
        <v>1289</v>
      </c>
      <c r="AF54" s="1"/>
      <c r="AG54" s="1"/>
      <c r="AH54" s="1" t="s">
        <v>144</v>
      </c>
      <c r="AI54" s="1"/>
      <c r="AJ54" s="1"/>
      <c r="AK54" s="1"/>
      <c r="AL54" s="1">
        <f>IFERROR(__xludf.DUMMYFUNCTION("IF(
  TRIM(AD54)="""",
  0,
  COUNTA(
    SPLIT(
      REGEXREPLACE(AD54,""\s*,\s*"","",""),
      "",""
    )
  )
)"),3.0)</f>
        <v>3</v>
      </c>
    </row>
    <row r="55">
      <c r="A55" s="1" t="s">
        <v>1270</v>
      </c>
      <c r="B55" s="1" t="s">
        <v>1270</v>
      </c>
      <c r="C55" s="1" t="s">
        <v>987</v>
      </c>
      <c r="D55" s="1" t="s">
        <v>988</v>
      </c>
      <c r="E55" s="4">
        <v>159500.0</v>
      </c>
      <c r="F55" s="4">
        <v>66800.0</v>
      </c>
      <c r="G55" s="4">
        <v>1031.0</v>
      </c>
      <c r="H55" s="7" t="s">
        <v>1298</v>
      </c>
      <c r="I55" s="1" t="s">
        <v>1273</v>
      </c>
      <c r="J55" s="1"/>
      <c r="K55" s="9">
        <v>45894.92228009259</v>
      </c>
      <c r="L55" s="4">
        <v>1.756159685E9</v>
      </c>
      <c r="M55" s="1" t="s">
        <v>47</v>
      </c>
      <c r="N55" s="1" t="s">
        <v>47</v>
      </c>
      <c r="O55" s="1" t="s">
        <v>47</v>
      </c>
      <c r="P55" s="1" t="s">
        <v>47</v>
      </c>
      <c r="Q55" s="1" t="s">
        <v>47</v>
      </c>
      <c r="R55" s="1" t="s">
        <v>48</v>
      </c>
      <c r="S55" s="1" t="s">
        <v>1274</v>
      </c>
      <c r="T55" s="7" t="s">
        <v>1301</v>
      </c>
      <c r="U55" s="7" t="s">
        <v>1262</v>
      </c>
      <c r="V55" s="1" t="s">
        <v>988</v>
      </c>
      <c r="W55" s="7" t="s">
        <v>1303</v>
      </c>
      <c r="X55" s="7" t="s">
        <v>1279</v>
      </c>
      <c r="Y55" s="1"/>
      <c r="Z55" s="4">
        <v>44500.0</v>
      </c>
      <c r="AA55" s="4">
        <v>1134.0</v>
      </c>
      <c r="AB55" s="4">
        <v>5056.0</v>
      </c>
      <c r="AC55" s="4">
        <v>527800.0</v>
      </c>
      <c r="AD55" s="1" t="s">
        <v>1003</v>
      </c>
      <c r="AE55" s="1" t="s">
        <v>1003</v>
      </c>
      <c r="AF55" s="1"/>
      <c r="AG55" s="1"/>
      <c r="AH55" s="1"/>
      <c r="AI55" s="1"/>
      <c r="AJ55" s="1"/>
      <c r="AK55" s="1"/>
      <c r="AL55" s="1">
        <f>IFERROR(__xludf.DUMMYFUNCTION("IF(
  TRIM(AD55)="""",
  0,
  COUNTA(
    SPLIT(
      REGEXREPLACE(AD55,""\s*,\s*"","",""),
      "",""
    )
  )
)"),3.0)</f>
        <v>3</v>
      </c>
    </row>
    <row r="56">
      <c r="A56" s="1" t="s">
        <v>1306</v>
      </c>
      <c r="B56" s="1" t="s">
        <v>1306</v>
      </c>
      <c r="C56" s="1" t="s">
        <v>1307</v>
      </c>
      <c r="D56" s="1" t="s">
        <v>1308</v>
      </c>
      <c r="E56" s="4">
        <v>141700.0</v>
      </c>
      <c r="F56" s="4">
        <v>19.0</v>
      </c>
      <c r="G56" s="4">
        <v>428.0</v>
      </c>
      <c r="H56" s="7" t="s">
        <v>1310</v>
      </c>
      <c r="I56" s="1" t="s">
        <v>1311</v>
      </c>
      <c r="J56" s="1"/>
      <c r="K56" s="9">
        <v>45982.70763888889</v>
      </c>
      <c r="L56" s="4">
        <v>1.76374434E9</v>
      </c>
      <c r="M56" s="1" t="s">
        <v>47</v>
      </c>
      <c r="N56" s="1" t="s">
        <v>47</v>
      </c>
      <c r="O56" s="1" t="s">
        <v>47</v>
      </c>
      <c r="P56" s="1" t="s">
        <v>47</v>
      </c>
      <c r="Q56" s="1" t="s">
        <v>47</v>
      </c>
      <c r="R56" s="1" t="s">
        <v>1312</v>
      </c>
      <c r="S56" s="1" t="s">
        <v>1313</v>
      </c>
      <c r="T56" s="7" t="s">
        <v>1314</v>
      </c>
      <c r="U56" s="7" t="s">
        <v>1316</v>
      </c>
      <c r="V56" s="1" t="s">
        <v>1318</v>
      </c>
      <c r="W56" s="7" t="s">
        <v>1319</v>
      </c>
      <c r="X56" s="7" t="s">
        <v>1320</v>
      </c>
      <c r="Y56" s="1"/>
      <c r="Z56" s="4">
        <v>42900.0</v>
      </c>
      <c r="AA56" s="4">
        <v>417.0</v>
      </c>
      <c r="AB56" s="4">
        <v>10500.0</v>
      </c>
      <c r="AC56" s="4">
        <v>685700.0</v>
      </c>
      <c r="AD56" s="1" t="s">
        <v>1323</v>
      </c>
      <c r="AE56" s="1" t="s">
        <v>1323</v>
      </c>
      <c r="AF56" s="1"/>
      <c r="AG56" s="1"/>
      <c r="AH56" s="1"/>
      <c r="AI56" s="1"/>
      <c r="AJ56" s="1"/>
      <c r="AK56" s="1"/>
      <c r="AL56" s="1">
        <f>IFERROR(__xludf.DUMMYFUNCTION("IF(
  TRIM(AD56)="""",
  0,
  COUNTA(
    SPLIT(
      REGEXREPLACE(AD56,""\s*,\s*"","",""),
      "",""
    )
  )
)"),3.0)</f>
        <v>3</v>
      </c>
    </row>
    <row r="57">
      <c r="A57" s="1" t="s">
        <v>1324</v>
      </c>
      <c r="B57" s="1" t="s">
        <v>1324</v>
      </c>
      <c r="C57" s="1" t="s">
        <v>920</v>
      </c>
      <c r="D57" s="1" t="s">
        <v>921</v>
      </c>
      <c r="E57" s="4">
        <v>299500.0</v>
      </c>
      <c r="F57" s="4">
        <v>1919.0</v>
      </c>
      <c r="G57" s="4">
        <v>1418.0</v>
      </c>
      <c r="H57" s="7" t="s">
        <v>1280</v>
      </c>
      <c r="I57" s="1" t="s">
        <v>1325</v>
      </c>
      <c r="J57" s="1"/>
      <c r="K57" s="9">
        <v>45875.96575231481</v>
      </c>
      <c r="L57" s="4">
        <v>1.754521841E9</v>
      </c>
      <c r="M57" s="1" t="s">
        <v>47</v>
      </c>
      <c r="N57" s="1" t="s">
        <v>47</v>
      </c>
      <c r="O57" s="1" t="s">
        <v>47</v>
      </c>
      <c r="P57" s="1" t="s">
        <v>47</v>
      </c>
      <c r="Q57" s="1" t="s">
        <v>47</v>
      </c>
      <c r="R57" s="1" t="s">
        <v>1282</v>
      </c>
      <c r="S57" s="1" t="s">
        <v>1326</v>
      </c>
      <c r="T57" s="7" t="s">
        <v>1327</v>
      </c>
      <c r="U57" s="7" t="s">
        <v>1331</v>
      </c>
      <c r="V57" s="1" t="s">
        <v>921</v>
      </c>
      <c r="W57" s="7" t="s">
        <v>1333</v>
      </c>
      <c r="X57" s="7" t="s">
        <v>1336</v>
      </c>
      <c r="Y57" s="1"/>
      <c r="Z57" s="4">
        <v>41000.0</v>
      </c>
      <c r="AA57" s="4">
        <v>374.0</v>
      </c>
      <c r="AB57" s="4">
        <v>7849.0</v>
      </c>
      <c r="AC57" s="4">
        <v>344500.0</v>
      </c>
      <c r="AD57" s="1" t="s">
        <v>1338</v>
      </c>
      <c r="AE57" s="1" t="s">
        <v>1338</v>
      </c>
      <c r="AF57" s="1"/>
      <c r="AG57" s="1"/>
      <c r="AH57" s="1"/>
      <c r="AI57" s="1"/>
      <c r="AJ57" s="1"/>
      <c r="AK57" s="1"/>
      <c r="AL57" s="1">
        <f>IFERROR(__xludf.DUMMYFUNCTION("IF(
  TRIM(AD57)="""",
  0,
  COUNTA(
    SPLIT(
      REGEXREPLACE(AD57,""\s*,\s*"","",""),
      "",""
    )
  )
)"),3.0)</f>
        <v>3</v>
      </c>
    </row>
    <row r="58">
      <c r="A58" s="1" t="s">
        <v>1339</v>
      </c>
      <c r="B58" s="1" t="s">
        <v>1339</v>
      </c>
      <c r="C58" s="1" t="s">
        <v>987</v>
      </c>
      <c r="D58" s="1" t="s">
        <v>988</v>
      </c>
      <c r="E58" s="4">
        <v>159500.0</v>
      </c>
      <c r="F58" s="4">
        <v>66800.0</v>
      </c>
      <c r="G58" s="4">
        <v>1031.0</v>
      </c>
      <c r="H58" s="7" t="s">
        <v>1214</v>
      </c>
      <c r="I58" s="1" t="s">
        <v>1340</v>
      </c>
      <c r="J58" s="1"/>
      <c r="K58" s="9">
        <v>45845.92072916667</v>
      </c>
      <c r="L58" s="4">
        <v>1.751925951E9</v>
      </c>
      <c r="M58" s="1" t="s">
        <v>47</v>
      </c>
      <c r="N58" s="1" t="s">
        <v>47</v>
      </c>
      <c r="O58" s="1" t="s">
        <v>47</v>
      </c>
      <c r="P58" s="1" t="s">
        <v>47</v>
      </c>
      <c r="Q58" s="1" t="s">
        <v>47</v>
      </c>
      <c r="R58" s="1" t="s">
        <v>1217</v>
      </c>
      <c r="S58" s="1" t="s">
        <v>1218</v>
      </c>
      <c r="T58" s="7" t="s">
        <v>1219</v>
      </c>
      <c r="U58" s="7" t="s">
        <v>1341</v>
      </c>
      <c r="V58" s="1" t="s">
        <v>1222</v>
      </c>
      <c r="W58" s="7" t="s">
        <v>1344</v>
      </c>
      <c r="X58" s="7" t="s">
        <v>1349</v>
      </c>
      <c r="Y58" s="1"/>
      <c r="Z58" s="4">
        <v>39000.0</v>
      </c>
      <c r="AA58" s="4">
        <v>977.0</v>
      </c>
      <c r="AB58" s="4">
        <v>4899.0</v>
      </c>
      <c r="AC58" s="4">
        <v>502700.0</v>
      </c>
      <c r="AD58" s="1" t="s">
        <v>1003</v>
      </c>
      <c r="AE58" s="1" t="s">
        <v>1003</v>
      </c>
      <c r="AF58" s="1"/>
      <c r="AG58" s="1"/>
      <c r="AH58" s="1" t="s">
        <v>144</v>
      </c>
      <c r="AI58" s="1"/>
      <c r="AJ58" s="1"/>
      <c r="AK58" s="1"/>
      <c r="AL58" s="1">
        <f>IFERROR(__xludf.DUMMYFUNCTION("IF(
  TRIM(AD58)="""",
  0,
  COUNTA(
    SPLIT(
      REGEXREPLACE(AD58,""\s*,\s*"","",""),
      "",""
    )
  )
)"),3.0)</f>
        <v>3</v>
      </c>
    </row>
    <row r="59">
      <c r="A59" s="1" t="s">
        <v>1351</v>
      </c>
      <c r="B59" s="1" t="s">
        <v>1351</v>
      </c>
      <c r="C59" s="1" t="s">
        <v>920</v>
      </c>
      <c r="D59" s="1" t="s">
        <v>921</v>
      </c>
      <c r="E59" s="4">
        <v>299500.0</v>
      </c>
      <c r="F59" s="4">
        <v>1919.0</v>
      </c>
      <c r="G59" s="4">
        <v>1418.0</v>
      </c>
      <c r="H59" s="7" t="s">
        <v>1280</v>
      </c>
      <c r="I59" s="1" t="s">
        <v>1352</v>
      </c>
      <c r="J59" s="1"/>
      <c r="K59" s="9">
        <v>45740.03791666667</v>
      </c>
      <c r="L59" s="4">
        <v>1.742777676E9</v>
      </c>
      <c r="M59" s="1" t="s">
        <v>47</v>
      </c>
      <c r="N59" s="1" t="s">
        <v>47</v>
      </c>
      <c r="O59" s="1" t="s">
        <v>47</v>
      </c>
      <c r="P59" s="1" t="s">
        <v>47</v>
      </c>
      <c r="Q59" s="1" t="s">
        <v>47</v>
      </c>
      <c r="R59" s="1" t="s">
        <v>48</v>
      </c>
      <c r="S59" s="1" t="s">
        <v>1353</v>
      </c>
      <c r="T59" s="7" t="s">
        <v>1354</v>
      </c>
      <c r="U59" s="7" t="s">
        <v>1331</v>
      </c>
      <c r="V59" s="1" t="s">
        <v>921</v>
      </c>
      <c r="W59" s="7" t="s">
        <v>1357</v>
      </c>
      <c r="X59" s="7" t="s">
        <v>1359</v>
      </c>
      <c r="Y59" s="1"/>
      <c r="Z59" s="4">
        <v>38400.0</v>
      </c>
      <c r="AA59" s="4">
        <v>848.0</v>
      </c>
      <c r="AB59" s="4">
        <v>8357.0</v>
      </c>
      <c r="AC59" s="4">
        <v>616700.0</v>
      </c>
      <c r="AD59" s="1" t="s">
        <v>1338</v>
      </c>
      <c r="AE59" s="1" t="s">
        <v>1338</v>
      </c>
      <c r="AF59" s="1"/>
      <c r="AG59" s="1"/>
      <c r="AH59" s="1"/>
      <c r="AI59" s="1"/>
      <c r="AJ59" s="1"/>
      <c r="AK59" s="1"/>
      <c r="AL59" s="1">
        <f>IFERROR(__xludf.DUMMYFUNCTION("IF(
  TRIM(AD59)="""",
  0,
  COUNTA(
    SPLIT(
      REGEXREPLACE(AD59,""\s*,\s*"","",""),
      "",""
    )
  )
)"),3.0)</f>
        <v>3</v>
      </c>
    </row>
    <row r="60">
      <c r="A60" s="1" t="s">
        <v>1361</v>
      </c>
      <c r="B60" s="1" t="s">
        <v>1361</v>
      </c>
      <c r="C60" s="1" t="s">
        <v>1362</v>
      </c>
      <c r="D60" s="1" t="s">
        <v>1362</v>
      </c>
      <c r="E60" s="4">
        <v>6483.0</v>
      </c>
      <c r="F60" s="4">
        <v>52.0</v>
      </c>
      <c r="G60" s="4">
        <v>50.0</v>
      </c>
      <c r="H60" s="7" t="s">
        <v>1363</v>
      </c>
      <c r="I60" s="1" t="s">
        <v>1364</v>
      </c>
      <c r="J60" s="1"/>
      <c r="K60" s="9">
        <v>45627.84483796296</v>
      </c>
      <c r="L60" s="4">
        <v>1.733084194E9</v>
      </c>
      <c r="M60" s="1" t="s">
        <v>47</v>
      </c>
      <c r="N60" s="1" t="s">
        <v>47</v>
      </c>
      <c r="O60" s="1" t="s">
        <v>47</v>
      </c>
      <c r="P60" s="1" t="s">
        <v>47</v>
      </c>
      <c r="Q60" s="1" t="s">
        <v>47</v>
      </c>
      <c r="R60" s="1" t="s">
        <v>48</v>
      </c>
      <c r="S60" s="1" t="s">
        <v>1365</v>
      </c>
      <c r="T60" s="7" t="s">
        <v>1366</v>
      </c>
      <c r="U60" s="7" t="s">
        <v>1372</v>
      </c>
      <c r="V60" s="1" t="s">
        <v>1362</v>
      </c>
      <c r="W60" s="7" t="s">
        <v>1374</v>
      </c>
      <c r="X60" s="7" t="s">
        <v>1376</v>
      </c>
      <c r="Y60" s="1"/>
      <c r="Z60" s="4">
        <v>33900.0</v>
      </c>
      <c r="AA60" s="4">
        <v>2021.0</v>
      </c>
      <c r="AB60" s="4">
        <v>9424.0</v>
      </c>
      <c r="AC60" s="4">
        <v>803300.0</v>
      </c>
      <c r="AD60" s="1" t="s">
        <v>1378</v>
      </c>
      <c r="AE60" s="1" t="s">
        <v>1378</v>
      </c>
      <c r="AF60" s="1"/>
      <c r="AG60" s="1"/>
      <c r="AH60" s="1"/>
      <c r="AI60" s="1"/>
      <c r="AJ60" s="1"/>
      <c r="AK60" s="1"/>
      <c r="AL60" s="1">
        <f>IFERROR(__xludf.DUMMYFUNCTION("IF(
  TRIM(AD60)="""",
  0,
  COUNTA(
    SPLIT(
      REGEXREPLACE(AD60,""\s*,\s*"","",""),
      "",""
    )
  )
)"),3.0)</f>
        <v>3</v>
      </c>
    </row>
    <row r="61">
      <c r="A61" s="1" t="s">
        <v>1379</v>
      </c>
      <c r="B61" s="1" t="s">
        <v>1379</v>
      </c>
      <c r="C61" s="1" t="s">
        <v>1380</v>
      </c>
      <c r="D61" s="1" t="s">
        <v>1381</v>
      </c>
      <c r="E61" s="4">
        <v>13000.0</v>
      </c>
      <c r="F61" s="4">
        <v>8598.0</v>
      </c>
      <c r="G61" s="4">
        <v>225.0</v>
      </c>
      <c r="H61" s="7" t="s">
        <v>1382</v>
      </c>
      <c r="I61" s="1" t="s">
        <v>1387</v>
      </c>
      <c r="J61" s="1" t="s">
        <v>1388</v>
      </c>
      <c r="K61" s="9">
        <v>45180.629837962966</v>
      </c>
      <c r="L61" s="4">
        <v>1.694444818E9</v>
      </c>
      <c r="M61" s="1" t="s">
        <v>47</v>
      </c>
      <c r="N61" s="1" t="s">
        <v>47</v>
      </c>
      <c r="O61" s="1" t="s">
        <v>47</v>
      </c>
      <c r="P61" s="1" t="s">
        <v>47</v>
      </c>
      <c r="Q61" s="1" t="s">
        <v>47</v>
      </c>
      <c r="R61" s="1" t="s">
        <v>48</v>
      </c>
      <c r="S61" s="1" t="s">
        <v>1389</v>
      </c>
      <c r="T61" s="7" t="s">
        <v>1390</v>
      </c>
      <c r="U61" s="7" t="s">
        <v>1392</v>
      </c>
      <c r="V61" s="1" t="s">
        <v>1381</v>
      </c>
      <c r="W61" s="7" t="s">
        <v>1399</v>
      </c>
      <c r="X61" s="7" t="s">
        <v>1406</v>
      </c>
      <c r="Y61" s="1"/>
      <c r="Z61" s="4">
        <v>27500.0</v>
      </c>
      <c r="AA61" s="4">
        <v>1037.0</v>
      </c>
      <c r="AB61" s="4">
        <v>4918.0</v>
      </c>
      <c r="AC61" s="4">
        <v>377500.0</v>
      </c>
      <c r="AD61" s="1" t="s">
        <v>1409</v>
      </c>
      <c r="AE61" s="1" t="s">
        <v>1409</v>
      </c>
      <c r="AF61" s="1"/>
      <c r="AG61" s="1"/>
      <c r="AH61" s="1"/>
      <c r="AI61" s="1"/>
      <c r="AJ61" s="1"/>
      <c r="AK61" s="1"/>
      <c r="AL61" s="1">
        <f>IFERROR(__xludf.DUMMYFUNCTION("IF(
  TRIM(AD61)="""",
  0,
  COUNTA(
    SPLIT(
      REGEXREPLACE(AD61,""\s*,\s*"","",""),
      "",""
    )
  )
)"),3.0)</f>
        <v>3</v>
      </c>
    </row>
    <row r="62">
      <c r="A62" s="1" t="s">
        <v>1410</v>
      </c>
      <c r="B62" s="1" t="s">
        <v>1410</v>
      </c>
      <c r="C62" s="1" t="s">
        <v>987</v>
      </c>
      <c r="D62" s="1" t="s">
        <v>988</v>
      </c>
      <c r="E62" s="4">
        <v>159500.0</v>
      </c>
      <c r="F62" s="4">
        <v>66800.0</v>
      </c>
      <c r="G62" s="4">
        <v>1031.0</v>
      </c>
      <c r="H62" s="7" t="s">
        <v>1214</v>
      </c>
      <c r="I62" s="1" t="s">
        <v>1411</v>
      </c>
      <c r="J62" s="1"/>
      <c r="K62" s="9">
        <v>45824.921111111114</v>
      </c>
      <c r="L62" s="4">
        <v>1.750111584E9</v>
      </c>
      <c r="M62" s="1" t="s">
        <v>47</v>
      </c>
      <c r="N62" s="1" t="s">
        <v>47</v>
      </c>
      <c r="O62" s="1" t="s">
        <v>47</v>
      </c>
      <c r="P62" s="1" t="s">
        <v>47</v>
      </c>
      <c r="Q62" s="1" t="s">
        <v>47</v>
      </c>
      <c r="R62" s="1" t="s">
        <v>1412</v>
      </c>
      <c r="S62" s="1" t="s">
        <v>1413</v>
      </c>
      <c r="T62" s="7" t="s">
        <v>1414</v>
      </c>
      <c r="U62" s="7" t="s">
        <v>1416</v>
      </c>
      <c r="V62" s="1" t="s">
        <v>1419</v>
      </c>
      <c r="W62" s="7" t="s">
        <v>1420</v>
      </c>
      <c r="X62" s="7" t="s">
        <v>1423</v>
      </c>
      <c r="Y62" s="1"/>
      <c r="Z62" s="4">
        <v>26800.0</v>
      </c>
      <c r="AA62" s="4">
        <v>798.0</v>
      </c>
      <c r="AB62" s="4">
        <v>1707.0</v>
      </c>
      <c r="AC62" s="4">
        <v>705500.0</v>
      </c>
      <c r="AD62" s="1" t="s">
        <v>1003</v>
      </c>
      <c r="AE62" s="1" t="s">
        <v>1003</v>
      </c>
      <c r="AF62" s="1"/>
      <c r="AG62" s="1"/>
      <c r="AH62" s="1"/>
      <c r="AI62" s="1"/>
      <c r="AJ62" s="1"/>
      <c r="AK62" s="1"/>
      <c r="AL62" s="1">
        <f>IFERROR(__xludf.DUMMYFUNCTION("IF(
  TRIM(AD62)="""",
  0,
  COUNTA(
    SPLIT(
      REGEXREPLACE(AD62,""\s*,\s*"","",""),
      "",""
    )
  )
)"),3.0)</f>
        <v>3</v>
      </c>
    </row>
    <row r="63">
      <c r="A63" s="1" t="s">
        <v>1425</v>
      </c>
      <c r="B63" s="1" t="s">
        <v>1425</v>
      </c>
      <c r="C63" s="1" t="s">
        <v>920</v>
      </c>
      <c r="D63" s="1" t="s">
        <v>921</v>
      </c>
      <c r="E63" s="4">
        <v>299500.0</v>
      </c>
      <c r="F63" s="4">
        <v>1919.0</v>
      </c>
      <c r="G63" s="4">
        <v>1418.0</v>
      </c>
      <c r="H63" s="7" t="s">
        <v>1280</v>
      </c>
      <c r="I63" s="1" t="s">
        <v>1429</v>
      </c>
      <c r="J63" s="1"/>
      <c r="K63" s="9">
        <v>45747.96128472222</v>
      </c>
      <c r="L63" s="4">
        <v>1.743462255E9</v>
      </c>
      <c r="M63" s="1" t="s">
        <v>47</v>
      </c>
      <c r="N63" s="1" t="s">
        <v>47</v>
      </c>
      <c r="O63" s="1" t="s">
        <v>47</v>
      </c>
      <c r="P63" s="1" t="s">
        <v>47</v>
      </c>
      <c r="Q63" s="1" t="s">
        <v>47</v>
      </c>
      <c r="R63" s="1" t="s">
        <v>48</v>
      </c>
      <c r="S63" s="1" t="s">
        <v>1430</v>
      </c>
      <c r="T63" s="7" t="s">
        <v>1431</v>
      </c>
      <c r="U63" s="7" t="s">
        <v>1287</v>
      </c>
      <c r="V63" s="1" t="s">
        <v>921</v>
      </c>
      <c r="W63" s="7" t="s">
        <v>1433</v>
      </c>
      <c r="X63" s="7" t="s">
        <v>1435</v>
      </c>
      <c r="Y63" s="1"/>
      <c r="Z63" s="4">
        <v>25700.0</v>
      </c>
      <c r="AA63" s="4">
        <v>1252.0</v>
      </c>
      <c r="AB63" s="4">
        <v>8912.0</v>
      </c>
      <c r="AC63" s="4">
        <v>356500.0</v>
      </c>
      <c r="AD63" s="1" t="s">
        <v>1289</v>
      </c>
      <c r="AE63" s="1" t="s">
        <v>1289</v>
      </c>
      <c r="AF63" s="1"/>
      <c r="AG63" s="1"/>
      <c r="AH63" s="1" t="s">
        <v>144</v>
      </c>
      <c r="AI63" s="1"/>
      <c r="AJ63" s="1"/>
      <c r="AK63" s="1"/>
      <c r="AL63" s="1">
        <f>IFERROR(__xludf.DUMMYFUNCTION("IF(
  TRIM(AD63)="""",
  0,
  COUNTA(
    SPLIT(
      REGEXREPLACE(AD63,""\s*,\s*"","",""),
      "",""
    )
  )
)"),3.0)</f>
        <v>3</v>
      </c>
    </row>
    <row r="64">
      <c r="A64" s="1" t="s">
        <v>1442</v>
      </c>
      <c r="B64" s="1" t="s">
        <v>1442</v>
      </c>
      <c r="C64" s="1" t="s">
        <v>987</v>
      </c>
      <c r="D64" s="1" t="s">
        <v>988</v>
      </c>
      <c r="E64" s="4">
        <v>159500.0</v>
      </c>
      <c r="F64" s="4">
        <v>66800.0</v>
      </c>
      <c r="G64" s="4">
        <v>1031.0</v>
      </c>
      <c r="H64" s="7" t="s">
        <v>1214</v>
      </c>
      <c r="I64" s="1" t="s">
        <v>1443</v>
      </c>
      <c r="J64" s="1"/>
      <c r="K64" s="9">
        <v>45888.91788194444</v>
      </c>
      <c r="L64" s="4">
        <v>1.755640905E9</v>
      </c>
      <c r="M64" s="1" t="s">
        <v>47</v>
      </c>
      <c r="N64" s="1" t="s">
        <v>47</v>
      </c>
      <c r="O64" s="1" t="s">
        <v>47</v>
      </c>
      <c r="P64" s="1" t="s">
        <v>47</v>
      </c>
      <c r="Q64" s="1" t="s">
        <v>47</v>
      </c>
      <c r="R64" s="1" t="s">
        <v>48</v>
      </c>
      <c r="S64" s="1" t="s">
        <v>1444</v>
      </c>
      <c r="T64" s="7" t="s">
        <v>1445</v>
      </c>
      <c r="U64" s="7" t="s">
        <v>1262</v>
      </c>
      <c r="V64" s="1" t="s">
        <v>988</v>
      </c>
      <c r="W64" s="7" t="s">
        <v>1449</v>
      </c>
      <c r="X64" s="7" t="s">
        <v>1458</v>
      </c>
      <c r="Y64" s="1"/>
      <c r="Z64" s="4">
        <v>18600.0</v>
      </c>
      <c r="AA64" s="4">
        <v>1000.0</v>
      </c>
      <c r="AB64" s="4">
        <v>3048.0</v>
      </c>
      <c r="AC64" s="4">
        <v>296300.0</v>
      </c>
      <c r="AD64" s="1" t="s">
        <v>1003</v>
      </c>
      <c r="AE64" s="1" t="s">
        <v>1003</v>
      </c>
      <c r="AF64" s="1"/>
      <c r="AG64" s="1"/>
      <c r="AH64" s="1"/>
      <c r="AI64" s="1"/>
      <c r="AJ64" s="1"/>
      <c r="AK64" s="1"/>
      <c r="AL64" s="1">
        <f>IFERROR(__xludf.DUMMYFUNCTION("IF(
  TRIM(AD64)="""",
  0,
  COUNTA(
    SPLIT(
      REGEXREPLACE(AD64,""\s*,\s*"","",""),
      "",""
    )
  )
)"),3.0)</f>
        <v>3</v>
      </c>
    </row>
    <row r="65">
      <c r="A65" s="1" t="s">
        <v>1463</v>
      </c>
      <c r="B65" s="1" t="s">
        <v>1463</v>
      </c>
      <c r="C65" s="1" t="s">
        <v>920</v>
      </c>
      <c r="D65" s="1" t="s">
        <v>921</v>
      </c>
      <c r="E65" s="4">
        <v>299500.0</v>
      </c>
      <c r="F65" s="4">
        <v>1919.0</v>
      </c>
      <c r="G65" s="4">
        <v>1418.0</v>
      </c>
      <c r="H65" s="7" t="s">
        <v>1280</v>
      </c>
      <c r="I65" s="1" t="s">
        <v>1465</v>
      </c>
      <c r="J65" s="1"/>
      <c r="K65" s="9">
        <v>45746.045902777776</v>
      </c>
      <c r="L65" s="4">
        <v>1.743296766E9</v>
      </c>
      <c r="M65" s="1" t="s">
        <v>47</v>
      </c>
      <c r="N65" s="1" t="s">
        <v>47</v>
      </c>
      <c r="O65" s="1" t="s">
        <v>47</v>
      </c>
      <c r="P65" s="1" t="s">
        <v>47</v>
      </c>
      <c r="Q65" s="1" t="s">
        <v>47</v>
      </c>
      <c r="R65" s="1" t="s">
        <v>48</v>
      </c>
      <c r="S65" s="1" t="s">
        <v>1466</v>
      </c>
      <c r="T65" s="7" t="s">
        <v>1467</v>
      </c>
      <c r="U65" s="7" t="s">
        <v>1331</v>
      </c>
      <c r="V65" s="1" t="s">
        <v>921</v>
      </c>
      <c r="W65" s="7" t="s">
        <v>1470</v>
      </c>
      <c r="X65" s="7" t="s">
        <v>1478</v>
      </c>
      <c r="Y65" s="1"/>
      <c r="Z65" s="4">
        <v>18500.0</v>
      </c>
      <c r="AA65" s="4">
        <v>743.0</v>
      </c>
      <c r="AB65" s="4">
        <v>8855.0</v>
      </c>
      <c r="AC65" s="4">
        <v>303400.0</v>
      </c>
      <c r="AD65" s="1" t="s">
        <v>1289</v>
      </c>
      <c r="AE65" s="1" t="s">
        <v>1289</v>
      </c>
      <c r="AF65" s="1"/>
      <c r="AG65" s="1"/>
      <c r="AH65" s="1"/>
      <c r="AI65" s="1"/>
      <c r="AJ65" s="1"/>
      <c r="AK65" s="1"/>
      <c r="AL65" s="1">
        <f>IFERROR(__xludf.DUMMYFUNCTION("IF(
  TRIM(AD65)="""",
  0,
  COUNTA(
    SPLIT(
      REGEXREPLACE(AD65,""\s*,\s*"","",""),
      "",""
    )
  )
)"),3.0)</f>
        <v>3</v>
      </c>
    </row>
    <row r="66">
      <c r="A66" s="1" t="s">
        <v>1480</v>
      </c>
      <c r="B66" s="1" t="s">
        <v>1480</v>
      </c>
      <c r="C66" s="1" t="s">
        <v>1481</v>
      </c>
      <c r="D66" s="1" t="s">
        <v>1482</v>
      </c>
      <c r="E66" s="4">
        <v>11900.0</v>
      </c>
      <c r="F66" s="4">
        <v>4.0</v>
      </c>
      <c r="G66" s="4">
        <v>25.0</v>
      </c>
      <c r="H66" s="7" t="s">
        <v>1483</v>
      </c>
      <c r="I66" s="1" t="s">
        <v>1484</v>
      </c>
      <c r="J66" s="1"/>
      <c r="K66" s="9">
        <v>45972.99818287037</v>
      </c>
      <c r="L66" s="4">
        <v>1.762905443E9</v>
      </c>
      <c r="M66" s="1" t="s">
        <v>47</v>
      </c>
      <c r="N66" s="1" t="s">
        <v>47</v>
      </c>
      <c r="O66" s="1" t="s">
        <v>47</v>
      </c>
      <c r="P66" s="1" t="s">
        <v>47</v>
      </c>
      <c r="Q66" s="1" t="s">
        <v>47</v>
      </c>
      <c r="R66" s="1" t="s">
        <v>1485</v>
      </c>
      <c r="S66" s="1" t="s">
        <v>1486</v>
      </c>
      <c r="T66" s="7" t="s">
        <v>1488</v>
      </c>
      <c r="U66" s="7" t="s">
        <v>1491</v>
      </c>
      <c r="V66" s="1" t="s">
        <v>1482</v>
      </c>
      <c r="W66" s="7" t="s">
        <v>1493</v>
      </c>
      <c r="X66" s="7" t="s">
        <v>1495</v>
      </c>
      <c r="Y66" s="1"/>
      <c r="Z66" s="4">
        <v>17800.0</v>
      </c>
      <c r="AA66" s="4">
        <v>217.0</v>
      </c>
      <c r="AB66" s="4">
        <v>5349.0</v>
      </c>
      <c r="AC66" s="4">
        <v>311100.0</v>
      </c>
      <c r="AD66" s="1" t="s">
        <v>1497</v>
      </c>
      <c r="AE66" s="1" t="s">
        <v>1497</v>
      </c>
      <c r="AF66" s="1"/>
      <c r="AG66" s="1"/>
      <c r="AH66" s="1"/>
      <c r="AI66" s="1"/>
      <c r="AJ66" s="1"/>
      <c r="AK66" s="1"/>
      <c r="AL66" s="1">
        <f>IFERROR(__xludf.DUMMYFUNCTION("IF(
  TRIM(AD66)="""",
  0,
  COUNTA(
    SPLIT(
      REGEXREPLACE(AD66,""\s*,\s*"","",""),
      "",""
    )
  )
)"),3.0)</f>
        <v>3</v>
      </c>
    </row>
    <row r="67">
      <c r="A67" s="1" t="s">
        <v>1498</v>
      </c>
      <c r="B67" s="1" t="s">
        <v>1498</v>
      </c>
      <c r="C67" s="1" t="s">
        <v>920</v>
      </c>
      <c r="D67" s="1" t="s">
        <v>921</v>
      </c>
      <c r="E67" s="4">
        <v>299500.0</v>
      </c>
      <c r="F67" s="4">
        <v>1919.0</v>
      </c>
      <c r="G67" s="4">
        <v>1418.0</v>
      </c>
      <c r="H67" s="7" t="s">
        <v>1280</v>
      </c>
      <c r="I67" s="1" t="s">
        <v>1499</v>
      </c>
      <c r="J67" s="1"/>
      <c r="K67" s="9">
        <v>45976.02199074074</v>
      </c>
      <c r="L67" s="4">
        <v>1.7631667E9</v>
      </c>
      <c r="M67" s="1" t="s">
        <v>47</v>
      </c>
      <c r="N67" s="1" t="s">
        <v>47</v>
      </c>
      <c r="O67" s="1" t="s">
        <v>47</v>
      </c>
      <c r="P67" s="1" t="s">
        <v>47</v>
      </c>
      <c r="Q67" s="1" t="s">
        <v>47</v>
      </c>
      <c r="R67" s="1" t="s">
        <v>1282</v>
      </c>
      <c r="S67" s="1" t="s">
        <v>1500</v>
      </c>
      <c r="T67" s="7" t="s">
        <v>1501</v>
      </c>
      <c r="U67" s="7" t="s">
        <v>1287</v>
      </c>
      <c r="V67" s="1" t="s">
        <v>921</v>
      </c>
      <c r="W67" s="7" t="s">
        <v>1502</v>
      </c>
      <c r="X67" s="7" t="s">
        <v>1510</v>
      </c>
      <c r="Y67" s="1"/>
      <c r="Z67" s="4">
        <v>17800.0</v>
      </c>
      <c r="AA67" s="4">
        <v>314.0</v>
      </c>
      <c r="AB67" s="4">
        <v>4221.0</v>
      </c>
      <c r="AC67" s="4">
        <v>239600.0</v>
      </c>
      <c r="AD67" s="1" t="s">
        <v>1289</v>
      </c>
      <c r="AE67" s="1" t="s">
        <v>1289</v>
      </c>
      <c r="AF67" s="1"/>
      <c r="AG67" s="1"/>
      <c r="AH67" s="1"/>
      <c r="AI67" s="1"/>
      <c r="AJ67" s="1"/>
      <c r="AK67" s="1"/>
      <c r="AL67" s="1">
        <f>IFERROR(__xludf.DUMMYFUNCTION("IF(
  TRIM(AD67)="""",
  0,
  COUNTA(
    SPLIT(
      REGEXREPLACE(AD67,""\s*,\s*"","",""),
      "",""
    )
  )
)"),3.0)</f>
        <v>3</v>
      </c>
    </row>
    <row r="68">
      <c r="A68" s="1" t="s">
        <v>1511</v>
      </c>
      <c r="B68" s="1" t="s">
        <v>1511</v>
      </c>
      <c r="C68" s="1" t="s">
        <v>920</v>
      </c>
      <c r="D68" s="1" t="s">
        <v>921</v>
      </c>
      <c r="E68" s="4">
        <v>299500.0</v>
      </c>
      <c r="F68" s="4">
        <v>1919.0</v>
      </c>
      <c r="G68" s="4">
        <v>1418.0</v>
      </c>
      <c r="H68" s="7" t="s">
        <v>1280</v>
      </c>
      <c r="I68" s="1" t="s">
        <v>1512</v>
      </c>
      <c r="J68" s="1"/>
      <c r="K68" s="9">
        <v>45749.984872685185</v>
      </c>
      <c r="L68" s="4">
        <v>1.743637093E9</v>
      </c>
      <c r="M68" s="1" t="s">
        <v>47</v>
      </c>
      <c r="N68" s="1" t="s">
        <v>47</v>
      </c>
      <c r="O68" s="1" t="s">
        <v>47</v>
      </c>
      <c r="P68" s="1" t="s">
        <v>47</v>
      </c>
      <c r="Q68" s="1" t="s">
        <v>47</v>
      </c>
      <c r="R68" s="1" t="s">
        <v>48</v>
      </c>
      <c r="S68" s="1" t="s">
        <v>1513</v>
      </c>
      <c r="T68" s="7" t="s">
        <v>1514</v>
      </c>
      <c r="U68" s="7" t="s">
        <v>1287</v>
      </c>
      <c r="V68" s="1" t="s">
        <v>921</v>
      </c>
      <c r="W68" s="7" t="s">
        <v>1517</v>
      </c>
      <c r="X68" s="7" t="s">
        <v>1519</v>
      </c>
      <c r="Y68" s="1"/>
      <c r="Z68" s="4">
        <v>17600.0</v>
      </c>
      <c r="AA68" s="4">
        <v>565.0</v>
      </c>
      <c r="AB68" s="4">
        <v>4925.0</v>
      </c>
      <c r="AC68" s="4">
        <v>224900.0</v>
      </c>
      <c r="AD68" s="1" t="s">
        <v>1289</v>
      </c>
      <c r="AE68" s="1" t="s">
        <v>1289</v>
      </c>
      <c r="AF68" s="1"/>
      <c r="AG68" s="1"/>
      <c r="AH68" s="1" t="s">
        <v>836</v>
      </c>
      <c r="AI68" s="1"/>
      <c r="AJ68" s="1"/>
      <c r="AK68" s="1"/>
      <c r="AL68" s="1">
        <f>IFERROR(__xludf.DUMMYFUNCTION("IF(
  TRIM(AD68)="""",
  0,
  COUNTA(
    SPLIT(
      REGEXREPLACE(AD68,""\s*,\s*"","",""),
      "",""
    )
  )
)"),3.0)</f>
        <v>3</v>
      </c>
    </row>
    <row r="69">
      <c r="A69" s="1" t="s">
        <v>1522</v>
      </c>
      <c r="B69" s="1" t="s">
        <v>1522</v>
      </c>
      <c r="C69" s="1" t="s">
        <v>1523</v>
      </c>
      <c r="D69" s="1" t="s">
        <v>1524</v>
      </c>
      <c r="E69" s="4">
        <v>923900.0</v>
      </c>
      <c r="F69" s="4">
        <v>32.0</v>
      </c>
      <c r="G69" s="4">
        <v>549.0</v>
      </c>
      <c r="H69" s="7" t="s">
        <v>1525</v>
      </c>
      <c r="I69" s="1" t="s">
        <v>1526</v>
      </c>
      <c r="J69" s="1" t="s">
        <v>1527</v>
      </c>
      <c r="K69" s="9">
        <v>45320.8344212963</v>
      </c>
      <c r="L69" s="4">
        <v>1.706558494E9</v>
      </c>
      <c r="M69" s="1" t="s">
        <v>47</v>
      </c>
      <c r="N69" s="1" t="s">
        <v>47</v>
      </c>
      <c r="O69" s="1" t="s">
        <v>47</v>
      </c>
      <c r="P69" s="1" t="s">
        <v>47</v>
      </c>
      <c r="Q69" s="1" t="s">
        <v>47</v>
      </c>
      <c r="R69" s="1" t="s">
        <v>48</v>
      </c>
      <c r="S69" s="1" t="s">
        <v>1528</v>
      </c>
      <c r="T69" s="7" t="s">
        <v>1529</v>
      </c>
      <c r="U69" s="7" t="s">
        <v>1531</v>
      </c>
      <c r="V69" s="1" t="s">
        <v>1524</v>
      </c>
      <c r="W69" s="7" t="s">
        <v>1533</v>
      </c>
      <c r="X69" s="7" t="s">
        <v>1538</v>
      </c>
      <c r="Y69" s="1"/>
      <c r="Z69" s="4">
        <v>16000.0</v>
      </c>
      <c r="AA69" s="4">
        <v>254.0</v>
      </c>
      <c r="AB69" s="4">
        <v>2215.0</v>
      </c>
      <c r="AC69" s="4">
        <v>225100.0</v>
      </c>
      <c r="AD69" s="1" t="s">
        <v>1540</v>
      </c>
      <c r="AE69" s="1" t="s">
        <v>1540</v>
      </c>
      <c r="AF69" s="1"/>
      <c r="AG69" s="1"/>
      <c r="AH69" s="1" t="s">
        <v>121</v>
      </c>
      <c r="AI69" s="1"/>
      <c r="AJ69" s="1"/>
      <c r="AK69" s="1"/>
      <c r="AL69" s="1">
        <f>IFERROR(__xludf.DUMMYFUNCTION("IF(
  TRIM(AD69)="""",
  0,
  COUNTA(
    SPLIT(
      REGEXREPLACE(AD69,""\s*,\s*"","",""),
      "",""
    )
  )
)"),3.0)</f>
        <v>3</v>
      </c>
    </row>
    <row r="70">
      <c r="A70" s="1" t="s">
        <v>1541</v>
      </c>
      <c r="B70" s="1" t="s">
        <v>1541</v>
      </c>
      <c r="C70" s="1" t="s">
        <v>987</v>
      </c>
      <c r="D70" s="1" t="s">
        <v>988</v>
      </c>
      <c r="E70" s="4">
        <v>159500.0</v>
      </c>
      <c r="F70" s="4">
        <v>66800.0</v>
      </c>
      <c r="G70" s="4">
        <v>1031.0</v>
      </c>
      <c r="H70" s="7" t="s">
        <v>1214</v>
      </c>
      <c r="I70" s="1" t="s">
        <v>1542</v>
      </c>
      <c r="J70" s="1"/>
      <c r="K70" s="9">
        <v>45877.92851851852</v>
      </c>
      <c r="L70" s="4">
        <v>1.754691424E9</v>
      </c>
      <c r="M70" s="1" t="s">
        <v>47</v>
      </c>
      <c r="N70" s="1" t="s">
        <v>47</v>
      </c>
      <c r="O70" s="1" t="s">
        <v>47</v>
      </c>
      <c r="P70" s="1" t="s">
        <v>47</v>
      </c>
      <c r="Q70" s="1" t="s">
        <v>47</v>
      </c>
      <c r="R70" s="1" t="s">
        <v>48</v>
      </c>
      <c r="S70" s="1" t="s">
        <v>1544</v>
      </c>
      <c r="T70" s="7" t="s">
        <v>1545</v>
      </c>
      <c r="U70" s="7" t="s">
        <v>1547</v>
      </c>
      <c r="V70" s="1" t="s">
        <v>988</v>
      </c>
      <c r="W70" s="7" t="s">
        <v>1554</v>
      </c>
      <c r="X70" s="7" t="s">
        <v>1556</v>
      </c>
      <c r="Y70" s="1"/>
      <c r="Z70" s="4">
        <v>15700.0</v>
      </c>
      <c r="AA70" s="4">
        <v>607.0</v>
      </c>
      <c r="AB70" s="4">
        <v>3019.0</v>
      </c>
      <c r="AC70" s="4">
        <v>264900.0</v>
      </c>
      <c r="AD70" s="1" t="s">
        <v>1003</v>
      </c>
      <c r="AE70" s="1" t="s">
        <v>1003</v>
      </c>
      <c r="AF70" s="1"/>
      <c r="AG70" s="1"/>
      <c r="AH70" s="1"/>
      <c r="AI70" s="1"/>
      <c r="AJ70" s="1"/>
      <c r="AK70" s="1"/>
      <c r="AL70" s="1">
        <f>IFERROR(__xludf.DUMMYFUNCTION("IF(
  TRIM(AD70)="""",
  0,
  COUNTA(
    SPLIT(
      REGEXREPLACE(AD70,""\s*,\s*"","",""),
      "",""
    )
  )
)"),3.0)</f>
        <v>3</v>
      </c>
    </row>
    <row r="71">
      <c r="A71" s="1" t="s">
        <v>1558</v>
      </c>
      <c r="B71" s="1" t="s">
        <v>1558</v>
      </c>
      <c r="C71" s="1" t="s">
        <v>920</v>
      </c>
      <c r="D71" s="1" t="s">
        <v>921</v>
      </c>
      <c r="E71" s="4">
        <v>299500.0</v>
      </c>
      <c r="F71" s="4">
        <v>1919.0</v>
      </c>
      <c r="G71" s="4">
        <v>1418.0</v>
      </c>
      <c r="H71" s="7" t="s">
        <v>1561</v>
      </c>
      <c r="I71" s="1" t="s">
        <v>1569</v>
      </c>
      <c r="J71" s="1"/>
      <c r="K71" s="9">
        <v>45977.02248842592</v>
      </c>
      <c r="L71" s="4">
        <v>1.763253143E9</v>
      </c>
      <c r="M71" s="1" t="s">
        <v>47</v>
      </c>
      <c r="N71" s="1" t="s">
        <v>47</v>
      </c>
      <c r="O71" s="1" t="s">
        <v>47</v>
      </c>
      <c r="P71" s="1" t="s">
        <v>47</v>
      </c>
      <c r="Q71" s="1" t="s">
        <v>47</v>
      </c>
      <c r="R71" s="1" t="s">
        <v>1282</v>
      </c>
      <c r="S71" s="1" t="s">
        <v>1570</v>
      </c>
      <c r="T71" s="7" t="s">
        <v>1571</v>
      </c>
      <c r="U71" s="7" t="s">
        <v>1287</v>
      </c>
      <c r="V71" s="1" t="s">
        <v>921</v>
      </c>
      <c r="W71" s="7" t="s">
        <v>1572</v>
      </c>
      <c r="X71" s="7" t="s">
        <v>1575</v>
      </c>
      <c r="Y71" s="1"/>
      <c r="Z71" s="4">
        <v>15100.0</v>
      </c>
      <c r="AA71" s="4">
        <v>75.0</v>
      </c>
      <c r="AB71" s="4">
        <v>6428.0</v>
      </c>
      <c r="AC71" s="4">
        <v>276100.0</v>
      </c>
      <c r="AD71" s="1" t="s">
        <v>1289</v>
      </c>
      <c r="AE71" s="1" t="s">
        <v>1289</v>
      </c>
      <c r="AF71" s="1"/>
      <c r="AG71" s="1"/>
      <c r="AH71" s="1"/>
      <c r="AI71" s="1"/>
      <c r="AJ71" s="1"/>
      <c r="AK71" s="1"/>
      <c r="AL71" s="1">
        <f>IFERROR(__xludf.DUMMYFUNCTION("IF(
  TRIM(AD71)="""",
  0,
  COUNTA(
    SPLIT(
      REGEXREPLACE(AD71,""\s*,\s*"","",""),
      "",""
    )
  )
)"),3.0)</f>
        <v>3</v>
      </c>
    </row>
    <row r="72">
      <c r="A72" s="1" t="s">
        <v>1576</v>
      </c>
      <c r="B72" s="1" t="s">
        <v>1576</v>
      </c>
      <c r="C72" s="1" t="s">
        <v>1577</v>
      </c>
      <c r="D72" s="1" t="s">
        <v>1578</v>
      </c>
      <c r="E72" s="4">
        <v>22600.0</v>
      </c>
      <c r="F72" s="4">
        <v>12.0</v>
      </c>
      <c r="G72" s="4">
        <v>99.0</v>
      </c>
      <c r="H72" s="7" t="s">
        <v>1579</v>
      </c>
      <c r="I72" s="1" t="s">
        <v>1581</v>
      </c>
      <c r="J72" s="1"/>
      <c r="K72" s="9">
        <v>45926.86753472222</v>
      </c>
      <c r="L72" s="4">
        <v>1.758919755E9</v>
      </c>
      <c r="M72" s="1" t="s">
        <v>47</v>
      </c>
      <c r="N72" s="1" t="s">
        <v>47</v>
      </c>
      <c r="O72" s="1" t="s">
        <v>47</v>
      </c>
      <c r="P72" s="1" t="s">
        <v>47</v>
      </c>
      <c r="Q72" s="1" t="s">
        <v>47</v>
      </c>
      <c r="R72" s="1" t="s">
        <v>48</v>
      </c>
      <c r="S72" s="1" t="s">
        <v>1582</v>
      </c>
      <c r="T72" s="7" t="s">
        <v>1583</v>
      </c>
      <c r="U72" s="7" t="s">
        <v>1586</v>
      </c>
      <c r="V72" s="1" t="s">
        <v>1578</v>
      </c>
      <c r="W72" s="7" t="s">
        <v>1588</v>
      </c>
      <c r="X72" s="7" t="s">
        <v>1589</v>
      </c>
      <c r="Y72" s="1"/>
      <c r="Z72" s="4">
        <v>13800.0</v>
      </c>
      <c r="AA72" s="4">
        <v>174.0</v>
      </c>
      <c r="AB72" s="4">
        <v>1556.0</v>
      </c>
      <c r="AC72" s="4">
        <v>261500.0</v>
      </c>
      <c r="AD72" s="1" t="s">
        <v>1590</v>
      </c>
      <c r="AE72" s="1" t="s">
        <v>1590</v>
      </c>
      <c r="AF72" s="1"/>
      <c r="AG72" s="1"/>
      <c r="AH72" s="1"/>
      <c r="AI72" s="1"/>
      <c r="AJ72" s="1"/>
      <c r="AK72" s="1"/>
      <c r="AL72" s="1">
        <f>IFERROR(__xludf.DUMMYFUNCTION("IF(
  TRIM(AD72)="""",
  0,
  COUNTA(
    SPLIT(
      REGEXREPLACE(AD72,""\s*,\s*"","",""),
      "",""
    )
  )
)"),3.0)</f>
        <v>3</v>
      </c>
    </row>
    <row r="73">
      <c r="A73" s="1" t="s">
        <v>1591</v>
      </c>
      <c r="B73" s="1" t="s">
        <v>1591</v>
      </c>
      <c r="C73" s="1" t="s">
        <v>987</v>
      </c>
      <c r="D73" s="1" t="s">
        <v>988</v>
      </c>
      <c r="E73" s="4">
        <v>159500.0</v>
      </c>
      <c r="F73" s="4">
        <v>66800.0</v>
      </c>
      <c r="G73" s="4">
        <v>1031.0</v>
      </c>
      <c r="H73" s="7" t="s">
        <v>1298</v>
      </c>
      <c r="I73" s="1" t="s">
        <v>1593</v>
      </c>
      <c r="J73" s="1"/>
      <c r="K73" s="9">
        <v>45929.91945601852</v>
      </c>
      <c r="L73" s="4">
        <v>1.759183441E9</v>
      </c>
      <c r="M73" s="1" t="s">
        <v>47</v>
      </c>
      <c r="N73" s="1" t="s">
        <v>47</v>
      </c>
      <c r="O73" s="1" t="s">
        <v>47</v>
      </c>
      <c r="P73" s="1" t="s">
        <v>47</v>
      </c>
      <c r="Q73" s="1" t="s">
        <v>47</v>
      </c>
      <c r="R73" s="1" t="s">
        <v>48</v>
      </c>
      <c r="S73" s="1" t="s">
        <v>1594</v>
      </c>
      <c r="T73" s="7" t="s">
        <v>1595</v>
      </c>
      <c r="U73" s="7" t="s">
        <v>1262</v>
      </c>
      <c r="V73" s="1" t="s">
        <v>988</v>
      </c>
      <c r="W73" s="7" t="s">
        <v>1597</v>
      </c>
      <c r="X73" s="7" t="s">
        <v>1598</v>
      </c>
      <c r="Y73" s="1"/>
      <c r="Z73" s="4">
        <v>13300.0</v>
      </c>
      <c r="AA73" s="4">
        <v>833.0</v>
      </c>
      <c r="AB73" s="4">
        <v>3056.0</v>
      </c>
      <c r="AC73" s="4">
        <v>257000.0</v>
      </c>
      <c r="AD73" s="1" t="s">
        <v>1003</v>
      </c>
      <c r="AE73" s="1" t="s">
        <v>1003</v>
      </c>
      <c r="AF73" s="1"/>
      <c r="AG73" s="1"/>
      <c r="AH73" s="1"/>
      <c r="AI73" s="1"/>
      <c r="AJ73" s="1"/>
      <c r="AK73" s="1"/>
      <c r="AL73" s="1">
        <f>IFERROR(__xludf.DUMMYFUNCTION("IF(
  TRIM(AD73)="""",
  0,
  COUNTA(
    SPLIT(
      REGEXREPLACE(AD73,""\s*,\s*"","",""),
      "",""
    )
  )
)"),3.0)</f>
        <v>3</v>
      </c>
    </row>
    <row r="74">
      <c r="A74" s="1" t="s">
        <v>1599</v>
      </c>
      <c r="B74" s="1" t="s">
        <v>1599</v>
      </c>
      <c r="C74" s="1" t="s">
        <v>987</v>
      </c>
      <c r="D74" s="1" t="s">
        <v>988</v>
      </c>
      <c r="E74" s="4">
        <v>159500.0</v>
      </c>
      <c r="F74" s="4">
        <v>66800.0</v>
      </c>
      <c r="G74" s="4">
        <v>1031.0</v>
      </c>
      <c r="H74" s="7" t="s">
        <v>1214</v>
      </c>
      <c r="I74" s="1" t="s">
        <v>1600</v>
      </c>
      <c r="J74" s="1"/>
      <c r="K74" s="9">
        <v>45848.92197916667</v>
      </c>
      <c r="L74" s="4">
        <v>1.752185259E9</v>
      </c>
      <c r="M74" s="1" t="s">
        <v>47</v>
      </c>
      <c r="N74" s="1" t="s">
        <v>47</v>
      </c>
      <c r="O74" s="1" t="s">
        <v>47</v>
      </c>
      <c r="P74" s="1" t="s">
        <v>47</v>
      </c>
      <c r="Q74" s="1" t="s">
        <v>47</v>
      </c>
      <c r="R74" s="1" t="s">
        <v>1217</v>
      </c>
      <c r="S74" s="1" t="s">
        <v>1218</v>
      </c>
      <c r="T74" s="7" t="s">
        <v>1219</v>
      </c>
      <c r="U74" s="7" t="s">
        <v>1341</v>
      </c>
      <c r="V74" s="1" t="s">
        <v>1222</v>
      </c>
      <c r="W74" s="7" t="s">
        <v>1601</v>
      </c>
      <c r="X74" s="7" t="s">
        <v>1603</v>
      </c>
      <c r="Y74" s="1"/>
      <c r="Z74" s="4">
        <v>12800.0</v>
      </c>
      <c r="AA74" s="4">
        <v>721.0</v>
      </c>
      <c r="AB74" s="4">
        <v>1407.0</v>
      </c>
      <c r="AC74" s="4">
        <v>182400.0</v>
      </c>
      <c r="AD74" s="1" t="s">
        <v>1003</v>
      </c>
      <c r="AE74" s="1" t="s">
        <v>1003</v>
      </c>
      <c r="AF74" s="1"/>
      <c r="AG74" s="1"/>
      <c r="AH74" s="1"/>
      <c r="AI74" s="1"/>
      <c r="AJ74" s="1"/>
      <c r="AK74" s="1"/>
      <c r="AL74" s="1">
        <f>IFERROR(__xludf.DUMMYFUNCTION("IF(
  TRIM(AD74)="""",
  0,
  COUNTA(
    SPLIT(
      REGEXREPLACE(AD74,""\s*,\s*"","",""),
      "",""
    )
  )
)"),3.0)</f>
        <v>3</v>
      </c>
    </row>
    <row r="75">
      <c r="A75" s="1" t="s">
        <v>1604</v>
      </c>
      <c r="B75" s="1" t="s">
        <v>1604</v>
      </c>
      <c r="C75" s="1" t="s">
        <v>1605</v>
      </c>
      <c r="D75" s="1" t="s">
        <v>1606</v>
      </c>
      <c r="E75" s="4">
        <v>41100.0</v>
      </c>
      <c r="F75" s="4">
        <v>31400.0</v>
      </c>
      <c r="G75" s="4">
        <v>218.0</v>
      </c>
      <c r="H75" s="7" t="s">
        <v>1607</v>
      </c>
      <c r="I75" s="1" t="s">
        <v>1608</v>
      </c>
      <c r="J75" s="1" t="s">
        <v>1609</v>
      </c>
      <c r="K75" s="9">
        <v>45765.62751157407</v>
      </c>
      <c r="L75" s="4">
        <v>1.744988617E9</v>
      </c>
      <c r="M75" s="1" t="s">
        <v>47</v>
      </c>
      <c r="N75" s="1" t="s">
        <v>47</v>
      </c>
      <c r="O75" s="1" t="s">
        <v>47</v>
      </c>
      <c r="P75" s="1" t="s">
        <v>47</v>
      </c>
      <c r="Q75" s="1" t="s">
        <v>47</v>
      </c>
      <c r="R75" s="1" t="s">
        <v>1610</v>
      </c>
      <c r="S75" s="1" t="s">
        <v>1611</v>
      </c>
      <c r="T75" s="7" t="s">
        <v>1612</v>
      </c>
      <c r="U75" s="7" t="s">
        <v>1614</v>
      </c>
      <c r="V75" s="1" t="s">
        <v>1615</v>
      </c>
      <c r="W75" s="7" t="s">
        <v>1616</v>
      </c>
      <c r="X75" s="7" t="s">
        <v>1618</v>
      </c>
      <c r="Y75" s="1"/>
      <c r="Z75" s="4">
        <v>11900.0</v>
      </c>
      <c r="AA75" s="4">
        <v>299.0</v>
      </c>
      <c r="AB75" s="4">
        <v>3074.0</v>
      </c>
      <c r="AC75" s="4">
        <v>233300.0</v>
      </c>
      <c r="AD75" s="1" t="s">
        <v>1620</v>
      </c>
      <c r="AE75" s="1" t="s">
        <v>1620</v>
      </c>
      <c r="AF75" s="1"/>
      <c r="AG75" s="1"/>
      <c r="AH75" s="1"/>
      <c r="AI75" s="1"/>
      <c r="AJ75" s="1"/>
      <c r="AK75" s="1"/>
      <c r="AL75" s="1">
        <f>IFERROR(__xludf.DUMMYFUNCTION("IF(
  TRIM(AD75)="""",
  0,
  COUNTA(
    SPLIT(
      REGEXREPLACE(AD75,""\s*,\s*"","",""),
      "",""
    )
  )
)"),3.0)</f>
        <v>3</v>
      </c>
    </row>
    <row r="76">
      <c r="A76" s="1" t="s">
        <v>1621</v>
      </c>
      <c r="B76" s="1" t="s">
        <v>1621</v>
      </c>
      <c r="C76" s="1" t="s">
        <v>987</v>
      </c>
      <c r="D76" s="1" t="s">
        <v>988</v>
      </c>
      <c r="E76" s="4">
        <v>159500.0</v>
      </c>
      <c r="F76" s="4">
        <v>66800.0</v>
      </c>
      <c r="G76" s="4">
        <v>1031.0</v>
      </c>
      <c r="H76" s="7" t="s">
        <v>1298</v>
      </c>
      <c r="I76" s="1" t="s">
        <v>1622</v>
      </c>
      <c r="J76" s="1"/>
      <c r="K76" s="9">
        <v>45843.92827546296</v>
      </c>
      <c r="L76" s="4">
        <v>1.751753803E9</v>
      </c>
      <c r="M76" s="1" t="s">
        <v>47</v>
      </c>
      <c r="N76" s="1" t="s">
        <v>47</v>
      </c>
      <c r="O76" s="1" t="s">
        <v>47</v>
      </c>
      <c r="P76" s="1" t="s">
        <v>47</v>
      </c>
      <c r="Q76" s="1" t="s">
        <v>47</v>
      </c>
      <c r="R76" s="1" t="s">
        <v>1217</v>
      </c>
      <c r="S76" s="1" t="s">
        <v>1218</v>
      </c>
      <c r="T76" s="7" t="s">
        <v>1219</v>
      </c>
      <c r="U76" s="7" t="s">
        <v>1341</v>
      </c>
      <c r="V76" s="1" t="s">
        <v>1222</v>
      </c>
      <c r="W76" s="7" t="s">
        <v>1623</v>
      </c>
      <c r="X76" s="7" t="s">
        <v>1627</v>
      </c>
      <c r="Y76" s="1"/>
      <c r="Z76" s="4">
        <v>11800.0</v>
      </c>
      <c r="AA76" s="4">
        <v>259.0</v>
      </c>
      <c r="AB76" s="4">
        <v>893.0</v>
      </c>
      <c r="AC76" s="4">
        <v>180800.0</v>
      </c>
      <c r="AD76" s="1" t="s">
        <v>1003</v>
      </c>
      <c r="AE76" s="1" t="s">
        <v>1003</v>
      </c>
      <c r="AF76" s="1"/>
      <c r="AG76" s="1"/>
      <c r="AH76" s="1"/>
      <c r="AI76" s="1"/>
      <c r="AJ76" s="1"/>
      <c r="AK76" s="1"/>
      <c r="AL76" s="1">
        <f>IFERROR(__xludf.DUMMYFUNCTION("IF(
  TRIM(AD76)="""",
  0,
  COUNTA(
    SPLIT(
      REGEXREPLACE(AD76,""\s*,\s*"","",""),
      "",""
    )
  )
)"),3.0)</f>
        <v>3</v>
      </c>
    </row>
    <row r="77">
      <c r="A77" s="1" t="s">
        <v>1629</v>
      </c>
      <c r="B77" s="1" t="s">
        <v>1629</v>
      </c>
      <c r="C77" s="1" t="s">
        <v>1630</v>
      </c>
      <c r="D77" s="1" t="s">
        <v>1631</v>
      </c>
      <c r="E77" s="4">
        <v>19100.0</v>
      </c>
      <c r="F77" s="4">
        <v>8603.0</v>
      </c>
      <c r="G77" s="4">
        <v>292.0</v>
      </c>
      <c r="H77" s="7" t="s">
        <v>1632</v>
      </c>
      <c r="I77" s="1" t="s">
        <v>1633</v>
      </c>
      <c r="J77" s="1" t="s">
        <v>1634</v>
      </c>
      <c r="K77" s="9">
        <v>45981.0841087963</v>
      </c>
      <c r="L77" s="4">
        <v>1.763604067E9</v>
      </c>
      <c r="M77" s="1" t="s">
        <v>47</v>
      </c>
      <c r="N77" s="1" t="s">
        <v>47</v>
      </c>
      <c r="O77" s="1" t="s">
        <v>47</v>
      </c>
      <c r="P77" s="1" t="s">
        <v>47</v>
      </c>
      <c r="Q77" s="1" t="s">
        <v>47</v>
      </c>
      <c r="R77" s="1" t="s">
        <v>48</v>
      </c>
      <c r="S77" s="1" t="s">
        <v>1635</v>
      </c>
      <c r="T77" s="7" t="s">
        <v>1636</v>
      </c>
      <c r="U77" s="7" t="s">
        <v>1639</v>
      </c>
      <c r="V77" s="1" t="s">
        <v>1631</v>
      </c>
      <c r="W77" s="7" t="s">
        <v>1641</v>
      </c>
      <c r="X77" s="7" t="s">
        <v>1642</v>
      </c>
      <c r="Y77" s="1"/>
      <c r="Z77" s="4">
        <v>11200.0</v>
      </c>
      <c r="AA77" s="4">
        <v>352.0</v>
      </c>
      <c r="AB77" s="4">
        <v>2478.0</v>
      </c>
      <c r="AC77" s="4">
        <v>118600.0</v>
      </c>
      <c r="AD77" s="1" t="s">
        <v>1643</v>
      </c>
      <c r="AE77" s="1" t="s">
        <v>1643</v>
      </c>
      <c r="AF77" s="1"/>
      <c r="AG77" s="1"/>
      <c r="AH77" s="1"/>
      <c r="AI77" s="1"/>
      <c r="AJ77" s="1"/>
      <c r="AK77" s="1"/>
      <c r="AL77" s="1">
        <f>IFERROR(__xludf.DUMMYFUNCTION("IF(
  TRIM(AD77)="""",
  0,
  COUNTA(
    SPLIT(
      REGEXREPLACE(AD77,""\s*,\s*"","",""),
      "",""
    )
  )
)"),3.0)</f>
        <v>3</v>
      </c>
    </row>
    <row r="78">
      <c r="A78" s="1" t="s">
        <v>1644</v>
      </c>
      <c r="B78" s="1" t="s">
        <v>1644</v>
      </c>
      <c r="C78" s="1" t="s">
        <v>987</v>
      </c>
      <c r="D78" s="1" t="s">
        <v>988</v>
      </c>
      <c r="E78" s="4">
        <v>159500.0</v>
      </c>
      <c r="F78" s="4">
        <v>66800.0</v>
      </c>
      <c r="G78" s="4">
        <v>1031.0</v>
      </c>
      <c r="H78" s="7" t="s">
        <v>1214</v>
      </c>
      <c r="I78" s="1" t="s">
        <v>1649</v>
      </c>
      <c r="J78" s="1"/>
      <c r="K78" s="9">
        <v>45957.91888888889</v>
      </c>
      <c r="L78" s="4">
        <v>1.761602592E9</v>
      </c>
      <c r="M78" s="1" t="s">
        <v>47</v>
      </c>
      <c r="N78" s="1" t="s">
        <v>47</v>
      </c>
      <c r="O78" s="1" t="s">
        <v>47</v>
      </c>
      <c r="P78" s="1" t="s">
        <v>47</v>
      </c>
      <c r="Q78" s="1" t="s">
        <v>47</v>
      </c>
      <c r="R78" s="1" t="s">
        <v>48</v>
      </c>
      <c r="S78" s="1" t="s">
        <v>1650</v>
      </c>
      <c r="T78" s="7" t="s">
        <v>1651</v>
      </c>
      <c r="U78" s="7" t="s">
        <v>1262</v>
      </c>
      <c r="V78" s="1" t="s">
        <v>988</v>
      </c>
      <c r="W78" s="7" t="s">
        <v>1655</v>
      </c>
      <c r="X78" s="7" t="s">
        <v>1657</v>
      </c>
      <c r="Y78" s="1"/>
      <c r="Z78" s="4">
        <v>11100.0</v>
      </c>
      <c r="AA78" s="4">
        <v>477.0</v>
      </c>
      <c r="AB78" s="4">
        <v>2257.0</v>
      </c>
      <c r="AC78" s="4">
        <v>160900.0</v>
      </c>
      <c r="AD78" s="1" t="s">
        <v>1003</v>
      </c>
      <c r="AE78" s="1" t="s">
        <v>1003</v>
      </c>
      <c r="AF78" s="1"/>
      <c r="AG78" s="1"/>
      <c r="AH78" s="1"/>
      <c r="AI78" s="1"/>
      <c r="AJ78" s="1"/>
      <c r="AK78" s="1"/>
      <c r="AL78" s="1">
        <f>IFERROR(__xludf.DUMMYFUNCTION("IF(
  TRIM(AD78)="""",
  0,
  COUNTA(
    SPLIT(
      REGEXREPLACE(AD78,""\s*,\s*"","",""),
      "",""
    )
  )
)"),3.0)</f>
        <v>3</v>
      </c>
    </row>
    <row r="79">
      <c r="A79" s="1" t="s">
        <v>1659</v>
      </c>
      <c r="B79" s="1" t="s">
        <v>1659</v>
      </c>
      <c r="C79" s="1" t="s">
        <v>987</v>
      </c>
      <c r="D79" s="1" t="s">
        <v>988</v>
      </c>
      <c r="E79" s="4">
        <v>159500.0</v>
      </c>
      <c r="F79" s="4">
        <v>66800.0</v>
      </c>
      <c r="G79" s="4">
        <v>1031.0</v>
      </c>
      <c r="H79" s="7" t="s">
        <v>1298</v>
      </c>
      <c r="I79" s="1" t="s">
        <v>1660</v>
      </c>
      <c r="J79" s="1"/>
      <c r="K79" s="9">
        <v>45970.918645833335</v>
      </c>
      <c r="L79" s="4">
        <v>1.762725771E9</v>
      </c>
      <c r="M79" s="1" t="s">
        <v>47</v>
      </c>
      <c r="N79" s="1" t="s">
        <v>47</v>
      </c>
      <c r="O79" s="1" t="s">
        <v>47</v>
      </c>
      <c r="P79" s="1" t="s">
        <v>47</v>
      </c>
      <c r="Q79" s="1" t="s">
        <v>47</v>
      </c>
      <c r="R79" s="1" t="s">
        <v>48</v>
      </c>
      <c r="S79" s="1" t="s">
        <v>1661</v>
      </c>
      <c r="T79" s="7" t="s">
        <v>1662</v>
      </c>
      <c r="U79" s="7" t="s">
        <v>1547</v>
      </c>
      <c r="V79" s="1" t="s">
        <v>988</v>
      </c>
      <c r="W79" s="7" t="s">
        <v>1669</v>
      </c>
      <c r="X79" s="7" t="s">
        <v>1678</v>
      </c>
      <c r="Y79" s="1"/>
      <c r="Z79" s="4">
        <v>11100.0</v>
      </c>
      <c r="AA79" s="4">
        <v>377.0</v>
      </c>
      <c r="AB79" s="4">
        <v>1780.0</v>
      </c>
      <c r="AC79" s="4">
        <v>214900.0</v>
      </c>
      <c r="AD79" s="1" t="s">
        <v>1003</v>
      </c>
      <c r="AE79" s="1" t="s">
        <v>1003</v>
      </c>
      <c r="AF79" s="1"/>
      <c r="AG79" s="1"/>
      <c r="AH79" s="1" t="s">
        <v>144</v>
      </c>
      <c r="AI79" s="1"/>
      <c r="AJ79" s="1"/>
      <c r="AK79" s="1"/>
      <c r="AL79" s="1">
        <f>IFERROR(__xludf.DUMMYFUNCTION("IF(
  TRIM(AD79)="""",
  0,
  COUNTA(
    SPLIT(
      REGEXREPLACE(AD79,""\s*,\s*"","",""),
      "",""
    )
  )
)"),3.0)</f>
        <v>3</v>
      </c>
    </row>
    <row r="80">
      <c r="A80" s="1" t="s">
        <v>1679</v>
      </c>
      <c r="B80" s="1" t="s">
        <v>1679</v>
      </c>
      <c r="C80" s="1" t="s">
        <v>987</v>
      </c>
      <c r="D80" s="1" t="s">
        <v>988</v>
      </c>
      <c r="E80" s="4">
        <v>159500.0</v>
      </c>
      <c r="F80" s="4">
        <v>66800.0</v>
      </c>
      <c r="G80" s="4">
        <v>1031.0</v>
      </c>
      <c r="H80" s="7" t="s">
        <v>1214</v>
      </c>
      <c r="I80" s="1" t="s">
        <v>1680</v>
      </c>
      <c r="J80" s="1"/>
      <c r="K80" s="9">
        <v>45908.919120370374</v>
      </c>
      <c r="L80" s="4">
        <v>1.757369012E9</v>
      </c>
      <c r="M80" s="1" t="s">
        <v>47</v>
      </c>
      <c r="N80" s="1" t="s">
        <v>47</v>
      </c>
      <c r="O80" s="1" t="s">
        <v>47</v>
      </c>
      <c r="P80" s="1" t="s">
        <v>47</v>
      </c>
      <c r="Q80" s="1" t="s">
        <v>47</v>
      </c>
      <c r="R80" s="1" t="s">
        <v>48</v>
      </c>
      <c r="S80" s="1" t="s">
        <v>1681</v>
      </c>
      <c r="T80" s="7" t="s">
        <v>1682</v>
      </c>
      <c r="U80" s="7" t="s">
        <v>1262</v>
      </c>
      <c r="V80" s="1" t="s">
        <v>988</v>
      </c>
      <c r="W80" s="7" t="s">
        <v>1686</v>
      </c>
      <c r="X80" s="7" t="s">
        <v>1687</v>
      </c>
      <c r="Y80" s="1"/>
      <c r="Z80" s="4">
        <v>11000.0</v>
      </c>
      <c r="AA80" s="4">
        <v>590.0</v>
      </c>
      <c r="AB80" s="4">
        <v>2250.0</v>
      </c>
      <c r="AC80" s="4">
        <v>269100.0</v>
      </c>
      <c r="AD80" s="1" t="s">
        <v>1003</v>
      </c>
      <c r="AE80" s="1" t="s">
        <v>1003</v>
      </c>
      <c r="AF80" s="1"/>
      <c r="AG80" s="1"/>
      <c r="AH80" s="1"/>
      <c r="AI80" s="1"/>
      <c r="AJ80" s="1"/>
      <c r="AK80" s="1"/>
      <c r="AL80" s="1">
        <f>IFERROR(__xludf.DUMMYFUNCTION("IF(
  TRIM(AD80)="""",
  0,
  COUNTA(
    SPLIT(
      REGEXREPLACE(AD80,""\s*,\s*"","",""),
      "",""
    )
  )
)"),3.0)</f>
        <v>3</v>
      </c>
    </row>
    <row r="81">
      <c r="A81" s="1" t="s">
        <v>1689</v>
      </c>
      <c r="B81" s="1" t="s">
        <v>1689</v>
      </c>
      <c r="C81" s="1" t="s">
        <v>987</v>
      </c>
      <c r="D81" s="1" t="s">
        <v>988</v>
      </c>
      <c r="E81" s="4">
        <v>159500.0</v>
      </c>
      <c r="F81" s="4">
        <v>66800.0</v>
      </c>
      <c r="G81" s="4">
        <v>1031.0</v>
      </c>
      <c r="H81" s="7" t="s">
        <v>1214</v>
      </c>
      <c r="I81" s="1" t="s">
        <v>1690</v>
      </c>
      <c r="J81" s="1"/>
      <c r="K81" s="9">
        <v>45893.99575231481</v>
      </c>
      <c r="L81" s="4">
        <v>1.756079633E9</v>
      </c>
      <c r="M81" s="1" t="s">
        <v>47</v>
      </c>
      <c r="N81" s="1" t="s">
        <v>47</v>
      </c>
      <c r="O81" s="1" t="s">
        <v>47</v>
      </c>
      <c r="P81" s="1" t="s">
        <v>47</v>
      </c>
      <c r="Q81" s="1" t="s">
        <v>47</v>
      </c>
      <c r="R81" s="1" t="s">
        <v>48</v>
      </c>
      <c r="S81" s="1" t="s">
        <v>1691</v>
      </c>
      <c r="T81" s="7" t="s">
        <v>1692</v>
      </c>
      <c r="U81" s="7" t="s">
        <v>1262</v>
      </c>
      <c r="V81" s="1" t="s">
        <v>988</v>
      </c>
      <c r="W81" s="7" t="s">
        <v>1695</v>
      </c>
      <c r="X81" s="7" t="s">
        <v>1698</v>
      </c>
      <c r="Y81" s="1"/>
      <c r="Z81" s="4">
        <v>11000.0</v>
      </c>
      <c r="AA81" s="4">
        <v>545.0</v>
      </c>
      <c r="AB81" s="4">
        <v>2402.0</v>
      </c>
      <c r="AC81" s="4">
        <v>222600.0</v>
      </c>
      <c r="AD81" s="1" t="s">
        <v>1003</v>
      </c>
      <c r="AE81" s="1" t="s">
        <v>1003</v>
      </c>
      <c r="AF81" s="1"/>
      <c r="AG81" s="1"/>
      <c r="AH81" s="1" t="s">
        <v>103</v>
      </c>
      <c r="AI81" s="1"/>
      <c r="AJ81" s="1"/>
      <c r="AK81" s="1"/>
      <c r="AL81" s="1">
        <f>IFERROR(__xludf.DUMMYFUNCTION("IF(
  TRIM(AD81)="""",
  0,
  COUNTA(
    SPLIT(
      REGEXREPLACE(AD81,""\s*,\s*"","",""),
      "",""
    )
  )
)"),3.0)</f>
        <v>3</v>
      </c>
    </row>
    <row r="82">
      <c r="A82" s="1" t="s">
        <v>1700</v>
      </c>
      <c r="B82" s="1" t="s">
        <v>1700</v>
      </c>
      <c r="C82" s="1" t="s">
        <v>987</v>
      </c>
      <c r="D82" s="1" t="s">
        <v>988</v>
      </c>
      <c r="E82" s="4">
        <v>159500.0</v>
      </c>
      <c r="F82" s="4">
        <v>66800.0</v>
      </c>
      <c r="G82" s="4">
        <v>1031.0</v>
      </c>
      <c r="H82" s="7" t="s">
        <v>1214</v>
      </c>
      <c r="I82" s="1" t="s">
        <v>1701</v>
      </c>
      <c r="J82" s="1"/>
      <c r="K82" s="9">
        <v>45965.91824074074</v>
      </c>
      <c r="L82" s="4">
        <v>1.762293736E9</v>
      </c>
      <c r="M82" s="1" t="s">
        <v>47</v>
      </c>
      <c r="N82" s="1" t="s">
        <v>47</v>
      </c>
      <c r="O82" s="1" t="s">
        <v>47</v>
      </c>
      <c r="P82" s="1" t="s">
        <v>47</v>
      </c>
      <c r="Q82" s="1" t="s">
        <v>47</v>
      </c>
      <c r="R82" s="1" t="s">
        <v>48</v>
      </c>
      <c r="S82" s="1" t="s">
        <v>1702</v>
      </c>
      <c r="T82" s="7" t="s">
        <v>1703</v>
      </c>
      <c r="U82" s="7" t="s">
        <v>1262</v>
      </c>
      <c r="V82" s="1" t="s">
        <v>988</v>
      </c>
      <c r="W82" s="7" t="s">
        <v>1709</v>
      </c>
      <c r="X82" s="7" t="s">
        <v>1711</v>
      </c>
      <c r="Y82" s="1"/>
      <c r="Z82" s="4">
        <v>10600.0</v>
      </c>
      <c r="AA82" s="4">
        <v>204.0</v>
      </c>
      <c r="AB82" s="4">
        <v>1214.0</v>
      </c>
      <c r="AC82" s="4">
        <v>115300.0</v>
      </c>
      <c r="AD82" s="1" t="s">
        <v>1003</v>
      </c>
      <c r="AE82" s="1" t="s">
        <v>1003</v>
      </c>
      <c r="AF82" s="1"/>
      <c r="AG82" s="1"/>
      <c r="AH82" s="1"/>
      <c r="AI82" s="1"/>
      <c r="AJ82" s="1"/>
      <c r="AK82" s="1"/>
      <c r="AL82" s="1">
        <f>IFERROR(__xludf.DUMMYFUNCTION("IF(
  TRIM(AD82)="""",
  0,
  COUNTA(
    SPLIT(
      REGEXREPLACE(AD82,""\s*,\s*"","",""),
      "",""
    )
  )
)"),3.0)</f>
        <v>3</v>
      </c>
    </row>
    <row r="83">
      <c r="A83" s="1" t="s">
        <v>1712</v>
      </c>
      <c r="B83" s="1" t="s">
        <v>1712</v>
      </c>
      <c r="C83" s="1" t="s">
        <v>987</v>
      </c>
      <c r="D83" s="1" t="s">
        <v>988</v>
      </c>
      <c r="E83" s="4">
        <v>159500.0</v>
      </c>
      <c r="F83" s="4">
        <v>66800.0</v>
      </c>
      <c r="G83" s="4">
        <v>1031.0</v>
      </c>
      <c r="H83" s="7" t="s">
        <v>1214</v>
      </c>
      <c r="I83" s="1" t="s">
        <v>1713</v>
      </c>
      <c r="J83" s="1"/>
      <c r="K83" s="9">
        <v>45980.95984953704</v>
      </c>
      <c r="L83" s="4">
        <v>1.763593331E9</v>
      </c>
      <c r="M83" s="1" t="s">
        <v>47</v>
      </c>
      <c r="N83" s="1" t="s">
        <v>47</v>
      </c>
      <c r="O83" s="1" t="s">
        <v>47</v>
      </c>
      <c r="P83" s="1" t="s">
        <v>47</v>
      </c>
      <c r="Q83" s="1" t="s">
        <v>47</v>
      </c>
      <c r="R83" s="1" t="s">
        <v>48</v>
      </c>
      <c r="S83" s="1" t="s">
        <v>1715</v>
      </c>
      <c r="T83" s="7" t="s">
        <v>1716</v>
      </c>
      <c r="U83" s="7" t="s">
        <v>1547</v>
      </c>
      <c r="V83" s="1" t="s">
        <v>988</v>
      </c>
      <c r="W83" s="7" t="s">
        <v>1721</v>
      </c>
      <c r="X83" s="7" t="s">
        <v>1723</v>
      </c>
      <c r="Y83" s="1"/>
      <c r="Z83" s="4">
        <v>10200.0</v>
      </c>
      <c r="AA83" s="4">
        <v>314.0</v>
      </c>
      <c r="AB83" s="4">
        <v>1490.0</v>
      </c>
      <c r="AC83" s="4">
        <v>247100.0</v>
      </c>
      <c r="AD83" s="1" t="s">
        <v>1003</v>
      </c>
      <c r="AE83" s="1" t="s">
        <v>1003</v>
      </c>
      <c r="AF83" s="1"/>
      <c r="AG83" s="1"/>
      <c r="AH83" s="1"/>
      <c r="AI83" s="1"/>
      <c r="AJ83" s="1"/>
      <c r="AK83" s="1"/>
      <c r="AL83" s="1">
        <f>IFERROR(__xludf.DUMMYFUNCTION("IF(
  TRIM(AD83)="""",
  0,
  COUNTA(
    SPLIT(
      REGEXREPLACE(AD83,""\s*,\s*"","",""),
      "",""
    )
  )
)"),3.0)</f>
        <v>3</v>
      </c>
    </row>
    <row r="84">
      <c r="A84" s="1" t="s">
        <v>1725</v>
      </c>
      <c r="B84" s="1" t="s">
        <v>1725</v>
      </c>
      <c r="C84" s="1" t="s">
        <v>987</v>
      </c>
      <c r="D84" s="1" t="s">
        <v>988</v>
      </c>
      <c r="E84" s="4">
        <v>159500.0</v>
      </c>
      <c r="F84" s="4">
        <v>66800.0</v>
      </c>
      <c r="G84" s="4">
        <v>1031.0</v>
      </c>
      <c r="H84" s="7" t="s">
        <v>1298</v>
      </c>
      <c r="I84" s="1" t="s">
        <v>1727</v>
      </c>
      <c r="J84" s="1"/>
      <c r="K84" s="9">
        <v>45986.91981481481</v>
      </c>
      <c r="L84" s="4">
        <v>1.764108272E9</v>
      </c>
      <c r="M84" s="1" t="s">
        <v>47</v>
      </c>
      <c r="N84" s="1" t="s">
        <v>47</v>
      </c>
      <c r="O84" s="1" t="s">
        <v>47</v>
      </c>
      <c r="P84" s="1" t="s">
        <v>47</v>
      </c>
      <c r="Q84" s="1" t="s">
        <v>47</v>
      </c>
      <c r="R84" s="1" t="s">
        <v>48</v>
      </c>
      <c r="S84" s="1" t="s">
        <v>1728</v>
      </c>
      <c r="T84" s="7" t="s">
        <v>1730</v>
      </c>
      <c r="U84" s="7" t="s">
        <v>1262</v>
      </c>
      <c r="V84" s="1" t="s">
        <v>988</v>
      </c>
      <c r="W84" s="7" t="s">
        <v>1732</v>
      </c>
      <c r="X84" s="7" t="s">
        <v>1735</v>
      </c>
      <c r="Y84" s="1"/>
      <c r="Z84" s="4">
        <v>9543.0</v>
      </c>
      <c r="AA84" s="4">
        <v>281.0</v>
      </c>
      <c r="AB84" s="4">
        <v>1124.0</v>
      </c>
      <c r="AC84" s="4">
        <v>114300.0</v>
      </c>
      <c r="AD84" s="1" t="s">
        <v>1003</v>
      </c>
      <c r="AE84" s="1" t="s">
        <v>1003</v>
      </c>
      <c r="AF84" s="1"/>
      <c r="AG84" s="1"/>
      <c r="AH84" s="1"/>
      <c r="AI84" s="1"/>
      <c r="AJ84" s="1"/>
      <c r="AK84" s="1"/>
      <c r="AL84" s="1">
        <f>IFERROR(__xludf.DUMMYFUNCTION("IF(
  TRIM(AD84)="""",
  0,
  COUNTA(
    SPLIT(
      REGEXREPLACE(AD84,""\s*,\s*"","",""),
      "",""
    )
  )
)"),3.0)</f>
        <v>3</v>
      </c>
    </row>
    <row r="85">
      <c r="A85" s="1" t="s">
        <v>1736</v>
      </c>
      <c r="B85" s="1" t="s">
        <v>1736</v>
      </c>
      <c r="C85" s="1" t="s">
        <v>987</v>
      </c>
      <c r="D85" s="1" t="s">
        <v>988</v>
      </c>
      <c r="E85" s="4">
        <v>159500.0</v>
      </c>
      <c r="F85" s="4">
        <v>66800.0</v>
      </c>
      <c r="G85" s="4">
        <v>1031.0</v>
      </c>
      <c r="H85" s="7" t="s">
        <v>1214</v>
      </c>
      <c r="I85" s="1" t="s">
        <v>1737</v>
      </c>
      <c r="J85" s="1"/>
      <c r="K85" s="9">
        <v>45854.91738425926</v>
      </c>
      <c r="L85" s="4">
        <v>1.752703262E9</v>
      </c>
      <c r="M85" s="1" t="s">
        <v>47</v>
      </c>
      <c r="N85" s="1" t="s">
        <v>47</v>
      </c>
      <c r="O85" s="1" t="s">
        <v>47</v>
      </c>
      <c r="P85" s="1" t="s">
        <v>47</v>
      </c>
      <c r="Q85" s="1" t="s">
        <v>47</v>
      </c>
      <c r="R85" s="1" t="s">
        <v>1217</v>
      </c>
      <c r="S85" s="1" t="s">
        <v>1218</v>
      </c>
      <c r="T85" s="7" t="s">
        <v>1219</v>
      </c>
      <c r="U85" s="7" t="s">
        <v>1341</v>
      </c>
      <c r="V85" s="1" t="s">
        <v>1222</v>
      </c>
      <c r="W85" s="7" t="s">
        <v>1738</v>
      </c>
      <c r="X85" s="7" t="s">
        <v>1748</v>
      </c>
      <c r="Y85" s="1"/>
      <c r="Z85" s="4">
        <v>9316.0</v>
      </c>
      <c r="AA85" s="4">
        <v>1223.0</v>
      </c>
      <c r="AB85" s="4">
        <v>1511.0</v>
      </c>
      <c r="AC85" s="4">
        <v>184700.0</v>
      </c>
      <c r="AD85" s="1" t="s">
        <v>1003</v>
      </c>
      <c r="AE85" s="1" t="s">
        <v>1003</v>
      </c>
      <c r="AF85" s="1"/>
      <c r="AG85" s="1"/>
      <c r="AH85" s="1"/>
      <c r="AI85" s="1"/>
      <c r="AJ85" s="1"/>
      <c r="AK85" s="1"/>
      <c r="AL85" s="1">
        <f>IFERROR(__xludf.DUMMYFUNCTION("IF(
  TRIM(AD85)="""",
  0,
  COUNTA(
    SPLIT(
      REGEXREPLACE(AD85,""\s*,\s*"","",""),
      "",""
    )
  )
)"),3.0)</f>
        <v>3</v>
      </c>
    </row>
    <row r="86">
      <c r="A86" s="1" t="s">
        <v>1749</v>
      </c>
      <c r="B86" s="1" t="s">
        <v>1749</v>
      </c>
      <c r="C86" s="1" t="s">
        <v>920</v>
      </c>
      <c r="D86" s="1" t="s">
        <v>921</v>
      </c>
      <c r="E86" s="4">
        <v>299500.0</v>
      </c>
      <c r="F86" s="4">
        <v>1919.0</v>
      </c>
      <c r="G86" s="4">
        <v>1418.0</v>
      </c>
      <c r="H86" s="7" t="s">
        <v>1561</v>
      </c>
      <c r="I86" s="1" t="s">
        <v>1750</v>
      </c>
      <c r="J86" s="1"/>
      <c r="K86" s="9">
        <v>45967.016805555555</v>
      </c>
      <c r="L86" s="4">
        <v>1.762388652E9</v>
      </c>
      <c r="M86" s="1" t="s">
        <v>47</v>
      </c>
      <c r="N86" s="1" t="s">
        <v>47</v>
      </c>
      <c r="O86" s="1" t="s">
        <v>47</v>
      </c>
      <c r="P86" s="1" t="s">
        <v>47</v>
      </c>
      <c r="Q86" s="1" t="s">
        <v>47</v>
      </c>
      <c r="R86" s="1" t="s">
        <v>1282</v>
      </c>
      <c r="S86" s="1" t="s">
        <v>1751</v>
      </c>
      <c r="T86" s="7" t="s">
        <v>1752</v>
      </c>
      <c r="U86" s="7" t="s">
        <v>1331</v>
      </c>
      <c r="V86" s="1" t="s">
        <v>921</v>
      </c>
      <c r="W86" s="7" t="s">
        <v>1759</v>
      </c>
      <c r="X86" s="7" t="s">
        <v>1765</v>
      </c>
      <c r="Y86" s="1"/>
      <c r="Z86" s="4">
        <v>9056.0</v>
      </c>
      <c r="AA86" s="4">
        <v>165.0</v>
      </c>
      <c r="AB86" s="4">
        <v>1955.0</v>
      </c>
      <c r="AC86" s="4">
        <v>113400.0</v>
      </c>
      <c r="AD86" s="1" t="s">
        <v>1289</v>
      </c>
      <c r="AE86" s="1" t="s">
        <v>1289</v>
      </c>
      <c r="AF86" s="1"/>
      <c r="AG86" s="1"/>
      <c r="AH86" s="1" t="s">
        <v>103</v>
      </c>
      <c r="AI86" s="1"/>
      <c r="AJ86" s="1"/>
      <c r="AK86" s="1"/>
      <c r="AL86" s="1">
        <f>IFERROR(__xludf.DUMMYFUNCTION("IF(
  TRIM(AD86)="""",
  0,
  COUNTA(
    SPLIT(
      REGEXREPLACE(AD86,""\s*,\s*"","",""),
      "",""
    )
  )
)"),3.0)</f>
        <v>3</v>
      </c>
    </row>
    <row r="87">
      <c r="A87" s="1" t="s">
        <v>1767</v>
      </c>
      <c r="B87" s="1" t="s">
        <v>1767</v>
      </c>
      <c r="C87" s="1" t="s">
        <v>920</v>
      </c>
      <c r="D87" s="1" t="s">
        <v>921</v>
      </c>
      <c r="E87" s="4">
        <v>299500.0</v>
      </c>
      <c r="F87" s="4">
        <v>1919.0</v>
      </c>
      <c r="G87" s="4">
        <v>1418.0</v>
      </c>
      <c r="H87" s="7" t="s">
        <v>1280</v>
      </c>
      <c r="I87" s="1" t="s">
        <v>1768</v>
      </c>
      <c r="J87" s="1"/>
      <c r="K87" s="9">
        <v>45880.97084490741</v>
      </c>
      <c r="L87" s="4">
        <v>1.754954281E9</v>
      </c>
      <c r="M87" s="1" t="s">
        <v>47</v>
      </c>
      <c r="N87" s="1" t="s">
        <v>47</v>
      </c>
      <c r="O87" s="1" t="s">
        <v>47</v>
      </c>
      <c r="P87" s="1" t="s">
        <v>47</v>
      </c>
      <c r="Q87" s="1" t="s">
        <v>47</v>
      </c>
      <c r="R87" s="1" t="s">
        <v>1282</v>
      </c>
      <c r="S87" s="1" t="s">
        <v>1769</v>
      </c>
      <c r="T87" s="7" t="s">
        <v>1770</v>
      </c>
      <c r="U87" s="7" t="s">
        <v>1287</v>
      </c>
      <c r="V87" s="1" t="s">
        <v>921</v>
      </c>
      <c r="W87" s="7" t="s">
        <v>1777</v>
      </c>
      <c r="X87" s="7" t="s">
        <v>1779</v>
      </c>
      <c r="Y87" s="1"/>
      <c r="Z87" s="4">
        <v>8544.0</v>
      </c>
      <c r="AA87" s="4">
        <v>113.0</v>
      </c>
      <c r="AB87" s="4">
        <v>3141.0</v>
      </c>
      <c r="AC87" s="4">
        <v>166700.0</v>
      </c>
      <c r="AD87" s="1" t="s">
        <v>1338</v>
      </c>
      <c r="AE87" s="1" t="s">
        <v>1338</v>
      </c>
      <c r="AF87" s="1"/>
      <c r="AG87" s="1"/>
      <c r="AH87" s="1"/>
      <c r="AI87" s="1"/>
      <c r="AJ87" s="1"/>
      <c r="AK87" s="1"/>
      <c r="AL87" s="1">
        <f>IFERROR(__xludf.DUMMYFUNCTION("IF(
  TRIM(AD87)="""",
  0,
  COUNTA(
    SPLIT(
      REGEXREPLACE(AD87,""\s*,\s*"","",""),
      "",""
    )
  )
)"),3.0)</f>
        <v>3</v>
      </c>
    </row>
    <row r="88">
      <c r="A88" s="1" t="s">
        <v>1780</v>
      </c>
      <c r="B88" s="1" t="s">
        <v>1780</v>
      </c>
      <c r="C88" s="1" t="s">
        <v>69</v>
      </c>
      <c r="D88" s="1" t="s">
        <v>70</v>
      </c>
      <c r="E88" s="4">
        <v>176100.0</v>
      </c>
      <c r="F88" s="4">
        <v>889.0</v>
      </c>
      <c r="G88" s="4">
        <v>777.0</v>
      </c>
      <c r="H88" s="7" t="s">
        <v>330</v>
      </c>
      <c r="I88" s="1" t="s">
        <v>1781</v>
      </c>
      <c r="J88" s="1" t="s">
        <v>1782</v>
      </c>
      <c r="K88" s="9">
        <v>45030.60334490741</v>
      </c>
      <c r="L88" s="4">
        <v>1.681482529E9</v>
      </c>
      <c r="M88" s="1" t="s">
        <v>47</v>
      </c>
      <c r="N88" s="1" t="s">
        <v>47</v>
      </c>
      <c r="O88" s="1" t="s">
        <v>47</v>
      </c>
      <c r="P88" s="1" t="s">
        <v>47</v>
      </c>
      <c r="Q88" s="1" t="s">
        <v>47</v>
      </c>
      <c r="R88" s="1" t="s">
        <v>48</v>
      </c>
      <c r="S88" s="1" t="s">
        <v>1783</v>
      </c>
      <c r="T88" s="7" t="s">
        <v>1784</v>
      </c>
      <c r="U88" s="7" t="s">
        <v>1787</v>
      </c>
      <c r="V88" s="1" t="s">
        <v>70</v>
      </c>
      <c r="W88" s="7" t="s">
        <v>1792</v>
      </c>
      <c r="X88" s="7" t="s">
        <v>1794</v>
      </c>
      <c r="Y88" s="1"/>
      <c r="Z88" s="4">
        <v>7801.0</v>
      </c>
      <c r="AA88" s="4">
        <v>108.0</v>
      </c>
      <c r="AB88" s="4">
        <v>2121.0</v>
      </c>
      <c r="AC88" s="4">
        <v>167500.0</v>
      </c>
      <c r="AD88" s="1" t="s">
        <v>1795</v>
      </c>
      <c r="AE88" s="1" t="s">
        <v>1795</v>
      </c>
      <c r="AF88" s="1"/>
      <c r="AG88" s="1"/>
      <c r="AH88" s="1"/>
      <c r="AI88" s="1"/>
      <c r="AJ88" s="1"/>
      <c r="AK88" s="1"/>
      <c r="AL88" s="1">
        <f>IFERROR(__xludf.DUMMYFUNCTION("IF(
  TRIM(AD88)="""",
  0,
  COUNTA(
    SPLIT(
      REGEXREPLACE(AD88,""\s*,\s*"","",""),
      "",""
    )
  )
)"),3.0)</f>
        <v>3</v>
      </c>
    </row>
    <row r="89">
      <c r="A89" s="1" t="s">
        <v>1797</v>
      </c>
      <c r="B89" s="1" t="s">
        <v>1797</v>
      </c>
      <c r="C89" s="1" t="s">
        <v>920</v>
      </c>
      <c r="D89" s="1" t="s">
        <v>921</v>
      </c>
      <c r="E89" s="4">
        <v>299500.0</v>
      </c>
      <c r="F89" s="4">
        <v>1919.0</v>
      </c>
      <c r="G89" s="4">
        <v>1418.0</v>
      </c>
      <c r="H89" s="7" t="s">
        <v>1561</v>
      </c>
      <c r="I89" s="1" t="s">
        <v>1798</v>
      </c>
      <c r="J89" s="1"/>
      <c r="K89" s="9">
        <v>45748.96537037037</v>
      </c>
      <c r="L89" s="4">
        <v>1.743549008E9</v>
      </c>
      <c r="M89" s="1" t="s">
        <v>47</v>
      </c>
      <c r="N89" s="1" t="s">
        <v>47</v>
      </c>
      <c r="O89" s="1" t="s">
        <v>47</v>
      </c>
      <c r="P89" s="1" t="s">
        <v>47</v>
      </c>
      <c r="Q89" s="1" t="s">
        <v>47</v>
      </c>
      <c r="R89" s="1" t="s">
        <v>48</v>
      </c>
      <c r="S89" s="1" t="s">
        <v>1799</v>
      </c>
      <c r="T89" s="7" t="s">
        <v>1800</v>
      </c>
      <c r="U89" s="7" t="s">
        <v>1287</v>
      </c>
      <c r="V89" s="1" t="s">
        <v>921</v>
      </c>
      <c r="W89" s="7" t="s">
        <v>1806</v>
      </c>
      <c r="X89" s="7" t="s">
        <v>1808</v>
      </c>
      <c r="Y89" s="1"/>
      <c r="Z89" s="4">
        <v>7368.0</v>
      </c>
      <c r="AA89" s="4">
        <v>159.0</v>
      </c>
      <c r="AB89" s="4">
        <v>2773.0</v>
      </c>
      <c r="AC89" s="4">
        <v>109700.0</v>
      </c>
      <c r="AD89" s="1" t="s">
        <v>1289</v>
      </c>
      <c r="AE89" s="1" t="s">
        <v>1289</v>
      </c>
      <c r="AF89" s="1"/>
      <c r="AG89" s="1"/>
      <c r="AH89" s="1"/>
      <c r="AI89" s="1"/>
      <c r="AJ89" s="1"/>
      <c r="AK89" s="1"/>
      <c r="AL89" s="1">
        <f>IFERROR(__xludf.DUMMYFUNCTION("IF(
  TRIM(AD89)="""",
  0,
  COUNTA(
    SPLIT(
      REGEXREPLACE(AD89,""\s*,\s*"","",""),
      "",""
    )
  )
)"),3.0)</f>
        <v>3</v>
      </c>
    </row>
    <row r="90">
      <c r="A90" s="1" t="s">
        <v>1809</v>
      </c>
      <c r="B90" s="1" t="s">
        <v>1809</v>
      </c>
      <c r="C90" s="1" t="s">
        <v>987</v>
      </c>
      <c r="D90" s="1" t="s">
        <v>988</v>
      </c>
      <c r="E90" s="4">
        <v>159500.0</v>
      </c>
      <c r="F90" s="4">
        <v>66800.0</v>
      </c>
      <c r="G90" s="4">
        <v>1031.0</v>
      </c>
      <c r="H90" s="7" t="s">
        <v>1214</v>
      </c>
      <c r="I90" s="1" t="s">
        <v>1810</v>
      </c>
      <c r="J90" s="1"/>
      <c r="K90" s="9">
        <v>45832.673414351855</v>
      </c>
      <c r="L90" s="4">
        <v>1.750781383E9</v>
      </c>
      <c r="M90" s="1" t="s">
        <v>47</v>
      </c>
      <c r="N90" s="1" t="s">
        <v>47</v>
      </c>
      <c r="O90" s="1" t="s">
        <v>47</v>
      </c>
      <c r="P90" s="1" t="s">
        <v>47</v>
      </c>
      <c r="Q90" s="1" t="s">
        <v>47</v>
      </c>
      <c r="R90" s="1" t="s">
        <v>1412</v>
      </c>
      <c r="S90" s="1" t="s">
        <v>1413</v>
      </c>
      <c r="T90" s="7" t="s">
        <v>1414</v>
      </c>
      <c r="U90" s="7" t="s">
        <v>1416</v>
      </c>
      <c r="V90" s="1" t="s">
        <v>1419</v>
      </c>
      <c r="W90" s="7" t="s">
        <v>1811</v>
      </c>
      <c r="X90" s="7" t="s">
        <v>1815</v>
      </c>
      <c r="Y90" s="1"/>
      <c r="Z90" s="4">
        <v>7179.0</v>
      </c>
      <c r="AA90" s="4">
        <v>350.0</v>
      </c>
      <c r="AB90" s="4">
        <v>884.0</v>
      </c>
      <c r="AC90" s="4">
        <v>89000.0</v>
      </c>
      <c r="AD90" s="1" t="s">
        <v>1003</v>
      </c>
      <c r="AE90" s="1" t="s">
        <v>1003</v>
      </c>
      <c r="AF90" s="1"/>
      <c r="AG90" s="1"/>
      <c r="AH90" s="1"/>
      <c r="AI90" s="1"/>
      <c r="AJ90" s="1"/>
      <c r="AK90" s="1"/>
      <c r="AL90" s="1">
        <f>IFERROR(__xludf.DUMMYFUNCTION("IF(
  TRIM(AD90)="""",
  0,
  COUNTA(
    SPLIT(
      REGEXREPLACE(AD90,""\s*,\s*"","",""),
      "",""
    )
  )
)"),3.0)</f>
        <v>3</v>
      </c>
    </row>
    <row r="91">
      <c r="A91" s="1" t="s">
        <v>1820</v>
      </c>
      <c r="B91" s="1" t="s">
        <v>1820</v>
      </c>
      <c r="C91" s="1" t="s">
        <v>1821</v>
      </c>
      <c r="D91" s="1" t="s">
        <v>1821</v>
      </c>
      <c r="E91" s="4">
        <v>2074.0</v>
      </c>
      <c r="F91" s="4">
        <v>118.0</v>
      </c>
      <c r="G91" s="4">
        <v>77.0</v>
      </c>
      <c r="H91" s="7" t="s">
        <v>1822</v>
      </c>
      <c r="I91" s="1" t="s">
        <v>1823</v>
      </c>
      <c r="J91" s="1"/>
      <c r="K91" s="9">
        <v>45941.58048611111</v>
      </c>
      <c r="L91" s="4">
        <v>1.760190954E9</v>
      </c>
      <c r="M91" s="1" t="s">
        <v>47</v>
      </c>
      <c r="N91" s="1" t="s">
        <v>47</v>
      </c>
      <c r="O91" s="1" t="s">
        <v>47</v>
      </c>
      <c r="P91" s="1" t="s">
        <v>47</v>
      </c>
      <c r="Q91" s="1" t="s">
        <v>47</v>
      </c>
      <c r="R91" s="1" t="s">
        <v>48</v>
      </c>
      <c r="S91" s="1" t="s">
        <v>1824</v>
      </c>
      <c r="T91" s="7" t="s">
        <v>1826</v>
      </c>
      <c r="U91" s="7" t="s">
        <v>1828</v>
      </c>
      <c r="V91" s="1" t="s">
        <v>1821</v>
      </c>
      <c r="W91" s="7" t="s">
        <v>1835</v>
      </c>
      <c r="X91" s="7" t="s">
        <v>1837</v>
      </c>
      <c r="Y91" s="1"/>
      <c r="Z91" s="4">
        <v>5942.0</v>
      </c>
      <c r="AA91" s="4">
        <v>75.0</v>
      </c>
      <c r="AB91" s="4">
        <v>2130.0</v>
      </c>
      <c r="AC91" s="4">
        <v>140800.0</v>
      </c>
      <c r="AD91" s="1" t="s">
        <v>1838</v>
      </c>
      <c r="AE91" s="1" t="s">
        <v>1838</v>
      </c>
      <c r="AF91" s="1"/>
      <c r="AG91" s="1"/>
      <c r="AH91" s="1" t="s">
        <v>836</v>
      </c>
      <c r="AI91" s="1"/>
      <c r="AJ91" s="1"/>
      <c r="AK91" s="1"/>
      <c r="AL91" s="1">
        <f>IFERROR(__xludf.DUMMYFUNCTION("IF(
  TRIM(AD91)="""",
  0,
  COUNTA(
    SPLIT(
      REGEXREPLACE(AD91,""\s*,\s*"","",""),
      "",""
    )
  )
)"),3.0)</f>
        <v>3</v>
      </c>
    </row>
    <row r="92">
      <c r="A92" s="1" t="s">
        <v>1839</v>
      </c>
      <c r="B92" s="1" t="s">
        <v>1839</v>
      </c>
      <c r="C92" s="1" t="s">
        <v>987</v>
      </c>
      <c r="D92" s="1" t="s">
        <v>988</v>
      </c>
      <c r="E92" s="4">
        <v>159500.0</v>
      </c>
      <c r="F92" s="4">
        <v>66800.0</v>
      </c>
      <c r="G92" s="4">
        <v>1031.0</v>
      </c>
      <c r="H92" s="7" t="s">
        <v>1298</v>
      </c>
      <c r="I92" s="1" t="s">
        <v>1840</v>
      </c>
      <c r="J92" s="1"/>
      <c r="K92" s="9">
        <v>45856.91761574074</v>
      </c>
      <c r="L92" s="4">
        <v>1.752876082E9</v>
      </c>
      <c r="M92" s="1" t="s">
        <v>47</v>
      </c>
      <c r="N92" s="1" t="s">
        <v>47</v>
      </c>
      <c r="O92" s="1" t="s">
        <v>47</v>
      </c>
      <c r="P92" s="1" t="s">
        <v>47</v>
      </c>
      <c r="Q92" s="1" t="s">
        <v>47</v>
      </c>
      <c r="R92" s="1" t="s">
        <v>1841</v>
      </c>
      <c r="S92" s="1" t="s">
        <v>1842</v>
      </c>
      <c r="T92" s="7" t="s">
        <v>1843</v>
      </c>
      <c r="U92" s="7" t="s">
        <v>1847</v>
      </c>
      <c r="V92" s="1" t="s">
        <v>1852</v>
      </c>
      <c r="W92" s="7" t="s">
        <v>1853</v>
      </c>
      <c r="X92" s="7" t="s">
        <v>1855</v>
      </c>
      <c r="Y92" s="1"/>
      <c r="Z92" s="4">
        <v>5595.0</v>
      </c>
      <c r="AA92" s="4">
        <v>300.0</v>
      </c>
      <c r="AB92" s="4">
        <v>494.0</v>
      </c>
      <c r="AC92" s="4">
        <v>64400.0</v>
      </c>
      <c r="AD92" s="1" t="s">
        <v>1003</v>
      </c>
      <c r="AE92" s="1" t="s">
        <v>1003</v>
      </c>
      <c r="AF92" s="1"/>
      <c r="AG92" s="1"/>
      <c r="AH92" s="1"/>
      <c r="AI92" s="1"/>
      <c r="AJ92" s="1"/>
      <c r="AK92" s="1"/>
      <c r="AL92" s="1">
        <f>IFERROR(__xludf.DUMMYFUNCTION("IF(
  TRIM(AD92)="""",
  0,
  COUNTA(
    SPLIT(
      REGEXREPLACE(AD92,""\s*,\s*"","",""),
      "",""
    )
  )
)"),3.0)</f>
        <v>3</v>
      </c>
    </row>
    <row r="93">
      <c r="A93" s="1" t="s">
        <v>1857</v>
      </c>
      <c r="B93" s="1" t="s">
        <v>1857</v>
      </c>
      <c r="C93" s="1" t="s">
        <v>69</v>
      </c>
      <c r="D93" s="1" t="s">
        <v>70</v>
      </c>
      <c r="E93" s="4">
        <v>176100.0</v>
      </c>
      <c r="F93" s="4">
        <v>889.0</v>
      </c>
      <c r="G93" s="4">
        <v>777.0</v>
      </c>
      <c r="H93" s="7" t="s">
        <v>71</v>
      </c>
      <c r="I93" s="1" t="s">
        <v>1858</v>
      </c>
      <c r="J93" s="1"/>
      <c r="K93" s="9">
        <v>45729.98355324074</v>
      </c>
      <c r="L93" s="4">
        <v>1.741908979E9</v>
      </c>
      <c r="M93" s="1" t="s">
        <v>47</v>
      </c>
      <c r="N93" s="1" t="s">
        <v>47</v>
      </c>
      <c r="O93" s="1" t="s">
        <v>47</v>
      </c>
      <c r="P93" s="1" t="s">
        <v>47</v>
      </c>
      <c r="Q93" s="1" t="s">
        <v>47</v>
      </c>
      <c r="R93" s="1" t="s">
        <v>1860</v>
      </c>
      <c r="S93" s="1" t="s">
        <v>1861</v>
      </c>
      <c r="T93" s="7" t="s">
        <v>1862</v>
      </c>
      <c r="U93" s="7" t="s">
        <v>1867</v>
      </c>
      <c r="V93" s="1" t="s">
        <v>1872</v>
      </c>
      <c r="W93" s="7" t="s">
        <v>1873</v>
      </c>
      <c r="X93" s="7" t="s">
        <v>1886</v>
      </c>
      <c r="Y93" s="1"/>
      <c r="Z93" s="4">
        <v>5178.0</v>
      </c>
      <c r="AA93" s="4">
        <v>133.0</v>
      </c>
      <c r="AB93" s="4">
        <v>1245.0</v>
      </c>
      <c r="AC93" s="4">
        <v>76800.0</v>
      </c>
      <c r="AD93" s="1" t="s">
        <v>1888</v>
      </c>
      <c r="AE93" s="1" t="s">
        <v>1888</v>
      </c>
      <c r="AF93" s="1"/>
      <c r="AG93" s="1"/>
      <c r="AH93" s="1"/>
      <c r="AI93" s="1"/>
      <c r="AJ93" s="1"/>
      <c r="AK93" s="1"/>
      <c r="AL93" s="1">
        <f>IFERROR(__xludf.DUMMYFUNCTION("IF(
  TRIM(AD93)="""",
  0,
  COUNTA(
    SPLIT(
      REGEXREPLACE(AD93,""\s*,\s*"","",""),
      "",""
    )
  )
)"),3.0)</f>
        <v>3</v>
      </c>
    </row>
    <row r="94">
      <c r="A94" s="1" t="s">
        <v>1889</v>
      </c>
      <c r="B94" s="1" t="s">
        <v>1889</v>
      </c>
      <c r="C94" s="1" t="s">
        <v>1206</v>
      </c>
      <c r="D94" s="1" t="s">
        <v>1890</v>
      </c>
      <c r="E94" s="4">
        <v>34600.0</v>
      </c>
      <c r="F94" s="4">
        <v>3130.0</v>
      </c>
      <c r="G94" s="4">
        <v>148.0</v>
      </c>
      <c r="H94" s="7" t="s">
        <v>1891</v>
      </c>
      <c r="I94" s="1" t="s">
        <v>1896</v>
      </c>
      <c r="J94" s="1"/>
      <c r="K94" s="9">
        <v>45704.61350694444</v>
      </c>
      <c r="L94" s="4">
        <v>1.739717007E9</v>
      </c>
      <c r="M94" s="1" t="s">
        <v>47</v>
      </c>
      <c r="N94" s="1" t="s">
        <v>47</v>
      </c>
      <c r="O94" s="1" t="s">
        <v>1898</v>
      </c>
      <c r="P94" s="1" t="s">
        <v>47</v>
      </c>
      <c r="Q94" s="1" t="s">
        <v>47</v>
      </c>
      <c r="R94" s="1" t="s">
        <v>48</v>
      </c>
      <c r="S94" s="1" t="s">
        <v>1900</v>
      </c>
      <c r="T94" s="7" t="s">
        <v>1902</v>
      </c>
      <c r="U94" s="7" t="s">
        <v>1904</v>
      </c>
      <c r="V94" s="1" t="s">
        <v>1890</v>
      </c>
      <c r="W94" s="7" t="s">
        <v>1905</v>
      </c>
      <c r="X94" s="7" t="s">
        <v>1911</v>
      </c>
      <c r="Y94" s="1"/>
      <c r="Z94" s="4">
        <v>4766.0</v>
      </c>
      <c r="AA94" s="4">
        <v>292.0</v>
      </c>
      <c r="AB94" s="4">
        <v>1228.0</v>
      </c>
      <c r="AC94" s="4">
        <v>278700.0</v>
      </c>
      <c r="AD94" s="1" t="s">
        <v>1912</v>
      </c>
      <c r="AE94" s="1" t="s">
        <v>1912</v>
      </c>
      <c r="AF94" s="1"/>
      <c r="AG94" s="1"/>
      <c r="AH94" s="1"/>
      <c r="AI94" s="1"/>
      <c r="AJ94" s="1"/>
      <c r="AK94" s="1"/>
      <c r="AL94" s="1">
        <f>IFERROR(__xludf.DUMMYFUNCTION("IF(
  TRIM(AD94)="""",
  0,
  COUNTA(
    SPLIT(
      REGEXREPLACE(AD94,""\s*,\s*"","",""),
      "",""
    )
  )
)"),3.0)</f>
        <v>3</v>
      </c>
    </row>
    <row r="95">
      <c r="A95" s="1" t="s">
        <v>1913</v>
      </c>
      <c r="B95" s="1" t="s">
        <v>1913</v>
      </c>
      <c r="C95" s="1" t="s">
        <v>1914</v>
      </c>
      <c r="D95" s="1" t="s">
        <v>1915</v>
      </c>
      <c r="E95" s="4">
        <v>136.0</v>
      </c>
      <c r="F95" s="4">
        <v>10.0</v>
      </c>
      <c r="G95" s="4">
        <v>6.0</v>
      </c>
      <c r="H95" s="7" t="s">
        <v>1916</v>
      </c>
      <c r="I95" s="1" t="s">
        <v>1918</v>
      </c>
      <c r="J95" s="1" t="s">
        <v>1919</v>
      </c>
      <c r="K95" s="9">
        <v>45354.65820601852</v>
      </c>
      <c r="L95" s="4">
        <v>1.709480869E9</v>
      </c>
      <c r="M95" s="1" t="s">
        <v>47</v>
      </c>
      <c r="N95" s="1" t="s">
        <v>47</v>
      </c>
      <c r="O95" s="1" t="s">
        <v>47</v>
      </c>
      <c r="P95" s="1" t="s">
        <v>47</v>
      </c>
      <c r="Q95" s="1" t="s">
        <v>47</v>
      </c>
      <c r="R95" s="1" t="s">
        <v>1920</v>
      </c>
      <c r="S95" s="1" t="s">
        <v>1921</v>
      </c>
      <c r="T95" s="7" t="s">
        <v>1922</v>
      </c>
      <c r="U95" s="7" t="s">
        <v>1926</v>
      </c>
      <c r="V95" s="1" t="s">
        <v>1419</v>
      </c>
      <c r="W95" s="7" t="s">
        <v>1927</v>
      </c>
      <c r="X95" s="7" t="s">
        <v>1929</v>
      </c>
      <c r="Y95" s="1"/>
      <c r="Z95" s="4">
        <v>3510.0</v>
      </c>
      <c r="AA95" s="4">
        <v>94.0</v>
      </c>
      <c r="AB95" s="4">
        <v>184.0</v>
      </c>
      <c r="AC95" s="4">
        <v>186400.0</v>
      </c>
      <c r="AD95" s="1" t="s">
        <v>1930</v>
      </c>
      <c r="AE95" s="1" t="s">
        <v>1930</v>
      </c>
      <c r="AF95" s="1"/>
      <c r="AG95" s="1"/>
      <c r="AH95" s="1" t="s">
        <v>97</v>
      </c>
      <c r="AI95" s="1"/>
      <c r="AJ95" s="1"/>
      <c r="AK95" s="1"/>
      <c r="AL95" s="1">
        <f>IFERROR(__xludf.DUMMYFUNCTION("IF(
  TRIM(AD95)="""",
  0,
  COUNTA(
    SPLIT(
      REGEXREPLACE(AD95,""\s*,\s*"","",""),
      "",""
    )
  )
)"),3.0)</f>
        <v>3</v>
      </c>
    </row>
    <row r="96">
      <c r="A96" s="1" t="s">
        <v>1932</v>
      </c>
      <c r="B96" s="1" t="s">
        <v>1932</v>
      </c>
      <c r="C96" s="1" t="s">
        <v>1933</v>
      </c>
      <c r="D96" s="1" t="s">
        <v>1934</v>
      </c>
      <c r="E96" s="4">
        <v>4293.0</v>
      </c>
      <c r="F96" s="4">
        <v>2.0</v>
      </c>
      <c r="G96" s="4">
        <v>87.0</v>
      </c>
      <c r="H96" s="7" t="s">
        <v>1937</v>
      </c>
      <c r="I96" s="1" t="s">
        <v>1940</v>
      </c>
      <c r="J96" s="1"/>
      <c r="K96" s="9">
        <v>45887.541666666664</v>
      </c>
      <c r="L96" s="4">
        <v>1.755522E9</v>
      </c>
      <c r="M96" s="1" t="s">
        <v>47</v>
      </c>
      <c r="N96" s="1" t="s">
        <v>47</v>
      </c>
      <c r="O96" s="1" t="s">
        <v>47</v>
      </c>
      <c r="P96" s="1" t="s">
        <v>47</v>
      </c>
      <c r="Q96" s="1" t="s">
        <v>47</v>
      </c>
      <c r="R96" s="1" t="s">
        <v>1941</v>
      </c>
      <c r="S96" s="1" t="s">
        <v>1942</v>
      </c>
      <c r="T96" s="7" t="s">
        <v>1943</v>
      </c>
      <c r="U96" s="7" t="s">
        <v>1945</v>
      </c>
      <c r="V96" s="1" t="s">
        <v>1934</v>
      </c>
      <c r="W96" s="7" t="s">
        <v>1949</v>
      </c>
      <c r="X96" s="7" t="s">
        <v>1954</v>
      </c>
      <c r="Y96" s="1"/>
      <c r="Z96" s="4">
        <v>3320.0</v>
      </c>
      <c r="AA96" s="4">
        <v>108.0</v>
      </c>
      <c r="AB96" s="4">
        <v>1247.0</v>
      </c>
      <c r="AC96" s="4">
        <v>66900.0</v>
      </c>
      <c r="AD96" s="1" t="s">
        <v>1955</v>
      </c>
      <c r="AE96" s="1" t="s">
        <v>1955</v>
      </c>
      <c r="AF96" s="1"/>
      <c r="AG96" s="1"/>
      <c r="AH96" s="1" t="s">
        <v>121</v>
      </c>
      <c r="AI96" s="1"/>
      <c r="AJ96" s="1"/>
      <c r="AK96" s="1"/>
      <c r="AL96" s="1">
        <f>IFERROR(__xludf.DUMMYFUNCTION("IF(
  TRIM(AD96)="""",
  0,
  COUNTA(
    SPLIT(
      REGEXREPLACE(AD96,""\s*,\s*"","",""),
      "",""
    )
  )
)"),3.0)</f>
        <v>3</v>
      </c>
    </row>
    <row r="97">
      <c r="A97" s="1" t="s">
        <v>1956</v>
      </c>
      <c r="B97" s="1" t="s">
        <v>1956</v>
      </c>
      <c r="C97" s="1" t="s">
        <v>1957</v>
      </c>
      <c r="D97" s="1" t="s">
        <v>1958</v>
      </c>
      <c r="E97" s="4">
        <v>1930.0</v>
      </c>
      <c r="F97" s="4">
        <v>0.0</v>
      </c>
      <c r="G97" s="4">
        <v>135.0</v>
      </c>
      <c r="H97" s="7" t="s">
        <v>1960</v>
      </c>
      <c r="I97" s="1" t="s">
        <v>1962</v>
      </c>
      <c r="J97" s="1"/>
      <c r="K97" s="9">
        <v>45753.84237268518</v>
      </c>
      <c r="L97" s="4">
        <v>1.743970381E9</v>
      </c>
      <c r="M97" s="1" t="s">
        <v>47</v>
      </c>
      <c r="N97" s="1" t="s">
        <v>47</v>
      </c>
      <c r="O97" s="1" t="s">
        <v>47</v>
      </c>
      <c r="P97" s="1" t="s">
        <v>47</v>
      </c>
      <c r="Q97" s="1" t="s">
        <v>47</v>
      </c>
      <c r="R97" s="1" t="s">
        <v>48</v>
      </c>
      <c r="S97" s="1" t="s">
        <v>1963</v>
      </c>
      <c r="T97" s="7" t="s">
        <v>1964</v>
      </c>
      <c r="U97" s="7" t="s">
        <v>1971</v>
      </c>
      <c r="V97" s="1" t="s">
        <v>1958</v>
      </c>
      <c r="W97" s="7" t="s">
        <v>1980</v>
      </c>
      <c r="X97" s="7" t="s">
        <v>1985</v>
      </c>
      <c r="Y97" s="1"/>
      <c r="Z97" s="4">
        <v>3264.0</v>
      </c>
      <c r="AA97" s="4">
        <v>169.0</v>
      </c>
      <c r="AB97" s="4">
        <v>772.0</v>
      </c>
      <c r="AC97" s="4">
        <v>83800.0</v>
      </c>
      <c r="AD97" s="1" t="s">
        <v>1989</v>
      </c>
      <c r="AE97" s="1" t="s">
        <v>1989</v>
      </c>
      <c r="AF97" s="1"/>
      <c r="AG97" s="1"/>
      <c r="AH97" s="1"/>
      <c r="AI97" s="1"/>
      <c r="AJ97" s="1"/>
      <c r="AK97" s="1"/>
      <c r="AL97" s="1">
        <f>IFERROR(__xludf.DUMMYFUNCTION("IF(
  TRIM(AD97)="""",
  0,
  COUNTA(
    SPLIT(
      REGEXREPLACE(AD97,""\s*,\s*"","",""),
      "",""
    )
  )
)"),3.0)</f>
        <v>3</v>
      </c>
    </row>
    <row r="98">
      <c r="A98" s="1" t="s">
        <v>1990</v>
      </c>
      <c r="B98" s="1" t="s">
        <v>1990</v>
      </c>
      <c r="C98" s="1" t="s">
        <v>1380</v>
      </c>
      <c r="D98" s="1" t="s">
        <v>1381</v>
      </c>
      <c r="E98" s="4">
        <v>13000.0</v>
      </c>
      <c r="F98" s="4">
        <v>8598.0</v>
      </c>
      <c r="G98" s="4">
        <v>225.0</v>
      </c>
      <c r="H98" s="7" t="s">
        <v>1991</v>
      </c>
      <c r="I98" s="1" t="s">
        <v>1993</v>
      </c>
      <c r="J98" s="1"/>
      <c r="K98" s="9">
        <v>45183.54582175926</v>
      </c>
      <c r="L98" s="4">
        <v>1.694696759E9</v>
      </c>
      <c r="M98" s="1" t="s">
        <v>47</v>
      </c>
      <c r="N98" s="1" t="s">
        <v>47</v>
      </c>
      <c r="O98" s="1" t="s">
        <v>47</v>
      </c>
      <c r="P98" s="1" t="s">
        <v>47</v>
      </c>
      <c r="Q98" s="1" t="s">
        <v>47</v>
      </c>
      <c r="R98" s="1" t="s">
        <v>48</v>
      </c>
      <c r="S98" s="1" t="s">
        <v>1994</v>
      </c>
      <c r="T98" s="7" t="s">
        <v>1995</v>
      </c>
      <c r="U98" s="7" t="s">
        <v>1392</v>
      </c>
      <c r="V98" s="1" t="s">
        <v>1381</v>
      </c>
      <c r="W98" s="7" t="s">
        <v>2004</v>
      </c>
      <c r="X98" s="7" t="s">
        <v>2007</v>
      </c>
      <c r="Y98" s="1"/>
      <c r="Z98" s="4">
        <v>2286.0</v>
      </c>
      <c r="AA98" s="4">
        <v>60.0</v>
      </c>
      <c r="AB98" s="4">
        <v>187.0</v>
      </c>
      <c r="AC98" s="4">
        <v>44700.0</v>
      </c>
      <c r="AD98" s="1" t="s">
        <v>2012</v>
      </c>
      <c r="AE98" s="1" t="s">
        <v>2012</v>
      </c>
      <c r="AF98" s="1"/>
      <c r="AG98" s="1"/>
      <c r="AH98" s="1" t="s">
        <v>2014</v>
      </c>
      <c r="AI98" s="1"/>
      <c r="AJ98" s="1"/>
      <c r="AK98" s="1"/>
      <c r="AL98" s="1">
        <f>IFERROR(__xludf.DUMMYFUNCTION("IF(
  TRIM(AD98)="""",
  0,
  COUNTA(
    SPLIT(
      REGEXREPLACE(AD98,""\s*,\s*"","",""),
      "",""
    )
  )
)"),3.0)</f>
        <v>3</v>
      </c>
    </row>
    <row r="99">
      <c r="A99" s="1" t="s">
        <v>2015</v>
      </c>
      <c r="B99" s="1" t="s">
        <v>2015</v>
      </c>
      <c r="C99" s="1" t="s">
        <v>2016</v>
      </c>
      <c r="D99" s="1" t="s">
        <v>2017</v>
      </c>
      <c r="E99" s="4">
        <v>24100.0</v>
      </c>
      <c r="F99" s="4">
        <v>45.0</v>
      </c>
      <c r="G99" s="4">
        <v>263.0</v>
      </c>
      <c r="H99" s="7" t="s">
        <v>2018</v>
      </c>
      <c r="I99" s="1" t="s">
        <v>2023</v>
      </c>
      <c r="J99" s="1"/>
      <c r="K99" s="9">
        <v>45118.604166666664</v>
      </c>
      <c r="L99" s="4">
        <v>1.6890858E9</v>
      </c>
      <c r="M99" s="1" t="s">
        <v>47</v>
      </c>
      <c r="N99" s="1" t="s">
        <v>47</v>
      </c>
      <c r="O99" s="1" t="s">
        <v>47</v>
      </c>
      <c r="P99" s="1" t="s">
        <v>47</v>
      </c>
      <c r="Q99" s="1" t="s">
        <v>47</v>
      </c>
      <c r="R99" s="1" t="s">
        <v>2024</v>
      </c>
      <c r="S99" s="1" t="s">
        <v>2025</v>
      </c>
      <c r="T99" s="7" t="s">
        <v>2026</v>
      </c>
      <c r="U99" s="7" t="s">
        <v>2028</v>
      </c>
      <c r="V99" s="1" t="s">
        <v>2017</v>
      </c>
      <c r="W99" s="7" t="s">
        <v>2030</v>
      </c>
      <c r="X99" s="7" t="s">
        <v>2034</v>
      </c>
      <c r="Y99" s="1"/>
      <c r="Z99" s="4">
        <v>2246.0</v>
      </c>
      <c r="AA99" s="4">
        <v>34.0</v>
      </c>
      <c r="AB99" s="4">
        <v>351.0</v>
      </c>
      <c r="AC99" s="4">
        <v>55100.0</v>
      </c>
      <c r="AD99" s="1" t="s">
        <v>2035</v>
      </c>
      <c r="AE99" s="1" t="s">
        <v>2035</v>
      </c>
      <c r="AF99" s="1"/>
      <c r="AG99" s="1"/>
      <c r="AH99" s="1" t="s">
        <v>85</v>
      </c>
      <c r="AI99" s="1"/>
      <c r="AJ99" s="1"/>
      <c r="AK99" s="1"/>
      <c r="AL99" s="1">
        <f>IFERROR(__xludf.DUMMYFUNCTION("IF(
  TRIM(AD99)="""",
  0,
  COUNTA(
    SPLIT(
      REGEXREPLACE(AD99,""\s*,\s*"","",""),
      "",""
    )
  )
)"),3.0)</f>
        <v>3</v>
      </c>
    </row>
    <row r="100">
      <c r="A100" s="1" t="s">
        <v>2036</v>
      </c>
      <c r="B100" s="1" t="s">
        <v>2036</v>
      </c>
      <c r="C100" s="1" t="s">
        <v>1380</v>
      </c>
      <c r="D100" s="1" t="s">
        <v>1381</v>
      </c>
      <c r="E100" s="4">
        <v>13000.0</v>
      </c>
      <c r="F100" s="4">
        <v>8598.0</v>
      </c>
      <c r="G100" s="4">
        <v>225.0</v>
      </c>
      <c r="H100" s="7" t="s">
        <v>1991</v>
      </c>
      <c r="I100" s="1" t="s">
        <v>2037</v>
      </c>
      <c r="J100" s="1" t="s">
        <v>2038</v>
      </c>
      <c r="K100" s="9">
        <v>45226.40590277778</v>
      </c>
      <c r="L100" s="4">
        <v>1.69839987E9</v>
      </c>
      <c r="M100" s="1" t="s">
        <v>47</v>
      </c>
      <c r="N100" s="1" t="s">
        <v>47</v>
      </c>
      <c r="O100" s="1" t="s">
        <v>47</v>
      </c>
      <c r="P100" s="1" t="s">
        <v>47</v>
      </c>
      <c r="Q100" s="1" t="s">
        <v>47</v>
      </c>
      <c r="R100" s="1" t="s">
        <v>48</v>
      </c>
      <c r="S100" s="1" t="s">
        <v>2039</v>
      </c>
      <c r="T100" s="7" t="s">
        <v>2040</v>
      </c>
      <c r="U100" s="7" t="s">
        <v>2042</v>
      </c>
      <c r="V100" s="1" t="s">
        <v>1381</v>
      </c>
      <c r="W100" s="7" t="s">
        <v>2044</v>
      </c>
      <c r="X100" s="7" t="s">
        <v>2049</v>
      </c>
      <c r="Y100" s="1"/>
      <c r="Z100" s="4">
        <v>1875.0</v>
      </c>
      <c r="AA100" s="4">
        <v>46.0</v>
      </c>
      <c r="AB100" s="4">
        <v>656.0</v>
      </c>
      <c r="AC100" s="4">
        <v>43800.0</v>
      </c>
      <c r="AD100" s="1" t="s">
        <v>2051</v>
      </c>
      <c r="AE100" s="1" t="s">
        <v>2051</v>
      </c>
      <c r="AF100" s="1"/>
      <c r="AG100" s="1"/>
      <c r="AH100" s="1"/>
      <c r="AI100" s="1"/>
      <c r="AJ100" s="1"/>
      <c r="AK100" s="1"/>
      <c r="AL100" s="1">
        <f>IFERROR(__xludf.DUMMYFUNCTION("IF(
  TRIM(AD100)="""",
  0,
  COUNTA(
    SPLIT(
      REGEXREPLACE(AD100,""\s*,\s*"","",""),
      "",""
    )
  )
)"),3.0)</f>
        <v>3</v>
      </c>
    </row>
    <row r="101">
      <c r="A101" s="1" t="s">
        <v>2052</v>
      </c>
      <c r="B101" s="1" t="s">
        <v>2052</v>
      </c>
      <c r="C101" s="1" t="s">
        <v>920</v>
      </c>
      <c r="D101" s="1" t="s">
        <v>921</v>
      </c>
      <c r="E101" s="4">
        <v>299500.0</v>
      </c>
      <c r="F101" s="4">
        <v>1919.0</v>
      </c>
      <c r="G101" s="4">
        <v>1418.0</v>
      </c>
      <c r="H101" s="7" t="s">
        <v>1280</v>
      </c>
      <c r="I101" s="1" t="s">
        <v>2053</v>
      </c>
      <c r="J101" s="1"/>
      <c r="K101" s="9">
        <v>45906.91465277778</v>
      </c>
      <c r="L101" s="4">
        <v>1.757195826E9</v>
      </c>
      <c r="M101" s="1" t="s">
        <v>47</v>
      </c>
      <c r="N101" s="1" t="s">
        <v>47</v>
      </c>
      <c r="O101" s="1" t="s">
        <v>47</v>
      </c>
      <c r="P101" s="1" t="s">
        <v>47</v>
      </c>
      <c r="Q101" s="1" t="s">
        <v>47</v>
      </c>
      <c r="R101" s="1" t="s">
        <v>1282</v>
      </c>
      <c r="S101" s="1" t="s">
        <v>2054</v>
      </c>
      <c r="T101" s="7" t="s">
        <v>2055</v>
      </c>
      <c r="U101" s="7" t="s">
        <v>1287</v>
      </c>
      <c r="V101" s="1" t="s">
        <v>921</v>
      </c>
      <c r="W101" s="7" t="s">
        <v>2066</v>
      </c>
      <c r="X101" s="7" t="s">
        <v>2069</v>
      </c>
      <c r="Y101" s="1"/>
      <c r="Z101" s="4">
        <v>1478.0</v>
      </c>
      <c r="AA101" s="4">
        <v>11.0</v>
      </c>
      <c r="AB101" s="4">
        <v>477.0</v>
      </c>
      <c r="AC101" s="4">
        <v>32400.0</v>
      </c>
      <c r="AD101" s="1" t="s">
        <v>1289</v>
      </c>
      <c r="AE101" s="1" t="s">
        <v>1289</v>
      </c>
      <c r="AF101" s="1"/>
      <c r="AG101" s="1"/>
      <c r="AH101" s="1"/>
      <c r="AI101" s="1"/>
      <c r="AJ101" s="1"/>
      <c r="AK101" s="1"/>
      <c r="AL101" s="1">
        <f>IFERROR(__xludf.DUMMYFUNCTION("IF(
  TRIM(AD101)="""",
  0,
  COUNTA(
    SPLIT(
      REGEXREPLACE(AD101,""\s*,\s*"","",""),
      "",""
    )
  )
)"),3.0)</f>
        <v>3</v>
      </c>
    </row>
    <row r="102">
      <c r="A102" s="1" t="s">
        <v>2080</v>
      </c>
      <c r="B102" s="1" t="s">
        <v>2080</v>
      </c>
      <c r="C102" s="1" t="s">
        <v>920</v>
      </c>
      <c r="D102" s="1" t="s">
        <v>921</v>
      </c>
      <c r="E102" s="4">
        <v>299500.0</v>
      </c>
      <c r="F102" s="4">
        <v>1919.0</v>
      </c>
      <c r="G102" s="4">
        <v>1418.0</v>
      </c>
      <c r="H102" s="7" t="s">
        <v>1280</v>
      </c>
      <c r="I102" s="1" t="s">
        <v>2081</v>
      </c>
      <c r="J102" s="1"/>
      <c r="K102" s="9">
        <v>45964.965474537035</v>
      </c>
      <c r="L102" s="4">
        <v>1.762211417E9</v>
      </c>
      <c r="M102" s="1" t="s">
        <v>47</v>
      </c>
      <c r="N102" s="1" t="s">
        <v>47</v>
      </c>
      <c r="O102" s="1" t="s">
        <v>47</v>
      </c>
      <c r="P102" s="1" t="s">
        <v>47</v>
      </c>
      <c r="Q102" s="1" t="s">
        <v>47</v>
      </c>
      <c r="R102" s="1" t="s">
        <v>1282</v>
      </c>
      <c r="S102" s="1" t="s">
        <v>2082</v>
      </c>
      <c r="T102" s="7" t="s">
        <v>2083</v>
      </c>
      <c r="U102" s="7" t="s">
        <v>1331</v>
      </c>
      <c r="V102" s="1" t="s">
        <v>921</v>
      </c>
      <c r="W102" s="7" t="s">
        <v>2087</v>
      </c>
      <c r="X102" s="7" t="s">
        <v>2091</v>
      </c>
      <c r="Y102" s="1"/>
      <c r="Z102" s="4">
        <v>1411.0</v>
      </c>
      <c r="AA102" s="4">
        <v>18.0</v>
      </c>
      <c r="AB102" s="4">
        <v>415.0</v>
      </c>
      <c r="AC102" s="4">
        <v>18100.0</v>
      </c>
      <c r="AD102" s="1" t="s">
        <v>1289</v>
      </c>
      <c r="AE102" s="1" t="s">
        <v>1289</v>
      </c>
      <c r="AF102" s="1"/>
      <c r="AG102" s="1"/>
      <c r="AH102" s="1"/>
      <c r="AI102" s="1"/>
      <c r="AJ102" s="1"/>
      <c r="AK102" s="1"/>
      <c r="AL102" s="1">
        <f>IFERROR(__xludf.DUMMYFUNCTION("IF(
  TRIM(AD102)="""",
  0,
  COUNTA(
    SPLIT(
      REGEXREPLACE(AD102,""\s*,\s*"","",""),
      "",""
    )
  )
)"),3.0)</f>
        <v>3</v>
      </c>
    </row>
    <row r="103">
      <c r="A103" s="1" t="s">
        <v>2095</v>
      </c>
      <c r="B103" s="1" t="s">
        <v>2095</v>
      </c>
      <c r="C103" s="1" t="s">
        <v>987</v>
      </c>
      <c r="D103" s="1" t="s">
        <v>988</v>
      </c>
      <c r="E103" s="4">
        <v>159500.0</v>
      </c>
      <c r="F103" s="4">
        <v>66800.0</v>
      </c>
      <c r="G103" s="4">
        <v>1031.0</v>
      </c>
      <c r="H103" s="7" t="s">
        <v>1298</v>
      </c>
      <c r="I103" s="1" t="s">
        <v>2096</v>
      </c>
      <c r="J103" s="1"/>
      <c r="K103" s="9">
        <v>45833.66894675926</v>
      </c>
      <c r="L103" s="4">
        <v>1.750867397E9</v>
      </c>
      <c r="M103" s="1" t="s">
        <v>47</v>
      </c>
      <c r="N103" s="1" t="s">
        <v>47</v>
      </c>
      <c r="O103" s="1" t="s">
        <v>47</v>
      </c>
      <c r="P103" s="1" t="s">
        <v>47</v>
      </c>
      <c r="Q103" s="1" t="s">
        <v>47</v>
      </c>
      <c r="R103" s="1" t="s">
        <v>204</v>
      </c>
      <c r="S103" s="1" t="s">
        <v>2097</v>
      </c>
      <c r="T103" s="7" t="s">
        <v>2098</v>
      </c>
      <c r="U103" s="7" t="s">
        <v>2101</v>
      </c>
      <c r="V103" s="1" t="s">
        <v>2106</v>
      </c>
      <c r="W103" s="7" t="s">
        <v>2107</v>
      </c>
      <c r="X103" s="7" t="s">
        <v>2110</v>
      </c>
      <c r="Y103" s="1"/>
      <c r="Z103" s="4">
        <v>960.0</v>
      </c>
      <c r="AA103" s="4">
        <v>52.0</v>
      </c>
      <c r="AB103" s="4">
        <v>140.0</v>
      </c>
      <c r="AC103" s="4">
        <v>29900.0</v>
      </c>
      <c r="AD103" s="1" t="s">
        <v>1003</v>
      </c>
      <c r="AE103" s="1" t="s">
        <v>1003</v>
      </c>
      <c r="AF103" s="1"/>
      <c r="AG103" s="1"/>
      <c r="AH103" s="1" t="s">
        <v>121</v>
      </c>
      <c r="AI103" s="1"/>
      <c r="AJ103" s="1"/>
      <c r="AK103" s="1"/>
      <c r="AL103" s="1">
        <f>IFERROR(__xludf.DUMMYFUNCTION("IF(
  TRIM(AD103)="""",
  0,
  COUNTA(
    SPLIT(
      REGEXREPLACE(AD103,""\s*,\s*"","",""),
      "",""
    )
  )
)"),3.0)</f>
        <v>3</v>
      </c>
    </row>
    <row r="104">
      <c r="A104" s="1" t="s">
        <v>2112</v>
      </c>
      <c r="B104" s="1" t="s">
        <v>2112</v>
      </c>
      <c r="C104" s="1" t="s">
        <v>69</v>
      </c>
      <c r="D104" s="1" t="s">
        <v>70</v>
      </c>
      <c r="E104" s="4">
        <v>176100.0</v>
      </c>
      <c r="F104" s="4">
        <v>889.0</v>
      </c>
      <c r="G104" s="4">
        <v>777.0</v>
      </c>
      <c r="H104" s="7" t="s">
        <v>330</v>
      </c>
      <c r="I104" s="1" t="s">
        <v>2113</v>
      </c>
      <c r="J104" s="1"/>
      <c r="K104" s="9">
        <v>45982.953888888886</v>
      </c>
      <c r="L104" s="4">
        <v>1.763765616E9</v>
      </c>
      <c r="M104" s="1" t="s">
        <v>47</v>
      </c>
      <c r="N104" s="1" t="s">
        <v>47</v>
      </c>
      <c r="O104" s="1" t="s">
        <v>47</v>
      </c>
      <c r="P104" s="1" t="s">
        <v>47</v>
      </c>
      <c r="Q104" s="1" t="s">
        <v>47</v>
      </c>
      <c r="R104" s="1" t="s">
        <v>48</v>
      </c>
      <c r="S104" s="1" t="s">
        <v>2114</v>
      </c>
      <c r="T104" s="7" t="s">
        <v>2115</v>
      </c>
      <c r="U104" s="7" t="s">
        <v>355</v>
      </c>
      <c r="V104" s="1" t="s">
        <v>70</v>
      </c>
      <c r="W104" s="7" t="s">
        <v>2117</v>
      </c>
      <c r="X104" s="7" t="s">
        <v>2120</v>
      </c>
      <c r="Y104" s="1"/>
      <c r="Z104" s="4">
        <v>944.0</v>
      </c>
      <c r="AA104" s="4">
        <v>8.0</v>
      </c>
      <c r="AB104" s="4">
        <v>112.0</v>
      </c>
      <c r="AC104" s="4">
        <v>7794.0</v>
      </c>
      <c r="AD104" s="1" t="s">
        <v>2121</v>
      </c>
      <c r="AE104" s="1" t="s">
        <v>2121</v>
      </c>
      <c r="AF104" s="1"/>
      <c r="AG104" s="1"/>
      <c r="AH104" s="1"/>
      <c r="AI104" s="1"/>
      <c r="AJ104" s="1"/>
      <c r="AK104" s="1"/>
      <c r="AL104" s="1">
        <f>IFERROR(__xludf.DUMMYFUNCTION("IF(
  TRIM(AD104)="""",
  0,
  COUNTA(
    SPLIT(
      REGEXREPLACE(AD104,""\s*,\s*"","",""),
      "",""
    )
  )
)"),3.0)</f>
        <v>3</v>
      </c>
    </row>
    <row r="105">
      <c r="A105" s="1" t="s">
        <v>2122</v>
      </c>
      <c r="B105" s="1" t="s">
        <v>2122</v>
      </c>
      <c r="C105" s="1" t="s">
        <v>1362</v>
      </c>
      <c r="D105" s="1" t="s">
        <v>1362</v>
      </c>
      <c r="E105" s="4">
        <v>6483.0</v>
      </c>
      <c r="F105" s="4">
        <v>52.0</v>
      </c>
      <c r="G105" s="4">
        <v>50.0</v>
      </c>
      <c r="H105" s="7" t="s">
        <v>2123</v>
      </c>
      <c r="I105" s="1" t="s">
        <v>2124</v>
      </c>
      <c r="J105" s="1"/>
      <c r="K105" s="9">
        <v>45631.835497685184</v>
      </c>
      <c r="L105" s="4">
        <v>1.733428987E9</v>
      </c>
      <c r="M105" s="1" t="s">
        <v>47</v>
      </c>
      <c r="N105" s="1" t="s">
        <v>47</v>
      </c>
      <c r="O105" s="1" t="s">
        <v>47</v>
      </c>
      <c r="P105" s="1" t="s">
        <v>47</v>
      </c>
      <c r="Q105" s="1" t="s">
        <v>47</v>
      </c>
      <c r="R105" s="1" t="s">
        <v>48</v>
      </c>
      <c r="S105" s="1" t="s">
        <v>2128</v>
      </c>
      <c r="T105" s="7" t="s">
        <v>2130</v>
      </c>
      <c r="U105" s="7" t="s">
        <v>1372</v>
      </c>
      <c r="V105" s="1" t="s">
        <v>1362</v>
      </c>
      <c r="W105" s="7" t="s">
        <v>2135</v>
      </c>
      <c r="X105" s="7" t="s">
        <v>2138</v>
      </c>
      <c r="Y105" s="1"/>
      <c r="Z105" s="4">
        <v>943.0</v>
      </c>
      <c r="AA105" s="4">
        <v>81.0</v>
      </c>
      <c r="AB105" s="4">
        <v>300.0</v>
      </c>
      <c r="AC105" s="4">
        <v>58100.0</v>
      </c>
      <c r="AD105" s="1" t="s">
        <v>1378</v>
      </c>
      <c r="AE105" s="1" t="s">
        <v>1378</v>
      </c>
      <c r="AF105" s="1"/>
      <c r="AG105" s="1"/>
      <c r="AH105" s="1" t="s">
        <v>97</v>
      </c>
      <c r="AI105" s="1"/>
      <c r="AJ105" s="1"/>
      <c r="AK105" s="1"/>
      <c r="AL105" s="1">
        <f>IFERROR(__xludf.DUMMYFUNCTION("IF(
  TRIM(AD105)="""",
  0,
  COUNTA(
    SPLIT(
      REGEXREPLACE(AD105,""\s*,\s*"","",""),
      "",""
    )
  )
)"),3.0)</f>
        <v>3</v>
      </c>
    </row>
    <row r="106">
      <c r="A106" s="1" t="s">
        <v>2145</v>
      </c>
      <c r="B106" s="1" t="s">
        <v>2145</v>
      </c>
      <c r="C106" s="1" t="s">
        <v>1362</v>
      </c>
      <c r="D106" s="1" t="s">
        <v>1362</v>
      </c>
      <c r="E106" s="4">
        <v>6483.0</v>
      </c>
      <c r="F106" s="4">
        <v>52.0</v>
      </c>
      <c r="G106" s="4">
        <v>50.0</v>
      </c>
      <c r="H106" s="7" t="s">
        <v>1363</v>
      </c>
      <c r="I106" s="1" t="s">
        <v>2146</v>
      </c>
      <c r="J106" s="1"/>
      <c r="K106" s="9">
        <v>45644.70266203704</v>
      </c>
      <c r="L106" s="4">
        <v>1.73454071E9</v>
      </c>
      <c r="M106" s="1" t="s">
        <v>47</v>
      </c>
      <c r="N106" s="1" t="s">
        <v>47</v>
      </c>
      <c r="O106" s="1" t="s">
        <v>47</v>
      </c>
      <c r="P106" s="1" t="s">
        <v>47</v>
      </c>
      <c r="Q106" s="1" t="s">
        <v>47</v>
      </c>
      <c r="R106" s="1" t="s">
        <v>48</v>
      </c>
      <c r="S106" s="1" t="s">
        <v>2147</v>
      </c>
      <c r="T106" s="7" t="s">
        <v>2148</v>
      </c>
      <c r="U106" s="7" t="s">
        <v>1372</v>
      </c>
      <c r="V106" s="1" t="s">
        <v>1362</v>
      </c>
      <c r="W106" s="7" t="s">
        <v>2155</v>
      </c>
      <c r="X106" s="7" t="s">
        <v>2157</v>
      </c>
      <c r="Y106" s="1"/>
      <c r="Z106" s="4">
        <v>620.0</v>
      </c>
      <c r="AA106" s="4">
        <v>35.0</v>
      </c>
      <c r="AB106" s="4">
        <v>158.0</v>
      </c>
      <c r="AC106" s="4">
        <v>20500.0</v>
      </c>
      <c r="AD106" s="1" t="s">
        <v>1378</v>
      </c>
      <c r="AE106" s="1" t="s">
        <v>1378</v>
      </c>
      <c r="AF106" s="1"/>
      <c r="AG106" s="1"/>
      <c r="AH106" s="1"/>
      <c r="AI106" s="1"/>
      <c r="AJ106" s="1"/>
      <c r="AK106" s="1"/>
      <c r="AL106" s="1">
        <f>IFERROR(__xludf.DUMMYFUNCTION("IF(
  TRIM(AD106)="""",
  0,
  COUNTA(
    SPLIT(
      REGEXREPLACE(AD106,""\s*,\s*"","",""),
      "",""
    )
  )
)"),3.0)</f>
        <v>3</v>
      </c>
    </row>
    <row r="107">
      <c r="A107" s="1" t="s">
        <v>2158</v>
      </c>
      <c r="B107" s="1" t="s">
        <v>2158</v>
      </c>
      <c r="C107" s="1" t="s">
        <v>987</v>
      </c>
      <c r="D107" s="1" t="s">
        <v>988</v>
      </c>
      <c r="E107" s="4">
        <v>159500.0</v>
      </c>
      <c r="F107" s="4">
        <v>66800.0</v>
      </c>
      <c r="G107" s="4">
        <v>1031.0</v>
      </c>
      <c r="H107" s="7" t="s">
        <v>1214</v>
      </c>
      <c r="I107" s="1" t="s">
        <v>2159</v>
      </c>
      <c r="J107" s="1"/>
      <c r="K107" s="9">
        <v>45946.928564814814</v>
      </c>
      <c r="L107" s="4">
        <v>1.760653028E9</v>
      </c>
      <c r="M107" s="1" t="s">
        <v>47</v>
      </c>
      <c r="N107" s="1" t="s">
        <v>47</v>
      </c>
      <c r="O107" s="1" t="s">
        <v>47</v>
      </c>
      <c r="P107" s="1" t="s">
        <v>47</v>
      </c>
      <c r="Q107" s="1" t="s">
        <v>47</v>
      </c>
      <c r="R107" s="1" t="s">
        <v>48</v>
      </c>
      <c r="S107" s="1" t="s">
        <v>2160</v>
      </c>
      <c r="T107" s="7" t="s">
        <v>2162</v>
      </c>
      <c r="U107" s="7" t="s">
        <v>1547</v>
      </c>
      <c r="V107" s="1" t="s">
        <v>988</v>
      </c>
      <c r="W107" s="7" t="s">
        <v>2172</v>
      </c>
      <c r="X107" s="7" t="s">
        <v>2175</v>
      </c>
      <c r="Y107" s="1"/>
      <c r="Z107" s="4">
        <v>459.0</v>
      </c>
      <c r="AA107" s="4">
        <v>14.0</v>
      </c>
      <c r="AB107" s="4">
        <v>38.0</v>
      </c>
      <c r="AC107" s="4">
        <v>6721.0</v>
      </c>
      <c r="AD107" s="1" t="s">
        <v>1003</v>
      </c>
      <c r="AE107" s="1" t="s">
        <v>1003</v>
      </c>
      <c r="AF107" s="1"/>
      <c r="AG107" s="1"/>
      <c r="AH107" s="1"/>
      <c r="AI107" s="1"/>
      <c r="AJ107" s="1"/>
      <c r="AK107" s="1"/>
      <c r="AL107" s="1">
        <f>IFERROR(__xludf.DUMMYFUNCTION("IF(
  TRIM(AD107)="""",
  0,
  COUNTA(
    SPLIT(
      REGEXREPLACE(AD107,""\s*,\s*"","",""),
      "",""
    )
  )
)"),3.0)</f>
        <v>3</v>
      </c>
    </row>
    <row r="108">
      <c r="A108" s="1" t="s">
        <v>2178</v>
      </c>
      <c r="B108" s="1" t="s">
        <v>2178</v>
      </c>
      <c r="C108" s="1" t="s">
        <v>920</v>
      </c>
      <c r="D108" s="1" t="s">
        <v>921</v>
      </c>
      <c r="E108" s="4">
        <v>299500.0</v>
      </c>
      <c r="F108" s="4">
        <v>1919.0</v>
      </c>
      <c r="G108" s="4">
        <v>1418.0</v>
      </c>
      <c r="H108" s="7" t="s">
        <v>1280</v>
      </c>
      <c r="I108" s="1" t="s">
        <v>2183</v>
      </c>
      <c r="J108" s="1"/>
      <c r="K108" s="9">
        <v>45848.96162037037</v>
      </c>
      <c r="L108" s="4">
        <v>1.752188684E9</v>
      </c>
      <c r="M108" s="1" t="s">
        <v>47</v>
      </c>
      <c r="N108" s="1" t="s">
        <v>47</v>
      </c>
      <c r="O108" s="1" t="s">
        <v>47</v>
      </c>
      <c r="P108" s="1" t="s">
        <v>47</v>
      </c>
      <c r="Q108" s="1" t="s">
        <v>47</v>
      </c>
      <c r="R108" s="1" t="s">
        <v>1282</v>
      </c>
      <c r="S108" s="1" t="s">
        <v>2185</v>
      </c>
      <c r="T108" s="7" t="s">
        <v>2186</v>
      </c>
      <c r="U108" s="7" t="s">
        <v>1331</v>
      </c>
      <c r="V108" s="1" t="s">
        <v>921</v>
      </c>
      <c r="W108" s="7" t="s">
        <v>2188</v>
      </c>
      <c r="X108" s="7" t="s">
        <v>2190</v>
      </c>
      <c r="Y108" s="1"/>
      <c r="Z108" s="4">
        <v>388.0</v>
      </c>
      <c r="AA108" s="4">
        <v>9.0</v>
      </c>
      <c r="AB108" s="4">
        <v>362.0</v>
      </c>
      <c r="AC108" s="4">
        <v>13200.0</v>
      </c>
      <c r="AD108" s="1" t="s">
        <v>1289</v>
      </c>
      <c r="AE108" s="1" t="s">
        <v>1289</v>
      </c>
      <c r="AF108" s="1"/>
      <c r="AG108" s="1"/>
      <c r="AH108" s="1" t="s">
        <v>918</v>
      </c>
      <c r="AI108" s="1"/>
      <c r="AJ108" s="1"/>
      <c r="AK108" s="1"/>
      <c r="AL108" s="1">
        <f>IFERROR(__xludf.DUMMYFUNCTION("IF(
  TRIM(AD108)="""",
  0,
  COUNTA(
    SPLIT(
      REGEXREPLACE(AD108,""\s*,\s*"","",""),
      "",""
    )
  )
)"),3.0)</f>
        <v>3</v>
      </c>
    </row>
    <row r="109">
      <c r="A109" s="1" t="s">
        <v>2194</v>
      </c>
      <c r="B109" s="1" t="s">
        <v>2194</v>
      </c>
      <c r="C109" s="1" t="s">
        <v>1362</v>
      </c>
      <c r="D109" s="1" t="s">
        <v>1362</v>
      </c>
      <c r="E109" s="4">
        <v>6483.0</v>
      </c>
      <c r="F109" s="4">
        <v>52.0</v>
      </c>
      <c r="G109" s="4">
        <v>50.0</v>
      </c>
      <c r="H109" s="7" t="s">
        <v>2123</v>
      </c>
      <c r="I109" s="1" t="s">
        <v>2195</v>
      </c>
      <c r="J109" s="1"/>
      <c r="K109" s="9">
        <v>45642.58546296296</v>
      </c>
      <c r="L109" s="4">
        <v>1.734357784E9</v>
      </c>
      <c r="M109" s="1" t="s">
        <v>47</v>
      </c>
      <c r="N109" s="1" t="s">
        <v>47</v>
      </c>
      <c r="O109" s="1" t="s">
        <v>47</v>
      </c>
      <c r="P109" s="1" t="s">
        <v>47</v>
      </c>
      <c r="Q109" s="1" t="s">
        <v>47</v>
      </c>
      <c r="R109" s="1" t="s">
        <v>48</v>
      </c>
      <c r="S109" s="1" t="s">
        <v>2196</v>
      </c>
      <c r="T109" s="7" t="s">
        <v>2197</v>
      </c>
      <c r="U109" s="7" t="s">
        <v>2199</v>
      </c>
      <c r="V109" s="1" t="s">
        <v>1362</v>
      </c>
      <c r="W109" s="7" t="s">
        <v>2205</v>
      </c>
      <c r="X109" s="7" t="s">
        <v>2207</v>
      </c>
      <c r="Y109" s="1"/>
      <c r="Z109" s="4">
        <v>216.0</v>
      </c>
      <c r="AA109" s="4">
        <v>22.0</v>
      </c>
      <c r="AB109" s="4">
        <v>48.0</v>
      </c>
      <c r="AC109" s="4">
        <v>3128.0</v>
      </c>
      <c r="AD109" s="1" t="s">
        <v>2208</v>
      </c>
      <c r="AE109" s="1" t="s">
        <v>2208</v>
      </c>
      <c r="AF109" s="1"/>
      <c r="AG109" s="1"/>
      <c r="AH109" s="1"/>
      <c r="AI109" s="1"/>
      <c r="AJ109" s="1"/>
      <c r="AK109" s="1"/>
      <c r="AL109" s="1">
        <f>IFERROR(__xludf.DUMMYFUNCTION("IF(
  TRIM(AD109)="""",
  0,
  COUNTA(
    SPLIT(
      REGEXREPLACE(AD109,""\s*,\s*"","",""),
      "",""
    )
  )
)"),3.0)</f>
        <v>3</v>
      </c>
    </row>
    <row r="110">
      <c r="A110" s="1" t="s">
        <v>2209</v>
      </c>
      <c r="B110" s="1" t="s">
        <v>2209</v>
      </c>
      <c r="C110" s="1" t="s">
        <v>2210</v>
      </c>
      <c r="D110" s="1" t="s">
        <v>2211</v>
      </c>
      <c r="E110" s="4">
        <v>7773.0</v>
      </c>
      <c r="F110" s="4">
        <v>106.0</v>
      </c>
      <c r="G110" s="4">
        <v>61.0</v>
      </c>
      <c r="H110" s="7" t="s">
        <v>2212</v>
      </c>
      <c r="I110" s="1" t="s">
        <v>2219</v>
      </c>
      <c r="J110" s="1"/>
      <c r="K110" s="9">
        <v>45940.67900462963</v>
      </c>
      <c r="L110" s="4">
        <v>1.760113066E9</v>
      </c>
      <c r="M110" s="1" t="s">
        <v>47</v>
      </c>
      <c r="N110" s="1" t="s">
        <v>47</v>
      </c>
      <c r="O110" s="1" t="s">
        <v>47</v>
      </c>
      <c r="P110" s="1" t="s">
        <v>47</v>
      </c>
      <c r="Q110" s="1" t="s">
        <v>47</v>
      </c>
      <c r="R110" s="1" t="s">
        <v>48</v>
      </c>
      <c r="S110" s="1" t="s">
        <v>2220</v>
      </c>
      <c r="T110" s="7" t="s">
        <v>2221</v>
      </c>
      <c r="U110" s="7" t="s">
        <v>2229</v>
      </c>
      <c r="V110" s="1" t="s">
        <v>2211</v>
      </c>
      <c r="W110" s="7" t="s">
        <v>2230</v>
      </c>
      <c r="X110" s="7" t="s">
        <v>2236</v>
      </c>
      <c r="Y110" s="1"/>
      <c r="Z110" s="4">
        <v>86.0</v>
      </c>
      <c r="AA110" s="4">
        <v>11.0</v>
      </c>
      <c r="AB110" s="4">
        <v>65.0</v>
      </c>
      <c r="AC110" s="4">
        <v>2790.0</v>
      </c>
      <c r="AD110" s="1" t="s">
        <v>2237</v>
      </c>
      <c r="AE110" s="1" t="s">
        <v>2237</v>
      </c>
      <c r="AF110" s="1"/>
      <c r="AG110" s="1"/>
      <c r="AH110" s="1"/>
      <c r="AI110" s="1"/>
      <c r="AJ110" s="1"/>
      <c r="AK110" s="1"/>
      <c r="AL110" s="1">
        <f>IFERROR(__xludf.DUMMYFUNCTION("IF(
  TRIM(AD110)="""",
  0,
  COUNTA(
    SPLIT(
      REGEXREPLACE(AD110,""\s*,\s*"","",""),
      "",""
    )
  )
)"),3.0)</f>
        <v>3</v>
      </c>
    </row>
    <row r="111">
      <c r="A111" s="1" t="s">
        <v>2241</v>
      </c>
      <c r="B111" s="1" t="s">
        <v>2241</v>
      </c>
      <c r="C111" s="1" t="s">
        <v>2242</v>
      </c>
      <c r="D111" s="1" t="s">
        <v>2243</v>
      </c>
      <c r="E111" s="4">
        <v>4539.0</v>
      </c>
      <c r="F111" s="4">
        <v>791.0</v>
      </c>
      <c r="G111" s="4">
        <v>201.0</v>
      </c>
      <c r="H111" s="7" t="s">
        <v>2244</v>
      </c>
      <c r="I111" s="1" t="s">
        <v>2245</v>
      </c>
      <c r="J111" s="1"/>
      <c r="K111" s="9">
        <v>45938.93288194444</v>
      </c>
      <c r="L111" s="4">
        <v>1.759962201E9</v>
      </c>
      <c r="M111" s="1" t="s">
        <v>47</v>
      </c>
      <c r="N111" s="1" t="s">
        <v>47</v>
      </c>
      <c r="O111" s="1" t="s">
        <v>47</v>
      </c>
      <c r="P111" s="1" t="s">
        <v>47</v>
      </c>
      <c r="Q111" s="1" t="s">
        <v>47</v>
      </c>
      <c r="R111" s="1" t="s">
        <v>2246</v>
      </c>
      <c r="S111" s="1" t="s">
        <v>2247</v>
      </c>
      <c r="T111" s="7" t="s">
        <v>2248</v>
      </c>
      <c r="U111" s="7" t="s">
        <v>2250</v>
      </c>
      <c r="V111" s="1" t="s">
        <v>2252</v>
      </c>
      <c r="W111" s="7" t="s">
        <v>2253</v>
      </c>
      <c r="X111" s="7" t="s">
        <v>2255</v>
      </c>
      <c r="Y111" s="1"/>
      <c r="Z111" s="4">
        <v>73.0</v>
      </c>
      <c r="AA111" s="4">
        <v>0.0</v>
      </c>
      <c r="AB111" s="4">
        <v>9.0</v>
      </c>
      <c r="AC111" s="4">
        <v>1344.0</v>
      </c>
      <c r="AD111" s="1" t="s">
        <v>2259</v>
      </c>
      <c r="AE111" s="1" t="s">
        <v>2259</v>
      </c>
      <c r="AF111" s="1"/>
      <c r="AG111" s="1"/>
      <c r="AH111" s="1"/>
      <c r="AI111" s="1"/>
      <c r="AJ111" s="1"/>
      <c r="AK111" s="1"/>
      <c r="AL111" s="1">
        <f>IFERROR(__xludf.DUMMYFUNCTION("IF(
  TRIM(AD111)="""",
  0,
  COUNTA(
    SPLIT(
      REGEXREPLACE(AD111,""\s*,\s*"","",""),
      "",""
    )
  )
)"),3.0)</f>
        <v>3</v>
      </c>
    </row>
    <row r="112">
      <c r="A112" s="1" t="s">
        <v>2263</v>
      </c>
      <c r="B112" s="1" t="s">
        <v>2263</v>
      </c>
      <c r="C112" s="1" t="s">
        <v>169</v>
      </c>
      <c r="D112" s="1" t="s">
        <v>56</v>
      </c>
      <c r="E112" s="4">
        <v>996800.0</v>
      </c>
      <c r="F112" s="4">
        <v>396.0</v>
      </c>
      <c r="G112" s="4">
        <v>1474.0</v>
      </c>
      <c r="H112" s="7" t="s">
        <v>2264</v>
      </c>
      <c r="I112" s="1" t="s">
        <v>2265</v>
      </c>
      <c r="J112" s="1"/>
      <c r="K112" s="9">
        <v>44978.841516203705</v>
      </c>
      <c r="L112" s="4">
        <v>1.677010307E9</v>
      </c>
      <c r="M112" s="1" t="s">
        <v>47</v>
      </c>
      <c r="N112" s="1" t="s">
        <v>47</v>
      </c>
      <c r="O112" s="1" t="s">
        <v>47</v>
      </c>
      <c r="P112" s="1" t="s">
        <v>47</v>
      </c>
      <c r="Q112" s="1" t="s">
        <v>47</v>
      </c>
      <c r="R112" s="1" t="s">
        <v>1610</v>
      </c>
      <c r="S112" s="1" t="s">
        <v>1611</v>
      </c>
      <c r="T112" s="7" t="s">
        <v>1612</v>
      </c>
      <c r="U112" s="7" t="s">
        <v>1614</v>
      </c>
      <c r="V112" s="1" t="s">
        <v>1615</v>
      </c>
      <c r="W112" s="7" t="s">
        <v>2266</v>
      </c>
      <c r="X112" s="7" t="s">
        <v>2269</v>
      </c>
      <c r="Y112" s="1"/>
      <c r="Z112" s="4">
        <v>282700.0</v>
      </c>
      <c r="AA112" s="4">
        <v>6014.0</v>
      </c>
      <c r="AB112" s="4">
        <v>41300.0</v>
      </c>
      <c r="AC112" s="4">
        <v>3800000.0</v>
      </c>
      <c r="AD112" s="1" t="s">
        <v>2270</v>
      </c>
      <c r="AE112" s="1" t="s">
        <v>2270</v>
      </c>
      <c r="AF112" s="1"/>
      <c r="AG112" s="1"/>
      <c r="AH112" s="1"/>
      <c r="AI112" s="1"/>
      <c r="AJ112" s="1"/>
      <c r="AK112" s="1"/>
      <c r="AL112" s="1">
        <f>IFERROR(__xludf.DUMMYFUNCTION("IF(
  TRIM(AD112)="""",
  0,
  COUNTA(
    SPLIT(
      REGEXREPLACE(AD112,""\s*,\s*"","",""),
      "",""
    )
  )
)"),4.0)</f>
        <v>4</v>
      </c>
    </row>
    <row r="113">
      <c r="A113" s="1" t="s">
        <v>2273</v>
      </c>
      <c r="B113" s="1" t="s">
        <v>2273</v>
      </c>
      <c r="C113" s="1" t="s">
        <v>2274</v>
      </c>
      <c r="D113" s="1" t="s">
        <v>2275</v>
      </c>
      <c r="E113" s="4">
        <v>6100000.0</v>
      </c>
      <c r="F113" s="4">
        <v>113.0</v>
      </c>
      <c r="G113" s="4">
        <v>4066.0</v>
      </c>
      <c r="H113" s="7" t="s">
        <v>2277</v>
      </c>
      <c r="I113" s="1" t="s">
        <v>2280</v>
      </c>
      <c r="J113" s="1"/>
      <c r="K113" s="9">
        <v>45473.59457175926</v>
      </c>
      <c r="L113" s="4">
        <v>1.719756971E9</v>
      </c>
      <c r="M113" s="1" t="s">
        <v>47</v>
      </c>
      <c r="N113" s="1" t="s">
        <v>47</v>
      </c>
      <c r="O113" s="1" t="s">
        <v>47</v>
      </c>
      <c r="P113" s="1" t="s">
        <v>47</v>
      </c>
      <c r="Q113" s="1" t="s">
        <v>47</v>
      </c>
      <c r="R113" s="1" t="s">
        <v>48</v>
      </c>
      <c r="S113" s="1" t="s">
        <v>2281</v>
      </c>
      <c r="T113" s="7" t="s">
        <v>2282</v>
      </c>
      <c r="U113" s="7" t="s">
        <v>2284</v>
      </c>
      <c r="V113" s="1" t="s">
        <v>2275</v>
      </c>
      <c r="W113" s="7" t="s">
        <v>2290</v>
      </c>
      <c r="X113" s="7" t="s">
        <v>2292</v>
      </c>
      <c r="Y113" s="1"/>
      <c r="Z113" s="4">
        <v>152400.0</v>
      </c>
      <c r="AA113" s="4">
        <v>733.0</v>
      </c>
      <c r="AB113" s="4">
        <v>7327.0</v>
      </c>
      <c r="AC113" s="4">
        <v>1500000.0</v>
      </c>
      <c r="AD113" s="1" t="s">
        <v>2295</v>
      </c>
      <c r="AE113" s="1" t="s">
        <v>2295</v>
      </c>
      <c r="AF113" s="1"/>
      <c r="AG113" s="1"/>
      <c r="AH113" s="1" t="s">
        <v>918</v>
      </c>
      <c r="AI113" s="1"/>
      <c r="AJ113" s="1"/>
      <c r="AK113" s="1"/>
      <c r="AL113" s="1">
        <f>IFERROR(__xludf.DUMMYFUNCTION("IF(
  TRIM(AD113)="""",
  0,
  COUNTA(
    SPLIT(
      REGEXREPLACE(AD113,""\s*,\s*"","",""),
      "",""
    )
  )
)"),4.0)</f>
        <v>4</v>
      </c>
    </row>
    <row r="114">
      <c r="A114" s="1" t="s">
        <v>2298</v>
      </c>
      <c r="B114" s="1" t="s">
        <v>2298</v>
      </c>
      <c r="C114" s="1" t="s">
        <v>99</v>
      </c>
      <c r="D114" s="1" t="s">
        <v>100</v>
      </c>
      <c r="E114" s="4">
        <v>3600000.0</v>
      </c>
      <c r="F114" s="4">
        <v>6660.0</v>
      </c>
      <c r="G114" s="4">
        <v>955.0</v>
      </c>
      <c r="H114" s="7" t="s">
        <v>2299</v>
      </c>
      <c r="I114" s="1" t="s">
        <v>2301</v>
      </c>
      <c r="J114" s="1" t="s">
        <v>279</v>
      </c>
      <c r="K114" s="9">
        <v>45803.61824074074</v>
      </c>
      <c r="L114" s="4">
        <v>1.748271016E9</v>
      </c>
      <c r="M114" s="1" t="s">
        <v>47</v>
      </c>
      <c r="N114" s="1" t="s">
        <v>47</v>
      </c>
      <c r="O114" s="1" t="s">
        <v>47</v>
      </c>
      <c r="P114" s="1" t="s">
        <v>47</v>
      </c>
      <c r="Q114" s="1" t="s">
        <v>47</v>
      </c>
      <c r="R114" s="1" t="s">
        <v>48</v>
      </c>
      <c r="S114" s="1" t="s">
        <v>2302</v>
      </c>
      <c r="T114" s="7" t="s">
        <v>2303</v>
      </c>
      <c r="U114" s="7" t="s">
        <v>2308</v>
      </c>
      <c r="V114" s="1" t="s">
        <v>100</v>
      </c>
      <c r="W114" s="7" t="s">
        <v>2310</v>
      </c>
      <c r="X114" s="7" t="s">
        <v>2312</v>
      </c>
      <c r="Y114" s="1"/>
      <c r="Z114" s="4">
        <v>138900.0</v>
      </c>
      <c r="AA114" s="4">
        <v>1410.0</v>
      </c>
      <c r="AB114" s="4">
        <v>9352.0</v>
      </c>
      <c r="AC114" s="4">
        <v>966400.0</v>
      </c>
      <c r="AD114" s="1" t="s">
        <v>2313</v>
      </c>
      <c r="AE114" s="1" t="s">
        <v>2313</v>
      </c>
      <c r="AF114" s="1"/>
      <c r="AG114" s="1"/>
      <c r="AH114" s="1"/>
      <c r="AI114" s="1"/>
      <c r="AJ114" s="1"/>
      <c r="AK114" s="1"/>
      <c r="AL114" s="1">
        <f>IFERROR(__xludf.DUMMYFUNCTION("IF(
  TRIM(AD114)="""",
  0,
  COUNTA(
    SPLIT(
      REGEXREPLACE(AD114,""\s*,\s*"","",""),
      "",""
    )
  )
)"),4.0)</f>
        <v>4</v>
      </c>
    </row>
    <row r="115">
      <c r="A115" s="1" t="s">
        <v>2314</v>
      </c>
      <c r="B115" s="1" t="s">
        <v>2314</v>
      </c>
      <c r="C115" s="1" t="s">
        <v>2316</v>
      </c>
      <c r="D115" s="1" t="s">
        <v>2317</v>
      </c>
      <c r="E115" s="4">
        <v>2600000.0</v>
      </c>
      <c r="F115" s="4">
        <v>17900.0</v>
      </c>
      <c r="G115" s="4">
        <v>1022.0</v>
      </c>
      <c r="H115" s="7" t="s">
        <v>2318</v>
      </c>
      <c r="I115" s="1" t="s">
        <v>2319</v>
      </c>
      <c r="J115" s="1" t="s">
        <v>2320</v>
      </c>
      <c r="K115" s="9">
        <v>45856.91055555556</v>
      </c>
      <c r="L115" s="4">
        <v>1.752875472E9</v>
      </c>
      <c r="M115" s="1" t="s">
        <v>47</v>
      </c>
      <c r="N115" s="1" t="s">
        <v>47</v>
      </c>
      <c r="O115" s="1" t="s">
        <v>47</v>
      </c>
      <c r="P115" s="1" t="s">
        <v>47</v>
      </c>
      <c r="Q115" s="1" t="s">
        <v>47</v>
      </c>
      <c r="R115" s="1" t="s">
        <v>2321</v>
      </c>
      <c r="S115" s="1" t="s">
        <v>2322</v>
      </c>
      <c r="T115" s="7" t="s">
        <v>2323</v>
      </c>
      <c r="U115" s="7" t="s">
        <v>2324</v>
      </c>
      <c r="V115" s="1" t="s">
        <v>2328</v>
      </c>
      <c r="W115" s="7" t="s">
        <v>2330</v>
      </c>
      <c r="X115" s="7" t="s">
        <v>2331</v>
      </c>
      <c r="Y115" s="1"/>
      <c r="Z115" s="4">
        <v>114800.0</v>
      </c>
      <c r="AA115" s="4">
        <v>1403.0</v>
      </c>
      <c r="AB115" s="4">
        <v>2130.0</v>
      </c>
      <c r="AC115" s="4">
        <v>1900000.0</v>
      </c>
      <c r="AD115" s="1" t="s">
        <v>2334</v>
      </c>
      <c r="AE115" s="1" t="s">
        <v>2334</v>
      </c>
      <c r="AF115" s="1"/>
      <c r="AG115" s="1"/>
      <c r="AH115" s="1"/>
      <c r="AI115" s="1"/>
      <c r="AJ115" s="1"/>
      <c r="AK115" s="1"/>
      <c r="AL115" s="1">
        <f>IFERROR(__xludf.DUMMYFUNCTION("IF(
  TRIM(AD115)="""",
  0,
  COUNTA(
    SPLIT(
      REGEXREPLACE(AD115,""\s*,\s*"","",""),
      "",""
    )
  )
)"),4.0)</f>
        <v>4</v>
      </c>
    </row>
    <row r="116">
      <c r="A116" s="1" t="s">
        <v>629</v>
      </c>
      <c r="B116" s="1" t="s">
        <v>629</v>
      </c>
      <c r="C116" s="1" t="s">
        <v>630</v>
      </c>
      <c r="D116" s="1" t="s">
        <v>631</v>
      </c>
      <c r="E116" s="4">
        <v>6254.0</v>
      </c>
      <c r="F116" s="4">
        <v>0.0</v>
      </c>
      <c r="G116" s="4">
        <v>404.0</v>
      </c>
      <c r="H116" s="7" t="s">
        <v>2337</v>
      </c>
      <c r="I116" s="1" t="s">
        <v>633</v>
      </c>
      <c r="J116" s="1"/>
      <c r="K116" s="9">
        <v>45918.502430555556</v>
      </c>
      <c r="L116" s="4">
        <v>1.75819701E9</v>
      </c>
      <c r="M116" s="1" t="s">
        <v>47</v>
      </c>
      <c r="N116" s="1" t="s">
        <v>47</v>
      </c>
      <c r="O116" s="1" t="s">
        <v>47</v>
      </c>
      <c r="P116" s="1" t="s">
        <v>47</v>
      </c>
      <c r="Q116" s="1" t="s">
        <v>47</v>
      </c>
      <c r="R116" s="1" t="s">
        <v>634</v>
      </c>
      <c r="S116" s="1" t="s">
        <v>635</v>
      </c>
      <c r="T116" s="7" t="s">
        <v>2339</v>
      </c>
      <c r="U116" s="7" t="s">
        <v>2341</v>
      </c>
      <c r="V116" s="1" t="s">
        <v>631</v>
      </c>
      <c r="W116" s="7" t="s">
        <v>2344</v>
      </c>
      <c r="X116" s="7" t="s">
        <v>641</v>
      </c>
      <c r="Y116" s="1"/>
      <c r="Z116" s="4">
        <v>112100.0</v>
      </c>
      <c r="AA116" s="4">
        <v>1315.0</v>
      </c>
      <c r="AB116" s="4">
        <v>22300.0</v>
      </c>
      <c r="AC116" s="4">
        <v>1200000.0</v>
      </c>
      <c r="AD116" s="1" t="s">
        <v>644</v>
      </c>
      <c r="AE116" s="1" t="s">
        <v>644</v>
      </c>
      <c r="AF116" s="1"/>
      <c r="AG116" s="1"/>
      <c r="AH116" s="1" t="s">
        <v>121</v>
      </c>
      <c r="AI116" s="1"/>
      <c r="AJ116" s="1"/>
      <c r="AK116" s="1"/>
      <c r="AL116" s="1">
        <f>IFERROR(__xludf.DUMMYFUNCTION("IF(
  TRIM(AD116)="""",
  0,
  COUNTA(
    SPLIT(
      REGEXREPLACE(AD116,""\s*,\s*"","",""),
      "",""
    )
  )
)"),4.0)</f>
        <v>4</v>
      </c>
    </row>
    <row r="117">
      <c r="A117" s="1" t="s">
        <v>662</v>
      </c>
      <c r="B117" s="1" t="s">
        <v>662</v>
      </c>
      <c r="C117" s="1" t="s">
        <v>296</v>
      </c>
      <c r="D117" s="1" t="s">
        <v>297</v>
      </c>
      <c r="E117" s="4">
        <v>81500.0</v>
      </c>
      <c r="F117" s="4">
        <v>1728.0</v>
      </c>
      <c r="G117" s="4">
        <v>33.0</v>
      </c>
      <c r="H117" s="7" t="s">
        <v>2349</v>
      </c>
      <c r="I117" s="1" t="s">
        <v>663</v>
      </c>
      <c r="J117" s="1"/>
      <c r="K117" s="9">
        <v>45447.9784375</v>
      </c>
      <c r="L117" s="4">
        <v>1.717543737E9</v>
      </c>
      <c r="M117" s="1" t="s">
        <v>47</v>
      </c>
      <c r="N117" s="1" t="s">
        <v>47</v>
      </c>
      <c r="O117" s="1" t="s">
        <v>47</v>
      </c>
      <c r="P117" s="1" t="s">
        <v>47</v>
      </c>
      <c r="Q117" s="1" t="s">
        <v>47</v>
      </c>
      <c r="R117" s="1" t="s">
        <v>48</v>
      </c>
      <c r="S117" s="1" t="s">
        <v>664</v>
      </c>
      <c r="T117" s="7" t="s">
        <v>2351</v>
      </c>
      <c r="U117" s="7" t="s">
        <v>2355</v>
      </c>
      <c r="V117" s="1" t="s">
        <v>297</v>
      </c>
      <c r="W117" s="7" t="s">
        <v>2356</v>
      </c>
      <c r="X117" s="7" t="s">
        <v>674</v>
      </c>
      <c r="Y117" s="1"/>
      <c r="Z117" s="4">
        <v>105200.0</v>
      </c>
      <c r="AA117" s="4">
        <v>2462.0</v>
      </c>
      <c r="AB117" s="4">
        <v>15900.0</v>
      </c>
      <c r="AC117" s="4">
        <v>1000000.0</v>
      </c>
      <c r="AD117" s="1" t="s">
        <v>676</v>
      </c>
      <c r="AE117" s="1" t="s">
        <v>676</v>
      </c>
      <c r="AF117" s="1"/>
      <c r="AG117" s="1"/>
      <c r="AH117" s="1"/>
      <c r="AI117" s="1"/>
      <c r="AJ117" s="1"/>
      <c r="AK117" s="1"/>
      <c r="AL117" s="1">
        <f>IFERROR(__xludf.DUMMYFUNCTION("IF(
  TRIM(AD117)="""",
  0,
  COUNTA(
    SPLIT(
      REGEXREPLACE(AD117,""\s*,\s*"","",""),
      "",""
    )
  )
)"),4.0)</f>
        <v>4</v>
      </c>
    </row>
    <row r="118">
      <c r="A118" s="1" t="s">
        <v>745</v>
      </c>
      <c r="B118" s="1" t="s">
        <v>745</v>
      </c>
      <c r="C118" s="1" t="s">
        <v>497</v>
      </c>
      <c r="D118" s="1" t="s">
        <v>497</v>
      </c>
      <c r="E118" s="4">
        <v>210400.0</v>
      </c>
      <c r="F118" s="4">
        <v>1017.0</v>
      </c>
      <c r="G118" s="4">
        <v>461.0</v>
      </c>
      <c r="H118" s="7" t="s">
        <v>725</v>
      </c>
      <c r="I118" s="1" t="s">
        <v>751</v>
      </c>
      <c r="J118" s="1" t="s">
        <v>752</v>
      </c>
      <c r="K118" s="9">
        <v>44930.08614583333</v>
      </c>
      <c r="L118" s="4">
        <v>1.672797843E9</v>
      </c>
      <c r="M118" s="1" t="s">
        <v>47</v>
      </c>
      <c r="N118" s="1" t="s">
        <v>47</v>
      </c>
      <c r="O118" s="1" t="s">
        <v>47</v>
      </c>
      <c r="P118" s="1" t="s">
        <v>47</v>
      </c>
      <c r="Q118" s="1" t="s">
        <v>47</v>
      </c>
      <c r="R118" s="1" t="s">
        <v>48</v>
      </c>
      <c r="S118" s="1" t="s">
        <v>753</v>
      </c>
      <c r="T118" s="7" t="s">
        <v>2358</v>
      </c>
      <c r="U118" s="7" t="s">
        <v>737</v>
      </c>
      <c r="V118" s="1" t="s">
        <v>497</v>
      </c>
      <c r="W118" s="7" t="s">
        <v>2360</v>
      </c>
      <c r="X118" s="7" t="s">
        <v>762</v>
      </c>
      <c r="Y118" s="1"/>
      <c r="Z118" s="4">
        <v>85900.0</v>
      </c>
      <c r="AA118" s="4">
        <v>1427.0</v>
      </c>
      <c r="AB118" s="4">
        <v>5816.0</v>
      </c>
      <c r="AC118" s="4">
        <v>1100000.0</v>
      </c>
      <c r="AD118" s="1" t="s">
        <v>763</v>
      </c>
      <c r="AE118" s="1" t="s">
        <v>763</v>
      </c>
      <c r="AF118" s="1"/>
      <c r="AG118" s="1"/>
      <c r="AH118" s="1" t="s">
        <v>918</v>
      </c>
      <c r="AI118" s="1"/>
      <c r="AJ118" s="1"/>
      <c r="AK118" s="1"/>
      <c r="AL118" s="1">
        <f>IFERROR(__xludf.DUMMYFUNCTION("IF(
  TRIM(AD118)="""",
  0,
  COUNTA(
    SPLIT(
      REGEXREPLACE(AD118,""\s*,\s*"","",""),
      "",""
    )
  )
)"),4.0)</f>
        <v>4</v>
      </c>
    </row>
    <row r="119">
      <c r="A119" s="1" t="s">
        <v>787</v>
      </c>
      <c r="B119" s="1" t="s">
        <v>787</v>
      </c>
      <c r="C119" s="1" t="s">
        <v>788</v>
      </c>
      <c r="D119" s="1" t="s">
        <v>789</v>
      </c>
      <c r="E119" s="4">
        <v>1300000.0</v>
      </c>
      <c r="F119" s="4">
        <v>1031.0</v>
      </c>
      <c r="G119" s="4">
        <v>954.0</v>
      </c>
      <c r="H119" s="7" t="s">
        <v>2362</v>
      </c>
      <c r="I119" s="1" t="s">
        <v>792</v>
      </c>
      <c r="J119" s="1"/>
      <c r="K119" s="9">
        <v>45092.6306712963</v>
      </c>
      <c r="L119" s="4">
        <v>1.68684169E9</v>
      </c>
      <c r="M119" s="1" t="s">
        <v>47</v>
      </c>
      <c r="N119" s="1" t="s">
        <v>47</v>
      </c>
      <c r="O119" s="1" t="s">
        <v>47</v>
      </c>
      <c r="P119" s="1" t="s">
        <v>47</v>
      </c>
      <c r="Q119" s="1" t="s">
        <v>47</v>
      </c>
      <c r="R119" s="1" t="s">
        <v>48</v>
      </c>
      <c r="S119" s="1" t="s">
        <v>793</v>
      </c>
      <c r="T119" s="7" t="s">
        <v>2369</v>
      </c>
      <c r="U119" s="7" t="s">
        <v>2374</v>
      </c>
      <c r="V119" s="1" t="s">
        <v>789</v>
      </c>
      <c r="W119" s="7" t="s">
        <v>2377</v>
      </c>
      <c r="X119" s="7" t="s">
        <v>805</v>
      </c>
      <c r="Y119" s="1"/>
      <c r="Z119" s="4">
        <v>83200.0</v>
      </c>
      <c r="AA119" s="4">
        <v>1601.0</v>
      </c>
      <c r="AB119" s="4">
        <v>10800.0</v>
      </c>
      <c r="AC119" s="4">
        <v>757000.0</v>
      </c>
      <c r="AD119" s="1" t="s">
        <v>806</v>
      </c>
      <c r="AE119" s="1" t="s">
        <v>806</v>
      </c>
      <c r="AF119" s="1"/>
      <c r="AG119" s="1"/>
      <c r="AH119" s="1"/>
      <c r="AI119" s="1"/>
      <c r="AJ119" s="1"/>
      <c r="AK119" s="1"/>
      <c r="AL119" s="1">
        <f>IFERROR(__xludf.DUMMYFUNCTION("IF(
  TRIM(AD119)="""",
  0,
  COUNTA(
    SPLIT(
      REGEXREPLACE(AD119,""\s*,\s*"","",""),
      "",""
    )
  )
)"),4.0)</f>
        <v>4</v>
      </c>
    </row>
    <row r="120">
      <c r="A120" s="1" t="s">
        <v>807</v>
      </c>
      <c r="B120" s="1" t="s">
        <v>807</v>
      </c>
      <c r="C120" s="1" t="s">
        <v>788</v>
      </c>
      <c r="D120" s="1" t="s">
        <v>789</v>
      </c>
      <c r="E120" s="4">
        <v>1300000.0</v>
      </c>
      <c r="F120" s="4">
        <v>1031.0</v>
      </c>
      <c r="G120" s="4">
        <v>954.0</v>
      </c>
      <c r="H120" s="7" t="s">
        <v>2362</v>
      </c>
      <c r="I120" s="1" t="s">
        <v>808</v>
      </c>
      <c r="J120" s="1"/>
      <c r="K120" s="9">
        <v>45500.4753125</v>
      </c>
      <c r="L120" s="4">
        <v>1.722079467E9</v>
      </c>
      <c r="M120" s="1" t="s">
        <v>47</v>
      </c>
      <c r="N120" s="1" t="s">
        <v>47</v>
      </c>
      <c r="O120" s="1" t="s">
        <v>47</v>
      </c>
      <c r="P120" s="1" t="s">
        <v>47</v>
      </c>
      <c r="Q120" s="1" t="s">
        <v>47</v>
      </c>
      <c r="R120" s="1" t="s">
        <v>48</v>
      </c>
      <c r="S120" s="1" t="s">
        <v>809</v>
      </c>
      <c r="T120" s="7" t="s">
        <v>2384</v>
      </c>
      <c r="U120" s="7" t="s">
        <v>2392</v>
      </c>
      <c r="V120" s="1" t="s">
        <v>789</v>
      </c>
      <c r="W120" s="7" t="s">
        <v>2393</v>
      </c>
      <c r="X120" s="7" t="s">
        <v>815</v>
      </c>
      <c r="Y120" s="1"/>
      <c r="Z120" s="4">
        <v>82900.0</v>
      </c>
      <c r="AA120" s="4">
        <v>1077.0</v>
      </c>
      <c r="AB120" s="4">
        <v>9770.0</v>
      </c>
      <c r="AC120" s="4">
        <v>645200.0</v>
      </c>
      <c r="AD120" s="1" t="s">
        <v>817</v>
      </c>
      <c r="AE120" s="1" t="s">
        <v>817</v>
      </c>
      <c r="AF120" s="1"/>
      <c r="AG120" s="1"/>
      <c r="AH120" s="1"/>
      <c r="AI120" s="1"/>
      <c r="AJ120" s="1"/>
      <c r="AK120" s="1"/>
      <c r="AL120" s="1">
        <f>IFERROR(__xludf.DUMMYFUNCTION("IF(
  TRIM(AD120)="""",
  0,
  COUNTA(
    SPLIT(
      REGEXREPLACE(AD120,""\s*,\s*"","",""),
      "",""
    )
  )
)"),4.0)</f>
        <v>4</v>
      </c>
    </row>
    <row r="121">
      <c r="A121" s="1" t="s">
        <v>919</v>
      </c>
      <c r="B121" s="1" t="s">
        <v>919</v>
      </c>
      <c r="C121" s="1" t="s">
        <v>920</v>
      </c>
      <c r="D121" s="1" t="s">
        <v>921</v>
      </c>
      <c r="E121" s="4">
        <v>299500.0</v>
      </c>
      <c r="F121" s="4">
        <v>1919.0</v>
      </c>
      <c r="G121" s="4">
        <v>1418.0</v>
      </c>
      <c r="H121" s="7" t="s">
        <v>1280</v>
      </c>
      <c r="I121" s="1" t="s">
        <v>924</v>
      </c>
      <c r="J121" s="1"/>
      <c r="K121" s="9">
        <v>45862.93439814815</v>
      </c>
      <c r="L121" s="4">
        <v>1.753395932E9</v>
      </c>
      <c r="M121" s="1" t="s">
        <v>47</v>
      </c>
      <c r="N121" s="1" t="s">
        <v>47</v>
      </c>
      <c r="O121" s="1" t="s">
        <v>47</v>
      </c>
      <c r="P121" s="1" t="s">
        <v>47</v>
      </c>
      <c r="Q121" s="1" t="s">
        <v>47</v>
      </c>
      <c r="R121" s="1" t="s">
        <v>48</v>
      </c>
      <c r="S121" s="1" t="s">
        <v>925</v>
      </c>
      <c r="T121" s="7" t="s">
        <v>2397</v>
      </c>
      <c r="U121" s="7" t="s">
        <v>1287</v>
      </c>
      <c r="V121" s="1" t="s">
        <v>921</v>
      </c>
      <c r="W121" s="7" t="s">
        <v>2398</v>
      </c>
      <c r="X121" s="7" t="s">
        <v>936</v>
      </c>
      <c r="Y121" s="1"/>
      <c r="Z121" s="4">
        <v>69500.0</v>
      </c>
      <c r="AA121" s="4">
        <v>1400.0</v>
      </c>
      <c r="AB121" s="4">
        <v>37600.0</v>
      </c>
      <c r="AC121" s="4">
        <v>1800000.0</v>
      </c>
      <c r="AD121" s="1" t="s">
        <v>937</v>
      </c>
      <c r="AE121" s="1" t="s">
        <v>937</v>
      </c>
      <c r="AF121" s="1"/>
      <c r="AG121" s="1"/>
      <c r="AH121" s="1"/>
      <c r="AI121" s="1"/>
      <c r="AJ121" s="1"/>
      <c r="AK121" s="1"/>
      <c r="AL121" s="1">
        <f>IFERROR(__xludf.DUMMYFUNCTION("IF(
  TRIM(AD121)="""",
  0,
  COUNTA(
    SPLIT(
      REGEXREPLACE(AD121,""\s*,\s*"","",""),
      "",""
    )
  )
)"),4.0)</f>
        <v>4</v>
      </c>
    </row>
    <row r="122">
      <c r="A122" s="1" t="s">
        <v>1043</v>
      </c>
      <c r="B122" s="1" t="s">
        <v>1043</v>
      </c>
      <c r="C122" s="1" t="s">
        <v>69</v>
      </c>
      <c r="D122" s="1" t="s">
        <v>70</v>
      </c>
      <c r="E122" s="4">
        <v>176100.0</v>
      </c>
      <c r="F122" s="4">
        <v>889.0</v>
      </c>
      <c r="G122" s="4">
        <v>777.0</v>
      </c>
      <c r="H122" s="7" t="s">
        <v>330</v>
      </c>
      <c r="I122" s="1" t="s">
        <v>1047</v>
      </c>
      <c r="J122" s="1"/>
      <c r="K122" s="9">
        <v>45347.02329861111</v>
      </c>
      <c r="L122" s="4">
        <v>1.708821213E9</v>
      </c>
      <c r="M122" s="1" t="s">
        <v>47</v>
      </c>
      <c r="N122" s="1" t="s">
        <v>47</v>
      </c>
      <c r="O122" s="1" t="s">
        <v>47</v>
      </c>
      <c r="P122" s="1" t="s">
        <v>47</v>
      </c>
      <c r="Q122" s="1" t="s">
        <v>47</v>
      </c>
      <c r="R122" s="1" t="s">
        <v>48</v>
      </c>
      <c r="S122" s="1" t="s">
        <v>1049</v>
      </c>
      <c r="T122" s="7" t="s">
        <v>2403</v>
      </c>
      <c r="U122" s="7" t="s">
        <v>355</v>
      </c>
      <c r="V122" s="1" t="s">
        <v>70</v>
      </c>
      <c r="W122" s="7" t="s">
        <v>2407</v>
      </c>
      <c r="X122" s="7" t="s">
        <v>1055</v>
      </c>
      <c r="Y122" s="1"/>
      <c r="Z122" s="4">
        <v>58300.0</v>
      </c>
      <c r="AA122" s="4">
        <v>1010.0</v>
      </c>
      <c r="AB122" s="4">
        <v>17300.0</v>
      </c>
      <c r="AC122" s="4">
        <v>976200.0</v>
      </c>
      <c r="AD122" s="1" t="s">
        <v>1057</v>
      </c>
      <c r="AE122" s="1" t="s">
        <v>1057</v>
      </c>
      <c r="AF122" s="1"/>
      <c r="AG122" s="1"/>
      <c r="AH122" s="1"/>
      <c r="AI122" s="1"/>
      <c r="AJ122" s="1"/>
      <c r="AK122" s="1"/>
      <c r="AL122" s="1">
        <f>IFERROR(__xludf.DUMMYFUNCTION("IF(
  TRIM(AD122)="""",
  0,
  COUNTA(
    SPLIT(
      REGEXREPLACE(AD122,""\s*,\s*"","",""),
      "",""
    )
  )
)"),4.0)</f>
        <v>4</v>
      </c>
    </row>
    <row r="123">
      <c r="A123" s="1" t="s">
        <v>1144</v>
      </c>
      <c r="B123" s="1" t="s">
        <v>1144</v>
      </c>
      <c r="C123" s="1" t="s">
        <v>1145</v>
      </c>
      <c r="D123" s="1" t="s">
        <v>1146</v>
      </c>
      <c r="E123" s="4">
        <v>79000.0</v>
      </c>
      <c r="F123" s="4">
        <v>653.0</v>
      </c>
      <c r="G123" s="4">
        <v>269.0</v>
      </c>
      <c r="H123" s="7" t="s">
        <v>2410</v>
      </c>
      <c r="I123" s="1" t="s">
        <v>1149</v>
      </c>
      <c r="J123" s="1" t="s">
        <v>1150</v>
      </c>
      <c r="K123" s="9">
        <v>45961.89488425926</v>
      </c>
      <c r="L123" s="4">
        <v>1.761946118E9</v>
      </c>
      <c r="M123" s="1" t="s">
        <v>47</v>
      </c>
      <c r="N123" s="1" t="s">
        <v>47</v>
      </c>
      <c r="O123" s="1" t="s">
        <v>47</v>
      </c>
      <c r="P123" s="1" t="s">
        <v>47</v>
      </c>
      <c r="Q123" s="1" t="s">
        <v>47</v>
      </c>
      <c r="R123" s="1" t="s">
        <v>1151</v>
      </c>
      <c r="S123" s="1" t="s">
        <v>1152</v>
      </c>
      <c r="T123" s="7" t="s">
        <v>1153</v>
      </c>
      <c r="U123" s="7" t="s">
        <v>2417</v>
      </c>
      <c r="V123" s="1" t="s">
        <v>912</v>
      </c>
      <c r="W123" s="7" t="s">
        <v>2419</v>
      </c>
      <c r="X123" s="7" t="s">
        <v>1157</v>
      </c>
      <c r="Y123" s="1"/>
      <c r="Z123" s="4">
        <v>56600.0</v>
      </c>
      <c r="AA123" s="4">
        <v>1779.0</v>
      </c>
      <c r="AB123" s="4">
        <v>14100.0</v>
      </c>
      <c r="AC123" s="4">
        <v>582700.0</v>
      </c>
      <c r="AD123" s="1" t="s">
        <v>1163</v>
      </c>
      <c r="AE123" s="1" t="s">
        <v>1163</v>
      </c>
      <c r="AF123" s="1"/>
      <c r="AG123" s="1"/>
      <c r="AH123" s="1"/>
      <c r="AI123" s="1"/>
      <c r="AJ123" s="1"/>
      <c r="AK123" s="1"/>
      <c r="AL123" s="1">
        <f>IFERROR(__xludf.DUMMYFUNCTION("IF(
  TRIM(AD123)="""",
  0,
  COUNTA(
    SPLIT(
      REGEXREPLACE(AD123,""\s*,\s*"","",""),
      "",""
    )
  )
)"),4.0)</f>
        <v>4</v>
      </c>
    </row>
    <row r="124">
      <c r="A124" s="1" t="s">
        <v>1093</v>
      </c>
      <c r="B124" s="1" t="s">
        <v>1093</v>
      </c>
      <c r="C124" s="1" t="s">
        <v>296</v>
      </c>
      <c r="D124" s="1" t="s">
        <v>297</v>
      </c>
      <c r="E124" s="4">
        <v>81500.0</v>
      </c>
      <c r="F124" s="4">
        <v>1728.0</v>
      </c>
      <c r="G124" s="4">
        <v>33.0</v>
      </c>
      <c r="H124" s="7" t="s">
        <v>2349</v>
      </c>
      <c r="I124" s="1" t="s">
        <v>1095</v>
      </c>
      <c r="J124" s="1"/>
      <c r="K124" s="9">
        <v>45491.95199074074</v>
      </c>
      <c r="L124" s="4">
        <v>1.721343052E9</v>
      </c>
      <c r="M124" s="1" t="s">
        <v>47</v>
      </c>
      <c r="N124" s="1" t="s">
        <v>47</v>
      </c>
      <c r="O124" s="1" t="s">
        <v>47</v>
      </c>
      <c r="P124" s="1" t="s">
        <v>47</v>
      </c>
      <c r="Q124" s="1" t="s">
        <v>47</v>
      </c>
      <c r="R124" s="1" t="s">
        <v>48</v>
      </c>
      <c r="S124" s="1" t="s">
        <v>1096</v>
      </c>
      <c r="T124" s="7" t="s">
        <v>2425</v>
      </c>
      <c r="U124" s="7" t="s">
        <v>2355</v>
      </c>
      <c r="V124" s="1" t="s">
        <v>297</v>
      </c>
      <c r="W124" s="7" t="s">
        <v>2427</v>
      </c>
      <c r="X124" s="7" t="s">
        <v>1106</v>
      </c>
      <c r="Y124" s="1"/>
      <c r="Z124" s="4">
        <v>53100.0</v>
      </c>
      <c r="AA124" s="4">
        <v>2520.0</v>
      </c>
      <c r="AB124" s="4">
        <v>7413.0</v>
      </c>
      <c r="AC124" s="4">
        <v>738400.0</v>
      </c>
      <c r="AD124" s="1" t="s">
        <v>1110</v>
      </c>
      <c r="AE124" s="1" t="s">
        <v>1110</v>
      </c>
      <c r="AF124" s="1"/>
      <c r="AG124" s="1"/>
      <c r="AH124" s="1" t="s">
        <v>85</v>
      </c>
      <c r="AI124" s="1"/>
      <c r="AJ124" s="1"/>
      <c r="AK124" s="1"/>
      <c r="AL124" s="1">
        <f>IFERROR(__xludf.DUMMYFUNCTION("IF(
  TRIM(AD124)="""",
  0,
  COUNTA(
    SPLIT(
      REGEXREPLACE(AD124,""\s*,\s*"","",""),
      "",""
    )
  )
)"),4.0)</f>
        <v>4</v>
      </c>
    </row>
    <row r="125">
      <c r="A125" s="1" t="s">
        <v>2436</v>
      </c>
      <c r="B125" s="1" t="s">
        <v>2436</v>
      </c>
      <c r="C125" s="1" t="s">
        <v>1577</v>
      </c>
      <c r="D125" s="1" t="s">
        <v>1578</v>
      </c>
      <c r="E125" s="4">
        <v>22600.0</v>
      </c>
      <c r="F125" s="4">
        <v>12.0</v>
      </c>
      <c r="G125" s="4">
        <v>99.0</v>
      </c>
      <c r="H125" s="7" t="s">
        <v>2437</v>
      </c>
      <c r="I125" s="1" t="s">
        <v>2439</v>
      </c>
      <c r="J125" s="1"/>
      <c r="K125" s="9">
        <v>45687.617893518516</v>
      </c>
      <c r="L125" s="4">
        <v>1.738248586E9</v>
      </c>
      <c r="M125" s="1" t="s">
        <v>47</v>
      </c>
      <c r="N125" s="1" t="s">
        <v>47</v>
      </c>
      <c r="O125" s="1" t="s">
        <v>47</v>
      </c>
      <c r="P125" s="1" t="s">
        <v>47</v>
      </c>
      <c r="Q125" s="1" t="s">
        <v>47</v>
      </c>
      <c r="R125" s="1" t="s">
        <v>2440</v>
      </c>
      <c r="S125" s="1" t="s">
        <v>2441</v>
      </c>
      <c r="T125" s="7" t="s">
        <v>2442</v>
      </c>
      <c r="U125" s="7" t="s">
        <v>2444</v>
      </c>
      <c r="V125" s="1" t="s">
        <v>2445</v>
      </c>
      <c r="W125" s="7" t="s">
        <v>2446</v>
      </c>
      <c r="X125" s="7" t="s">
        <v>2452</v>
      </c>
      <c r="Y125" s="1"/>
      <c r="Z125" s="4">
        <v>36400.0</v>
      </c>
      <c r="AA125" s="4">
        <v>568.0</v>
      </c>
      <c r="AB125" s="4">
        <v>5807.0</v>
      </c>
      <c r="AC125" s="4">
        <v>834500.0</v>
      </c>
      <c r="AD125" s="1" t="s">
        <v>2453</v>
      </c>
      <c r="AE125" s="1" t="s">
        <v>2453</v>
      </c>
      <c r="AF125" s="1"/>
      <c r="AG125" s="1"/>
      <c r="AH125" s="1"/>
      <c r="AI125" s="1"/>
      <c r="AJ125" s="1"/>
      <c r="AK125" s="1"/>
      <c r="AL125" s="1">
        <f>IFERROR(__xludf.DUMMYFUNCTION("IF(
  TRIM(AD125)="""",
  0,
  COUNTA(
    SPLIT(
      REGEXREPLACE(AD125,""\s*,\s*"","",""),
      "",""
    )
  )
)"),4.0)</f>
        <v>4</v>
      </c>
    </row>
    <row r="126">
      <c r="A126" s="1" t="s">
        <v>1437</v>
      </c>
      <c r="B126" s="1" t="s">
        <v>1437</v>
      </c>
      <c r="C126" s="1" t="s">
        <v>716</v>
      </c>
      <c r="D126" s="1" t="s">
        <v>717</v>
      </c>
      <c r="E126" s="4">
        <v>92700.0</v>
      </c>
      <c r="F126" s="4">
        <v>2574.0</v>
      </c>
      <c r="G126" s="4">
        <v>121.0</v>
      </c>
      <c r="H126" s="7" t="s">
        <v>2455</v>
      </c>
      <c r="I126" s="1" t="s">
        <v>1438</v>
      </c>
      <c r="J126" s="1" t="s">
        <v>1439</v>
      </c>
      <c r="K126" s="9">
        <v>45419.630532407406</v>
      </c>
      <c r="L126" s="4">
        <v>1.715094478E9</v>
      </c>
      <c r="M126" s="1" t="s">
        <v>47</v>
      </c>
      <c r="N126" s="1" t="s">
        <v>47</v>
      </c>
      <c r="O126" s="1" t="s">
        <v>47</v>
      </c>
      <c r="P126" s="1" t="s">
        <v>47</v>
      </c>
      <c r="Q126" s="1" t="s">
        <v>47</v>
      </c>
      <c r="R126" s="1" t="s">
        <v>48</v>
      </c>
      <c r="S126" s="1" t="s">
        <v>1440</v>
      </c>
      <c r="T126" s="7" t="s">
        <v>2456</v>
      </c>
      <c r="U126" s="7" t="s">
        <v>2460</v>
      </c>
      <c r="V126" s="1" t="s">
        <v>717</v>
      </c>
      <c r="W126" s="1"/>
      <c r="X126" s="7" t="s">
        <v>1446</v>
      </c>
      <c r="Y126" s="1"/>
      <c r="Z126" s="4">
        <v>35400.0</v>
      </c>
      <c r="AA126" s="4">
        <v>379.0</v>
      </c>
      <c r="AB126" s="4">
        <v>5005.0</v>
      </c>
      <c r="AC126" s="4">
        <v>504100.0</v>
      </c>
      <c r="AD126" s="1" t="s">
        <v>1447</v>
      </c>
      <c r="AE126" s="1" t="s">
        <v>1447</v>
      </c>
      <c r="AF126" s="1"/>
      <c r="AG126" s="1"/>
      <c r="AH126" s="1"/>
      <c r="AI126" s="1"/>
      <c r="AJ126" s="1"/>
      <c r="AK126" s="1"/>
      <c r="AL126" s="1">
        <f>IFERROR(__xludf.DUMMYFUNCTION("IF(
  TRIM(AD126)="""",
  0,
  COUNTA(
    SPLIT(
      REGEXREPLACE(AD126,""\s*,\s*"","",""),
      "",""
    )
  )
)"),4.0)</f>
        <v>4</v>
      </c>
    </row>
    <row r="127">
      <c r="A127" s="1" t="s">
        <v>1448</v>
      </c>
      <c r="B127" s="1" t="s">
        <v>1448</v>
      </c>
      <c r="C127" s="1" t="s">
        <v>716</v>
      </c>
      <c r="D127" s="1" t="s">
        <v>717</v>
      </c>
      <c r="E127" s="4">
        <v>92700.0</v>
      </c>
      <c r="F127" s="4">
        <v>2574.0</v>
      </c>
      <c r="G127" s="4">
        <v>121.0</v>
      </c>
      <c r="H127" s="7" t="s">
        <v>2455</v>
      </c>
      <c r="I127" s="1" t="s">
        <v>1450</v>
      </c>
      <c r="J127" s="1" t="s">
        <v>1451</v>
      </c>
      <c r="K127" s="9">
        <v>45376.675462962965</v>
      </c>
      <c r="L127" s="4">
        <v>1.71138316E9</v>
      </c>
      <c r="M127" s="1" t="s">
        <v>47</v>
      </c>
      <c r="N127" s="1" t="s">
        <v>47</v>
      </c>
      <c r="O127" s="1" t="s">
        <v>47</v>
      </c>
      <c r="P127" s="1" t="s">
        <v>47</v>
      </c>
      <c r="Q127" s="1" t="s">
        <v>47</v>
      </c>
      <c r="R127" s="1" t="s">
        <v>908</v>
      </c>
      <c r="S127" s="1" t="s">
        <v>909</v>
      </c>
      <c r="T127" s="7" t="s">
        <v>910</v>
      </c>
      <c r="U127" s="7" t="s">
        <v>911</v>
      </c>
      <c r="V127" s="1" t="s">
        <v>912</v>
      </c>
      <c r="W127" s="1"/>
      <c r="X127" s="7" t="s">
        <v>1452</v>
      </c>
      <c r="Y127" s="1"/>
      <c r="Z127" s="4">
        <v>35200.0</v>
      </c>
      <c r="AA127" s="4">
        <v>400.0</v>
      </c>
      <c r="AB127" s="4">
        <v>5074.0</v>
      </c>
      <c r="AC127" s="4">
        <v>485400.0</v>
      </c>
      <c r="AD127" s="1" t="s">
        <v>1453</v>
      </c>
      <c r="AE127" s="1" t="s">
        <v>1453</v>
      </c>
      <c r="AF127" s="1"/>
      <c r="AG127" s="1"/>
      <c r="AH127" s="1"/>
      <c r="AI127" s="1"/>
      <c r="AJ127" s="1"/>
      <c r="AK127" s="1"/>
      <c r="AL127" s="1">
        <f>IFERROR(__xludf.DUMMYFUNCTION("IF(
  TRIM(AD127)="""",
  0,
  COUNTA(
    SPLIT(
      REGEXREPLACE(AD127,""\s*,\s*"","",""),
      "",""
    )
  )
)"),4.0)</f>
        <v>4</v>
      </c>
    </row>
    <row r="128">
      <c r="A128" s="1" t="s">
        <v>2465</v>
      </c>
      <c r="B128" s="1" t="s">
        <v>2465</v>
      </c>
      <c r="C128" s="1" t="s">
        <v>2466</v>
      </c>
      <c r="D128" s="1" t="s">
        <v>2467</v>
      </c>
      <c r="E128" s="4">
        <v>9980.0</v>
      </c>
      <c r="F128" s="4">
        <v>313.0</v>
      </c>
      <c r="G128" s="4">
        <v>46.0</v>
      </c>
      <c r="H128" s="7" t="s">
        <v>2469</v>
      </c>
      <c r="I128" s="1" t="s">
        <v>2473</v>
      </c>
      <c r="J128" s="1" t="s">
        <v>2474</v>
      </c>
      <c r="K128" s="9">
        <v>45885.08965277778</v>
      </c>
      <c r="L128" s="4">
        <v>1.755310146E9</v>
      </c>
      <c r="M128" s="1" t="s">
        <v>47</v>
      </c>
      <c r="N128" s="1" t="s">
        <v>47</v>
      </c>
      <c r="O128" s="1" t="s">
        <v>47</v>
      </c>
      <c r="P128" s="1" t="s">
        <v>47</v>
      </c>
      <c r="Q128" s="1" t="s">
        <v>47</v>
      </c>
      <c r="R128" s="1" t="s">
        <v>48</v>
      </c>
      <c r="S128" s="1" t="s">
        <v>2475</v>
      </c>
      <c r="T128" s="7" t="s">
        <v>2476</v>
      </c>
      <c r="U128" s="7" t="s">
        <v>2479</v>
      </c>
      <c r="V128" s="1" t="s">
        <v>2467</v>
      </c>
      <c r="W128" s="1"/>
      <c r="X128" s="7" t="s">
        <v>2480</v>
      </c>
      <c r="Y128" s="1"/>
      <c r="Z128" s="4">
        <v>25000.0</v>
      </c>
      <c r="AA128" s="4">
        <v>2058.0</v>
      </c>
      <c r="AB128" s="4">
        <v>3919.0</v>
      </c>
      <c r="AC128" s="4">
        <v>237000.0</v>
      </c>
      <c r="AD128" s="1" t="s">
        <v>2482</v>
      </c>
      <c r="AE128" s="1" t="s">
        <v>2482</v>
      </c>
      <c r="AF128" s="1"/>
      <c r="AG128" s="1"/>
      <c r="AH128" s="1" t="s">
        <v>836</v>
      </c>
      <c r="AI128" s="1"/>
      <c r="AJ128" s="1"/>
      <c r="AK128" s="1"/>
      <c r="AL128" s="1">
        <f>IFERROR(__xludf.DUMMYFUNCTION("IF(
  TRIM(AD128)="""",
  0,
  COUNTA(
    SPLIT(
      REGEXREPLACE(AD128,""\s*,\s*"","",""),
      "",""
    )
  )
)"),4.0)</f>
        <v>4</v>
      </c>
    </row>
    <row r="129">
      <c r="A129" s="1" t="s">
        <v>1948</v>
      </c>
      <c r="B129" s="1" t="s">
        <v>1948</v>
      </c>
      <c r="C129" s="1" t="s">
        <v>1577</v>
      </c>
      <c r="D129" s="1" t="s">
        <v>1578</v>
      </c>
      <c r="E129" s="4">
        <v>22600.0</v>
      </c>
      <c r="F129" s="4">
        <v>12.0</v>
      </c>
      <c r="G129" s="4">
        <v>99.0</v>
      </c>
      <c r="H129" s="7" t="s">
        <v>2437</v>
      </c>
      <c r="I129" s="1" t="s">
        <v>1951</v>
      </c>
      <c r="J129" s="1"/>
      <c r="K129" s="9">
        <v>45717.92259259259</v>
      </c>
      <c r="L129" s="4">
        <v>1.740866912E9</v>
      </c>
      <c r="M129" s="1" t="s">
        <v>47</v>
      </c>
      <c r="N129" s="1" t="s">
        <v>47</v>
      </c>
      <c r="O129" s="1" t="s">
        <v>47</v>
      </c>
      <c r="P129" s="1" t="s">
        <v>47</v>
      </c>
      <c r="Q129" s="1" t="s">
        <v>47</v>
      </c>
      <c r="R129" s="1" t="s">
        <v>48</v>
      </c>
      <c r="S129" s="1" t="s">
        <v>1952</v>
      </c>
      <c r="T129" s="7" t="s">
        <v>2485</v>
      </c>
      <c r="U129" s="7" t="s">
        <v>2489</v>
      </c>
      <c r="V129" s="1" t="s">
        <v>1578</v>
      </c>
      <c r="W129" s="7" t="s">
        <v>2491</v>
      </c>
      <c r="X129" s="7" t="s">
        <v>1965</v>
      </c>
      <c r="Y129" s="1"/>
      <c r="Z129" s="4">
        <v>18300.0</v>
      </c>
      <c r="AA129" s="4">
        <v>312.0</v>
      </c>
      <c r="AB129" s="4">
        <v>2673.0</v>
      </c>
      <c r="AC129" s="4">
        <v>443200.0</v>
      </c>
      <c r="AD129" s="1" t="s">
        <v>1966</v>
      </c>
      <c r="AE129" s="1" t="s">
        <v>1966</v>
      </c>
      <c r="AF129" s="1"/>
      <c r="AG129" s="1"/>
      <c r="AH129" s="1"/>
      <c r="AI129" s="1"/>
      <c r="AJ129" s="1"/>
      <c r="AK129" s="1"/>
      <c r="AL129" s="1">
        <f>IFERROR(__xludf.DUMMYFUNCTION("IF(
  TRIM(AD129)="""",
  0,
  COUNTA(
    SPLIT(
      REGEXREPLACE(AD129,""\s*,\s*"","",""),
      "",""
    )
  )
)"),4.0)</f>
        <v>4</v>
      </c>
    </row>
    <row r="130">
      <c r="A130" s="1" t="s">
        <v>1931</v>
      </c>
      <c r="B130" s="1" t="s">
        <v>1931</v>
      </c>
      <c r="C130" s="1" t="s">
        <v>69</v>
      </c>
      <c r="D130" s="1" t="s">
        <v>70</v>
      </c>
      <c r="E130" s="4">
        <v>176100.0</v>
      </c>
      <c r="F130" s="4">
        <v>889.0</v>
      </c>
      <c r="G130" s="4">
        <v>777.0</v>
      </c>
      <c r="H130" s="7" t="s">
        <v>71</v>
      </c>
      <c r="I130" s="1" t="s">
        <v>1935</v>
      </c>
      <c r="J130" s="1" t="s">
        <v>1936</v>
      </c>
      <c r="K130" s="9">
        <v>45027.61039351852</v>
      </c>
      <c r="L130" s="4">
        <v>1.681223938E9</v>
      </c>
      <c r="M130" s="1" t="s">
        <v>47</v>
      </c>
      <c r="N130" s="1" t="s">
        <v>47</v>
      </c>
      <c r="O130" s="1" t="s">
        <v>47</v>
      </c>
      <c r="P130" s="1" t="s">
        <v>47</v>
      </c>
      <c r="Q130" s="1" t="s">
        <v>47</v>
      </c>
      <c r="R130" s="1" t="s">
        <v>48</v>
      </c>
      <c r="S130" s="1" t="s">
        <v>1938</v>
      </c>
      <c r="T130" s="7" t="s">
        <v>2498</v>
      </c>
      <c r="U130" s="7" t="s">
        <v>1787</v>
      </c>
      <c r="V130" s="1" t="s">
        <v>70</v>
      </c>
      <c r="W130" s="7" t="s">
        <v>2501</v>
      </c>
      <c r="X130" s="7" t="s">
        <v>1946</v>
      </c>
      <c r="Y130" s="1"/>
      <c r="Z130" s="4">
        <v>18300.0</v>
      </c>
      <c r="AA130" s="4">
        <v>340.0</v>
      </c>
      <c r="AB130" s="4">
        <v>5796.0</v>
      </c>
      <c r="AC130" s="4">
        <v>362100.0</v>
      </c>
      <c r="AD130" s="1" t="s">
        <v>1947</v>
      </c>
      <c r="AE130" s="1" t="s">
        <v>1947</v>
      </c>
      <c r="AF130" s="1"/>
      <c r="AG130" s="1"/>
      <c r="AH130" s="1"/>
      <c r="AI130" s="1"/>
      <c r="AJ130" s="1"/>
      <c r="AK130" s="1"/>
      <c r="AL130" s="1">
        <f>IFERROR(__xludf.DUMMYFUNCTION("IF(
  TRIM(AD130)="""",
  0,
  COUNTA(
    SPLIT(
      REGEXREPLACE(AD130,""\s*,\s*"","",""),
      "",""
    )
  )
)"),4.0)</f>
        <v>4</v>
      </c>
    </row>
    <row r="131">
      <c r="A131" s="1" t="s">
        <v>2504</v>
      </c>
      <c r="B131" s="1" t="s">
        <v>2504</v>
      </c>
      <c r="C131" s="1" t="s">
        <v>716</v>
      </c>
      <c r="D131" s="1" t="s">
        <v>717</v>
      </c>
      <c r="E131" s="4">
        <v>92700.0</v>
      </c>
      <c r="F131" s="4">
        <v>2574.0</v>
      </c>
      <c r="G131" s="4">
        <v>121.0</v>
      </c>
      <c r="H131" s="7" t="s">
        <v>2455</v>
      </c>
      <c r="I131" s="1" t="s">
        <v>2505</v>
      </c>
      <c r="J131" s="1" t="s">
        <v>2506</v>
      </c>
      <c r="K131" s="9">
        <v>45439.61712962963</v>
      </c>
      <c r="L131" s="4">
        <v>1.71682132E9</v>
      </c>
      <c r="M131" s="1" t="s">
        <v>47</v>
      </c>
      <c r="N131" s="1" t="s">
        <v>47</v>
      </c>
      <c r="O131" s="1" t="s">
        <v>47</v>
      </c>
      <c r="P131" s="1" t="s">
        <v>47</v>
      </c>
      <c r="Q131" s="1" t="s">
        <v>47</v>
      </c>
      <c r="R131" s="1" t="s">
        <v>48</v>
      </c>
      <c r="S131" s="1" t="s">
        <v>2507</v>
      </c>
      <c r="T131" s="7" t="s">
        <v>2508</v>
      </c>
      <c r="U131" s="7" t="s">
        <v>2510</v>
      </c>
      <c r="V131" s="1" t="s">
        <v>717</v>
      </c>
      <c r="W131" s="1"/>
      <c r="X131" s="7" t="s">
        <v>2511</v>
      </c>
      <c r="Y131" s="1"/>
      <c r="Z131" s="4">
        <v>17000.0</v>
      </c>
      <c r="AA131" s="4">
        <v>165.0</v>
      </c>
      <c r="AB131" s="4">
        <v>831.0</v>
      </c>
      <c r="AC131" s="4">
        <v>306300.0</v>
      </c>
      <c r="AD131" s="1" t="s">
        <v>2513</v>
      </c>
      <c r="AE131" s="1" t="s">
        <v>2513</v>
      </c>
      <c r="AF131" s="1"/>
      <c r="AG131" s="1"/>
      <c r="AH131" s="1"/>
      <c r="AI131" s="1"/>
      <c r="AJ131" s="1"/>
      <c r="AK131" s="1"/>
      <c r="AL131" s="1">
        <f>IFERROR(__xludf.DUMMYFUNCTION("IF(
  TRIM(AD131)="""",
  0,
  COUNTA(
    SPLIT(
      REGEXREPLACE(AD131,""\s*,\s*"","",""),
      "",""
    )
  )
)"),4.0)</f>
        <v>4</v>
      </c>
    </row>
    <row r="132">
      <c r="A132" s="1" t="s">
        <v>2090</v>
      </c>
      <c r="B132" s="1" t="s">
        <v>2090</v>
      </c>
      <c r="C132" s="1" t="s">
        <v>296</v>
      </c>
      <c r="D132" s="1" t="s">
        <v>297</v>
      </c>
      <c r="E132" s="4">
        <v>81500.0</v>
      </c>
      <c r="F132" s="4">
        <v>1728.0</v>
      </c>
      <c r="G132" s="4">
        <v>33.0</v>
      </c>
      <c r="H132" s="7" t="s">
        <v>2349</v>
      </c>
      <c r="I132" s="1" t="s">
        <v>2092</v>
      </c>
      <c r="J132" s="1"/>
      <c r="K132" s="9">
        <v>45499.936631944445</v>
      </c>
      <c r="L132" s="4">
        <v>1.722032925E9</v>
      </c>
      <c r="M132" s="1" t="s">
        <v>47</v>
      </c>
      <c r="N132" s="1" t="s">
        <v>47</v>
      </c>
      <c r="O132" s="1" t="s">
        <v>47</v>
      </c>
      <c r="P132" s="1" t="s">
        <v>47</v>
      </c>
      <c r="Q132" s="1" t="s">
        <v>47</v>
      </c>
      <c r="R132" s="1" t="s">
        <v>48</v>
      </c>
      <c r="S132" s="1" t="s">
        <v>2093</v>
      </c>
      <c r="T132" s="7" t="s">
        <v>2514</v>
      </c>
      <c r="U132" s="7" t="s">
        <v>2355</v>
      </c>
      <c r="V132" s="1" t="s">
        <v>297</v>
      </c>
      <c r="W132" s="7" t="s">
        <v>2515</v>
      </c>
      <c r="X132" s="7" t="s">
        <v>2100</v>
      </c>
      <c r="Y132" s="1"/>
      <c r="Z132" s="4">
        <v>16400.0</v>
      </c>
      <c r="AA132" s="4">
        <v>794.0</v>
      </c>
      <c r="AB132" s="4">
        <v>2420.0</v>
      </c>
      <c r="AC132" s="4">
        <v>157200.0</v>
      </c>
      <c r="AD132" s="1" t="s">
        <v>1110</v>
      </c>
      <c r="AE132" s="1" t="s">
        <v>1110</v>
      </c>
      <c r="AF132" s="1"/>
      <c r="AG132" s="1"/>
      <c r="AH132" s="1"/>
      <c r="AI132" s="1"/>
      <c r="AJ132" s="1"/>
      <c r="AK132" s="1"/>
      <c r="AL132" s="1">
        <f>IFERROR(__xludf.DUMMYFUNCTION("IF(
  TRIM(AD132)="""",
  0,
  COUNTA(
    SPLIT(
      REGEXREPLACE(AD132,""\s*,\s*"","",""),
      "",""
    )
  )
)"),4.0)</f>
        <v>4</v>
      </c>
    </row>
    <row r="133">
      <c r="A133" s="1" t="s">
        <v>2518</v>
      </c>
      <c r="B133" s="1" t="s">
        <v>2518</v>
      </c>
      <c r="C133" s="1" t="s">
        <v>920</v>
      </c>
      <c r="D133" s="1" t="s">
        <v>921</v>
      </c>
      <c r="E133" s="4">
        <v>299500.0</v>
      </c>
      <c r="F133" s="4">
        <v>1919.0</v>
      </c>
      <c r="G133" s="4">
        <v>1418.0</v>
      </c>
      <c r="H133" s="7" t="s">
        <v>1561</v>
      </c>
      <c r="I133" s="1" t="s">
        <v>2519</v>
      </c>
      <c r="J133" s="1"/>
      <c r="K133" s="9">
        <v>45852.87320601852</v>
      </c>
      <c r="L133" s="4">
        <v>1.752526645E9</v>
      </c>
      <c r="M133" s="1" t="s">
        <v>47</v>
      </c>
      <c r="N133" s="1" t="s">
        <v>47</v>
      </c>
      <c r="O133" s="1" t="s">
        <v>47</v>
      </c>
      <c r="P133" s="1" t="s">
        <v>47</v>
      </c>
      <c r="Q133" s="1" t="s">
        <v>47</v>
      </c>
      <c r="R133" s="1" t="s">
        <v>204</v>
      </c>
      <c r="S133" s="1" t="s">
        <v>2520</v>
      </c>
      <c r="T133" s="7" t="s">
        <v>2521</v>
      </c>
      <c r="U133" s="7" t="s">
        <v>2526</v>
      </c>
      <c r="V133" s="1" t="s">
        <v>2530</v>
      </c>
      <c r="W133" s="7" t="s">
        <v>2531</v>
      </c>
      <c r="X133" s="7" t="s">
        <v>2533</v>
      </c>
      <c r="Y133" s="1"/>
      <c r="Z133" s="4">
        <v>16000.0</v>
      </c>
      <c r="AA133" s="4">
        <v>275.0</v>
      </c>
      <c r="AB133" s="4">
        <v>3041.0</v>
      </c>
      <c r="AC133" s="4">
        <v>165300.0</v>
      </c>
      <c r="AD133" s="1" t="s">
        <v>937</v>
      </c>
      <c r="AE133" s="1" t="s">
        <v>937</v>
      </c>
      <c r="AF133" s="1"/>
      <c r="AG133" s="1"/>
      <c r="AH133" s="1"/>
      <c r="AI133" s="1"/>
      <c r="AJ133" s="1"/>
      <c r="AK133" s="1"/>
      <c r="AL133" s="1">
        <f>IFERROR(__xludf.DUMMYFUNCTION("IF(
  TRIM(AD133)="""",
  0,
  COUNTA(
    SPLIT(
      REGEXREPLACE(AD133,""\s*,\s*"","",""),
      "",""
    )
  )
)"),4.0)</f>
        <v>4</v>
      </c>
    </row>
    <row r="134">
      <c r="A134" s="1" t="s">
        <v>2140</v>
      </c>
      <c r="B134" s="1" t="s">
        <v>2140</v>
      </c>
      <c r="C134" s="1" t="s">
        <v>716</v>
      </c>
      <c r="D134" s="1" t="s">
        <v>717</v>
      </c>
      <c r="E134" s="4">
        <v>92700.0</v>
      </c>
      <c r="F134" s="4">
        <v>2574.0</v>
      </c>
      <c r="G134" s="4">
        <v>121.0</v>
      </c>
      <c r="H134" s="7" t="s">
        <v>2455</v>
      </c>
      <c r="I134" s="1" t="s">
        <v>2141</v>
      </c>
      <c r="J134" s="1" t="s">
        <v>2142</v>
      </c>
      <c r="K134" s="9">
        <v>45436.612650462965</v>
      </c>
      <c r="L134" s="4">
        <v>1.716561733E9</v>
      </c>
      <c r="M134" s="1" t="s">
        <v>47</v>
      </c>
      <c r="N134" s="1" t="s">
        <v>47</v>
      </c>
      <c r="O134" s="1" t="s">
        <v>47</v>
      </c>
      <c r="P134" s="1" t="s">
        <v>47</v>
      </c>
      <c r="Q134" s="1" t="s">
        <v>47</v>
      </c>
      <c r="R134" s="1" t="s">
        <v>48</v>
      </c>
      <c r="S134" s="1" t="s">
        <v>2143</v>
      </c>
      <c r="T134" s="7" t="s">
        <v>2534</v>
      </c>
      <c r="U134" s="7" t="s">
        <v>2510</v>
      </c>
      <c r="V134" s="1" t="s">
        <v>717</v>
      </c>
      <c r="W134" s="1"/>
      <c r="X134" s="7" t="s">
        <v>2149</v>
      </c>
      <c r="Y134" s="1"/>
      <c r="Z134" s="4">
        <v>15600.0</v>
      </c>
      <c r="AA134" s="4">
        <v>274.0</v>
      </c>
      <c r="AB134" s="4">
        <v>2761.0</v>
      </c>
      <c r="AC134" s="4">
        <v>179100.0</v>
      </c>
      <c r="AD134" s="1" t="s">
        <v>1453</v>
      </c>
      <c r="AE134" s="1" t="s">
        <v>1453</v>
      </c>
      <c r="AF134" s="1"/>
      <c r="AG134" s="1"/>
      <c r="AH134" s="1" t="s">
        <v>2014</v>
      </c>
      <c r="AI134" s="1"/>
      <c r="AJ134" s="1"/>
      <c r="AK134" s="1"/>
      <c r="AL134" s="1">
        <f>IFERROR(__xludf.DUMMYFUNCTION("IF(
  TRIM(AD134)="""",
  0,
  COUNTA(
    SPLIT(
      REGEXREPLACE(AD134,""\s*,\s*"","",""),
      "",""
    )
  )
)"),4.0)</f>
        <v>4</v>
      </c>
    </row>
    <row r="135">
      <c r="A135" s="1" t="s">
        <v>2150</v>
      </c>
      <c r="B135" s="1" t="s">
        <v>2150</v>
      </c>
      <c r="C135" s="1" t="s">
        <v>69</v>
      </c>
      <c r="D135" s="1" t="s">
        <v>70</v>
      </c>
      <c r="E135" s="4">
        <v>176100.0</v>
      </c>
      <c r="F135" s="4">
        <v>889.0</v>
      </c>
      <c r="G135" s="4">
        <v>777.0</v>
      </c>
      <c r="H135" s="7" t="s">
        <v>330</v>
      </c>
      <c r="I135" s="1" t="s">
        <v>2151</v>
      </c>
      <c r="J135" s="1" t="s">
        <v>2152</v>
      </c>
      <c r="K135" s="9">
        <v>45200.910219907404</v>
      </c>
      <c r="L135" s="4">
        <v>1.696197043E9</v>
      </c>
      <c r="M135" s="1" t="s">
        <v>47</v>
      </c>
      <c r="N135" s="1" t="s">
        <v>47</v>
      </c>
      <c r="O135" s="1" t="s">
        <v>47</v>
      </c>
      <c r="P135" s="1" t="s">
        <v>47</v>
      </c>
      <c r="Q135" s="1" t="s">
        <v>47</v>
      </c>
      <c r="R135" s="1" t="s">
        <v>48</v>
      </c>
      <c r="S135" s="1" t="s">
        <v>2153</v>
      </c>
      <c r="T135" s="7" t="s">
        <v>2544</v>
      </c>
      <c r="U135" s="7" t="s">
        <v>355</v>
      </c>
      <c r="V135" s="1" t="s">
        <v>70</v>
      </c>
      <c r="W135" s="7" t="s">
        <v>2548</v>
      </c>
      <c r="X135" s="7" t="s">
        <v>2161</v>
      </c>
      <c r="Y135" s="1"/>
      <c r="Z135" s="4">
        <v>15600.0</v>
      </c>
      <c r="AA135" s="4">
        <v>312.0</v>
      </c>
      <c r="AB135" s="4">
        <v>6914.0</v>
      </c>
      <c r="AC135" s="4">
        <v>445900.0</v>
      </c>
      <c r="AD135" s="1" t="s">
        <v>2163</v>
      </c>
      <c r="AE135" s="1" t="s">
        <v>2163</v>
      </c>
      <c r="AF135" s="1"/>
      <c r="AG135" s="1"/>
      <c r="AH135" s="1"/>
      <c r="AI135" s="1"/>
      <c r="AJ135" s="1"/>
      <c r="AK135" s="1"/>
      <c r="AL135" s="1">
        <f>IFERROR(__xludf.DUMMYFUNCTION("IF(
  TRIM(AD135)="""",
  0,
  COUNTA(
    SPLIT(
      REGEXREPLACE(AD135,""\s*,\s*"","",""),
      "",""
    )
  )
)"),4.0)</f>
        <v>4</v>
      </c>
    </row>
    <row r="136">
      <c r="A136" s="1" t="s">
        <v>2200</v>
      </c>
      <c r="B136" s="1" t="s">
        <v>2200</v>
      </c>
      <c r="C136" s="1" t="s">
        <v>69</v>
      </c>
      <c r="D136" s="1" t="s">
        <v>70</v>
      </c>
      <c r="E136" s="4">
        <v>176100.0</v>
      </c>
      <c r="F136" s="4">
        <v>889.0</v>
      </c>
      <c r="G136" s="4">
        <v>777.0</v>
      </c>
      <c r="H136" s="7" t="s">
        <v>71</v>
      </c>
      <c r="I136" s="1" t="s">
        <v>2201</v>
      </c>
      <c r="J136" s="1" t="s">
        <v>2202</v>
      </c>
      <c r="K136" s="9">
        <v>45020.6084375</v>
      </c>
      <c r="L136" s="4">
        <v>1.680618969E9</v>
      </c>
      <c r="M136" s="1" t="s">
        <v>47</v>
      </c>
      <c r="N136" s="1" t="s">
        <v>47</v>
      </c>
      <c r="O136" s="1" t="s">
        <v>47</v>
      </c>
      <c r="P136" s="1" t="s">
        <v>47</v>
      </c>
      <c r="Q136" s="1" t="s">
        <v>47</v>
      </c>
      <c r="R136" s="1" t="s">
        <v>48</v>
      </c>
      <c r="S136" s="1" t="s">
        <v>2203</v>
      </c>
      <c r="T136" s="7" t="s">
        <v>2558</v>
      </c>
      <c r="U136" s="7" t="s">
        <v>1787</v>
      </c>
      <c r="V136" s="1" t="s">
        <v>70</v>
      </c>
      <c r="W136" s="7" t="s">
        <v>2560</v>
      </c>
      <c r="X136" s="7" t="s">
        <v>2213</v>
      </c>
      <c r="Y136" s="1"/>
      <c r="Z136" s="4">
        <v>14700.0</v>
      </c>
      <c r="AA136" s="4">
        <v>343.0</v>
      </c>
      <c r="AB136" s="4">
        <v>3302.0</v>
      </c>
      <c r="AC136" s="4">
        <v>154400.0</v>
      </c>
      <c r="AD136" s="1" t="s">
        <v>2214</v>
      </c>
      <c r="AE136" s="1" t="s">
        <v>2214</v>
      </c>
      <c r="AF136" s="1"/>
      <c r="AG136" s="1"/>
      <c r="AH136" s="1"/>
      <c r="AI136" s="1"/>
      <c r="AJ136" s="1"/>
      <c r="AK136" s="1"/>
      <c r="AL136" s="1">
        <f>IFERROR(__xludf.DUMMYFUNCTION("IF(
  TRIM(AD136)="""",
  0,
  COUNTA(
    SPLIT(
      REGEXREPLACE(AD136,""\s*,\s*"","",""),
      "",""
    )
  )
)"),4.0)</f>
        <v>4</v>
      </c>
    </row>
    <row r="137">
      <c r="A137" s="1" t="s">
        <v>2325</v>
      </c>
      <c r="B137" s="1" t="s">
        <v>2325</v>
      </c>
      <c r="C137" s="1" t="s">
        <v>2326</v>
      </c>
      <c r="D137" s="1" t="s">
        <v>2327</v>
      </c>
      <c r="E137" s="4">
        <v>106300.0</v>
      </c>
      <c r="F137" s="4">
        <v>733.0</v>
      </c>
      <c r="G137" s="4">
        <v>347.0</v>
      </c>
      <c r="H137" s="7" t="s">
        <v>2562</v>
      </c>
      <c r="I137" s="1" t="s">
        <v>2332</v>
      </c>
      <c r="J137" s="1" t="s">
        <v>2333</v>
      </c>
      <c r="K137" s="9">
        <v>45002.95542824074</v>
      </c>
      <c r="L137" s="4">
        <v>1.679093749E9</v>
      </c>
      <c r="M137" s="1" t="s">
        <v>47</v>
      </c>
      <c r="N137" s="1" t="s">
        <v>47</v>
      </c>
      <c r="O137" s="1" t="s">
        <v>47</v>
      </c>
      <c r="P137" s="1" t="s">
        <v>47</v>
      </c>
      <c r="Q137" s="1" t="s">
        <v>47</v>
      </c>
      <c r="R137" s="1" t="s">
        <v>48</v>
      </c>
      <c r="S137" s="1" t="s">
        <v>2335</v>
      </c>
      <c r="T137" s="7" t="s">
        <v>2568</v>
      </c>
      <c r="U137" s="7" t="s">
        <v>2574</v>
      </c>
      <c r="V137" s="1" t="s">
        <v>2327</v>
      </c>
      <c r="W137" s="7" t="s">
        <v>2578</v>
      </c>
      <c r="X137" s="7" t="s">
        <v>2342</v>
      </c>
      <c r="Y137" s="1"/>
      <c r="Z137" s="4">
        <v>13700.0</v>
      </c>
      <c r="AA137" s="4">
        <v>518.0</v>
      </c>
      <c r="AB137" s="4">
        <v>3644.0</v>
      </c>
      <c r="AC137" s="4">
        <v>297800.0</v>
      </c>
      <c r="AD137" s="1" t="s">
        <v>2343</v>
      </c>
      <c r="AE137" s="1" t="s">
        <v>2343</v>
      </c>
      <c r="AF137" s="1"/>
      <c r="AG137" s="1"/>
      <c r="AH137" s="1"/>
      <c r="AI137" s="1"/>
      <c r="AJ137" s="1"/>
      <c r="AK137" s="1"/>
      <c r="AL137" s="1">
        <f>IFERROR(__xludf.DUMMYFUNCTION("IF(
  TRIM(AD137)="""",
  0,
  COUNTA(
    SPLIT(
      REGEXREPLACE(AD137,""\s*,\s*"","",""),
      "",""
    )
  )
)"),4.0)</f>
        <v>4</v>
      </c>
    </row>
    <row r="138">
      <c r="A138" s="1" t="s">
        <v>2421</v>
      </c>
      <c r="B138" s="1" t="s">
        <v>2421</v>
      </c>
      <c r="C138" s="1" t="s">
        <v>920</v>
      </c>
      <c r="D138" s="1" t="s">
        <v>921</v>
      </c>
      <c r="E138" s="4">
        <v>299500.0</v>
      </c>
      <c r="F138" s="4">
        <v>1919.0</v>
      </c>
      <c r="G138" s="4">
        <v>1418.0</v>
      </c>
      <c r="H138" s="7" t="s">
        <v>1561</v>
      </c>
      <c r="I138" s="1" t="s">
        <v>2422</v>
      </c>
      <c r="J138" s="1"/>
      <c r="K138" s="9">
        <v>45845.95849537037</v>
      </c>
      <c r="L138" s="4">
        <v>1.751929214E9</v>
      </c>
      <c r="M138" s="1" t="s">
        <v>47</v>
      </c>
      <c r="N138" s="1" t="s">
        <v>47</v>
      </c>
      <c r="O138" s="1" t="s">
        <v>47</v>
      </c>
      <c r="P138" s="1" t="s">
        <v>47</v>
      </c>
      <c r="Q138" s="1" t="s">
        <v>47</v>
      </c>
      <c r="R138" s="1" t="s">
        <v>1282</v>
      </c>
      <c r="S138" s="1" t="s">
        <v>2423</v>
      </c>
      <c r="T138" s="7" t="s">
        <v>2585</v>
      </c>
      <c r="U138" s="7" t="s">
        <v>1331</v>
      </c>
      <c r="V138" s="1" t="s">
        <v>921</v>
      </c>
      <c r="W138" s="7" t="s">
        <v>2590</v>
      </c>
      <c r="X138" s="7" t="s">
        <v>2428</v>
      </c>
      <c r="Y138" s="1"/>
      <c r="Z138" s="4">
        <v>12400.0</v>
      </c>
      <c r="AA138" s="4">
        <v>105.0</v>
      </c>
      <c r="AB138" s="4">
        <v>1910.0</v>
      </c>
      <c r="AC138" s="4">
        <v>168300.0</v>
      </c>
      <c r="AD138" s="1" t="s">
        <v>2429</v>
      </c>
      <c r="AE138" s="1" t="s">
        <v>2429</v>
      </c>
      <c r="AF138" s="1"/>
      <c r="AG138" s="1"/>
      <c r="AH138" s="1"/>
      <c r="AI138" s="1"/>
      <c r="AJ138" s="1"/>
      <c r="AK138" s="1"/>
      <c r="AL138" s="1">
        <f>IFERROR(__xludf.DUMMYFUNCTION("IF(
  TRIM(AD138)="""",
  0,
  COUNTA(
    SPLIT(
      REGEXREPLACE(AD138,""\s*,\s*"","",""),
      "",""
    )
  )
)"),4.0)</f>
        <v>4</v>
      </c>
    </row>
    <row r="139">
      <c r="A139" s="1" t="s">
        <v>2522</v>
      </c>
      <c r="B139" s="1" t="s">
        <v>2522</v>
      </c>
      <c r="C139" s="1" t="s">
        <v>2523</v>
      </c>
      <c r="D139" s="1" t="s">
        <v>2524</v>
      </c>
      <c r="E139" s="4">
        <v>1300000.0</v>
      </c>
      <c r="F139" s="4">
        <v>1192.0</v>
      </c>
      <c r="G139" s="4">
        <v>1121.0</v>
      </c>
      <c r="H139" s="7" t="s">
        <v>2593</v>
      </c>
      <c r="I139" s="1" t="s">
        <v>2527</v>
      </c>
      <c r="J139" s="1"/>
      <c r="K139" s="9">
        <v>45498.88594907407</v>
      </c>
      <c r="L139" s="4">
        <v>1.721942146E9</v>
      </c>
      <c r="M139" s="1" t="s">
        <v>47</v>
      </c>
      <c r="N139" s="1" t="s">
        <v>47</v>
      </c>
      <c r="O139" s="1" t="s">
        <v>47</v>
      </c>
      <c r="P139" s="1" t="s">
        <v>47</v>
      </c>
      <c r="Q139" s="1" t="s">
        <v>47</v>
      </c>
      <c r="R139" s="1" t="s">
        <v>48</v>
      </c>
      <c r="S139" s="1" t="s">
        <v>2528</v>
      </c>
      <c r="T139" s="7" t="s">
        <v>2596</v>
      </c>
      <c r="U139" s="7" t="s">
        <v>2604</v>
      </c>
      <c r="V139" s="1" t="s">
        <v>2524</v>
      </c>
      <c r="W139" s="7" t="s">
        <v>2605</v>
      </c>
      <c r="X139" s="7" t="s">
        <v>2536</v>
      </c>
      <c r="Y139" s="1"/>
      <c r="Z139" s="4">
        <v>11100.0</v>
      </c>
      <c r="AA139" s="4">
        <v>562.0</v>
      </c>
      <c r="AB139" s="4">
        <v>2500.0</v>
      </c>
      <c r="AC139" s="4">
        <v>215700.0</v>
      </c>
      <c r="AD139" s="1" t="s">
        <v>2537</v>
      </c>
      <c r="AE139" s="1" t="s">
        <v>2537</v>
      </c>
      <c r="AF139" s="1"/>
      <c r="AG139" s="1"/>
      <c r="AH139" s="1"/>
      <c r="AI139" s="1"/>
      <c r="AJ139" s="1"/>
      <c r="AK139" s="1"/>
      <c r="AL139" s="1">
        <f>IFERROR(__xludf.DUMMYFUNCTION("IF(
  TRIM(AD139)="""",
  0,
  COUNTA(
    SPLIT(
      REGEXREPLACE(AD139,""\s*,\s*"","",""),
      "",""
    )
  )
)"),4.0)</f>
        <v>4</v>
      </c>
    </row>
    <row r="140">
      <c r="A140" s="1" t="s">
        <v>2608</v>
      </c>
      <c r="B140" s="1" t="s">
        <v>2608</v>
      </c>
      <c r="C140" s="1" t="s">
        <v>69</v>
      </c>
      <c r="D140" s="1" t="s">
        <v>70</v>
      </c>
      <c r="E140" s="4">
        <v>176100.0</v>
      </c>
      <c r="F140" s="4">
        <v>889.0</v>
      </c>
      <c r="G140" s="4">
        <v>777.0</v>
      </c>
      <c r="H140" s="7" t="s">
        <v>330</v>
      </c>
      <c r="I140" s="1" t="s">
        <v>2609</v>
      </c>
      <c r="J140" s="1"/>
      <c r="K140" s="9">
        <v>45612.001921296294</v>
      </c>
      <c r="L140" s="4">
        <v>1.731715366E9</v>
      </c>
      <c r="M140" s="1" t="s">
        <v>47</v>
      </c>
      <c r="N140" s="1" t="s">
        <v>47</v>
      </c>
      <c r="O140" s="1" t="s">
        <v>47</v>
      </c>
      <c r="P140" s="1" t="s">
        <v>47</v>
      </c>
      <c r="Q140" s="1" t="s">
        <v>47</v>
      </c>
      <c r="R140" s="1" t="s">
        <v>48</v>
      </c>
      <c r="S140" s="1" t="s">
        <v>2610</v>
      </c>
      <c r="T140" s="7" t="s">
        <v>2611</v>
      </c>
      <c r="U140" s="7" t="s">
        <v>355</v>
      </c>
      <c r="V140" s="1" t="s">
        <v>70</v>
      </c>
      <c r="W140" s="7" t="s">
        <v>2617</v>
      </c>
      <c r="X140" s="7" t="s">
        <v>2618</v>
      </c>
      <c r="Y140" s="1"/>
      <c r="Z140" s="4">
        <v>9062.0</v>
      </c>
      <c r="AA140" s="4">
        <v>156.0</v>
      </c>
      <c r="AB140" s="4">
        <v>980.0</v>
      </c>
      <c r="AC140" s="4">
        <v>86100.0</v>
      </c>
      <c r="AD140" s="1" t="s">
        <v>2620</v>
      </c>
      <c r="AE140" s="1" t="s">
        <v>2620</v>
      </c>
      <c r="AF140" s="1"/>
      <c r="AG140" s="1"/>
      <c r="AH140" s="1"/>
      <c r="AI140" s="1"/>
      <c r="AJ140" s="1"/>
      <c r="AK140" s="1"/>
      <c r="AL140" s="1">
        <f>IFERROR(__xludf.DUMMYFUNCTION("IF(
  TRIM(AD140)="""",
  0,
  COUNTA(
    SPLIT(
      REGEXREPLACE(AD140,""\s*,\s*"","",""),
      "",""
    )
  )
)"),4.0)</f>
        <v>4</v>
      </c>
    </row>
    <row r="141">
      <c r="A141" s="1" t="s">
        <v>2621</v>
      </c>
      <c r="B141" s="1" t="s">
        <v>2621</v>
      </c>
      <c r="C141" s="1" t="s">
        <v>920</v>
      </c>
      <c r="D141" s="1" t="s">
        <v>921</v>
      </c>
      <c r="E141" s="4">
        <v>299500.0</v>
      </c>
      <c r="F141" s="4">
        <v>1919.0</v>
      </c>
      <c r="G141" s="4">
        <v>1418.0</v>
      </c>
      <c r="H141" s="7" t="s">
        <v>1561</v>
      </c>
      <c r="I141" s="1" t="s">
        <v>2622</v>
      </c>
      <c r="J141" s="1" t="s">
        <v>2623</v>
      </c>
      <c r="K141" s="9">
        <v>45850.573645833334</v>
      </c>
      <c r="L141" s="4">
        <v>1.752327963E9</v>
      </c>
      <c r="M141" s="1" t="s">
        <v>47</v>
      </c>
      <c r="N141" s="1" t="s">
        <v>47</v>
      </c>
      <c r="O141" s="1" t="s">
        <v>47</v>
      </c>
      <c r="P141" s="1" t="s">
        <v>47</v>
      </c>
      <c r="Q141" s="1" t="s">
        <v>47</v>
      </c>
      <c r="R141" s="1" t="s">
        <v>204</v>
      </c>
      <c r="S141" s="1" t="s">
        <v>2520</v>
      </c>
      <c r="T141" s="7" t="s">
        <v>2521</v>
      </c>
      <c r="U141" s="7" t="s">
        <v>2526</v>
      </c>
      <c r="V141" s="1" t="s">
        <v>2530</v>
      </c>
      <c r="W141" s="7" t="s">
        <v>2624</v>
      </c>
      <c r="X141" s="7" t="s">
        <v>2629</v>
      </c>
      <c r="Y141" s="1"/>
      <c r="Z141" s="4">
        <v>8907.0</v>
      </c>
      <c r="AA141" s="4">
        <v>212.0</v>
      </c>
      <c r="AB141" s="4">
        <v>2346.0</v>
      </c>
      <c r="AC141" s="4">
        <v>114000.0</v>
      </c>
      <c r="AD141" s="1" t="s">
        <v>937</v>
      </c>
      <c r="AE141" s="1" t="s">
        <v>937</v>
      </c>
      <c r="AF141" s="1"/>
      <c r="AG141" s="1"/>
      <c r="AH141" s="1"/>
      <c r="AI141" s="1"/>
      <c r="AJ141" s="1"/>
      <c r="AK141" s="1"/>
      <c r="AL141" s="1">
        <f>IFERROR(__xludf.DUMMYFUNCTION("IF(
  TRIM(AD141)="""",
  0,
  COUNTA(
    SPLIT(
      REGEXREPLACE(AD141,""\s*,\s*"","",""),
      "",""
    )
  )
)"),4.0)</f>
        <v>4</v>
      </c>
    </row>
    <row r="142">
      <c r="A142" s="1" t="s">
        <v>2630</v>
      </c>
      <c r="B142" s="1" t="s">
        <v>2630</v>
      </c>
      <c r="C142" s="1" t="s">
        <v>1630</v>
      </c>
      <c r="D142" s="1" t="s">
        <v>1631</v>
      </c>
      <c r="E142" s="4">
        <v>19100.0</v>
      </c>
      <c r="F142" s="4">
        <v>8603.0</v>
      </c>
      <c r="G142" s="4">
        <v>292.0</v>
      </c>
      <c r="H142" s="7" t="s">
        <v>2632</v>
      </c>
      <c r="I142" s="1" t="s">
        <v>2635</v>
      </c>
      <c r="J142" s="1"/>
      <c r="K142" s="9">
        <v>45955.957870370374</v>
      </c>
      <c r="L142" s="4">
        <v>1.76143316E9</v>
      </c>
      <c r="M142" s="1" t="s">
        <v>47</v>
      </c>
      <c r="N142" s="1" t="s">
        <v>47</v>
      </c>
      <c r="O142" s="1" t="s">
        <v>47</v>
      </c>
      <c r="P142" s="1" t="s">
        <v>47</v>
      </c>
      <c r="Q142" s="1" t="s">
        <v>47</v>
      </c>
      <c r="R142" s="1" t="s">
        <v>48</v>
      </c>
      <c r="S142" s="1" t="s">
        <v>2636</v>
      </c>
      <c r="T142" s="7" t="s">
        <v>2637</v>
      </c>
      <c r="U142" s="7" t="s">
        <v>1639</v>
      </c>
      <c r="V142" s="1" t="s">
        <v>1631</v>
      </c>
      <c r="W142" s="7" t="s">
        <v>2640</v>
      </c>
      <c r="X142" s="7" t="s">
        <v>2643</v>
      </c>
      <c r="Y142" s="1"/>
      <c r="Z142" s="4">
        <v>7883.0</v>
      </c>
      <c r="AA142" s="4">
        <v>36.0</v>
      </c>
      <c r="AB142" s="4">
        <v>2115.0</v>
      </c>
      <c r="AC142" s="4">
        <v>113100.0</v>
      </c>
      <c r="AD142" s="1" t="s">
        <v>2648</v>
      </c>
      <c r="AE142" s="1" t="s">
        <v>2648</v>
      </c>
      <c r="AF142" s="1"/>
      <c r="AG142" s="1"/>
      <c r="AH142" s="1"/>
      <c r="AI142" s="1"/>
      <c r="AJ142" s="1"/>
      <c r="AK142" s="1"/>
      <c r="AL142" s="1">
        <f>IFERROR(__xludf.DUMMYFUNCTION("IF(
  TRIM(AD142)="""",
  0,
  COUNTA(
    SPLIT(
      REGEXREPLACE(AD142,""\s*,\s*"","",""),
      "",""
    )
  )
)"),4.0)</f>
        <v>4</v>
      </c>
    </row>
    <row r="143">
      <c r="A143" s="1" t="s">
        <v>2649</v>
      </c>
      <c r="B143" s="1" t="s">
        <v>2649</v>
      </c>
      <c r="C143" s="1" t="s">
        <v>2650</v>
      </c>
      <c r="D143" s="1" t="s">
        <v>2651</v>
      </c>
      <c r="E143" s="4">
        <v>1200000.0</v>
      </c>
      <c r="F143" s="4">
        <v>1980.0</v>
      </c>
      <c r="G143" s="4">
        <v>766.0</v>
      </c>
      <c r="H143" s="7" t="s">
        <v>2652</v>
      </c>
      <c r="I143" s="1" t="s">
        <v>2654</v>
      </c>
      <c r="J143" s="1"/>
      <c r="K143" s="9">
        <v>45758.057962962965</v>
      </c>
      <c r="L143" s="4">
        <v>1.744334608E9</v>
      </c>
      <c r="M143" s="1" t="s">
        <v>47</v>
      </c>
      <c r="N143" s="1" t="s">
        <v>47</v>
      </c>
      <c r="O143" s="1" t="s">
        <v>47</v>
      </c>
      <c r="P143" s="1" t="s">
        <v>47</v>
      </c>
      <c r="Q143" s="1" t="s">
        <v>47</v>
      </c>
      <c r="R143" s="1" t="s">
        <v>48</v>
      </c>
      <c r="S143" s="1" t="s">
        <v>2655</v>
      </c>
      <c r="T143" s="7" t="s">
        <v>2656</v>
      </c>
      <c r="U143" s="7" t="s">
        <v>2661</v>
      </c>
      <c r="V143" s="1" t="s">
        <v>2651</v>
      </c>
      <c r="W143" s="7" t="s">
        <v>2666</v>
      </c>
      <c r="X143" s="7" t="s">
        <v>2670</v>
      </c>
      <c r="Y143" s="1"/>
      <c r="Z143" s="4">
        <v>7640.0</v>
      </c>
      <c r="AA143" s="4">
        <v>231.0</v>
      </c>
      <c r="AB143" s="4">
        <v>1224.0</v>
      </c>
      <c r="AC143" s="4">
        <v>105900.0</v>
      </c>
      <c r="AD143" s="1" t="s">
        <v>2672</v>
      </c>
      <c r="AE143" s="1" t="s">
        <v>2672</v>
      </c>
      <c r="AF143" s="1"/>
      <c r="AG143" s="1"/>
      <c r="AH143" s="1"/>
      <c r="AI143" s="1"/>
      <c r="AJ143" s="1"/>
      <c r="AK143" s="1"/>
      <c r="AL143" s="1">
        <f>IFERROR(__xludf.DUMMYFUNCTION("IF(
  TRIM(AD143)="""",
  0,
  COUNTA(
    SPLIT(
      REGEXREPLACE(AD143,""\s*,\s*"","",""),
      "",""
    )
  )
)"),4.0)</f>
        <v>4</v>
      </c>
    </row>
    <row r="144">
      <c r="A144" s="1" t="s">
        <v>2676</v>
      </c>
      <c r="B144" s="1" t="s">
        <v>2676</v>
      </c>
      <c r="C144" s="1" t="s">
        <v>296</v>
      </c>
      <c r="D144" s="1" t="s">
        <v>297</v>
      </c>
      <c r="E144" s="4">
        <v>81500.0</v>
      </c>
      <c r="F144" s="4">
        <v>1728.0</v>
      </c>
      <c r="G144" s="4">
        <v>33.0</v>
      </c>
      <c r="H144" s="7" t="s">
        <v>2349</v>
      </c>
      <c r="I144" s="1" t="s">
        <v>2677</v>
      </c>
      <c r="J144" s="1"/>
      <c r="K144" s="9">
        <v>45493.98447916667</v>
      </c>
      <c r="L144" s="4">
        <v>1.721518659E9</v>
      </c>
      <c r="M144" s="1" t="s">
        <v>47</v>
      </c>
      <c r="N144" s="1" t="s">
        <v>47</v>
      </c>
      <c r="O144" s="1" t="s">
        <v>47</v>
      </c>
      <c r="P144" s="1" t="s">
        <v>47</v>
      </c>
      <c r="Q144" s="1" t="s">
        <v>47</v>
      </c>
      <c r="R144" s="1" t="s">
        <v>48</v>
      </c>
      <c r="S144" s="1" t="s">
        <v>2678</v>
      </c>
      <c r="T144" s="7" t="s">
        <v>2679</v>
      </c>
      <c r="U144" s="7" t="s">
        <v>2355</v>
      </c>
      <c r="V144" s="1" t="s">
        <v>297</v>
      </c>
      <c r="W144" s="7" t="s">
        <v>2683</v>
      </c>
      <c r="X144" s="7" t="s">
        <v>2686</v>
      </c>
      <c r="Y144" s="1"/>
      <c r="Z144" s="4">
        <v>6182.0</v>
      </c>
      <c r="AA144" s="4">
        <v>109.0</v>
      </c>
      <c r="AB144" s="4">
        <v>942.0</v>
      </c>
      <c r="AC144" s="4">
        <v>134800.0</v>
      </c>
      <c r="AD144" s="1" t="s">
        <v>1110</v>
      </c>
      <c r="AE144" s="1" t="s">
        <v>1110</v>
      </c>
      <c r="AF144" s="1"/>
      <c r="AG144" s="1"/>
      <c r="AH144" s="1"/>
      <c r="AI144" s="1"/>
      <c r="AJ144" s="1"/>
      <c r="AK144" s="1"/>
      <c r="AL144" s="1">
        <f>IFERROR(__xludf.DUMMYFUNCTION("IF(
  TRIM(AD144)="""",
  0,
  COUNTA(
    SPLIT(
      REGEXREPLACE(AD144,""\s*,\s*"","",""),
      "",""
    )
  )
)"),4.0)</f>
        <v>4</v>
      </c>
    </row>
    <row r="145">
      <c r="A145" s="1" t="s">
        <v>2687</v>
      </c>
      <c r="B145" s="1" t="s">
        <v>2687</v>
      </c>
      <c r="C145" s="1" t="s">
        <v>1145</v>
      </c>
      <c r="D145" s="1" t="s">
        <v>1146</v>
      </c>
      <c r="E145" s="4">
        <v>79000.0</v>
      </c>
      <c r="F145" s="4">
        <v>653.0</v>
      </c>
      <c r="G145" s="4">
        <v>269.0</v>
      </c>
      <c r="H145" s="7" t="s">
        <v>2688</v>
      </c>
      <c r="I145" s="1" t="s">
        <v>2690</v>
      </c>
      <c r="J145" s="1" t="s">
        <v>2691</v>
      </c>
      <c r="K145" s="9">
        <v>45797.41490740741</v>
      </c>
      <c r="L145" s="4">
        <v>1.747735048E9</v>
      </c>
      <c r="M145" s="1" t="s">
        <v>47</v>
      </c>
      <c r="N145" s="1" t="s">
        <v>47</v>
      </c>
      <c r="O145" s="1" t="s">
        <v>47</v>
      </c>
      <c r="P145" s="1" t="s">
        <v>47</v>
      </c>
      <c r="Q145" s="1" t="s">
        <v>47</v>
      </c>
      <c r="R145" s="1" t="s">
        <v>2693</v>
      </c>
      <c r="S145" s="1" t="s">
        <v>2694</v>
      </c>
      <c r="T145" s="7" t="s">
        <v>2695</v>
      </c>
      <c r="U145" s="7" t="s">
        <v>2698</v>
      </c>
      <c r="V145" s="1" t="s">
        <v>2701</v>
      </c>
      <c r="W145" s="7" t="s">
        <v>2704</v>
      </c>
      <c r="X145" s="7" t="s">
        <v>2709</v>
      </c>
      <c r="Y145" s="1"/>
      <c r="Z145" s="4">
        <v>5734.0</v>
      </c>
      <c r="AA145" s="4">
        <v>261.0</v>
      </c>
      <c r="AB145" s="4">
        <v>2145.0</v>
      </c>
      <c r="AC145" s="4">
        <v>105000.0</v>
      </c>
      <c r="AD145" s="1" t="s">
        <v>2710</v>
      </c>
      <c r="AE145" s="1" t="s">
        <v>2710</v>
      </c>
      <c r="AF145" s="1"/>
      <c r="AG145" s="1"/>
      <c r="AH145" s="1"/>
      <c r="AI145" s="1"/>
      <c r="AJ145" s="1"/>
      <c r="AK145" s="1"/>
      <c r="AL145" s="1">
        <f>IFERROR(__xludf.DUMMYFUNCTION("IF(
  TRIM(AD145)="""",
  0,
  COUNTA(
    SPLIT(
      REGEXREPLACE(AD145,""\s*,\s*"","",""),
      "",""
    )
  )
)"),4.0)</f>
        <v>4</v>
      </c>
    </row>
    <row r="146">
      <c r="A146" s="1" t="s">
        <v>2711</v>
      </c>
      <c r="B146" s="1" t="s">
        <v>2711</v>
      </c>
      <c r="C146" s="1" t="s">
        <v>1630</v>
      </c>
      <c r="D146" s="1" t="s">
        <v>1631</v>
      </c>
      <c r="E146" s="4">
        <v>19100.0</v>
      </c>
      <c r="F146" s="4">
        <v>8603.0</v>
      </c>
      <c r="G146" s="4">
        <v>292.0</v>
      </c>
      <c r="H146" s="7" t="s">
        <v>1632</v>
      </c>
      <c r="I146" s="1" t="s">
        <v>2635</v>
      </c>
      <c r="J146" s="1" t="s">
        <v>2712</v>
      </c>
      <c r="K146" s="9">
        <v>45956.532430555555</v>
      </c>
      <c r="L146" s="4">
        <v>1.761482802E9</v>
      </c>
      <c r="M146" s="1" t="s">
        <v>47</v>
      </c>
      <c r="N146" s="1" t="s">
        <v>47</v>
      </c>
      <c r="O146" s="1" t="s">
        <v>47</v>
      </c>
      <c r="P146" s="1" t="s">
        <v>47</v>
      </c>
      <c r="Q146" s="1" t="s">
        <v>47</v>
      </c>
      <c r="R146" s="1" t="s">
        <v>48</v>
      </c>
      <c r="S146" s="1" t="s">
        <v>2713</v>
      </c>
      <c r="T146" s="7" t="s">
        <v>2714</v>
      </c>
      <c r="U146" s="7" t="s">
        <v>1639</v>
      </c>
      <c r="V146" s="1" t="s">
        <v>1631</v>
      </c>
      <c r="W146" s="7" t="s">
        <v>2717</v>
      </c>
      <c r="X146" s="7" t="s">
        <v>2719</v>
      </c>
      <c r="Y146" s="1"/>
      <c r="Z146" s="4">
        <v>5726.0</v>
      </c>
      <c r="AA146" s="4">
        <v>198.0</v>
      </c>
      <c r="AB146" s="4">
        <v>2077.0</v>
      </c>
      <c r="AC146" s="4">
        <v>149300.0</v>
      </c>
      <c r="AD146" s="1" t="s">
        <v>2648</v>
      </c>
      <c r="AE146" s="1" t="s">
        <v>2648</v>
      </c>
      <c r="AF146" s="1"/>
      <c r="AG146" s="1"/>
      <c r="AH146" s="1"/>
      <c r="AI146" s="1"/>
      <c r="AJ146" s="1"/>
      <c r="AK146" s="1"/>
      <c r="AL146" s="1">
        <f>IFERROR(__xludf.DUMMYFUNCTION("IF(
  TRIM(AD146)="""",
  0,
  COUNTA(
    SPLIT(
      REGEXREPLACE(AD146,""\s*,\s*"","",""),
      "",""
    )
  )
)"),4.0)</f>
        <v>4</v>
      </c>
    </row>
    <row r="147">
      <c r="A147" s="1" t="s">
        <v>2724</v>
      </c>
      <c r="B147" s="1" t="s">
        <v>2724</v>
      </c>
      <c r="C147" s="1" t="s">
        <v>69</v>
      </c>
      <c r="D147" s="1" t="s">
        <v>70</v>
      </c>
      <c r="E147" s="4">
        <v>176100.0</v>
      </c>
      <c r="F147" s="4">
        <v>889.0</v>
      </c>
      <c r="G147" s="4">
        <v>777.0</v>
      </c>
      <c r="H147" s="7" t="s">
        <v>330</v>
      </c>
      <c r="I147" s="1" t="s">
        <v>2725</v>
      </c>
      <c r="J147" s="1" t="s">
        <v>2726</v>
      </c>
      <c r="K147" s="9">
        <v>45019.6034375</v>
      </c>
      <c r="L147" s="4">
        <v>1.680532137E9</v>
      </c>
      <c r="M147" s="1" t="s">
        <v>47</v>
      </c>
      <c r="N147" s="1" t="s">
        <v>47</v>
      </c>
      <c r="O147" s="1" t="s">
        <v>47</v>
      </c>
      <c r="P147" s="1" t="s">
        <v>47</v>
      </c>
      <c r="Q147" s="1" t="s">
        <v>47</v>
      </c>
      <c r="R147" s="1" t="s">
        <v>48</v>
      </c>
      <c r="S147" s="1" t="s">
        <v>2727</v>
      </c>
      <c r="T147" s="7" t="s">
        <v>2728</v>
      </c>
      <c r="U147" s="7" t="s">
        <v>355</v>
      </c>
      <c r="V147" s="1" t="s">
        <v>70</v>
      </c>
      <c r="W147" s="7" t="s">
        <v>2730</v>
      </c>
      <c r="X147" s="7" t="s">
        <v>2735</v>
      </c>
      <c r="Y147" s="1"/>
      <c r="Z147" s="4">
        <v>5542.0</v>
      </c>
      <c r="AA147" s="4">
        <v>74.0</v>
      </c>
      <c r="AB147" s="4">
        <v>1020.0</v>
      </c>
      <c r="AC147" s="4">
        <v>88200.0</v>
      </c>
      <c r="AD147" s="1" t="s">
        <v>2736</v>
      </c>
      <c r="AE147" s="1" t="s">
        <v>2736</v>
      </c>
      <c r="AF147" s="1"/>
      <c r="AG147" s="1"/>
      <c r="AH147" s="1"/>
      <c r="AI147" s="1"/>
      <c r="AJ147" s="1"/>
      <c r="AK147" s="1"/>
      <c r="AL147" s="1">
        <f>IFERROR(__xludf.DUMMYFUNCTION("IF(
  TRIM(AD147)="""",
  0,
  COUNTA(
    SPLIT(
      REGEXREPLACE(AD147,""\s*,\s*"","",""),
      "",""
    )
  )
)"),4.0)</f>
        <v>4</v>
      </c>
    </row>
    <row r="148">
      <c r="A148" s="1" t="s">
        <v>2738</v>
      </c>
      <c r="B148" s="1" t="s">
        <v>2738</v>
      </c>
      <c r="C148" s="1" t="s">
        <v>1630</v>
      </c>
      <c r="D148" s="1" t="s">
        <v>1631</v>
      </c>
      <c r="E148" s="4">
        <v>19100.0</v>
      </c>
      <c r="F148" s="4">
        <v>8603.0</v>
      </c>
      <c r="G148" s="4">
        <v>292.0</v>
      </c>
      <c r="H148" s="7" t="s">
        <v>2632</v>
      </c>
      <c r="I148" s="1" t="s">
        <v>2739</v>
      </c>
      <c r="J148" s="1"/>
      <c r="K148" s="9">
        <v>45951.92696759259</v>
      </c>
      <c r="L148" s="4">
        <v>1.76108489E9</v>
      </c>
      <c r="M148" s="1" t="s">
        <v>47</v>
      </c>
      <c r="N148" s="1" t="s">
        <v>47</v>
      </c>
      <c r="O148" s="1" t="s">
        <v>47</v>
      </c>
      <c r="P148" s="1" t="s">
        <v>47</v>
      </c>
      <c r="Q148" s="1" t="s">
        <v>47</v>
      </c>
      <c r="R148" s="1" t="s">
        <v>48</v>
      </c>
      <c r="S148" s="1" t="s">
        <v>2740</v>
      </c>
      <c r="T148" s="7" t="s">
        <v>2741</v>
      </c>
      <c r="U148" s="7" t="s">
        <v>1639</v>
      </c>
      <c r="V148" s="1" t="s">
        <v>1631</v>
      </c>
      <c r="W148" s="7" t="s">
        <v>2744</v>
      </c>
      <c r="X148" s="7" t="s">
        <v>2746</v>
      </c>
      <c r="Y148" s="1"/>
      <c r="Z148" s="4">
        <v>5452.0</v>
      </c>
      <c r="AA148" s="4">
        <v>112.0</v>
      </c>
      <c r="AB148" s="4">
        <v>2308.0</v>
      </c>
      <c r="AC148" s="4">
        <v>82300.0</v>
      </c>
      <c r="AD148" s="1" t="s">
        <v>2648</v>
      </c>
      <c r="AE148" s="1" t="s">
        <v>2648</v>
      </c>
      <c r="AF148" s="1"/>
      <c r="AG148" s="1"/>
      <c r="AH148" s="1" t="s">
        <v>2014</v>
      </c>
      <c r="AI148" s="1"/>
      <c r="AJ148" s="1"/>
      <c r="AK148" s="1"/>
      <c r="AL148" s="1">
        <f>IFERROR(__xludf.DUMMYFUNCTION("IF(
  TRIM(AD148)="""",
  0,
  COUNTA(
    SPLIT(
      REGEXREPLACE(AD148,""\s*,\s*"","",""),
      "",""
    )
  )
)"),4.0)</f>
        <v>4</v>
      </c>
    </row>
    <row r="149">
      <c r="A149" s="1" t="s">
        <v>2748</v>
      </c>
      <c r="B149" s="1" t="s">
        <v>2748</v>
      </c>
      <c r="C149" s="1" t="s">
        <v>1630</v>
      </c>
      <c r="D149" s="1" t="s">
        <v>1631</v>
      </c>
      <c r="E149" s="4">
        <v>19100.0</v>
      </c>
      <c r="F149" s="4">
        <v>8603.0</v>
      </c>
      <c r="G149" s="4">
        <v>292.0</v>
      </c>
      <c r="H149" s="7" t="s">
        <v>1632</v>
      </c>
      <c r="I149" s="1" t="s">
        <v>2635</v>
      </c>
      <c r="J149" s="1"/>
      <c r="K149" s="9">
        <v>45950.90699074074</v>
      </c>
      <c r="L149" s="4">
        <v>1.760996764E9</v>
      </c>
      <c r="M149" s="1" t="s">
        <v>47</v>
      </c>
      <c r="N149" s="1" t="s">
        <v>47</v>
      </c>
      <c r="O149" s="1" t="s">
        <v>47</v>
      </c>
      <c r="P149" s="1" t="s">
        <v>47</v>
      </c>
      <c r="Q149" s="1" t="s">
        <v>47</v>
      </c>
      <c r="R149" s="1" t="s">
        <v>48</v>
      </c>
      <c r="S149" s="1" t="s">
        <v>2749</v>
      </c>
      <c r="T149" s="7" t="s">
        <v>2750</v>
      </c>
      <c r="U149" s="7" t="s">
        <v>2751</v>
      </c>
      <c r="V149" s="1" t="s">
        <v>1631</v>
      </c>
      <c r="W149" s="7" t="s">
        <v>2753</v>
      </c>
      <c r="X149" s="7" t="s">
        <v>2755</v>
      </c>
      <c r="Y149" s="1"/>
      <c r="Z149" s="4">
        <v>4731.0</v>
      </c>
      <c r="AA149" s="4">
        <v>317.0</v>
      </c>
      <c r="AB149" s="4">
        <v>1244.0</v>
      </c>
      <c r="AC149" s="4">
        <v>80500.0</v>
      </c>
      <c r="AD149" s="1" t="s">
        <v>2648</v>
      </c>
      <c r="AE149" s="1" t="s">
        <v>2648</v>
      </c>
      <c r="AF149" s="1"/>
      <c r="AG149" s="1"/>
      <c r="AH149" s="1"/>
      <c r="AI149" s="1"/>
      <c r="AJ149" s="1"/>
      <c r="AK149" s="1"/>
      <c r="AL149" s="1">
        <f>IFERROR(__xludf.DUMMYFUNCTION("IF(
  TRIM(AD149)="""",
  0,
  COUNTA(
    SPLIT(
      REGEXREPLACE(AD149,""\s*,\s*"","",""),
      "",""
    )
  )
)"),4.0)</f>
        <v>4</v>
      </c>
    </row>
    <row r="150">
      <c r="A150" s="1" t="s">
        <v>2757</v>
      </c>
      <c r="B150" s="1" t="s">
        <v>2757</v>
      </c>
      <c r="C150" s="1" t="s">
        <v>69</v>
      </c>
      <c r="D150" s="1" t="s">
        <v>70</v>
      </c>
      <c r="E150" s="4">
        <v>176100.0</v>
      </c>
      <c r="F150" s="4">
        <v>889.0</v>
      </c>
      <c r="G150" s="4">
        <v>777.0</v>
      </c>
      <c r="H150" s="7" t="s">
        <v>71</v>
      </c>
      <c r="I150" s="1" t="s">
        <v>2758</v>
      </c>
      <c r="J150" s="1"/>
      <c r="K150" s="9">
        <v>45700.01912037037</v>
      </c>
      <c r="L150" s="4">
        <v>1.739320052E9</v>
      </c>
      <c r="M150" s="1" t="s">
        <v>47</v>
      </c>
      <c r="N150" s="1" t="s">
        <v>47</v>
      </c>
      <c r="O150" s="1" t="s">
        <v>47</v>
      </c>
      <c r="P150" s="1" t="s">
        <v>47</v>
      </c>
      <c r="Q150" s="1" t="s">
        <v>47</v>
      </c>
      <c r="R150" s="1" t="s">
        <v>48</v>
      </c>
      <c r="S150" s="1" t="s">
        <v>2759</v>
      </c>
      <c r="T150" s="7" t="s">
        <v>2760</v>
      </c>
      <c r="U150" s="7" t="s">
        <v>1787</v>
      </c>
      <c r="V150" s="1" t="s">
        <v>70</v>
      </c>
      <c r="W150" s="7" t="s">
        <v>2765</v>
      </c>
      <c r="X150" s="7" t="s">
        <v>2770</v>
      </c>
      <c r="Y150" s="1"/>
      <c r="Z150" s="4">
        <v>4406.0</v>
      </c>
      <c r="AA150" s="4">
        <v>62.0</v>
      </c>
      <c r="AB150" s="4">
        <v>535.0</v>
      </c>
      <c r="AC150" s="4">
        <v>48700.0</v>
      </c>
      <c r="AD150" s="1" t="s">
        <v>2771</v>
      </c>
      <c r="AE150" s="1" t="s">
        <v>2771</v>
      </c>
      <c r="AF150" s="1"/>
      <c r="AG150" s="1"/>
      <c r="AH150" s="1"/>
      <c r="AI150" s="1"/>
      <c r="AJ150" s="1"/>
      <c r="AK150" s="1"/>
      <c r="AL150" s="1">
        <f>IFERROR(__xludf.DUMMYFUNCTION("IF(
  TRIM(AD150)="""",
  0,
  COUNTA(
    SPLIT(
      REGEXREPLACE(AD150,""\s*,\s*"","",""),
      "",""
    )
  )
)"),4.0)</f>
        <v>4</v>
      </c>
    </row>
    <row r="151">
      <c r="A151" s="1" t="s">
        <v>2772</v>
      </c>
      <c r="B151" s="1" t="s">
        <v>2772</v>
      </c>
      <c r="C151" s="1" t="s">
        <v>1380</v>
      </c>
      <c r="D151" s="1" t="s">
        <v>1381</v>
      </c>
      <c r="E151" s="4">
        <v>13000.0</v>
      </c>
      <c r="F151" s="4">
        <v>8598.0</v>
      </c>
      <c r="G151" s="4">
        <v>225.0</v>
      </c>
      <c r="H151" s="7" t="s">
        <v>1382</v>
      </c>
      <c r="I151" s="1" t="s">
        <v>2774</v>
      </c>
      <c r="J151" s="1" t="s">
        <v>2775</v>
      </c>
      <c r="K151" s="9">
        <v>45246.87136574074</v>
      </c>
      <c r="L151" s="4">
        <v>1.700168086E9</v>
      </c>
      <c r="M151" s="1" t="s">
        <v>47</v>
      </c>
      <c r="N151" s="1" t="s">
        <v>47</v>
      </c>
      <c r="O151" s="1" t="s">
        <v>47</v>
      </c>
      <c r="P151" s="1" t="s">
        <v>47</v>
      </c>
      <c r="Q151" s="1" t="s">
        <v>47</v>
      </c>
      <c r="R151" s="1" t="s">
        <v>2776</v>
      </c>
      <c r="S151" s="1" t="s">
        <v>2777</v>
      </c>
      <c r="T151" s="1"/>
      <c r="U151" s="7" t="s">
        <v>2778</v>
      </c>
      <c r="V151" s="1" t="s">
        <v>2780</v>
      </c>
      <c r="W151" s="7" t="s">
        <v>2781</v>
      </c>
      <c r="X151" s="7" t="s">
        <v>2783</v>
      </c>
      <c r="Y151" s="1"/>
      <c r="Z151" s="4">
        <v>3752.0</v>
      </c>
      <c r="AA151" s="4">
        <v>712.0</v>
      </c>
      <c r="AB151" s="4">
        <v>1289.0</v>
      </c>
      <c r="AC151" s="4">
        <v>344000.0</v>
      </c>
      <c r="AD151" s="1" t="s">
        <v>2787</v>
      </c>
      <c r="AE151" s="1" t="s">
        <v>2787</v>
      </c>
      <c r="AF151" s="1"/>
      <c r="AG151" s="1"/>
      <c r="AH151" s="1"/>
      <c r="AI151" s="1"/>
      <c r="AJ151" s="1"/>
      <c r="AK151" s="1"/>
      <c r="AL151" s="1">
        <f>IFERROR(__xludf.DUMMYFUNCTION("IF(
  TRIM(AD151)="""",
  0,
  COUNTA(
    SPLIT(
      REGEXREPLACE(AD151,""\s*,\s*"","",""),
      "",""
    )
  )
)"),4.0)</f>
        <v>4</v>
      </c>
    </row>
    <row r="152">
      <c r="A152" s="1" t="s">
        <v>2789</v>
      </c>
      <c r="B152" s="1" t="s">
        <v>2789</v>
      </c>
      <c r="C152" s="1" t="s">
        <v>107</v>
      </c>
      <c r="D152" s="1" t="s">
        <v>108</v>
      </c>
      <c r="E152" s="4">
        <v>1300000.0</v>
      </c>
      <c r="F152" s="4">
        <v>93.0</v>
      </c>
      <c r="G152" s="4">
        <v>1734.0</v>
      </c>
      <c r="H152" s="7" t="s">
        <v>412</v>
      </c>
      <c r="I152" s="1" t="s">
        <v>2790</v>
      </c>
      <c r="J152" s="1"/>
      <c r="K152" s="9">
        <v>45035.07034722222</v>
      </c>
      <c r="L152" s="4">
        <v>1.681868478E9</v>
      </c>
      <c r="M152" s="1" t="s">
        <v>47</v>
      </c>
      <c r="N152" s="1" t="s">
        <v>47</v>
      </c>
      <c r="O152" s="1" t="s">
        <v>47</v>
      </c>
      <c r="P152" s="1" t="s">
        <v>47</v>
      </c>
      <c r="Q152" s="1" t="s">
        <v>47</v>
      </c>
      <c r="R152" s="1" t="s">
        <v>2791</v>
      </c>
      <c r="S152" s="1" t="s">
        <v>2792</v>
      </c>
      <c r="T152" s="7" t="s">
        <v>2793</v>
      </c>
      <c r="U152" s="7" t="s">
        <v>2794</v>
      </c>
      <c r="V152" s="1" t="s">
        <v>2796</v>
      </c>
      <c r="W152" s="7" t="s">
        <v>2797</v>
      </c>
      <c r="X152" s="7" t="s">
        <v>2798</v>
      </c>
      <c r="Y152" s="1"/>
      <c r="Z152" s="4">
        <v>2919.0</v>
      </c>
      <c r="AA152" s="4">
        <v>22.0</v>
      </c>
      <c r="AB152" s="4">
        <v>341.0</v>
      </c>
      <c r="AC152" s="4">
        <v>51100.0</v>
      </c>
      <c r="AD152" s="1" t="s">
        <v>2803</v>
      </c>
      <c r="AE152" s="1" t="s">
        <v>2803</v>
      </c>
      <c r="AF152" s="1"/>
      <c r="AG152" s="1"/>
      <c r="AH152" s="1"/>
      <c r="AI152" s="1"/>
      <c r="AJ152" s="1"/>
      <c r="AK152" s="1"/>
      <c r="AL152" s="1">
        <f>IFERROR(__xludf.DUMMYFUNCTION("IF(
  TRIM(AD152)="""",
  0,
  COUNTA(
    SPLIT(
      REGEXREPLACE(AD152,""\s*,\s*"","",""),
      "",""
    )
  )
)"),4.0)</f>
        <v>4</v>
      </c>
    </row>
    <row r="153">
      <c r="A153" s="1" t="s">
        <v>2804</v>
      </c>
      <c r="B153" s="1" t="s">
        <v>2804</v>
      </c>
      <c r="C153" s="1" t="s">
        <v>2805</v>
      </c>
      <c r="D153" s="1" t="s">
        <v>2806</v>
      </c>
      <c r="E153" s="4">
        <v>14200.0</v>
      </c>
      <c r="F153" s="4">
        <v>5504.0</v>
      </c>
      <c r="G153" s="4">
        <v>128.0</v>
      </c>
      <c r="H153" s="7" t="s">
        <v>2807</v>
      </c>
      <c r="I153" s="1" t="s">
        <v>2808</v>
      </c>
      <c r="J153" s="1" t="s">
        <v>2809</v>
      </c>
      <c r="K153" s="9">
        <v>45833.97054398148</v>
      </c>
      <c r="L153" s="4">
        <v>1.750893455E9</v>
      </c>
      <c r="M153" s="1" t="s">
        <v>47</v>
      </c>
      <c r="N153" s="1" t="s">
        <v>47</v>
      </c>
      <c r="O153" s="1" t="s">
        <v>47</v>
      </c>
      <c r="P153" s="1" t="s">
        <v>47</v>
      </c>
      <c r="Q153" s="1" t="s">
        <v>47</v>
      </c>
      <c r="R153" s="1" t="s">
        <v>2810</v>
      </c>
      <c r="S153" s="1" t="s">
        <v>2811</v>
      </c>
      <c r="T153" s="7" t="s">
        <v>2812</v>
      </c>
      <c r="U153" s="7" t="s">
        <v>2814</v>
      </c>
      <c r="V153" s="1" t="s">
        <v>2815</v>
      </c>
      <c r="W153" s="7" t="s">
        <v>2816</v>
      </c>
      <c r="X153" s="7" t="s">
        <v>2822</v>
      </c>
      <c r="Y153" s="1"/>
      <c r="Z153" s="4">
        <v>2267.0</v>
      </c>
      <c r="AA153" s="4">
        <v>64.0</v>
      </c>
      <c r="AB153" s="4">
        <v>520.0</v>
      </c>
      <c r="AC153" s="4">
        <v>48600.0</v>
      </c>
      <c r="AD153" s="1" t="s">
        <v>2825</v>
      </c>
      <c r="AE153" s="1" t="s">
        <v>2825</v>
      </c>
      <c r="AF153" s="1"/>
      <c r="AG153" s="1"/>
      <c r="AH153" s="1" t="s">
        <v>85</v>
      </c>
      <c r="AI153" s="1"/>
      <c r="AJ153" s="1"/>
      <c r="AK153" s="1"/>
      <c r="AL153" s="1">
        <f>IFERROR(__xludf.DUMMYFUNCTION("IF(
  TRIM(AD153)="""",
  0,
  COUNTA(
    SPLIT(
      REGEXREPLACE(AD153,""\s*,\s*"","",""),
      "",""
    )
  )
)"),4.0)</f>
        <v>4</v>
      </c>
    </row>
    <row r="154">
      <c r="A154" s="1" t="s">
        <v>2827</v>
      </c>
      <c r="B154" s="1" t="s">
        <v>2827</v>
      </c>
      <c r="C154" s="1" t="s">
        <v>1380</v>
      </c>
      <c r="D154" s="1" t="s">
        <v>1381</v>
      </c>
      <c r="E154" s="4">
        <v>13000.0</v>
      </c>
      <c r="F154" s="4">
        <v>8598.0</v>
      </c>
      <c r="G154" s="4">
        <v>225.0</v>
      </c>
      <c r="H154" s="7" t="s">
        <v>1991</v>
      </c>
      <c r="I154" s="1" t="s">
        <v>2828</v>
      </c>
      <c r="J154" s="1"/>
      <c r="K154" s="9">
        <v>45184.64210648148</v>
      </c>
      <c r="L154" s="4">
        <v>1.694791478E9</v>
      </c>
      <c r="M154" s="1" t="s">
        <v>47</v>
      </c>
      <c r="N154" s="1" t="s">
        <v>47</v>
      </c>
      <c r="O154" s="1" t="s">
        <v>47</v>
      </c>
      <c r="P154" s="1" t="s">
        <v>47</v>
      </c>
      <c r="Q154" s="1" t="s">
        <v>47</v>
      </c>
      <c r="R154" s="1" t="s">
        <v>48</v>
      </c>
      <c r="S154" s="1" t="s">
        <v>2829</v>
      </c>
      <c r="T154" s="7" t="s">
        <v>2830</v>
      </c>
      <c r="U154" s="7" t="s">
        <v>2042</v>
      </c>
      <c r="V154" s="1" t="s">
        <v>1381</v>
      </c>
      <c r="W154" s="7" t="s">
        <v>2832</v>
      </c>
      <c r="X154" s="7" t="s">
        <v>2834</v>
      </c>
      <c r="Y154" s="1"/>
      <c r="Z154" s="4">
        <v>2156.0</v>
      </c>
      <c r="AA154" s="4">
        <v>45.0</v>
      </c>
      <c r="AB154" s="4">
        <v>504.0</v>
      </c>
      <c r="AC154" s="4">
        <v>31600.0</v>
      </c>
      <c r="AD154" s="1" t="s">
        <v>2835</v>
      </c>
      <c r="AE154" s="1" t="s">
        <v>2836</v>
      </c>
      <c r="AF154" s="1"/>
      <c r="AG154" s="1"/>
      <c r="AH154" s="1"/>
      <c r="AI154" s="1"/>
      <c r="AJ154" s="1"/>
      <c r="AK154" s="1"/>
      <c r="AL154" s="1">
        <f>IFERROR(__xludf.DUMMYFUNCTION("IF(
  TRIM(AD154)="""",
  0,
  COUNTA(
    SPLIT(
      REGEXREPLACE(AD154,""\s*,\s*"","",""),
      "",""
    )
  )
)"),4.0)</f>
        <v>4</v>
      </c>
    </row>
    <row r="155">
      <c r="A155" s="1" t="s">
        <v>2838</v>
      </c>
      <c r="B155" s="1" t="s">
        <v>2838</v>
      </c>
      <c r="C155" s="1" t="s">
        <v>2839</v>
      </c>
      <c r="D155" s="1" t="s">
        <v>2839</v>
      </c>
      <c r="E155" s="4">
        <v>150500.0</v>
      </c>
      <c r="F155" s="4">
        <v>833.0</v>
      </c>
      <c r="G155" s="4">
        <v>1861.0</v>
      </c>
      <c r="H155" s="7" t="s">
        <v>2840</v>
      </c>
      <c r="I155" s="1" t="s">
        <v>2843</v>
      </c>
      <c r="J155" s="1"/>
      <c r="K155" s="9">
        <v>45247.0896875</v>
      </c>
      <c r="L155" s="4">
        <v>1.700186949E9</v>
      </c>
      <c r="M155" s="1" t="s">
        <v>47</v>
      </c>
      <c r="N155" s="1" t="s">
        <v>47</v>
      </c>
      <c r="O155" s="1" t="s">
        <v>47</v>
      </c>
      <c r="P155" s="1" t="s">
        <v>47</v>
      </c>
      <c r="Q155" s="1" t="s">
        <v>47</v>
      </c>
      <c r="R155" s="1" t="s">
        <v>48</v>
      </c>
      <c r="S155" s="1" t="s">
        <v>2844</v>
      </c>
      <c r="T155" s="7" t="s">
        <v>2845</v>
      </c>
      <c r="U155" s="7" t="s">
        <v>2847</v>
      </c>
      <c r="V155" s="1" t="s">
        <v>2839</v>
      </c>
      <c r="W155" s="7" t="s">
        <v>2848</v>
      </c>
      <c r="X155" s="7" t="s">
        <v>2849</v>
      </c>
      <c r="Y155" s="1"/>
      <c r="Z155" s="4">
        <v>1842.0</v>
      </c>
      <c r="AA155" s="4">
        <v>45.0</v>
      </c>
      <c r="AB155" s="4">
        <v>221.0</v>
      </c>
      <c r="AC155" s="4">
        <v>52800.0</v>
      </c>
      <c r="AD155" s="1" t="s">
        <v>2854</v>
      </c>
      <c r="AE155" s="1" t="s">
        <v>2854</v>
      </c>
      <c r="AF155" s="1"/>
      <c r="AG155" s="1"/>
      <c r="AH155" s="1" t="s">
        <v>300</v>
      </c>
      <c r="AI155" s="1"/>
      <c r="AJ155" s="1"/>
      <c r="AK155" s="1"/>
      <c r="AL155" s="1">
        <f>IFERROR(__xludf.DUMMYFUNCTION("IF(
  TRIM(AD155)="""",
  0,
  COUNTA(
    SPLIT(
      REGEXREPLACE(AD155,""\s*,\s*"","",""),
      "",""
    )
  )
)"),4.0)</f>
        <v>4</v>
      </c>
    </row>
    <row r="156">
      <c r="A156" s="1" t="s">
        <v>2855</v>
      </c>
      <c r="B156" s="1" t="s">
        <v>2855</v>
      </c>
      <c r="C156" s="1" t="s">
        <v>69</v>
      </c>
      <c r="D156" s="1" t="s">
        <v>70</v>
      </c>
      <c r="E156" s="4">
        <v>176100.0</v>
      </c>
      <c r="F156" s="4">
        <v>889.0</v>
      </c>
      <c r="G156" s="4">
        <v>777.0</v>
      </c>
      <c r="H156" s="7" t="s">
        <v>71</v>
      </c>
      <c r="I156" s="1" t="s">
        <v>2856</v>
      </c>
      <c r="J156" s="1"/>
      <c r="K156" s="9">
        <v>45500.01641203704</v>
      </c>
      <c r="L156" s="4">
        <v>1.722039818E9</v>
      </c>
      <c r="M156" s="1" t="s">
        <v>47</v>
      </c>
      <c r="N156" s="1" t="s">
        <v>47</v>
      </c>
      <c r="O156" s="1" t="s">
        <v>47</v>
      </c>
      <c r="P156" s="1" t="s">
        <v>47</v>
      </c>
      <c r="Q156" s="1" t="s">
        <v>47</v>
      </c>
      <c r="R156" s="1" t="s">
        <v>352</v>
      </c>
      <c r="S156" s="1" t="s">
        <v>2857</v>
      </c>
      <c r="T156" s="7" t="s">
        <v>2858</v>
      </c>
      <c r="U156" s="7" t="s">
        <v>356</v>
      </c>
      <c r="V156" s="1" t="s">
        <v>358</v>
      </c>
      <c r="W156" s="7" t="s">
        <v>2863</v>
      </c>
      <c r="X156" s="7" t="s">
        <v>2865</v>
      </c>
      <c r="Y156" s="1"/>
      <c r="Z156" s="4">
        <v>1045.0</v>
      </c>
      <c r="AA156" s="4">
        <v>8.0</v>
      </c>
      <c r="AB156" s="4">
        <v>97.0</v>
      </c>
      <c r="AC156" s="4">
        <v>16000.0</v>
      </c>
      <c r="AD156" s="1" t="s">
        <v>2866</v>
      </c>
      <c r="AE156" s="1" t="s">
        <v>2866</v>
      </c>
      <c r="AF156" s="1"/>
      <c r="AG156" s="1"/>
      <c r="AH156" s="1"/>
      <c r="AI156" s="1"/>
      <c r="AJ156" s="1"/>
      <c r="AK156" s="1"/>
      <c r="AL156" s="1">
        <f>IFERROR(__xludf.DUMMYFUNCTION("IF(
  TRIM(AD156)="""",
  0,
  COUNTA(
    SPLIT(
      REGEXREPLACE(AD156,""\s*,\s*"","",""),
      "",""
    )
  )
)"),4.0)</f>
        <v>4</v>
      </c>
    </row>
    <row r="157">
      <c r="A157" s="1" t="s">
        <v>2867</v>
      </c>
      <c r="B157" s="1" t="s">
        <v>2867</v>
      </c>
      <c r="C157" s="1" t="s">
        <v>2868</v>
      </c>
      <c r="D157" s="1" t="s">
        <v>2869</v>
      </c>
      <c r="E157" s="4">
        <v>674.0</v>
      </c>
      <c r="F157" s="4">
        <v>463.0</v>
      </c>
      <c r="G157" s="4">
        <v>49.0</v>
      </c>
      <c r="H157" s="7" t="s">
        <v>2870</v>
      </c>
      <c r="I157" s="1" t="s">
        <v>2873</v>
      </c>
      <c r="J157" s="1"/>
      <c r="K157" s="9">
        <v>45637.931180555555</v>
      </c>
      <c r="L157" s="4">
        <v>1.733955654E9</v>
      </c>
      <c r="M157" s="1" t="s">
        <v>47</v>
      </c>
      <c r="N157" s="1" t="s">
        <v>47</v>
      </c>
      <c r="O157" s="1" t="s">
        <v>47</v>
      </c>
      <c r="P157" s="1" t="s">
        <v>47</v>
      </c>
      <c r="Q157" s="1" t="s">
        <v>47</v>
      </c>
      <c r="R157" s="1" t="s">
        <v>2875</v>
      </c>
      <c r="S157" s="1" t="s">
        <v>2876</v>
      </c>
      <c r="T157" s="7" t="s">
        <v>2877</v>
      </c>
      <c r="U157" s="7" t="s">
        <v>2881</v>
      </c>
      <c r="V157" s="1" t="s">
        <v>2882</v>
      </c>
      <c r="W157" s="7" t="s">
        <v>2883</v>
      </c>
      <c r="X157" s="7" t="s">
        <v>2885</v>
      </c>
      <c r="Y157" s="1"/>
      <c r="Z157" s="4">
        <v>661.0</v>
      </c>
      <c r="AA157" s="4">
        <v>8.0</v>
      </c>
      <c r="AB157" s="4">
        <v>278.0</v>
      </c>
      <c r="AC157" s="4">
        <v>112600.0</v>
      </c>
      <c r="AD157" s="1" t="s">
        <v>2887</v>
      </c>
      <c r="AE157" s="1" t="s">
        <v>2887</v>
      </c>
      <c r="AF157" s="1"/>
      <c r="AG157" s="1"/>
      <c r="AH157" s="1"/>
      <c r="AI157" s="1"/>
      <c r="AJ157" s="1"/>
      <c r="AK157" s="1"/>
      <c r="AL157" s="1">
        <f>IFERROR(__xludf.DUMMYFUNCTION("IF(
  TRIM(AD157)="""",
  0,
  COUNTA(
    SPLIT(
      REGEXREPLACE(AD157,""\s*,\s*"","",""),
      "",""
    )
  )
)"),4.0)</f>
        <v>4</v>
      </c>
    </row>
    <row r="158">
      <c r="A158" s="1" t="s">
        <v>2888</v>
      </c>
      <c r="B158" s="1" t="s">
        <v>2888</v>
      </c>
      <c r="C158" s="1" t="s">
        <v>2889</v>
      </c>
      <c r="D158" s="1" t="s">
        <v>2890</v>
      </c>
      <c r="E158" s="4">
        <v>12300.0</v>
      </c>
      <c r="F158" s="4">
        <v>3722.0</v>
      </c>
      <c r="G158" s="4">
        <v>1188.0</v>
      </c>
      <c r="H158" s="7" t="s">
        <v>2891</v>
      </c>
      <c r="I158" s="1" t="s">
        <v>2893</v>
      </c>
      <c r="J158" s="1"/>
      <c r="K158" s="9">
        <v>45839.85046296296</v>
      </c>
      <c r="L158" s="4">
        <v>1.75140148E9</v>
      </c>
      <c r="M158" s="1" t="s">
        <v>47</v>
      </c>
      <c r="N158" s="1" t="s">
        <v>47</v>
      </c>
      <c r="O158" s="1" t="s">
        <v>47</v>
      </c>
      <c r="P158" s="1" t="s">
        <v>47</v>
      </c>
      <c r="Q158" s="1" t="s">
        <v>47</v>
      </c>
      <c r="R158" s="1" t="s">
        <v>2440</v>
      </c>
      <c r="S158" s="1" t="s">
        <v>2441</v>
      </c>
      <c r="T158" s="7" t="s">
        <v>2442</v>
      </c>
      <c r="U158" s="7" t="s">
        <v>2895</v>
      </c>
      <c r="V158" s="1" t="s">
        <v>2445</v>
      </c>
      <c r="W158" s="7" t="s">
        <v>2896</v>
      </c>
      <c r="X158" s="7" t="s">
        <v>2898</v>
      </c>
      <c r="Y158" s="1"/>
      <c r="Z158" s="4">
        <v>547.0</v>
      </c>
      <c r="AA158" s="4">
        <v>11.0</v>
      </c>
      <c r="AB158" s="4">
        <v>119.0</v>
      </c>
      <c r="AC158" s="4">
        <v>7636.0</v>
      </c>
      <c r="AD158" s="1" t="s">
        <v>2899</v>
      </c>
      <c r="AE158" s="1" t="s">
        <v>2899</v>
      </c>
      <c r="AF158" s="1"/>
      <c r="AG158" s="1"/>
      <c r="AH158" s="1"/>
      <c r="AI158" s="1"/>
      <c r="AJ158" s="1"/>
      <c r="AK158" s="1"/>
      <c r="AL158" s="1">
        <f>IFERROR(__xludf.DUMMYFUNCTION("IF(
  TRIM(AD158)="""",
  0,
  COUNTA(
    SPLIT(
      REGEXREPLACE(AD158,""\s*,\s*"","",""),
      "",""
    )
  )
)"),4.0)</f>
        <v>4</v>
      </c>
    </row>
    <row r="159">
      <c r="A159" s="1" t="s">
        <v>2900</v>
      </c>
      <c r="B159" s="1" t="s">
        <v>2900</v>
      </c>
      <c r="C159" s="7" t="s">
        <v>2901</v>
      </c>
      <c r="D159" s="1" t="s">
        <v>2902</v>
      </c>
      <c r="E159" s="4">
        <v>1995.0</v>
      </c>
      <c r="F159" s="4">
        <v>441.0</v>
      </c>
      <c r="G159" s="4">
        <v>525.0</v>
      </c>
      <c r="H159" s="7" t="s">
        <v>2903</v>
      </c>
      <c r="I159" s="1" t="s">
        <v>2905</v>
      </c>
      <c r="J159" s="1"/>
      <c r="K159" s="9">
        <v>45927.84957175926</v>
      </c>
      <c r="L159" s="4">
        <v>1.759004603E9</v>
      </c>
      <c r="M159" s="1" t="s">
        <v>47</v>
      </c>
      <c r="N159" s="1" t="s">
        <v>47</v>
      </c>
      <c r="O159" s="1" t="s">
        <v>47</v>
      </c>
      <c r="P159" s="1" t="s">
        <v>47</v>
      </c>
      <c r="Q159" s="1" t="s">
        <v>47</v>
      </c>
      <c r="R159" s="1" t="s">
        <v>48</v>
      </c>
      <c r="S159" s="1" t="s">
        <v>2906</v>
      </c>
      <c r="T159" s="7" t="s">
        <v>2907</v>
      </c>
      <c r="U159" s="7" t="s">
        <v>2909</v>
      </c>
      <c r="V159" s="1" t="s">
        <v>2902</v>
      </c>
      <c r="W159" s="7" t="s">
        <v>2910</v>
      </c>
      <c r="X159" s="7" t="s">
        <v>2915</v>
      </c>
      <c r="Y159" s="1"/>
      <c r="Z159" s="4">
        <v>378.0</v>
      </c>
      <c r="AA159" s="4">
        <v>17.0</v>
      </c>
      <c r="AB159" s="4">
        <v>152.0</v>
      </c>
      <c r="AC159" s="4">
        <v>12100.0</v>
      </c>
      <c r="AD159" s="1" t="s">
        <v>2916</v>
      </c>
      <c r="AE159" s="1" t="s">
        <v>2916</v>
      </c>
      <c r="AF159" s="1"/>
      <c r="AG159" s="1"/>
      <c r="AH159" s="1" t="s">
        <v>97</v>
      </c>
      <c r="AI159" s="1"/>
      <c r="AJ159" s="1"/>
      <c r="AK159" s="1"/>
      <c r="AL159" s="1">
        <f>IFERROR(__xludf.DUMMYFUNCTION("IF(
  TRIM(AD159)="""",
  0,
  COUNTA(
    SPLIT(
      REGEXREPLACE(AD159,""\s*,\s*"","",""),
      "",""
    )
  )
)"),4.0)</f>
        <v>4</v>
      </c>
    </row>
    <row r="160">
      <c r="A160" s="1" t="s">
        <v>2918</v>
      </c>
      <c r="B160" s="1" t="s">
        <v>2918</v>
      </c>
      <c r="C160" s="1" t="s">
        <v>1630</v>
      </c>
      <c r="D160" s="1" t="s">
        <v>1631</v>
      </c>
      <c r="E160" s="4">
        <v>19100.0</v>
      </c>
      <c r="F160" s="4">
        <v>8603.0</v>
      </c>
      <c r="G160" s="4">
        <v>292.0</v>
      </c>
      <c r="H160" s="7" t="s">
        <v>1632</v>
      </c>
      <c r="I160" s="1" t="s">
        <v>2919</v>
      </c>
      <c r="J160" s="1" t="s">
        <v>2920</v>
      </c>
      <c r="K160" s="9">
        <v>45976.06655092593</v>
      </c>
      <c r="L160" s="4">
        <v>1.76317055E9</v>
      </c>
      <c r="M160" s="1" t="s">
        <v>47</v>
      </c>
      <c r="N160" s="1" t="s">
        <v>47</v>
      </c>
      <c r="O160" s="1" t="s">
        <v>47</v>
      </c>
      <c r="P160" s="1" t="s">
        <v>47</v>
      </c>
      <c r="Q160" s="1" t="s">
        <v>47</v>
      </c>
      <c r="R160" s="1" t="s">
        <v>48</v>
      </c>
      <c r="S160" s="1" t="s">
        <v>2921</v>
      </c>
      <c r="T160" s="7" t="s">
        <v>2922</v>
      </c>
      <c r="U160" s="7" t="s">
        <v>2751</v>
      </c>
      <c r="V160" s="1" t="s">
        <v>1631</v>
      </c>
      <c r="W160" s="7" t="s">
        <v>2924</v>
      </c>
      <c r="X160" s="7" t="s">
        <v>2928</v>
      </c>
      <c r="Y160" s="1"/>
      <c r="Z160" s="4">
        <v>237.0</v>
      </c>
      <c r="AA160" s="4">
        <v>13.0</v>
      </c>
      <c r="AB160" s="4">
        <v>69.0</v>
      </c>
      <c r="AC160" s="4">
        <v>4143.0</v>
      </c>
      <c r="AD160" s="1" t="s">
        <v>2929</v>
      </c>
      <c r="AE160" s="1" t="s">
        <v>2929</v>
      </c>
      <c r="AF160" s="1"/>
      <c r="AG160" s="1"/>
      <c r="AH160" s="1"/>
      <c r="AI160" s="1"/>
      <c r="AJ160" s="1"/>
      <c r="AK160" s="1"/>
      <c r="AL160" s="1">
        <f>IFERROR(__xludf.DUMMYFUNCTION("IF(
  TRIM(AD160)="""",
  0,
  COUNTA(
    SPLIT(
      REGEXREPLACE(AD160,""\s*,\s*"","",""),
      "",""
    )
  )
)"),4.0)</f>
        <v>4</v>
      </c>
    </row>
    <row r="161">
      <c r="A161" s="1" t="s">
        <v>168</v>
      </c>
      <c r="B161" s="1" t="s">
        <v>168</v>
      </c>
      <c r="C161" s="1" t="s">
        <v>169</v>
      </c>
      <c r="D161" s="1" t="s">
        <v>56</v>
      </c>
      <c r="E161" s="4">
        <v>996800.0</v>
      </c>
      <c r="F161" s="4">
        <v>396.0</v>
      </c>
      <c r="G161" s="4">
        <v>1474.0</v>
      </c>
      <c r="H161" s="7" t="s">
        <v>2930</v>
      </c>
      <c r="I161" s="1" t="s">
        <v>172</v>
      </c>
      <c r="J161" s="1" t="s">
        <v>173</v>
      </c>
      <c r="K161" s="9">
        <v>45016.627222222225</v>
      </c>
      <c r="L161" s="4">
        <v>1.680274992E9</v>
      </c>
      <c r="M161" s="1" t="s">
        <v>47</v>
      </c>
      <c r="N161" s="1" t="s">
        <v>47</v>
      </c>
      <c r="O161" s="1" t="s">
        <v>47</v>
      </c>
      <c r="P161" s="1" t="s">
        <v>47</v>
      </c>
      <c r="Q161" s="1" t="s">
        <v>47</v>
      </c>
      <c r="R161" s="1" t="s">
        <v>48</v>
      </c>
      <c r="S161" s="1" t="s">
        <v>174</v>
      </c>
      <c r="T161" s="7" t="s">
        <v>2932</v>
      </c>
      <c r="U161" s="7" t="s">
        <v>2934</v>
      </c>
      <c r="V161" s="1" t="s">
        <v>56</v>
      </c>
      <c r="W161" s="7" t="s">
        <v>2935</v>
      </c>
      <c r="X161" s="7" t="s">
        <v>183</v>
      </c>
      <c r="Y161" s="1"/>
      <c r="Z161" s="4">
        <v>423600.0</v>
      </c>
      <c r="AA161" s="4">
        <v>3687.0</v>
      </c>
      <c r="AB161" s="4">
        <v>21400.0</v>
      </c>
      <c r="AC161" s="4">
        <v>6100000.0</v>
      </c>
      <c r="AD161" s="1" t="s">
        <v>184</v>
      </c>
      <c r="AE161" s="1" t="s">
        <v>184</v>
      </c>
      <c r="AF161" s="1"/>
      <c r="AG161" s="1"/>
      <c r="AH161" s="1"/>
      <c r="AI161" s="1"/>
      <c r="AJ161" s="1"/>
      <c r="AK161" s="1"/>
      <c r="AL161" s="1">
        <f>IFERROR(__xludf.DUMMYFUNCTION("IF(
  TRIM(AD161)="""",
  0,
  COUNTA(
    SPLIT(
      REGEXREPLACE(AD161,""\s*,\s*"","",""),
      "",""
    )
  )
)"),5.0)</f>
        <v>5</v>
      </c>
    </row>
    <row r="162">
      <c r="A162" s="1" t="s">
        <v>2938</v>
      </c>
      <c r="B162" s="1" t="s">
        <v>2938</v>
      </c>
      <c r="C162" s="1" t="s">
        <v>1124</v>
      </c>
      <c r="D162" s="1" t="s">
        <v>1125</v>
      </c>
      <c r="E162" s="4">
        <v>732500.0</v>
      </c>
      <c r="F162" s="4">
        <v>3309.0</v>
      </c>
      <c r="G162" s="4">
        <v>1366.0</v>
      </c>
      <c r="H162" s="7" t="s">
        <v>2939</v>
      </c>
      <c r="I162" s="1" t="s">
        <v>2940</v>
      </c>
      <c r="J162" s="1" t="s">
        <v>2941</v>
      </c>
      <c r="K162" s="9">
        <v>44775.635775462964</v>
      </c>
      <c r="L162" s="4">
        <v>1.659453331E9</v>
      </c>
      <c r="M162" s="1" t="s">
        <v>47</v>
      </c>
      <c r="N162" s="1" t="s">
        <v>47</v>
      </c>
      <c r="O162" s="1" t="s">
        <v>47</v>
      </c>
      <c r="P162" s="1" t="s">
        <v>47</v>
      </c>
      <c r="Q162" s="1" t="s">
        <v>47</v>
      </c>
      <c r="R162" s="1" t="s">
        <v>48</v>
      </c>
      <c r="S162" s="1" t="s">
        <v>2943</v>
      </c>
      <c r="T162" s="7" t="s">
        <v>2944</v>
      </c>
      <c r="U162" s="7" t="s">
        <v>2946</v>
      </c>
      <c r="V162" s="1" t="s">
        <v>1125</v>
      </c>
      <c r="W162" s="7" t="s">
        <v>2947</v>
      </c>
      <c r="X162" s="7" t="s">
        <v>2952</v>
      </c>
      <c r="Y162" s="1"/>
      <c r="Z162" s="4">
        <v>296100.0</v>
      </c>
      <c r="AA162" s="4">
        <v>7075.0</v>
      </c>
      <c r="AB162" s="4">
        <v>22100.0</v>
      </c>
      <c r="AC162" s="4">
        <v>2700000.0</v>
      </c>
      <c r="AD162" s="1" t="s">
        <v>1143</v>
      </c>
      <c r="AE162" s="1" t="s">
        <v>1143</v>
      </c>
      <c r="AF162" s="1"/>
      <c r="AG162" s="1"/>
      <c r="AH162" s="1"/>
      <c r="AI162" s="1"/>
      <c r="AJ162" s="1"/>
      <c r="AK162" s="1"/>
      <c r="AL162" s="1">
        <f>IFERROR(__xludf.DUMMYFUNCTION("IF(
  TRIM(AD162)="""",
  0,
  COUNTA(
    SPLIT(
      REGEXREPLACE(AD162,""\s*,\s*"","",""),
      "",""
    )
  )
)"),5.0)</f>
        <v>5</v>
      </c>
    </row>
    <row r="163">
      <c r="A163" s="1" t="s">
        <v>185</v>
      </c>
      <c r="B163" s="1" t="s">
        <v>185</v>
      </c>
      <c r="C163" s="1" t="s">
        <v>186</v>
      </c>
      <c r="D163" s="1" t="s">
        <v>187</v>
      </c>
      <c r="E163" s="4">
        <v>21300.0</v>
      </c>
      <c r="F163" s="4">
        <v>838.0</v>
      </c>
      <c r="G163" s="4">
        <v>88.0</v>
      </c>
      <c r="H163" s="7" t="s">
        <v>2954</v>
      </c>
      <c r="I163" s="1" t="s">
        <v>189</v>
      </c>
      <c r="J163" s="1"/>
      <c r="K163" s="9">
        <v>45393.08049768519</v>
      </c>
      <c r="L163" s="4">
        <v>1.712800555E9</v>
      </c>
      <c r="M163" s="1" t="s">
        <v>47</v>
      </c>
      <c r="N163" s="1" t="s">
        <v>47</v>
      </c>
      <c r="O163" s="1" t="s">
        <v>47</v>
      </c>
      <c r="P163" s="1" t="s">
        <v>47</v>
      </c>
      <c r="Q163" s="1" t="s">
        <v>47</v>
      </c>
      <c r="R163" s="1" t="s">
        <v>190</v>
      </c>
      <c r="S163" s="1" t="s">
        <v>191</v>
      </c>
      <c r="T163" s="7" t="s">
        <v>192</v>
      </c>
      <c r="U163" s="7" t="s">
        <v>2956</v>
      </c>
      <c r="V163" s="1" t="s">
        <v>195</v>
      </c>
      <c r="W163" s="7" t="s">
        <v>2958</v>
      </c>
      <c r="X163" s="7" t="s">
        <v>201</v>
      </c>
      <c r="Y163" s="1"/>
      <c r="Z163" s="4">
        <v>291000.0</v>
      </c>
      <c r="AA163" s="4">
        <v>7417.0</v>
      </c>
      <c r="AB163" s="4">
        <v>30700.0</v>
      </c>
      <c r="AC163" s="4">
        <v>5200000.0</v>
      </c>
      <c r="AD163" s="1" t="s">
        <v>205</v>
      </c>
      <c r="AE163" s="1" t="s">
        <v>205</v>
      </c>
      <c r="AF163" s="1"/>
      <c r="AG163" s="1"/>
      <c r="AH163" s="1"/>
      <c r="AI163" s="1"/>
      <c r="AJ163" s="1"/>
      <c r="AK163" s="1"/>
      <c r="AL163" s="1">
        <f>IFERROR(__xludf.DUMMYFUNCTION("IF(
  TRIM(AD163)="""",
  0,
  COUNTA(
    SPLIT(
      REGEXREPLACE(AD163,""\s*,\s*"","",""),
      "",""
    )
  )
)"),5.0)</f>
        <v>5</v>
      </c>
    </row>
    <row r="164">
      <c r="A164" s="1" t="s">
        <v>257</v>
      </c>
      <c r="B164" s="1" t="s">
        <v>257</v>
      </c>
      <c r="C164" s="1" t="s">
        <v>258</v>
      </c>
      <c r="D164" s="1" t="s">
        <v>259</v>
      </c>
      <c r="E164" s="4">
        <v>16200.0</v>
      </c>
      <c r="F164" s="4">
        <v>13000.0</v>
      </c>
      <c r="G164" s="4">
        <v>202.0</v>
      </c>
      <c r="H164" s="7" t="s">
        <v>2960</v>
      </c>
      <c r="I164" s="1" t="s">
        <v>261</v>
      </c>
      <c r="J164" s="1" t="s">
        <v>262</v>
      </c>
      <c r="K164" s="9">
        <v>45348.78747685185</v>
      </c>
      <c r="L164" s="4">
        <v>1.708973638E9</v>
      </c>
      <c r="M164" s="1" t="s">
        <v>47</v>
      </c>
      <c r="N164" s="1" t="s">
        <v>47</v>
      </c>
      <c r="O164" s="1" t="s">
        <v>47</v>
      </c>
      <c r="P164" s="1" t="s">
        <v>47</v>
      </c>
      <c r="Q164" s="1" t="s">
        <v>47</v>
      </c>
      <c r="R164" s="1" t="s">
        <v>48</v>
      </c>
      <c r="S164" s="1" t="s">
        <v>263</v>
      </c>
      <c r="T164" s="7" t="s">
        <v>2961</v>
      </c>
      <c r="U164" s="7" t="s">
        <v>2971</v>
      </c>
      <c r="V164" s="1" t="s">
        <v>259</v>
      </c>
      <c r="W164" s="7" t="s">
        <v>2975</v>
      </c>
      <c r="X164" s="7" t="s">
        <v>272</v>
      </c>
      <c r="Y164" s="1"/>
      <c r="Z164" s="4">
        <v>247500.0</v>
      </c>
      <c r="AA164" s="4">
        <v>3171.0</v>
      </c>
      <c r="AB164" s="4">
        <v>12400.0</v>
      </c>
      <c r="AC164" s="4">
        <v>1600000.0</v>
      </c>
      <c r="AD164" s="1" t="s">
        <v>273</v>
      </c>
      <c r="AE164" s="1" t="s">
        <v>273</v>
      </c>
      <c r="AF164" s="1"/>
      <c r="AG164" s="1"/>
      <c r="AH164" s="1" t="s">
        <v>2014</v>
      </c>
      <c r="AI164" s="1"/>
      <c r="AJ164" s="1"/>
      <c r="AK164" s="1"/>
      <c r="AL164" s="1">
        <f>IFERROR(__xludf.DUMMYFUNCTION("IF(
  TRIM(AD164)="""",
  0,
  COUNTA(
    SPLIT(
      REGEXREPLACE(AD164,""\s*,\s*"","",""),
      "",""
    )
  )
)"),5.0)</f>
        <v>5</v>
      </c>
    </row>
    <row r="165">
      <c r="A165" s="1" t="s">
        <v>295</v>
      </c>
      <c r="B165" s="1" t="s">
        <v>295</v>
      </c>
      <c r="C165" s="1" t="s">
        <v>296</v>
      </c>
      <c r="D165" s="1" t="s">
        <v>297</v>
      </c>
      <c r="E165" s="4">
        <v>81500.0</v>
      </c>
      <c r="F165" s="4">
        <v>1728.0</v>
      </c>
      <c r="G165" s="4">
        <v>33.0</v>
      </c>
      <c r="H165" s="7" t="s">
        <v>2982</v>
      </c>
      <c r="I165" s="1" t="s">
        <v>301</v>
      </c>
      <c r="J165" s="1"/>
      <c r="K165" s="9">
        <v>45468.92145833333</v>
      </c>
      <c r="L165" s="4">
        <v>1.719353214E9</v>
      </c>
      <c r="M165" s="1" t="s">
        <v>47</v>
      </c>
      <c r="N165" s="1" t="s">
        <v>47</v>
      </c>
      <c r="O165" s="1" t="s">
        <v>47</v>
      </c>
      <c r="P165" s="1" t="s">
        <v>47</v>
      </c>
      <c r="Q165" s="1" t="s">
        <v>47</v>
      </c>
      <c r="R165" s="1" t="s">
        <v>48</v>
      </c>
      <c r="S165" s="1" t="s">
        <v>302</v>
      </c>
      <c r="T165" s="7" t="s">
        <v>2986</v>
      </c>
      <c r="U165" s="7" t="s">
        <v>2355</v>
      </c>
      <c r="V165" s="1" t="s">
        <v>297</v>
      </c>
      <c r="W165" s="7" t="s">
        <v>2989</v>
      </c>
      <c r="X165" s="7" t="s">
        <v>315</v>
      </c>
      <c r="Y165" s="1"/>
      <c r="Z165" s="4">
        <v>235500.0</v>
      </c>
      <c r="AA165" s="4">
        <v>4512.0</v>
      </c>
      <c r="AB165" s="4">
        <v>36000.0</v>
      </c>
      <c r="AC165" s="4">
        <v>3900000.0</v>
      </c>
      <c r="AD165" s="1" t="s">
        <v>318</v>
      </c>
      <c r="AE165" s="1" t="s">
        <v>318</v>
      </c>
      <c r="AF165" s="1"/>
      <c r="AG165" s="1"/>
      <c r="AH165" s="1"/>
      <c r="AI165" s="1"/>
      <c r="AJ165" s="1"/>
      <c r="AK165" s="1"/>
      <c r="AL165" s="1">
        <f>IFERROR(__xludf.DUMMYFUNCTION("IF(
  TRIM(AD165)="""",
  0,
  COUNTA(
    SPLIT(
      REGEXREPLACE(AD165,""\s*,\s*"","",""),
      "",""
    )
  )
)"),5.0)</f>
        <v>5</v>
      </c>
    </row>
    <row r="166">
      <c r="A166" s="1" t="s">
        <v>350</v>
      </c>
      <c r="B166" s="1" t="s">
        <v>350</v>
      </c>
      <c r="C166" s="1" t="s">
        <v>69</v>
      </c>
      <c r="D166" s="1" t="s">
        <v>70</v>
      </c>
      <c r="E166" s="4">
        <v>176100.0</v>
      </c>
      <c r="F166" s="4">
        <v>889.0</v>
      </c>
      <c r="G166" s="4">
        <v>777.0</v>
      </c>
      <c r="H166" s="7" t="s">
        <v>330</v>
      </c>
      <c r="I166" s="1" t="s">
        <v>351</v>
      </c>
      <c r="J166" s="1"/>
      <c r="K166" s="9">
        <v>45466.97326388889</v>
      </c>
      <c r="L166" s="4">
        <v>1.71918489E9</v>
      </c>
      <c r="M166" s="1" t="s">
        <v>47</v>
      </c>
      <c r="N166" s="1" t="s">
        <v>47</v>
      </c>
      <c r="O166" s="1" t="s">
        <v>47</v>
      </c>
      <c r="P166" s="1" t="s">
        <v>47</v>
      </c>
      <c r="Q166" s="1" t="s">
        <v>47</v>
      </c>
      <c r="R166" s="1" t="s">
        <v>352</v>
      </c>
      <c r="S166" s="1" t="s">
        <v>353</v>
      </c>
      <c r="T166" s="7" t="s">
        <v>2995</v>
      </c>
      <c r="U166" s="7" t="s">
        <v>356</v>
      </c>
      <c r="V166" s="1" t="s">
        <v>358</v>
      </c>
      <c r="W166" s="7" t="s">
        <v>2997</v>
      </c>
      <c r="X166" s="7" t="s">
        <v>360</v>
      </c>
      <c r="Y166" s="1"/>
      <c r="Z166" s="4">
        <v>196500.0</v>
      </c>
      <c r="AA166" s="4">
        <v>2193.0</v>
      </c>
      <c r="AB166" s="4">
        <v>26900.0</v>
      </c>
      <c r="AC166" s="4">
        <v>1900000.0</v>
      </c>
      <c r="AD166" s="1" t="s">
        <v>361</v>
      </c>
      <c r="AE166" s="1" t="s">
        <v>361</v>
      </c>
      <c r="AF166" s="1"/>
      <c r="AG166" s="1"/>
      <c r="AH166" s="1"/>
      <c r="AI166" s="1"/>
      <c r="AJ166" s="1"/>
      <c r="AK166" s="1"/>
      <c r="AL166" s="1">
        <f>IFERROR(__xludf.DUMMYFUNCTION("IF(
  TRIM(AD166)="""",
  0,
  COUNTA(
    SPLIT(
      REGEXREPLACE(AD166,""\s*,\s*"","",""),
      "",""
    )
  )
)"),5.0)</f>
        <v>5</v>
      </c>
    </row>
    <row r="167">
      <c r="A167" s="1" t="s">
        <v>2999</v>
      </c>
      <c r="B167" s="1" t="s">
        <v>2999</v>
      </c>
      <c r="C167" s="1" t="s">
        <v>3001</v>
      </c>
      <c r="D167" s="1" t="s">
        <v>3002</v>
      </c>
      <c r="E167" s="4">
        <v>66400.0</v>
      </c>
      <c r="F167" s="4">
        <v>103.0</v>
      </c>
      <c r="G167" s="4">
        <v>127.0</v>
      </c>
      <c r="H167" s="7" t="s">
        <v>3003</v>
      </c>
      <c r="I167" s="1" t="s">
        <v>3007</v>
      </c>
      <c r="J167" s="1" t="s">
        <v>3008</v>
      </c>
      <c r="K167" s="9">
        <v>45350.01412037037</v>
      </c>
      <c r="L167" s="4">
        <v>1.70907962E9</v>
      </c>
      <c r="M167" s="1" t="s">
        <v>47</v>
      </c>
      <c r="N167" s="1" t="s">
        <v>47</v>
      </c>
      <c r="O167" s="1" t="s">
        <v>47</v>
      </c>
      <c r="P167" s="1" t="s">
        <v>47</v>
      </c>
      <c r="Q167" s="1" t="s">
        <v>47</v>
      </c>
      <c r="R167" s="1" t="s">
        <v>2440</v>
      </c>
      <c r="S167" s="1" t="s">
        <v>2441</v>
      </c>
      <c r="T167" s="7" t="s">
        <v>2442</v>
      </c>
      <c r="U167" s="7" t="s">
        <v>2895</v>
      </c>
      <c r="V167" s="1" t="s">
        <v>2445</v>
      </c>
      <c r="W167" s="7" t="s">
        <v>3009</v>
      </c>
      <c r="X167" s="7" t="s">
        <v>3011</v>
      </c>
      <c r="Y167" s="1"/>
      <c r="Z167" s="4">
        <v>119900.0</v>
      </c>
      <c r="AA167" s="4">
        <v>1005.0</v>
      </c>
      <c r="AB167" s="4">
        <v>13900.0</v>
      </c>
      <c r="AC167" s="4">
        <v>1300000.0</v>
      </c>
      <c r="AD167" s="1" t="s">
        <v>3013</v>
      </c>
      <c r="AE167" s="1" t="s">
        <v>3013</v>
      </c>
      <c r="AF167" s="1"/>
      <c r="AG167" s="1"/>
      <c r="AH167" s="1"/>
      <c r="AI167" s="1"/>
      <c r="AJ167" s="1"/>
      <c r="AK167" s="1"/>
      <c r="AL167" s="1">
        <f>IFERROR(__xludf.DUMMYFUNCTION("IF(
  TRIM(AD167)="""",
  0,
  COUNTA(
    SPLIT(
      REGEXREPLACE(AD167,""\s*,\s*"","",""),
      "",""
    )
  )
)"),5.0)</f>
        <v>5</v>
      </c>
    </row>
    <row r="168">
      <c r="A168" s="1" t="s">
        <v>715</v>
      </c>
      <c r="B168" s="1" t="s">
        <v>715</v>
      </c>
      <c r="C168" s="1" t="s">
        <v>716</v>
      </c>
      <c r="D168" s="1" t="s">
        <v>717</v>
      </c>
      <c r="E168" s="4">
        <v>92700.0</v>
      </c>
      <c r="F168" s="4">
        <v>2574.0</v>
      </c>
      <c r="G168" s="4">
        <v>121.0</v>
      </c>
      <c r="H168" s="7" t="s">
        <v>3015</v>
      </c>
      <c r="I168" s="1" t="s">
        <v>720</v>
      </c>
      <c r="J168" s="1" t="s">
        <v>721</v>
      </c>
      <c r="K168" s="9">
        <v>45441.633356481485</v>
      </c>
      <c r="L168" s="4">
        <v>1.716995522E9</v>
      </c>
      <c r="M168" s="1" t="s">
        <v>47</v>
      </c>
      <c r="N168" s="1" t="s">
        <v>47</v>
      </c>
      <c r="O168" s="1" t="s">
        <v>47</v>
      </c>
      <c r="P168" s="1" t="s">
        <v>47</v>
      </c>
      <c r="Q168" s="1" t="s">
        <v>47</v>
      </c>
      <c r="R168" s="1" t="s">
        <v>48</v>
      </c>
      <c r="S168" s="1" t="s">
        <v>722</v>
      </c>
      <c r="T168" s="7" t="s">
        <v>3017</v>
      </c>
      <c r="U168" s="7" t="s">
        <v>2510</v>
      </c>
      <c r="V168" s="1" t="s">
        <v>717</v>
      </c>
      <c r="W168" s="1"/>
      <c r="X168" s="7" t="s">
        <v>730</v>
      </c>
      <c r="Y168" s="1"/>
      <c r="Z168" s="4">
        <v>97300.0</v>
      </c>
      <c r="AA168" s="4">
        <v>2153.0</v>
      </c>
      <c r="AB168" s="4">
        <v>9300.0</v>
      </c>
      <c r="AC168" s="4">
        <v>1200000.0</v>
      </c>
      <c r="AD168" s="1" t="s">
        <v>731</v>
      </c>
      <c r="AE168" s="1" t="s">
        <v>731</v>
      </c>
      <c r="AF168" s="1"/>
      <c r="AG168" s="1"/>
      <c r="AH168" s="1"/>
      <c r="AI168" s="1"/>
      <c r="AJ168" s="1"/>
      <c r="AK168" s="1"/>
      <c r="AL168" s="1">
        <f>IFERROR(__xludf.DUMMYFUNCTION("IF(
  TRIM(AD168)="""",
  0,
  COUNTA(
    SPLIT(
      REGEXREPLACE(AD168,""\s*,\s*"","",""),
      "",""
    )
  )
)"),5.0)</f>
        <v>5</v>
      </c>
    </row>
    <row r="169">
      <c r="A169" s="1" t="s">
        <v>3022</v>
      </c>
      <c r="B169" s="1" t="s">
        <v>3022</v>
      </c>
      <c r="C169" s="1" t="s">
        <v>296</v>
      </c>
      <c r="D169" s="1" t="s">
        <v>297</v>
      </c>
      <c r="E169" s="4">
        <v>81500.0</v>
      </c>
      <c r="F169" s="4">
        <v>1728.0</v>
      </c>
      <c r="G169" s="4">
        <v>33.0</v>
      </c>
      <c r="H169" s="7" t="s">
        <v>2349</v>
      </c>
      <c r="I169" s="1" t="s">
        <v>3024</v>
      </c>
      <c r="J169" s="1"/>
      <c r="K169" s="9">
        <v>45470.04832175926</v>
      </c>
      <c r="L169" s="4">
        <v>1.719450575E9</v>
      </c>
      <c r="M169" s="1" t="s">
        <v>47</v>
      </c>
      <c r="N169" s="1" t="s">
        <v>47</v>
      </c>
      <c r="O169" s="1" t="s">
        <v>47</v>
      </c>
      <c r="P169" s="1" t="s">
        <v>47</v>
      </c>
      <c r="Q169" s="1" t="s">
        <v>47</v>
      </c>
      <c r="R169" s="1" t="s">
        <v>48</v>
      </c>
      <c r="S169" s="1" t="s">
        <v>3025</v>
      </c>
      <c r="T169" s="7" t="s">
        <v>3026</v>
      </c>
      <c r="U169" s="7" t="s">
        <v>2355</v>
      </c>
      <c r="V169" s="1" t="s">
        <v>297</v>
      </c>
      <c r="W169" s="7" t="s">
        <v>3030</v>
      </c>
      <c r="X169" s="7" t="s">
        <v>3033</v>
      </c>
      <c r="Y169" s="1"/>
      <c r="Z169" s="4">
        <v>80900.0</v>
      </c>
      <c r="AA169" s="4">
        <v>937.0</v>
      </c>
      <c r="AB169" s="4">
        <v>6766.0</v>
      </c>
      <c r="AC169" s="4">
        <v>730300.0</v>
      </c>
      <c r="AD169" s="1" t="s">
        <v>3034</v>
      </c>
      <c r="AE169" s="1" t="s">
        <v>3034</v>
      </c>
      <c r="AF169" s="1"/>
      <c r="AG169" s="1"/>
      <c r="AH169" s="1"/>
      <c r="AI169" s="1"/>
      <c r="AJ169" s="1"/>
      <c r="AK169" s="1"/>
      <c r="AL169" s="1">
        <f>IFERROR(__xludf.DUMMYFUNCTION("IF(
  TRIM(AD169)="""",
  0,
  COUNTA(
    SPLIT(
      REGEXREPLACE(AD169,""\s*,\s*"","",""),
      "",""
    )
  )
)"),5.0)</f>
        <v>5</v>
      </c>
    </row>
    <row r="170">
      <c r="A170" s="1" t="s">
        <v>1023</v>
      </c>
      <c r="B170" s="1" t="s">
        <v>1023</v>
      </c>
      <c r="C170" s="1" t="s">
        <v>1024</v>
      </c>
      <c r="D170" s="1" t="s">
        <v>1025</v>
      </c>
      <c r="E170" s="4">
        <v>19600.0</v>
      </c>
      <c r="F170" s="4">
        <v>334.0</v>
      </c>
      <c r="G170" s="4">
        <v>221.0</v>
      </c>
      <c r="H170" s="7" t="s">
        <v>3035</v>
      </c>
      <c r="I170" s="1" t="s">
        <v>1027</v>
      </c>
      <c r="J170" s="1"/>
      <c r="K170" s="9">
        <v>45725.49465277778</v>
      </c>
      <c r="L170" s="4">
        <v>1.741521138E9</v>
      </c>
      <c r="M170" s="1" t="s">
        <v>47</v>
      </c>
      <c r="N170" s="1" t="s">
        <v>47</v>
      </c>
      <c r="O170" s="1" t="s">
        <v>47</v>
      </c>
      <c r="P170" s="1" t="s">
        <v>47</v>
      </c>
      <c r="Q170" s="1" t="s">
        <v>47</v>
      </c>
      <c r="R170" s="1" t="s">
        <v>204</v>
      </c>
      <c r="S170" s="1" t="s">
        <v>1028</v>
      </c>
      <c r="T170" s="7" t="s">
        <v>3040</v>
      </c>
      <c r="U170" s="7" t="s">
        <v>3044</v>
      </c>
      <c r="V170" s="1" t="s">
        <v>1033</v>
      </c>
      <c r="W170" s="7" t="s">
        <v>3045</v>
      </c>
      <c r="X170" s="7" t="s">
        <v>1041</v>
      </c>
      <c r="Y170" s="1"/>
      <c r="Z170" s="4">
        <v>62900.0</v>
      </c>
      <c r="AA170" s="4">
        <v>1197.0</v>
      </c>
      <c r="AB170" s="4">
        <v>16200.0</v>
      </c>
      <c r="AC170" s="4">
        <v>1800000.0</v>
      </c>
      <c r="AD170" s="1" t="s">
        <v>1042</v>
      </c>
      <c r="AE170" s="1" t="s">
        <v>1042</v>
      </c>
      <c r="AF170" s="1"/>
      <c r="AG170" s="1"/>
      <c r="AH170" s="1"/>
      <c r="AI170" s="1"/>
      <c r="AJ170" s="1"/>
      <c r="AK170" s="1"/>
      <c r="AL170" s="1">
        <f>IFERROR(__xludf.DUMMYFUNCTION("IF(
  TRIM(AD170)="""",
  0,
  COUNTA(
    SPLIT(
      REGEXREPLACE(AD170,""\s*,\s*"","",""),
      "",""
    )
  )
)"),5.0)</f>
        <v>5</v>
      </c>
    </row>
    <row r="171">
      <c r="A171" s="1" t="s">
        <v>1060</v>
      </c>
      <c r="B171" s="1" t="s">
        <v>1060</v>
      </c>
      <c r="C171" s="1" t="s">
        <v>276</v>
      </c>
      <c r="D171" s="1" t="s">
        <v>277</v>
      </c>
      <c r="E171" s="4">
        <v>345000.0</v>
      </c>
      <c r="F171" s="4">
        <v>344.0</v>
      </c>
      <c r="G171" s="4">
        <v>493.0</v>
      </c>
      <c r="H171" s="7" t="s">
        <v>3050</v>
      </c>
      <c r="I171" s="1" t="s">
        <v>1066</v>
      </c>
      <c r="J171" s="1" t="s">
        <v>1067</v>
      </c>
      <c r="K171" s="9">
        <v>45946.028495370374</v>
      </c>
      <c r="L171" s="4">
        <v>1.760575262E9</v>
      </c>
      <c r="M171" s="1" t="s">
        <v>47</v>
      </c>
      <c r="N171" s="1" t="s">
        <v>47</v>
      </c>
      <c r="O171" s="1" t="s">
        <v>47</v>
      </c>
      <c r="P171" s="1" t="s">
        <v>47</v>
      </c>
      <c r="Q171" s="1" t="s">
        <v>47</v>
      </c>
      <c r="R171" s="1" t="s">
        <v>48</v>
      </c>
      <c r="S171" s="1" t="s">
        <v>1068</v>
      </c>
      <c r="T171" s="7" t="s">
        <v>3051</v>
      </c>
      <c r="U171" s="7" t="s">
        <v>3057</v>
      </c>
      <c r="V171" s="1" t="s">
        <v>277</v>
      </c>
      <c r="W171" s="7" t="s">
        <v>3058</v>
      </c>
      <c r="X171" s="7" t="s">
        <v>1076</v>
      </c>
      <c r="Y171" s="1"/>
      <c r="Z171" s="4">
        <v>58200.0</v>
      </c>
      <c r="AA171" s="4">
        <v>1153.0</v>
      </c>
      <c r="AB171" s="4">
        <v>14800.0</v>
      </c>
      <c r="AC171" s="4">
        <v>1200000.0</v>
      </c>
      <c r="AD171" s="1" t="s">
        <v>1077</v>
      </c>
      <c r="AE171" s="1" t="s">
        <v>1077</v>
      </c>
      <c r="AF171" s="1"/>
      <c r="AG171" s="1"/>
      <c r="AH171" s="1" t="s">
        <v>103</v>
      </c>
      <c r="AI171" s="1"/>
      <c r="AJ171" s="1"/>
      <c r="AK171" s="1"/>
      <c r="AL171" s="1">
        <f>IFERROR(__xludf.DUMMYFUNCTION("IF(
  TRIM(AD171)="""",
  0,
  COUNTA(
    SPLIT(
      REGEXREPLACE(AD171,""\s*,\s*"","",""),
      "",""
    )
  )
)"),5.0)</f>
        <v>5</v>
      </c>
    </row>
    <row r="172">
      <c r="A172" s="1" t="s">
        <v>3061</v>
      </c>
      <c r="B172" s="1" t="s">
        <v>3061</v>
      </c>
      <c r="C172" s="1" t="s">
        <v>3062</v>
      </c>
      <c r="D172" s="1" t="s">
        <v>3063</v>
      </c>
      <c r="E172" s="4">
        <v>216300.0</v>
      </c>
      <c r="F172" s="4">
        <v>3822.0</v>
      </c>
      <c r="G172" s="4">
        <v>551.0</v>
      </c>
      <c r="H172" s="7" t="s">
        <v>3065</v>
      </c>
      <c r="I172" s="1" t="s">
        <v>3072</v>
      </c>
      <c r="J172" s="1" t="s">
        <v>3073</v>
      </c>
      <c r="K172" s="9">
        <v>45633.004699074074</v>
      </c>
      <c r="L172" s="4">
        <v>1.733530006E9</v>
      </c>
      <c r="M172" s="1" t="s">
        <v>47</v>
      </c>
      <c r="N172" s="1" t="s">
        <v>47</v>
      </c>
      <c r="O172" s="1" t="s">
        <v>47</v>
      </c>
      <c r="P172" s="1" t="s">
        <v>47</v>
      </c>
      <c r="Q172" s="1" t="s">
        <v>47</v>
      </c>
      <c r="R172" s="1" t="s">
        <v>3074</v>
      </c>
      <c r="S172" s="1" t="s">
        <v>3075</v>
      </c>
      <c r="T172" s="7" t="s">
        <v>3076</v>
      </c>
      <c r="U172" s="7" t="s">
        <v>3078</v>
      </c>
      <c r="V172" s="1" t="s">
        <v>3079</v>
      </c>
      <c r="W172" s="7" t="s">
        <v>3080</v>
      </c>
      <c r="X172" s="7" t="s">
        <v>3082</v>
      </c>
      <c r="Y172" s="1"/>
      <c r="Z172" s="4">
        <v>53900.0</v>
      </c>
      <c r="AA172" s="4">
        <v>2559.0</v>
      </c>
      <c r="AB172" s="4">
        <v>22200.0</v>
      </c>
      <c r="AC172" s="4">
        <v>1200000.0</v>
      </c>
      <c r="AD172" s="1" t="s">
        <v>3087</v>
      </c>
      <c r="AE172" s="1" t="s">
        <v>3087</v>
      </c>
      <c r="AF172" s="1"/>
      <c r="AG172" s="1"/>
      <c r="AH172" s="1"/>
      <c r="AI172" s="1"/>
      <c r="AJ172" s="1"/>
      <c r="AK172" s="1"/>
      <c r="AL172" s="1">
        <f>IFERROR(__xludf.DUMMYFUNCTION("IF(
  TRIM(AD172)="""",
  0,
  COUNTA(
    SPLIT(
      REGEXREPLACE(AD172,""\s*,\s*"","",""),
      "",""
    )
  )
)"),5.0)</f>
        <v>5</v>
      </c>
    </row>
    <row r="173">
      <c r="A173" s="1" t="s">
        <v>1111</v>
      </c>
      <c r="B173" s="1" t="s">
        <v>1111</v>
      </c>
      <c r="C173" s="1" t="s">
        <v>69</v>
      </c>
      <c r="D173" s="1" t="s">
        <v>70</v>
      </c>
      <c r="E173" s="4">
        <v>176100.0</v>
      </c>
      <c r="F173" s="4">
        <v>889.0</v>
      </c>
      <c r="G173" s="4">
        <v>777.0</v>
      </c>
      <c r="H173" s="7" t="s">
        <v>330</v>
      </c>
      <c r="I173" s="1" t="s">
        <v>1112</v>
      </c>
      <c r="J173" s="1"/>
      <c r="K173" s="9">
        <v>45484.016805555555</v>
      </c>
      <c r="L173" s="4">
        <v>1.720657452E9</v>
      </c>
      <c r="M173" s="1" t="s">
        <v>47</v>
      </c>
      <c r="N173" s="1" t="s">
        <v>47</v>
      </c>
      <c r="O173" s="1" t="s">
        <v>47</v>
      </c>
      <c r="P173" s="1" t="s">
        <v>47</v>
      </c>
      <c r="Q173" s="1" t="s">
        <v>47</v>
      </c>
      <c r="R173" s="1" t="s">
        <v>1113</v>
      </c>
      <c r="S173" s="1" t="s">
        <v>1114</v>
      </c>
      <c r="T173" s="7" t="s">
        <v>1115</v>
      </c>
      <c r="U173" s="7" t="s">
        <v>2278</v>
      </c>
      <c r="V173" s="1" t="s">
        <v>1117</v>
      </c>
      <c r="W173" s="7" t="s">
        <v>3092</v>
      </c>
      <c r="X173" s="7" t="s">
        <v>1120</v>
      </c>
      <c r="Y173" s="1"/>
      <c r="Z173" s="4">
        <v>52300.0</v>
      </c>
      <c r="AA173" s="4">
        <v>546.0</v>
      </c>
      <c r="AB173" s="4">
        <v>3661.0</v>
      </c>
      <c r="AC173" s="4">
        <v>609900.0</v>
      </c>
      <c r="AD173" s="1" t="s">
        <v>1122</v>
      </c>
      <c r="AE173" s="1" t="s">
        <v>1122</v>
      </c>
      <c r="AF173" s="1"/>
      <c r="AG173" s="1"/>
      <c r="AH173" s="1"/>
      <c r="AI173" s="1"/>
      <c r="AJ173" s="1"/>
      <c r="AK173" s="1"/>
      <c r="AL173" s="1">
        <f>IFERROR(__xludf.DUMMYFUNCTION("IF(
  TRIM(AD173)="""",
  0,
  COUNTA(
    SPLIT(
      REGEXREPLACE(AD173,""\s*,\s*"","",""),
      "",""
    )
  )
)"),5.0)</f>
        <v>5</v>
      </c>
    </row>
    <row r="174">
      <c r="A174" s="1" t="s">
        <v>3094</v>
      </c>
      <c r="B174" s="1" t="s">
        <v>3094</v>
      </c>
      <c r="C174" s="1" t="s">
        <v>276</v>
      </c>
      <c r="D174" s="1" t="s">
        <v>277</v>
      </c>
      <c r="E174" s="4">
        <v>345000.0</v>
      </c>
      <c r="F174" s="4">
        <v>344.0</v>
      </c>
      <c r="G174" s="4">
        <v>493.0</v>
      </c>
      <c r="H174" s="7" t="s">
        <v>3050</v>
      </c>
      <c r="I174" s="1" t="s">
        <v>3095</v>
      </c>
      <c r="J174" s="1" t="s">
        <v>3096</v>
      </c>
      <c r="K174" s="9">
        <v>45894.90350694444</v>
      </c>
      <c r="L174" s="4">
        <v>1.756158063E9</v>
      </c>
      <c r="M174" s="1" t="s">
        <v>47</v>
      </c>
      <c r="N174" s="1" t="s">
        <v>47</v>
      </c>
      <c r="O174" s="1" t="s">
        <v>47</v>
      </c>
      <c r="P174" s="1" t="s">
        <v>47</v>
      </c>
      <c r="Q174" s="1" t="s">
        <v>47</v>
      </c>
      <c r="R174" s="1" t="s">
        <v>48</v>
      </c>
      <c r="S174" s="1" t="s">
        <v>3097</v>
      </c>
      <c r="T174" s="7" t="s">
        <v>3098</v>
      </c>
      <c r="U174" s="7" t="s">
        <v>3057</v>
      </c>
      <c r="V174" s="1" t="s">
        <v>277</v>
      </c>
      <c r="W174" s="7" t="s">
        <v>3112</v>
      </c>
      <c r="X174" s="7" t="s">
        <v>3115</v>
      </c>
      <c r="Y174" s="1"/>
      <c r="Z174" s="4">
        <v>51500.0</v>
      </c>
      <c r="AA174" s="4">
        <v>1740.0</v>
      </c>
      <c r="AB174" s="4">
        <v>6072.0</v>
      </c>
      <c r="AC174" s="4">
        <v>717000.0</v>
      </c>
      <c r="AD174" s="1" t="s">
        <v>3116</v>
      </c>
      <c r="AE174" s="1" t="s">
        <v>3116</v>
      </c>
      <c r="AF174" s="1"/>
      <c r="AG174" s="1"/>
      <c r="AH174" s="1"/>
      <c r="AI174" s="1"/>
      <c r="AJ174" s="1"/>
      <c r="AK174" s="1"/>
      <c r="AL174" s="1">
        <f>IFERROR(__xludf.DUMMYFUNCTION("IF(
  TRIM(AD174)="""",
  0,
  COUNTA(
    SPLIT(
      REGEXREPLACE(AD174,""\s*,\s*"","",""),
      "",""
    )
  )
)"),5.0)</f>
        <v>5</v>
      </c>
    </row>
    <row r="175">
      <c r="A175" s="1" t="s">
        <v>1239</v>
      </c>
      <c r="B175" s="1" t="s">
        <v>1239</v>
      </c>
      <c r="C175" s="1" t="s">
        <v>1240</v>
      </c>
      <c r="D175" s="1" t="s">
        <v>1241</v>
      </c>
      <c r="E175" s="4">
        <v>13400.0</v>
      </c>
      <c r="F175" s="4">
        <v>182.0</v>
      </c>
      <c r="G175" s="4">
        <v>234.0</v>
      </c>
      <c r="H175" s="7" t="s">
        <v>3118</v>
      </c>
      <c r="I175" s="1" t="s">
        <v>1243</v>
      </c>
      <c r="J175" s="1"/>
      <c r="K175" s="9">
        <v>45914.102222222224</v>
      </c>
      <c r="L175" s="4">
        <v>1.757816832E9</v>
      </c>
      <c r="M175" s="1" t="s">
        <v>47</v>
      </c>
      <c r="N175" s="1" t="s">
        <v>47</v>
      </c>
      <c r="O175" s="1" t="s">
        <v>47</v>
      </c>
      <c r="P175" s="1" t="s">
        <v>47</v>
      </c>
      <c r="Q175" s="1" t="s">
        <v>47</v>
      </c>
      <c r="R175" s="1" t="s">
        <v>48</v>
      </c>
      <c r="S175" s="1" t="s">
        <v>1244</v>
      </c>
      <c r="T175" s="7" t="s">
        <v>3120</v>
      </c>
      <c r="U175" s="7" t="s">
        <v>3122</v>
      </c>
      <c r="V175" s="1" t="s">
        <v>1241</v>
      </c>
      <c r="W175" s="7" t="s">
        <v>3125</v>
      </c>
      <c r="X175" s="7" t="s">
        <v>1250</v>
      </c>
      <c r="Y175" s="1"/>
      <c r="Z175" s="4">
        <v>45900.0</v>
      </c>
      <c r="AA175" s="4">
        <v>1915.0</v>
      </c>
      <c r="AB175" s="4">
        <v>8914.0</v>
      </c>
      <c r="AC175" s="4">
        <v>1900000.0</v>
      </c>
      <c r="AD175" s="1" t="s">
        <v>1251</v>
      </c>
      <c r="AE175" s="1" t="s">
        <v>1251</v>
      </c>
      <c r="AF175" s="1"/>
      <c r="AG175" s="1"/>
      <c r="AH175" s="1"/>
      <c r="AI175" s="1"/>
      <c r="AJ175" s="1"/>
      <c r="AK175" s="1"/>
      <c r="AL175" s="1">
        <f>IFERROR(__xludf.DUMMYFUNCTION("IF(
  TRIM(AD175)="""",
  0,
  COUNTA(
    SPLIT(
      REGEXREPLACE(AD175,""\s*,\s*"","",""),
      "",""
    )
  )
)"),5.0)</f>
        <v>5</v>
      </c>
    </row>
    <row r="176">
      <c r="A176" s="1" t="s">
        <v>1342</v>
      </c>
      <c r="B176" s="1" t="s">
        <v>1342</v>
      </c>
      <c r="C176" s="1" t="s">
        <v>1124</v>
      </c>
      <c r="D176" s="1" t="s">
        <v>1125</v>
      </c>
      <c r="E176" s="4">
        <v>732500.0</v>
      </c>
      <c r="F176" s="4">
        <v>3309.0</v>
      </c>
      <c r="G176" s="4">
        <v>1366.0</v>
      </c>
      <c r="H176" s="7" t="s">
        <v>3129</v>
      </c>
      <c r="I176" s="1" t="s">
        <v>1345</v>
      </c>
      <c r="J176" s="1"/>
      <c r="K176" s="9">
        <v>44886.62694444445</v>
      </c>
      <c r="L176" s="4">
        <v>1.669042968E9</v>
      </c>
      <c r="M176" s="1" t="s">
        <v>47</v>
      </c>
      <c r="N176" s="1" t="s">
        <v>47</v>
      </c>
      <c r="O176" s="1" t="s">
        <v>47</v>
      </c>
      <c r="P176" s="1" t="s">
        <v>47</v>
      </c>
      <c r="Q176" s="1" t="s">
        <v>47</v>
      </c>
      <c r="R176" s="1" t="s">
        <v>48</v>
      </c>
      <c r="S176" s="1" t="s">
        <v>1346</v>
      </c>
      <c r="T176" s="7" t="s">
        <v>3134</v>
      </c>
      <c r="U176" s="7" t="s">
        <v>3137</v>
      </c>
      <c r="V176" s="1" t="s">
        <v>1125</v>
      </c>
      <c r="W176" s="7" t="s">
        <v>3139</v>
      </c>
      <c r="X176" s="7" t="s">
        <v>1355</v>
      </c>
      <c r="Y176" s="1"/>
      <c r="Z176" s="4">
        <v>39300.0</v>
      </c>
      <c r="AA176" s="4">
        <v>326.0</v>
      </c>
      <c r="AB176" s="4">
        <v>2414.0</v>
      </c>
      <c r="AC176" s="4">
        <v>684500.0</v>
      </c>
      <c r="AD176" s="1" t="s">
        <v>1143</v>
      </c>
      <c r="AE176" s="1" t="s">
        <v>1143</v>
      </c>
      <c r="AF176" s="1"/>
      <c r="AG176" s="1"/>
      <c r="AH176" s="1"/>
      <c r="AI176" s="1"/>
      <c r="AJ176" s="1"/>
      <c r="AK176" s="1"/>
      <c r="AL176" s="1">
        <f>IFERROR(__xludf.DUMMYFUNCTION("IF(
  TRIM(AD176)="""",
  0,
  COUNTA(
    SPLIT(
      REGEXREPLACE(AD176,""\s*,\s*"","",""),
      "",""
    )
  )
)"),5.0)</f>
        <v>5</v>
      </c>
    </row>
    <row r="177">
      <c r="A177" s="1" t="s">
        <v>3147</v>
      </c>
      <c r="B177" s="1" t="s">
        <v>3147</v>
      </c>
      <c r="C177" s="1" t="s">
        <v>3148</v>
      </c>
      <c r="D177" s="1" t="s">
        <v>3149</v>
      </c>
      <c r="E177" s="4">
        <v>24900.0</v>
      </c>
      <c r="F177" s="4">
        <v>8220.0</v>
      </c>
      <c r="G177" s="4">
        <v>532.0</v>
      </c>
      <c r="H177" s="7" t="s">
        <v>3150</v>
      </c>
      <c r="I177" s="1" t="s">
        <v>3152</v>
      </c>
      <c r="J177" s="1" t="s">
        <v>3153</v>
      </c>
      <c r="K177" s="9">
        <v>45927.478796296295</v>
      </c>
      <c r="L177" s="4">
        <v>1.758972568E9</v>
      </c>
      <c r="M177" s="1" t="s">
        <v>47</v>
      </c>
      <c r="N177" s="1" t="s">
        <v>47</v>
      </c>
      <c r="O177" s="1" t="s">
        <v>47</v>
      </c>
      <c r="P177" s="1" t="s">
        <v>47</v>
      </c>
      <c r="Q177" s="1" t="s">
        <v>47</v>
      </c>
      <c r="R177" s="1" t="s">
        <v>48</v>
      </c>
      <c r="S177" s="1" t="s">
        <v>3154</v>
      </c>
      <c r="T177" s="7" t="s">
        <v>3155</v>
      </c>
      <c r="U177" s="7" t="s">
        <v>3160</v>
      </c>
      <c r="V177" s="1" t="s">
        <v>3149</v>
      </c>
      <c r="W177" s="7" t="s">
        <v>3162</v>
      </c>
      <c r="X177" s="7" t="s">
        <v>3164</v>
      </c>
      <c r="Y177" s="1"/>
      <c r="Z177" s="4">
        <v>39100.0</v>
      </c>
      <c r="AA177" s="4">
        <v>601.0</v>
      </c>
      <c r="AB177" s="4">
        <v>3632.0</v>
      </c>
      <c r="AC177" s="4">
        <v>437500.0</v>
      </c>
      <c r="AD177" s="1" t="s">
        <v>3165</v>
      </c>
      <c r="AE177" s="1" t="s">
        <v>3166</v>
      </c>
      <c r="AF177" s="1"/>
      <c r="AG177" s="1"/>
      <c r="AH177" s="1" t="s">
        <v>121</v>
      </c>
      <c r="AI177" s="1"/>
      <c r="AJ177" s="1"/>
      <c r="AK177" s="1"/>
      <c r="AL177" s="1">
        <f>IFERROR(__xludf.DUMMYFUNCTION("IF(
  TRIM(AD177)="""",
  0,
  COUNTA(
    SPLIT(
      REGEXREPLACE(AD177,""\s*,\s*"","",""),
      "",""
    )
  )
)"),5.0)</f>
        <v>5</v>
      </c>
    </row>
    <row r="178">
      <c r="A178" s="1" t="s">
        <v>1367</v>
      </c>
      <c r="B178" s="1" t="s">
        <v>1367</v>
      </c>
      <c r="C178" s="1" t="s">
        <v>1124</v>
      </c>
      <c r="D178" s="1" t="s">
        <v>1125</v>
      </c>
      <c r="E178" s="4">
        <v>732500.0</v>
      </c>
      <c r="F178" s="4">
        <v>3309.0</v>
      </c>
      <c r="G178" s="4">
        <v>1366.0</v>
      </c>
      <c r="H178" s="7" t="s">
        <v>3129</v>
      </c>
      <c r="I178" s="1" t="s">
        <v>1368</v>
      </c>
      <c r="J178" s="1"/>
      <c r="K178" s="9">
        <v>44881.645474537036</v>
      </c>
      <c r="L178" s="4">
        <v>1.668612569E9</v>
      </c>
      <c r="M178" s="1" t="s">
        <v>47</v>
      </c>
      <c r="N178" s="1" t="s">
        <v>47</v>
      </c>
      <c r="O178" s="1" t="s">
        <v>47</v>
      </c>
      <c r="P178" s="1" t="s">
        <v>47</v>
      </c>
      <c r="Q178" s="1" t="s">
        <v>47</v>
      </c>
      <c r="R178" s="1" t="s">
        <v>48</v>
      </c>
      <c r="S178" s="1" t="s">
        <v>1369</v>
      </c>
      <c r="T178" s="7" t="s">
        <v>3167</v>
      </c>
      <c r="U178" s="7" t="s">
        <v>2946</v>
      </c>
      <c r="V178" s="1" t="s">
        <v>1125</v>
      </c>
      <c r="W178" s="7" t="s">
        <v>3177</v>
      </c>
      <c r="X178" s="7" t="s">
        <v>1373</v>
      </c>
      <c r="Y178" s="1"/>
      <c r="Z178" s="4">
        <v>37500.0</v>
      </c>
      <c r="AA178" s="4">
        <v>734.0</v>
      </c>
      <c r="AB178" s="4">
        <v>1695.0</v>
      </c>
      <c r="AC178" s="4">
        <v>296500.0</v>
      </c>
      <c r="AD178" s="1" t="s">
        <v>1143</v>
      </c>
      <c r="AE178" s="1" t="s">
        <v>1143</v>
      </c>
      <c r="AF178" s="1"/>
      <c r="AG178" s="1"/>
      <c r="AH178" s="1"/>
      <c r="AI178" s="1"/>
      <c r="AJ178" s="1"/>
      <c r="AK178" s="1"/>
      <c r="AL178" s="1">
        <f>IFERROR(__xludf.DUMMYFUNCTION("IF(
  TRIM(AD178)="""",
  0,
  COUNTA(
    SPLIT(
      REGEXREPLACE(AD178,""\s*,\s*"","",""),
      "",""
    )
  )
)"),5.0)</f>
        <v>5</v>
      </c>
    </row>
    <row r="179">
      <c r="A179" s="1" t="s">
        <v>1424</v>
      </c>
      <c r="B179" s="1" t="s">
        <v>1424</v>
      </c>
      <c r="C179" s="1" t="s">
        <v>69</v>
      </c>
      <c r="D179" s="1" t="s">
        <v>70</v>
      </c>
      <c r="E179" s="4">
        <v>176100.0</v>
      </c>
      <c r="F179" s="4">
        <v>889.0</v>
      </c>
      <c r="G179" s="4">
        <v>777.0</v>
      </c>
      <c r="H179" s="7" t="s">
        <v>71</v>
      </c>
      <c r="I179" s="1" t="s">
        <v>1426</v>
      </c>
      <c r="J179" s="1"/>
      <c r="K179" s="9">
        <v>45391.00094907408</v>
      </c>
      <c r="L179" s="4">
        <v>1.712620882E9</v>
      </c>
      <c r="M179" s="1" t="s">
        <v>47</v>
      </c>
      <c r="N179" s="1" t="s">
        <v>47</v>
      </c>
      <c r="O179" s="1" t="s">
        <v>47</v>
      </c>
      <c r="P179" s="1" t="s">
        <v>47</v>
      </c>
      <c r="Q179" s="1" t="s">
        <v>47</v>
      </c>
      <c r="R179" s="1" t="s">
        <v>48</v>
      </c>
      <c r="S179" s="1" t="s">
        <v>1427</v>
      </c>
      <c r="T179" s="7" t="s">
        <v>3188</v>
      </c>
      <c r="U179" s="7" t="s">
        <v>1787</v>
      </c>
      <c r="V179" s="1" t="s">
        <v>70</v>
      </c>
      <c r="W179" s="7" t="s">
        <v>3193</v>
      </c>
      <c r="X179" s="7" t="s">
        <v>1434</v>
      </c>
      <c r="Y179" s="1"/>
      <c r="Z179" s="4">
        <v>35600.0</v>
      </c>
      <c r="AA179" s="4">
        <v>897.0</v>
      </c>
      <c r="AB179" s="4">
        <v>5530.0</v>
      </c>
      <c r="AC179" s="4">
        <v>330700.0</v>
      </c>
      <c r="AD179" s="1" t="s">
        <v>1436</v>
      </c>
      <c r="AE179" s="1" t="s">
        <v>1436</v>
      </c>
      <c r="AF179" s="1"/>
      <c r="AG179" s="1"/>
      <c r="AH179" s="1" t="s">
        <v>144</v>
      </c>
      <c r="AI179" s="1"/>
      <c r="AJ179" s="1"/>
      <c r="AK179" s="1"/>
      <c r="AL179" s="1">
        <f>IFERROR(__xludf.DUMMYFUNCTION("IF(
  TRIM(AD179)="""",
  0,
  COUNTA(
    SPLIT(
      REGEXREPLACE(AD179,""\s*,\s*"","",""),
      "",""
    )
  )
)"),5.0)</f>
        <v>5</v>
      </c>
    </row>
    <row r="180">
      <c r="A180" s="1" t="s">
        <v>1454</v>
      </c>
      <c r="B180" s="1" t="s">
        <v>1454</v>
      </c>
      <c r="C180" s="1" t="s">
        <v>1455</v>
      </c>
      <c r="D180" s="1" t="s">
        <v>1456</v>
      </c>
      <c r="E180" s="4">
        <v>104100.0</v>
      </c>
      <c r="F180" s="4">
        <v>119.0</v>
      </c>
      <c r="G180" s="4">
        <v>341.0</v>
      </c>
      <c r="H180" s="7" t="s">
        <v>3200</v>
      </c>
      <c r="I180" s="1" t="s">
        <v>1459</v>
      </c>
      <c r="J180" s="1"/>
      <c r="K180" s="9">
        <v>45644.92574074074</v>
      </c>
      <c r="L180" s="4">
        <v>1.734559984E9</v>
      </c>
      <c r="M180" s="1" t="s">
        <v>47</v>
      </c>
      <c r="N180" s="1" t="s">
        <v>47</v>
      </c>
      <c r="O180" s="1" t="s">
        <v>47</v>
      </c>
      <c r="P180" s="1" t="s">
        <v>47</v>
      </c>
      <c r="Q180" s="1" t="s">
        <v>47</v>
      </c>
      <c r="R180" s="1" t="s">
        <v>1460</v>
      </c>
      <c r="S180" s="1" t="s">
        <v>1461</v>
      </c>
      <c r="T180" s="7" t="s">
        <v>1462</v>
      </c>
      <c r="U180" s="7" t="s">
        <v>1464</v>
      </c>
      <c r="V180" s="1" t="s">
        <v>1468</v>
      </c>
      <c r="W180" s="7" t="s">
        <v>3202</v>
      </c>
      <c r="X180" s="7" t="s">
        <v>1471</v>
      </c>
      <c r="Y180" s="1"/>
      <c r="Z180" s="4">
        <v>34800.0</v>
      </c>
      <c r="AA180" s="4">
        <v>2229.0</v>
      </c>
      <c r="AB180" s="4">
        <v>5274.0</v>
      </c>
      <c r="AC180" s="4">
        <v>1200000.0</v>
      </c>
      <c r="AD180" s="1" t="s">
        <v>1472</v>
      </c>
      <c r="AE180" s="1" t="s">
        <v>1472</v>
      </c>
      <c r="AF180" s="1"/>
      <c r="AG180" s="1"/>
      <c r="AH180" s="1"/>
      <c r="AI180" s="1"/>
      <c r="AJ180" s="1"/>
      <c r="AK180" s="1"/>
      <c r="AL180" s="1">
        <f>IFERROR(__xludf.DUMMYFUNCTION("IF(
  TRIM(AD180)="""",
  0,
  COUNTA(
    SPLIT(
      REGEXREPLACE(AD180,""\s*,\s*"","",""),
      "",""
    )
  )
)"),5.0)</f>
        <v>5</v>
      </c>
    </row>
    <row r="181">
      <c r="A181" s="1" t="s">
        <v>1617</v>
      </c>
      <c r="B181" s="1" t="s">
        <v>1617</v>
      </c>
      <c r="C181" s="1" t="s">
        <v>123</v>
      </c>
      <c r="D181" s="1" t="s">
        <v>124</v>
      </c>
      <c r="E181" s="4">
        <v>254700.0</v>
      </c>
      <c r="F181" s="4">
        <v>364.0</v>
      </c>
      <c r="G181" s="4">
        <v>684.0</v>
      </c>
      <c r="H181" s="7" t="s">
        <v>3205</v>
      </c>
      <c r="I181" s="1" t="s">
        <v>1624</v>
      </c>
      <c r="J181" s="1"/>
      <c r="K181" s="9">
        <v>45961.50927083333</v>
      </c>
      <c r="L181" s="4">
        <v>1.761912801E9</v>
      </c>
      <c r="M181" s="1" t="s">
        <v>47</v>
      </c>
      <c r="N181" s="1" t="s">
        <v>47</v>
      </c>
      <c r="O181" s="1" t="s">
        <v>47</v>
      </c>
      <c r="P181" s="1" t="s">
        <v>47</v>
      </c>
      <c r="Q181" s="1" t="s">
        <v>47</v>
      </c>
      <c r="R181" s="1" t="s">
        <v>48</v>
      </c>
      <c r="S181" s="1" t="s">
        <v>1625</v>
      </c>
      <c r="T181" s="7" t="s">
        <v>3207</v>
      </c>
      <c r="U181" s="7" t="s">
        <v>3208</v>
      </c>
      <c r="V181" s="1" t="s">
        <v>124</v>
      </c>
      <c r="W181" s="7" t="s">
        <v>3214</v>
      </c>
      <c r="X181" s="7" t="s">
        <v>1637</v>
      </c>
      <c r="Y181" s="1"/>
      <c r="Z181" s="4">
        <v>32300.0</v>
      </c>
      <c r="AA181" s="4">
        <v>8051.0</v>
      </c>
      <c r="AB181" s="4">
        <v>4229.0</v>
      </c>
      <c r="AC181" s="4">
        <v>1100000.0</v>
      </c>
      <c r="AD181" s="1" t="s">
        <v>1638</v>
      </c>
      <c r="AE181" s="1" t="s">
        <v>1638</v>
      </c>
      <c r="AF181" s="1"/>
      <c r="AG181" s="1"/>
      <c r="AH181" s="1"/>
      <c r="AI181" s="1"/>
      <c r="AJ181" s="1"/>
      <c r="AK181" s="1"/>
      <c r="AL181" s="1">
        <f>IFERROR(__xludf.DUMMYFUNCTION("IF(
  TRIM(AD181)="""",
  0,
  COUNTA(
    SPLIT(
      REGEXREPLACE(AD181,""\s*,\s*"","",""),
      "",""
    )
  )
)"),5.0)</f>
        <v>5</v>
      </c>
    </row>
    <row r="182">
      <c r="A182" s="1" t="s">
        <v>1693</v>
      </c>
      <c r="B182" s="1" t="s">
        <v>1693</v>
      </c>
      <c r="C182" s="1" t="s">
        <v>276</v>
      </c>
      <c r="D182" s="1" t="s">
        <v>277</v>
      </c>
      <c r="E182" s="4">
        <v>345000.0</v>
      </c>
      <c r="F182" s="4">
        <v>344.0</v>
      </c>
      <c r="G182" s="4">
        <v>493.0</v>
      </c>
      <c r="H182" s="7" t="s">
        <v>3050</v>
      </c>
      <c r="I182" s="1" t="s">
        <v>1066</v>
      </c>
      <c r="J182" s="1" t="s">
        <v>1694</v>
      </c>
      <c r="K182" s="9">
        <v>45936.07787037037</v>
      </c>
      <c r="L182" s="4">
        <v>1.759715528E9</v>
      </c>
      <c r="M182" s="1" t="s">
        <v>47</v>
      </c>
      <c r="N182" s="1" t="s">
        <v>47</v>
      </c>
      <c r="O182" s="1" t="s">
        <v>47</v>
      </c>
      <c r="P182" s="1" t="s">
        <v>47</v>
      </c>
      <c r="Q182" s="1" t="s">
        <v>47</v>
      </c>
      <c r="R182" s="1" t="s">
        <v>48</v>
      </c>
      <c r="S182" s="1" t="s">
        <v>1696</v>
      </c>
      <c r="T182" s="7" t="s">
        <v>3220</v>
      </c>
      <c r="U182" s="7" t="s">
        <v>3057</v>
      </c>
      <c r="V182" s="1" t="s">
        <v>277</v>
      </c>
      <c r="W182" s="7" t="s">
        <v>3229</v>
      </c>
      <c r="X182" s="7" t="s">
        <v>1704</v>
      </c>
      <c r="Y182" s="1"/>
      <c r="Z182" s="4">
        <v>26800.0</v>
      </c>
      <c r="AA182" s="4">
        <v>517.0</v>
      </c>
      <c r="AB182" s="4">
        <v>12600.0</v>
      </c>
      <c r="AC182" s="4">
        <v>378200.0</v>
      </c>
      <c r="AD182" s="1" t="s">
        <v>1077</v>
      </c>
      <c r="AE182" s="1" t="s">
        <v>1077</v>
      </c>
      <c r="AF182" s="1"/>
      <c r="AG182" s="1"/>
      <c r="AH182" s="1"/>
      <c r="AI182" s="1"/>
      <c r="AJ182" s="1"/>
      <c r="AK182" s="1"/>
      <c r="AL182" s="1">
        <f>IFERROR(__xludf.DUMMYFUNCTION("IF(
  TRIM(AD182)="""",
  0,
  COUNTA(
    SPLIT(
      REGEXREPLACE(AD182,""\s*,\s*"","",""),
      "",""
    )
  )
)"),5.0)</f>
        <v>5</v>
      </c>
    </row>
    <row r="183">
      <c r="A183" s="1" t="s">
        <v>2009</v>
      </c>
      <c r="B183" s="1" t="s">
        <v>2009</v>
      </c>
      <c r="C183" s="1" t="s">
        <v>2010</v>
      </c>
      <c r="D183" s="1" t="s">
        <v>2011</v>
      </c>
      <c r="E183" s="4">
        <v>163300.0</v>
      </c>
      <c r="F183" s="4">
        <v>6865.0</v>
      </c>
      <c r="G183" s="4">
        <v>1522.0</v>
      </c>
      <c r="H183" s="7" t="s">
        <v>3234</v>
      </c>
      <c r="I183" s="1" t="s">
        <v>2019</v>
      </c>
      <c r="J183" s="1" t="s">
        <v>2020</v>
      </c>
      <c r="K183" s="9">
        <v>45534.90957175926</v>
      </c>
      <c r="L183" s="4">
        <v>1.725054587E9</v>
      </c>
      <c r="M183" s="1" t="s">
        <v>47</v>
      </c>
      <c r="N183" s="1" t="s">
        <v>47</v>
      </c>
      <c r="O183" s="1" t="s">
        <v>47</v>
      </c>
      <c r="P183" s="1" t="s">
        <v>47</v>
      </c>
      <c r="Q183" s="1" t="s">
        <v>47</v>
      </c>
      <c r="R183" s="1" t="s">
        <v>48</v>
      </c>
      <c r="S183" s="1" t="s">
        <v>2021</v>
      </c>
      <c r="T183" s="7" t="s">
        <v>3237</v>
      </c>
      <c r="U183" s="7" t="s">
        <v>3239</v>
      </c>
      <c r="V183" s="1" t="s">
        <v>2011</v>
      </c>
      <c r="W183" s="7" t="s">
        <v>3241</v>
      </c>
      <c r="X183" s="7" t="s">
        <v>2031</v>
      </c>
      <c r="Y183" s="1"/>
      <c r="Z183" s="4">
        <v>17700.0</v>
      </c>
      <c r="AA183" s="4">
        <v>748.0</v>
      </c>
      <c r="AB183" s="4">
        <v>3514.0</v>
      </c>
      <c r="AC183" s="4">
        <v>219600.0</v>
      </c>
      <c r="AD183" s="1" t="s">
        <v>2032</v>
      </c>
      <c r="AE183" s="1" t="s">
        <v>2032</v>
      </c>
      <c r="AF183" s="1"/>
      <c r="AG183" s="1"/>
      <c r="AH183" s="1" t="s">
        <v>121</v>
      </c>
      <c r="AI183" s="1"/>
      <c r="AJ183" s="1"/>
      <c r="AK183" s="1"/>
      <c r="AL183" s="1">
        <f>IFERROR(__xludf.DUMMYFUNCTION("IF(
  TRIM(AD183)="""",
  0,
  COUNTA(
    SPLIT(
      REGEXREPLACE(AD183,""\s*,\s*"","",""),
      "",""
    )
  )
)"),5.0)</f>
        <v>5</v>
      </c>
    </row>
    <row r="184">
      <c r="A184" s="1" t="s">
        <v>2164</v>
      </c>
      <c r="B184" s="1" t="s">
        <v>2164</v>
      </c>
      <c r="C184" s="1" t="s">
        <v>2165</v>
      </c>
      <c r="D184" s="1" t="s">
        <v>2166</v>
      </c>
      <c r="E184" s="4">
        <v>2551.0</v>
      </c>
      <c r="F184" s="4">
        <v>38.0</v>
      </c>
      <c r="G184" s="4">
        <v>10.0</v>
      </c>
      <c r="H184" s="7" t="s">
        <v>3247</v>
      </c>
      <c r="I184" s="1" t="s">
        <v>2168</v>
      </c>
      <c r="J184" s="1" t="s">
        <v>2169</v>
      </c>
      <c r="K184" s="9">
        <v>45901.62548611111</v>
      </c>
      <c r="L184" s="4">
        <v>1.756738842E9</v>
      </c>
      <c r="M184" s="1" t="s">
        <v>47</v>
      </c>
      <c r="N184" s="1" t="s">
        <v>47</v>
      </c>
      <c r="O184" s="1" t="s">
        <v>47</v>
      </c>
      <c r="P184" s="1" t="s">
        <v>47</v>
      </c>
      <c r="Q184" s="1" t="s">
        <v>47</v>
      </c>
      <c r="R184" s="1" t="s">
        <v>48</v>
      </c>
      <c r="S184" s="1" t="s">
        <v>2170</v>
      </c>
      <c r="T184" s="7" t="s">
        <v>3249</v>
      </c>
      <c r="U184" s="7" t="s">
        <v>3251</v>
      </c>
      <c r="V184" s="1" t="s">
        <v>2166</v>
      </c>
      <c r="W184" s="7" t="s">
        <v>3254</v>
      </c>
      <c r="X184" s="7" t="s">
        <v>2176</v>
      </c>
      <c r="Y184" s="1"/>
      <c r="Z184" s="4">
        <v>15700.0</v>
      </c>
      <c r="AA184" s="4">
        <v>715.0</v>
      </c>
      <c r="AB184" s="4">
        <v>2426.0</v>
      </c>
      <c r="AC184" s="4">
        <v>246100.0</v>
      </c>
      <c r="AD184" s="1" t="s">
        <v>2177</v>
      </c>
      <c r="AE184" s="1" t="s">
        <v>2177</v>
      </c>
      <c r="AF184" s="1"/>
      <c r="AG184" s="1"/>
      <c r="AH184" s="1" t="s">
        <v>300</v>
      </c>
      <c r="AI184" s="1"/>
      <c r="AJ184" s="1"/>
      <c r="AK184" s="1"/>
      <c r="AL184" s="1">
        <f>IFERROR(__xludf.DUMMYFUNCTION("IF(
  TRIM(AD184)="""",
  0,
  COUNTA(
    SPLIT(
      REGEXREPLACE(AD184,""\s*,\s*"","",""),
      "",""
    )
  )
)"),5.0)</f>
        <v>5</v>
      </c>
    </row>
    <row r="185">
      <c r="A185" s="1" t="s">
        <v>2345</v>
      </c>
      <c r="B185" s="1" t="s">
        <v>2345</v>
      </c>
      <c r="C185" s="1" t="s">
        <v>69</v>
      </c>
      <c r="D185" s="1" t="s">
        <v>70</v>
      </c>
      <c r="E185" s="4">
        <v>176100.0</v>
      </c>
      <c r="F185" s="4">
        <v>889.0</v>
      </c>
      <c r="G185" s="4">
        <v>777.0</v>
      </c>
      <c r="H185" s="7" t="s">
        <v>330</v>
      </c>
      <c r="I185" s="1" t="s">
        <v>2346</v>
      </c>
      <c r="J185" s="1"/>
      <c r="K185" s="9">
        <v>45905.977106481485</v>
      </c>
      <c r="L185" s="4">
        <v>1.757114822E9</v>
      </c>
      <c r="M185" s="1" t="s">
        <v>47</v>
      </c>
      <c r="N185" s="1" t="s">
        <v>47</v>
      </c>
      <c r="O185" s="1" t="s">
        <v>47</v>
      </c>
      <c r="P185" s="1" t="s">
        <v>47</v>
      </c>
      <c r="Q185" s="1" t="s">
        <v>47</v>
      </c>
      <c r="R185" s="1" t="s">
        <v>48</v>
      </c>
      <c r="S185" s="1" t="s">
        <v>2347</v>
      </c>
      <c r="T185" s="7" t="s">
        <v>3256</v>
      </c>
      <c r="U185" s="7" t="s">
        <v>355</v>
      </c>
      <c r="V185" s="1" t="s">
        <v>70</v>
      </c>
      <c r="W185" s="7" t="s">
        <v>3261</v>
      </c>
      <c r="X185" s="7" t="s">
        <v>2352</v>
      </c>
      <c r="Y185" s="1"/>
      <c r="Z185" s="4">
        <v>13900.0</v>
      </c>
      <c r="AA185" s="4">
        <v>278.0</v>
      </c>
      <c r="AB185" s="4">
        <v>3053.0</v>
      </c>
      <c r="AC185" s="4">
        <v>120900.0</v>
      </c>
      <c r="AD185" s="1" t="s">
        <v>2353</v>
      </c>
      <c r="AE185" s="1" t="s">
        <v>2353</v>
      </c>
      <c r="AF185" s="1"/>
      <c r="AG185" s="1"/>
      <c r="AH185" s="1"/>
      <c r="AI185" s="1"/>
      <c r="AJ185" s="1"/>
      <c r="AK185" s="1"/>
      <c r="AL185" s="1">
        <f>IFERROR(__xludf.DUMMYFUNCTION("IF(
  TRIM(AD185)="""",
  0,
  COUNTA(
    SPLIT(
      REGEXREPLACE(AD185,""\s*,\s*"","",""),
      "",""
    )
  )
)"),5.0)</f>
        <v>5</v>
      </c>
    </row>
    <row r="186">
      <c r="A186" s="1" t="s">
        <v>2430</v>
      </c>
      <c r="B186" s="1" t="s">
        <v>2430</v>
      </c>
      <c r="C186" s="1" t="s">
        <v>2431</v>
      </c>
      <c r="D186" s="1" t="s">
        <v>2432</v>
      </c>
      <c r="E186" s="4">
        <v>374100.0</v>
      </c>
      <c r="F186" s="4">
        <v>580.0</v>
      </c>
      <c r="G186" s="4">
        <v>525.0</v>
      </c>
      <c r="H186" s="7" t="s">
        <v>3266</v>
      </c>
      <c r="I186" s="1" t="s">
        <v>2434</v>
      </c>
      <c r="J186" s="1"/>
      <c r="K186" s="9">
        <v>45918.98978009259</v>
      </c>
      <c r="L186" s="4">
        <v>1.758239117E9</v>
      </c>
      <c r="M186" s="1" t="s">
        <v>47</v>
      </c>
      <c r="N186" s="1" t="s">
        <v>47</v>
      </c>
      <c r="O186" s="1" t="s">
        <v>47</v>
      </c>
      <c r="P186" s="1" t="s">
        <v>47</v>
      </c>
      <c r="Q186" s="1" t="s">
        <v>47</v>
      </c>
      <c r="R186" s="1" t="s">
        <v>771</v>
      </c>
      <c r="S186" s="1" t="s">
        <v>772</v>
      </c>
      <c r="T186" s="7" t="s">
        <v>773</v>
      </c>
      <c r="U186" s="7" t="s">
        <v>778</v>
      </c>
      <c r="V186" s="1" t="s">
        <v>779</v>
      </c>
      <c r="W186" s="7" t="s">
        <v>3270</v>
      </c>
      <c r="X186" s="7" t="s">
        <v>2443</v>
      </c>
      <c r="Y186" s="1"/>
      <c r="Z186" s="4">
        <v>13200.0</v>
      </c>
      <c r="AA186" s="4">
        <v>257.0</v>
      </c>
      <c r="AB186" s="4">
        <v>6011.0</v>
      </c>
      <c r="AC186" s="4">
        <v>248100.0</v>
      </c>
      <c r="AD186" s="1" t="s">
        <v>2447</v>
      </c>
      <c r="AE186" s="1" t="s">
        <v>2447</v>
      </c>
      <c r="AF186" s="1"/>
      <c r="AG186" s="1"/>
      <c r="AH186" s="1"/>
      <c r="AI186" s="1"/>
      <c r="AJ186" s="1"/>
      <c r="AK186" s="1"/>
      <c r="AL186" s="1">
        <f>IFERROR(__xludf.DUMMYFUNCTION("IF(
  TRIM(AD186)="""",
  0,
  COUNTA(
    SPLIT(
      REGEXREPLACE(AD186,""\s*,\s*"","",""),
      "",""
    )
  )
)"),5.0)</f>
        <v>5</v>
      </c>
    </row>
    <row r="187">
      <c r="A187" s="1" t="s">
        <v>3273</v>
      </c>
      <c r="B187" s="1" t="s">
        <v>3273</v>
      </c>
      <c r="C187" s="1" t="s">
        <v>2963</v>
      </c>
      <c r="D187" s="1" t="s">
        <v>2964</v>
      </c>
      <c r="E187" s="4">
        <v>646400.0</v>
      </c>
      <c r="F187" s="4">
        <v>2345.0</v>
      </c>
      <c r="G187" s="4">
        <v>934.0</v>
      </c>
      <c r="H187" s="7" t="s">
        <v>3274</v>
      </c>
      <c r="I187" s="1" t="s">
        <v>3275</v>
      </c>
      <c r="J187" s="1" t="s">
        <v>3276</v>
      </c>
      <c r="K187" s="9">
        <v>44951.59280092592</v>
      </c>
      <c r="L187" s="4">
        <v>1.674656018E9</v>
      </c>
      <c r="M187" s="1" t="s">
        <v>47</v>
      </c>
      <c r="N187" s="1" t="s">
        <v>47</v>
      </c>
      <c r="O187" s="1" t="s">
        <v>47</v>
      </c>
      <c r="P187" s="1" t="s">
        <v>47</v>
      </c>
      <c r="Q187" s="1" t="s">
        <v>47</v>
      </c>
      <c r="R187" s="1" t="s">
        <v>3277</v>
      </c>
      <c r="S187" s="1" t="s">
        <v>3279</v>
      </c>
      <c r="T187" s="7" t="s">
        <v>3280</v>
      </c>
      <c r="U187" s="7" t="s">
        <v>3284</v>
      </c>
      <c r="V187" s="1" t="s">
        <v>3285</v>
      </c>
      <c r="W187" s="7" t="s">
        <v>3286</v>
      </c>
      <c r="X187" s="7" t="s">
        <v>3295</v>
      </c>
      <c r="Y187" s="1"/>
      <c r="Z187" s="4">
        <v>12400.0</v>
      </c>
      <c r="AA187" s="4">
        <v>226.0</v>
      </c>
      <c r="AB187" s="4">
        <v>1587.0</v>
      </c>
      <c r="AC187" s="4">
        <v>294900.0</v>
      </c>
      <c r="AD187" s="1" t="s">
        <v>3299</v>
      </c>
      <c r="AE187" s="1" t="s">
        <v>3299</v>
      </c>
      <c r="AF187" s="1"/>
      <c r="AG187" s="1"/>
      <c r="AH187" s="1"/>
      <c r="AI187" s="1"/>
      <c r="AJ187" s="1"/>
      <c r="AK187" s="1"/>
      <c r="AL187" s="1">
        <f>IFERROR(__xludf.DUMMYFUNCTION("IF(
  TRIM(AD187)="""",
  0,
  COUNTA(
    SPLIT(
      REGEXREPLACE(AD187,""\s*,\s*"","",""),
      "",""
    )
  )
)"),5.0)</f>
        <v>5</v>
      </c>
    </row>
    <row r="188">
      <c r="A188" s="1" t="s">
        <v>3302</v>
      </c>
      <c r="B188" s="1" t="s">
        <v>3302</v>
      </c>
      <c r="C188" s="1" t="s">
        <v>69</v>
      </c>
      <c r="D188" s="1" t="s">
        <v>70</v>
      </c>
      <c r="E188" s="4">
        <v>176100.0</v>
      </c>
      <c r="F188" s="4">
        <v>889.0</v>
      </c>
      <c r="G188" s="4">
        <v>777.0</v>
      </c>
      <c r="H188" s="7" t="s">
        <v>71</v>
      </c>
      <c r="I188" s="1" t="s">
        <v>3303</v>
      </c>
      <c r="J188" s="1"/>
      <c r="K188" s="9">
        <v>45466.011400462965</v>
      </c>
      <c r="L188" s="4">
        <v>1.719101785E9</v>
      </c>
      <c r="M188" s="1" t="s">
        <v>47</v>
      </c>
      <c r="N188" s="1" t="s">
        <v>47</v>
      </c>
      <c r="O188" s="1" t="s">
        <v>47</v>
      </c>
      <c r="P188" s="1" t="s">
        <v>47</v>
      </c>
      <c r="Q188" s="1" t="s">
        <v>47</v>
      </c>
      <c r="R188" s="1" t="s">
        <v>3304</v>
      </c>
      <c r="S188" s="1" t="s">
        <v>3305</v>
      </c>
      <c r="T188" s="7" t="s">
        <v>3306</v>
      </c>
      <c r="U188" s="7" t="s">
        <v>3307</v>
      </c>
      <c r="V188" s="1" t="s">
        <v>3309</v>
      </c>
      <c r="W188" s="7" t="s">
        <v>3310</v>
      </c>
      <c r="X188" s="7" t="s">
        <v>3312</v>
      </c>
      <c r="Y188" s="1"/>
      <c r="Z188" s="4">
        <v>11400.0</v>
      </c>
      <c r="AA188" s="4">
        <v>164.0</v>
      </c>
      <c r="AB188" s="4">
        <v>1475.0</v>
      </c>
      <c r="AC188" s="4">
        <v>119300.0</v>
      </c>
      <c r="AD188" s="1" t="s">
        <v>3316</v>
      </c>
      <c r="AE188" s="1" t="s">
        <v>3316</v>
      </c>
      <c r="AF188" s="1"/>
      <c r="AG188" s="1"/>
      <c r="AH188" s="1"/>
      <c r="AI188" s="1"/>
      <c r="AJ188" s="1"/>
      <c r="AK188" s="1"/>
      <c r="AL188" s="1">
        <f>IFERROR(__xludf.DUMMYFUNCTION("IF(
  TRIM(AD188)="""",
  0,
  COUNTA(
    SPLIT(
      REGEXREPLACE(AD188,""\s*,\s*"","",""),
      "",""
    )
  )
)"),5.0)</f>
        <v>5</v>
      </c>
    </row>
    <row r="189">
      <c r="A189" s="1" t="s">
        <v>3317</v>
      </c>
      <c r="B189" s="1" t="s">
        <v>3317</v>
      </c>
      <c r="C189" s="1" t="s">
        <v>276</v>
      </c>
      <c r="D189" s="1" t="s">
        <v>277</v>
      </c>
      <c r="E189" s="4">
        <v>345000.0</v>
      </c>
      <c r="F189" s="4">
        <v>344.0</v>
      </c>
      <c r="G189" s="4">
        <v>493.0</v>
      </c>
      <c r="H189" s="7" t="s">
        <v>3050</v>
      </c>
      <c r="I189" s="1" t="s">
        <v>1066</v>
      </c>
      <c r="J189" s="1" t="s">
        <v>3318</v>
      </c>
      <c r="K189" s="9">
        <v>45987.006516203706</v>
      </c>
      <c r="L189" s="4">
        <v>1.764115763E9</v>
      </c>
      <c r="M189" s="1" t="s">
        <v>47</v>
      </c>
      <c r="N189" s="1" t="s">
        <v>47</v>
      </c>
      <c r="O189" s="1" t="s">
        <v>47</v>
      </c>
      <c r="P189" s="1" t="s">
        <v>47</v>
      </c>
      <c r="Q189" s="1" t="s">
        <v>47</v>
      </c>
      <c r="R189" s="1" t="s">
        <v>48</v>
      </c>
      <c r="S189" s="1" t="s">
        <v>3319</v>
      </c>
      <c r="T189" s="7" t="s">
        <v>3320</v>
      </c>
      <c r="U189" s="7" t="s">
        <v>3325</v>
      </c>
      <c r="V189" s="1" t="s">
        <v>277</v>
      </c>
      <c r="W189" s="7" t="s">
        <v>3327</v>
      </c>
      <c r="X189" s="7" t="s">
        <v>3329</v>
      </c>
      <c r="Y189" s="1"/>
      <c r="Z189" s="4">
        <v>11300.0</v>
      </c>
      <c r="AA189" s="4">
        <v>289.0</v>
      </c>
      <c r="AB189" s="4">
        <v>1539.0</v>
      </c>
      <c r="AC189" s="4">
        <v>190000.0</v>
      </c>
      <c r="AD189" s="1" t="s">
        <v>1077</v>
      </c>
      <c r="AE189" s="1" t="s">
        <v>1077</v>
      </c>
      <c r="AF189" s="1"/>
      <c r="AG189" s="1"/>
      <c r="AH189" s="1" t="s">
        <v>836</v>
      </c>
      <c r="AI189" s="1"/>
      <c r="AJ189" s="1"/>
      <c r="AK189" s="1"/>
      <c r="AL189" s="1">
        <f>IFERROR(__xludf.DUMMYFUNCTION("IF(
  TRIM(AD189)="""",
  0,
  COUNTA(
    SPLIT(
      REGEXREPLACE(AD189,""\s*,\s*"","",""),
      "",""
    )
  )
)"),5.0)</f>
        <v>5</v>
      </c>
    </row>
    <row r="190">
      <c r="A190" s="1" t="s">
        <v>2538</v>
      </c>
      <c r="B190" s="1" t="s">
        <v>2538</v>
      </c>
      <c r="C190" s="1" t="s">
        <v>409</v>
      </c>
      <c r="D190" s="1" t="s">
        <v>410</v>
      </c>
      <c r="E190" s="4">
        <v>200400.0</v>
      </c>
      <c r="F190" s="4">
        <v>752.0</v>
      </c>
      <c r="G190" s="4">
        <v>150.0</v>
      </c>
      <c r="H190" s="7" t="s">
        <v>3333</v>
      </c>
      <c r="I190" s="1" t="s">
        <v>2539</v>
      </c>
      <c r="J190" s="1" t="s">
        <v>2540</v>
      </c>
      <c r="K190" s="9">
        <v>45896.91615740741</v>
      </c>
      <c r="L190" s="4">
        <v>1.756331956E9</v>
      </c>
      <c r="M190" s="1" t="s">
        <v>47</v>
      </c>
      <c r="N190" s="1" t="s">
        <v>47</v>
      </c>
      <c r="O190" s="1" t="s">
        <v>47</v>
      </c>
      <c r="P190" s="1" t="s">
        <v>47</v>
      </c>
      <c r="Q190" s="1" t="s">
        <v>47</v>
      </c>
      <c r="R190" s="1" t="s">
        <v>2541</v>
      </c>
      <c r="S190" s="1" t="s">
        <v>2542</v>
      </c>
      <c r="T190" s="7" t="s">
        <v>2543</v>
      </c>
      <c r="U190" s="7" t="s">
        <v>2545</v>
      </c>
      <c r="V190" s="1" t="s">
        <v>2546</v>
      </c>
      <c r="W190" s="7" t="s">
        <v>3339</v>
      </c>
      <c r="X190" s="7" t="s">
        <v>2549</v>
      </c>
      <c r="Y190" s="1"/>
      <c r="Z190" s="4">
        <v>11100.0</v>
      </c>
      <c r="AA190" s="4">
        <v>171.0</v>
      </c>
      <c r="AB190" s="4">
        <v>4392.0</v>
      </c>
      <c r="AC190" s="4">
        <v>229000.0</v>
      </c>
      <c r="AD190" s="1" t="s">
        <v>2550</v>
      </c>
      <c r="AE190" s="1" t="s">
        <v>2550</v>
      </c>
      <c r="AF190" s="1"/>
      <c r="AG190" s="1"/>
      <c r="AH190" s="1" t="s">
        <v>103</v>
      </c>
      <c r="AI190" s="1"/>
      <c r="AJ190" s="1"/>
      <c r="AK190" s="1"/>
      <c r="AL190" s="1">
        <f>IFERROR(__xludf.DUMMYFUNCTION("IF(
  TRIM(AD190)="""",
  0,
  COUNTA(
    SPLIT(
      REGEXREPLACE(AD190,""\s*,\s*"","",""),
      "",""
    )
  )
)"),5.0)</f>
        <v>5</v>
      </c>
    </row>
    <row r="191">
      <c r="A191" s="1" t="s">
        <v>2565</v>
      </c>
      <c r="B191" s="1" t="s">
        <v>2565</v>
      </c>
      <c r="C191" s="1" t="s">
        <v>2566</v>
      </c>
      <c r="D191" s="1" t="s">
        <v>2567</v>
      </c>
      <c r="E191" s="4">
        <v>728.0</v>
      </c>
      <c r="F191" s="4">
        <v>54.0</v>
      </c>
      <c r="G191" s="4">
        <v>7.0</v>
      </c>
      <c r="H191" s="7" t="s">
        <v>3345</v>
      </c>
      <c r="I191" s="1" t="s">
        <v>2570</v>
      </c>
      <c r="J191" s="1"/>
      <c r="K191" s="9">
        <v>45153.595405092594</v>
      </c>
      <c r="L191" s="4">
        <v>1.692109043E9</v>
      </c>
      <c r="M191" s="1" t="s">
        <v>47</v>
      </c>
      <c r="N191" s="1" t="s">
        <v>47</v>
      </c>
      <c r="O191" s="1" t="s">
        <v>47</v>
      </c>
      <c r="P191" s="1" t="s">
        <v>47</v>
      </c>
      <c r="Q191" s="1" t="s">
        <v>47</v>
      </c>
      <c r="R191" s="1" t="s">
        <v>2571</v>
      </c>
      <c r="S191" s="1" t="s">
        <v>2572</v>
      </c>
      <c r="T191" s="7" t="s">
        <v>2573</v>
      </c>
      <c r="U191" s="7" t="s">
        <v>2575</v>
      </c>
      <c r="V191" s="1" t="s">
        <v>2576</v>
      </c>
      <c r="W191" s="7" t="s">
        <v>3348</v>
      </c>
      <c r="X191" s="7" t="s">
        <v>2579</v>
      </c>
      <c r="Y191" s="1"/>
      <c r="Z191" s="4">
        <v>10800.0</v>
      </c>
      <c r="AA191" s="4">
        <v>103.0</v>
      </c>
      <c r="AB191" s="4">
        <v>1210.0</v>
      </c>
      <c r="AC191" s="4">
        <v>189200.0</v>
      </c>
      <c r="AD191" s="1" t="s">
        <v>2580</v>
      </c>
      <c r="AE191" s="1" t="s">
        <v>2580</v>
      </c>
      <c r="AF191" s="1"/>
      <c r="AG191" s="1"/>
      <c r="AH191" s="1"/>
      <c r="AI191" s="1"/>
      <c r="AJ191" s="1"/>
      <c r="AK191" s="1"/>
      <c r="AL191" s="1">
        <f>IFERROR(__xludf.DUMMYFUNCTION("IF(
  TRIM(AD191)="""",
  0,
  COUNTA(
    SPLIT(
      REGEXREPLACE(AD191,""\s*,\s*"","",""),
      "",""
    )
  )
)"),5.0)</f>
        <v>5</v>
      </c>
    </row>
    <row r="192">
      <c r="A192" s="1" t="s">
        <v>3358</v>
      </c>
      <c r="B192" s="1" t="s">
        <v>3358</v>
      </c>
      <c r="C192" s="1" t="s">
        <v>276</v>
      </c>
      <c r="D192" s="1" t="s">
        <v>277</v>
      </c>
      <c r="E192" s="4">
        <v>345000.0</v>
      </c>
      <c r="F192" s="4">
        <v>344.0</v>
      </c>
      <c r="G192" s="4">
        <v>493.0</v>
      </c>
      <c r="H192" s="7" t="s">
        <v>3359</v>
      </c>
      <c r="I192" s="1" t="s">
        <v>1066</v>
      </c>
      <c r="J192" s="1" t="s">
        <v>3362</v>
      </c>
      <c r="K192" s="9">
        <v>45977.025358796294</v>
      </c>
      <c r="L192" s="4">
        <v>1.763253391E9</v>
      </c>
      <c r="M192" s="1" t="s">
        <v>47</v>
      </c>
      <c r="N192" s="1" t="s">
        <v>47</v>
      </c>
      <c r="O192" s="1" t="s">
        <v>47</v>
      </c>
      <c r="P192" s="1" t="s">
        <v>47</v>
      </c>
      <c r="Q192" s="1" t="s">
        <v>47</v>
      </c>
      <c r="R192" s="1" t="s">
        <v>48</v>
      </c>
      <c r="S192" s="1" t="s">
        <v>3363</v>
      </c>
      <c r="T192" s="7" t="s">
        <v>3364</v>
      </c>
      <c r="U192" s="7" t="s">
        <v>3325</v>
      </c>
      <c r="V192" s="1" t="s">
        <v>277</v>
      </c>
      <c r="W192" s="7" t="s">
        <v>3371</v>
      </c>
      <c r="X192" s="7" t="s">
        <v>3375</v>
      </c>
      <c r="Y192" s="1"/>
      <c r="Z192" s="4">
        <v>10200.0</v>
      </c>
      <c r="AA192" s="4">
        <v>90.0</v>
      </c>
      <c r="AB192" s="4">
        <v>2056.0</v>
      </c>
      <c r="AC192" s="4">
        <v>105000.0</v>
      </c>
      <c r="AD192" s="1" t="s">
        <v>1077</v>
      </c>
      <c r="AE192" s="1" t="s">
        <v>1077</v>
      </c>
      <c r="AF192" s="1"/>
      <c r="AG192" s="1"/>
      <c r="AH192" s="1"/>
      <c r="AI192" s="1"/>
      <c r="AJ192" s="1"/>
      <c r="AK192" s="1"/>
      <c r="AL192" s="1">
        <f>IFERROR(__xludf.DUMMYFUNCTION("IF(
  TRIM(AD192)="""",
  0,
  COUNTA(
    SPLIT(
      REGEXREPLACE(AD192,""\s*,\s*"","",""),
      "",""
    )
  )
)"),5.0)</f>
        <v>5</v>
      </c>
    </row>
    <row r="193">
      <c r="A193" s="1" t="s">
        <v>3376</v>
      </c>
      <c r="B193" s="1" t="s">
        <v>3376</v>
      </c>
      <c r="C193" s="1" t="s">
        <v>819</v>
      </c>
      <c r="D193" s="1" t="s">
        <v>820</v>
      </c>
      <c r="E193" s="4">
        <v>135300.0</v>
      </c>
      <c r="F193" s="4">
        <v>31900.0</v>
      </c>
      <c r="G193" s="4">
        <v>264.0</v>
      </c>
      <c r="H193" s="7" t="s">
        <v>3377</v>
      </c>
      <c r="I193" s="1" t="s">
        <v>3379</v>
      </c>
      <c r="J193" s="1"/>
      <c r="K193" s="9">
        <v>45974.37515046296</v>
      </c>
      <c r="L193" s="4">
        <v>1.763024413E9</v>
      </c>
      <c r="M193" s="1" t="s">
        <v>47</v>
      </c>
      <c r="N193" s="1" t="s">
        <v>47</v>
      </c>
      <c r="O193" s="1" t="s">
        <v>47</v>
      </c>
      <c r="P193" s="1" t="s">
        <v>47</v>
      </c>
      <c r="Q193" s="1" t="s">
        <v>47</v>
      </c>
      <c r="R193" s="1" t="s">
        <v>48</v>
      </c>
      <c r="S193" s="1" t="s">
        <v>3380</v>
      </c>
      <c r="T193" s="7" t="s">
        <v>3381</v>
      </c>
      <c r="U193" s="7" t="s">
        <v>3383</v>
      </c>
      <c r="V193" s="1" t="s">
        <v>820</v>
      </c>
      <c r="W193" s="7" t="s">
        <v>3384</v>
      </c>
      <c r="X193" s="7" t="s">
        <v>3391</v>
      </c>
      <c r="Y193" s="1"/>
      <c r="Z193" s="4">
        <v>8760.0</v>
      </c>
      <c r="AA193" s="4">
        <v>283.0</v>
      </c>
      <c r="AB193" s="4">
        <v>2721.0</v>
      </c>
      <c r="AC193" s="4">
        <v>117900.0</v>
      </c>
      <c r="AD193" s="1" t="s">
        <v>3392</v>
      </c>
      <c r="AE193" s="1" t="s">
        <v>3392</v>
      </c>
      <c r="AF193" s="1"/>
      <c r="AG193" s="1"/>
      <c r="AH193" s="1"/>
      <c r="AI193" s="1"/>
      <c r="AJ193" s="1"/>
      <c r="AK193" s="1"/>
      <c r="AL193" s="1">
        <f>IFERROR(__xludf.DUMMYFUNCTION("IF(
  TRIM(AD193)="""",
  0,
  COUNTA(
    SPLIT(
      REGEXREPLACE(AD193,""\s*,\s*"","",""),
      "",""
    )
  )
)"),5.0)</f>
        <v>5</v>
      </c>
    </row>
    <row r="194">
      <c r="A194" s="1" t="s">
        <v>3393</v>
      </c>
      <c r="B194" s="1" t="s">
        <v>3393</v>
      </c>
      <c r="C194" s="1" t="s">
        <v>3062</v>
      </c>
      <c r="D194" s="1" t="s">
        <v>3063</v>
      </c>
      <c r="E194" s="4">
        <v>216300.0</v>
      </c>
      <c r="F194" s="4">
        <v>3822.0</v>
      </c>
      <c r="G194" s="4">
        <v>551.0</v>
      </c>
      <c r="H194" s="7" t="s">
        <v>3394</v>
      </c>
      <c r="I194" s="1" t="s">
        <v>3395</v>
      </c>
      <c r="J194" s="1" t="s">
        <v>3396</v>
      </c>
      <c r="K194" s="9">
        <v>45946.0044212963</v>
      </c>
      <c r="L194" s="4">
        <v>1.760573182E9</v>
      </c>
      <c r="M194" s="1" t="s">
        <v>47</v>
      </c>
      <c r="N194" s="1" t="s">
        <v>47</v>
      </c>
      <c r="O194" s="1" t="s">
        <v>47</v>
      </c>
      <c r="P194" s="1" t="s">
        <v>47</v>
      </c>
      <c r="Q194" s="1" t="s">
        <v>47</v>
      </c>
      <c r="R194" s="1" t="s">
        <v>48</v>
      </c>
      <c r="S194" s="1" t="s">
        <v>3398</v>
      </c>
      <c r="T194" s="7" t="s">
        <v>3399</v>
      </c>
      <c r="U194" s="7" t="s">
        <v>3406</v>
      </c>
      <c r="V194" s="1" t="s">
        <v>3063</v>
      </c>
      <c r="W194" s="7" t="s">
        <v>3410</v>
      </c>
      <c r="X194" s="7" t="s">
        <v>3412</v>
      </c>
      <c r="Y194" s="1"/>
      <c r="Z194" s="4">
        <v>7594.0</v>
      </c>
      <c r="AA194" s="4">
        <v>142.0</v>
      </c>
      <c r="AB194" s="4">
        <v>1647.0</v>
      </c>
      <c r="AC194" s="4">
        <v>90300.0</v>
      </c>
      <c r="AD194" s="1" t="s">
        <v>3414</v>
      </c>
      <c r="AE194" s="1" t="s">
        <v>3414</v>
      </c>
      <c r="AF194" s="1"/>
      <c r="AG194" s="1"/>
      <c r="AH194" s="1" t="s">
        <v>300</v>
      </c>
      <c r="AI194" s="1"/>
      <c r="AJ194" s="1"/>
      <c r="AK194" s="1"/>
      <c r="AL194" s="1">
        <f>IFERROR(__xludf.DUMMYFUNCTION("IF(
  TRIM(AD194)="""",
  0,
  COUNTA(
    SPLIT(
      REGEXREPLACE(AD194,""\s*,\s*"","",""),
      "",""
    )
  )
)"),5.0)</f>
        <v>5</v>
      </c>
    </row>
    <row r="195">
      <c r="A195" s="1" t="s">
        <v>3415</v>
      </c>
      <c r="B195" s="1" t="s">
        <v>3415</v>
      </c>
      <c r="C195" s="1" t="s">
        <v>3416</v>
      </c>
      <c r="D195" s="1" t="s">
        <v>3417</v>
      </c>
      <c r="E195" s="4">
        <v>2687.0</v>
      </c>
      <c r="F195" s="4">
        <v>55.0</v>
      </c>
      <c r="G195" s="4">
        <v>217.0</v>
      </c>
      <c r="H195" s="7" t="s">
        <v>3418</v>
      </c>
      <c r="I195" s="1" t="s">
        <v>3419</v>
      </c>
      <c r="J195" s="1" t="s">
        <v>3420</v>
      </c>
      <c r="K195" s="9">
        <v>45932.96575231481</v>
      </c>
      <c r="L195" s="4">
        <v>1.759446641E9</v>
      </c>
      <c r="M195" s="1" t="s">
        <v>47</v>
      </c>
      <c r="N195" s="1" t="s">
        <v>47</v>
      </c>
      <c r="O195" s="1" t="s">
        <v>47</v>
      </c>
      <c r="P195" s="1" t="s">
        <v>47</v>
      </c>
      <c r="Q195" s="1" t="s">
        <v>47</v>
      </c>
      <c r="R195" s="1" t="s">
        <v>3421</v>
      </c>
      <c r="S195" s="1" t="s">
        <v>3422</v>
      </c>
      <c r="T195" s="7" t="s">
        <v>3423</v>
      </c>
      <c r="U195" s="7" t="s">
        <v>3427</v>
      </c>
      <c r="V195" s="1" t="s">
        <v>3431</v>
      </c>
      <c r="W195" s="7" t="s">
        <v>3432</v>
      </c>
      <c r="X195" s="7" t="s">
        <v>3434</v>
      </c>
      <c r="Y195" s="1"/>
      <c r="Z195" s="4">
        <v>7274.0</v>
      </c>
      <c r="AA195" s="4">
        <v>661.0</v>
      </c>
      <c r="AB195" s="4">
        <v>1935.0</v>
      </c>
      <c r="AC195" s="4">
        <v>182100.0</v>
      </c>
      <c r="AD195" s="1" t="s">
        <v>3435</v>
      </c>
      <c r="AE195" s="1" t="s">
        <v>3435</v>
      </c>
      <c r="AF195" s="1"/>
      <c r="AG195" s="1"/>
      <c r="AH195" s="1" t="s">
        <v>2014</v>
      </c>
      <c r="AI195" s="1"/>
      <c r="AJ195" s="1"/>
      <c r="AK195" s="1"/>
      <c r="AL195" s="1">
        <f>IFERROR(__xludf.DUMMYFUNCTION("IF(
  TRIM(AD195)="""",
  0,
  COUNTA(
    SPLIT(
      REGEXREPLACE(AD195,""\s*,\s*"","",""),
      "",""
    )
  )
)"),5.0)</f>
        <v>5</v>
      </c>
    </row>
    <row r="196">
      <c r="A196" s="1" t="s">
        <v>3019</v>
      </c>
      <c r="B196" s="1" t="s">
        <v>3019</v>
      </c>
      <c r="C196" s="1" t="s">
        <v>3020</v>
      </c>
      <c r="D196" s="1" t="s">
        <v>3021</v>
      </c>
      <c r="E196" s="4">
        <v>1126.0</v>
      </c>
      <c r="F196" s="4">
        <v>170.0</v>
      </c>
      <c r="G196" s="4">
        <v>25.0</v>
      </c>
      <c r="H196" s="7" t="s">
        <v>3436</v>
      </c>
      <c r="I196" s="1" t="s">
        <v>3027</v>
      </c>
      <c r="J196" s="1" t="s">
        <v>279</v>
      </c>
      <c r="K196" s="9">
        <v>45898.95820601852</v>
      </c>
      <c r="L196" s="4">
        <v>1.756508389E9</v>
      </c>
      <c r="M196" s="1" t="s">
        <v>47</v>
      </c>
      <c r="N196" s="1" t="s">
        <v>47</v>
      </c>
      <c r="O196" s="1" t="s">
        <v>47</v>
      </c>
      <c r="P196" s="1" t="s">
        <v>47</v>
      </c>
      <c r="Q196" s="1" t="s">
        <v>47</v>
      </c>
      <c r="R196" s="1" t="s">
        <v>48</v>
      </c>
      <c r="S196" s="1" t="s">
        <v>3028</v>
      </c>
      <c r="T196" s="7" t="s">
        <v>3440</v>
      </c>
      <c r="U196" s="7" t="s">
        <v>3443</v>
      </c>
      <c r="V196" s="1" t="s">
        <v>3021</v>
      </c>
      <c r="W196" s="7" t="s">
        <v>3445</v>
      </c>
      <c r="X196" s="7" t="s">
        <v>3036</v>
      </c>
      <c r="Y196" s="1"/>
      <c r="Z196" s="4">
        <v>7095.0</v>
      </c>
      <c r="AA196" s="4">
        <v>312.0</v>
      </c>
      <c r="AB196" s="4">
        <v>1025.0</v>
      </c>
      <c r="AC196" s="4">
        <v>110000.0</v>
      </c>
      <c r="AD196" s="1" t="s">
        <v>3037</v>
      </c>
      <c r="AE196" s="1" t="s">
        <v>3037</v>
      </c>
      <c r="AF196" s="1"/>
      <c r="AG196" s="1"/>
      <c r="AH196" s="1"/>
      <c r="AI196" s="1"/>
      <c r="AJ196" s="1"/>
      <c r="AK196" s="1"/>
      <c r="AL196" s="1">
        <f>IFERROR(__xludf.DUMMYFUNCTION("IF(
  TRIM(AD196)="""",
  0,
  COUNTA(
    SPLIT(
      REGEXREPLACE(AD196,""\s*,\s*"","",""),
      "",""
    )
  )
)"),5.0)</f>
        <v>5</v>
      </c>
    </row>
    <row r="197">
      <c r="A197" s="1" t="s">
        <v>3447</v>
      </c>
      <c r="B197" s="1" t="s">
        <v>3447</v>
      </c>
      <c r="C197" s="1" t="s">
        <v>276</v>
      </c>
      <c r="D197" s="1" t="s">
        <v>277</v>
      </c>
      <c r="E197" s="4">
        <v>345000.0</v>
      </c>
      <c r="F197" s="4">
        <v>344.0</v>
      </c>
      <c r="G197" s="4">
        <v>493.0</v>
      </c>
      <c r="H197" s="7" t="s">
        <v>3359</v>
      </c>
      <c r="I197" s="1" t="s">
        <v>1066</v>
      </c>
      <c r="J197" s="1" t="s">
        <v>3449</v>
      </c>
      <c r="K197" s="9">
        <v>45969.02385416667</v>
      </c>
      <c r="L197" s="4">
        <v>1.762562061E9</v>
      </c>
      <c r="M197" s="1" t="s">
        <v>47</v>
      </c>
      <c r="N197" s="1" t="s">
        <v>47</v>
      </c>
      <c r="O197" s="1" t="s">
        <v>47</v>
      </c>
      <c r="P197" s="1" t="s">
        <v>47</v>
      </c>
      <c r="Q197" s="1" t="s">
        <v>47</v>
      </c>
      <c r="R197" s="1" t="s">
        <v>48</v>
      </c>
      <c r="S197" s="1" t="s">
        <v>3450</v>
      </c>
      <c r="T197" s="7" t="s">
        <v>3451</v>
      </c>
      <c r="U197" s="7" t="s">
        <v>3325</v>
      </c>
      <c r="V197" s="1" t="s">
        <v>277</v>
      </c>
      <c r="W197" s="7" t="s">
        <v>3453</v>
      </c>
      <c r="X197" s="7" t="s">
        <v>3455</v>
      </c>
      <c r="Y197" s="1"/>
      <c r="Z197" s="4">
        <v>6065.0</v>
      </c>
      <c r="AA197" s="4">
        <v>105.0</v>
      </c>
      <c r="AB197" s="4">
        <v>702.0</v>
      </c>
      <c r="AC197" s="4">
        <v>69700.0</v>
      </c>
      <c r="AD197" s="1" t="s">
        <v>1077</v>
      </c>
      <c r="AE197" s="1" t="s">
        <v>1077</v>
      </c>
      <c r="AF197" s="1"/>
      <c r="AG197" s="1"/>
      <c r="AH197" s="1"/>
      <c r="AI197" s="1"/>
      <c r="AJ197" s="1"/>
      <c r="AK197" s="1"/>
      <c r="AL197" s="1">
        <f>IFERROR(__xludf.DUMMYFUNCTION("IF(
  TRIM(AD197)="""",
  0,
  COUNTA(
    SPLIT(
      REGEXREPLACE(AD197,""\s*,\s*"","",""),
      "",""
    )
  )
)"),5.0)</f>
        <v>5</v>
      </c>
    </row>
    <row r="198">
      <c r="A198" s="1" t="s">
        <v>3084</v>
      </c>
      <c r="B198" s="1" t="s">
        <v>3084</v>
      </c>
      <c r="C198" s="1" t="s">
        <v>3085</v>
      </c>
      <c r="D198" s="1" t="s">
        <v>3086</v>
      </c>
      <c r="E198" s="4">
        <v>1253.0</v>
      </c>
      <c r="F198" s="4">
        <v>157.0</v>
      </c>
      <c r="G198" s="4">
        <v>81.0</v>
      </c>
      <c r="H198" s="7" t="s">
        <v>3456</v>
      </c>
      <c r="I198" s="1" t="s">
        <v>3089</v>
      </c>
      <c r="J198" s="1"/>
      <c r="K198" s="9">
        <v>45964.74748842593</v>
      </c>
      <c r="L198" s="4">
        <v>1.762192583E9</v>
      </c>
      <c r="M198" s="1" t="s">
        <v>47</v>
      </c>
      <c r="N198" s="1" t="s">
        <v>47</v>
      </c>
      <c r="O198" s="1" t="s">
        <v>47</v>
      </c>
      <c r="P198" s="1" t="s">
        <v>47</v>
      </c>
      <c r="Q198" s="1" t="s">
        <v>47</v>
      </c>
      <c r="R198" s="1" t="s">
        <v>48</v>
      </c>
      <c r="S198" s="1" t="s">
        <v>3090</v>
      </c>
      <c r="T198" s="7" t="s">
        <v>3458</v>
      </c>
      <c r="U198" s="7" t="s">
        <v>3460</v>
      </c>
      <c r="V198" s="1" t="s">
        <v>3086</v>
      </c>
      <c r="W198" s="7" t="s">
        <v>3462</v>
      </c>
      <c r="X198" s="7" t="s">
        <v>3100</v>
      </c>
      <c r="Y198" s="1"/>
      <c r="Z198" s="4">
        <v>5889.0</v>
      </c>
      <c r="AA198" s="4">
        <v>261.0</v>
      </c>
      <c r="AB198" s="4">
        <v>684.0</v>
      </c>
      <c r="AC198" s="4">
        <v>70800.0</v>
      </c>
      <c r="AD198" s="1" t="s">
        <v>3101</v>
      </c>
      <c r="AE198" s="1" t="s">
        <v>3101</v>
      </c>
      <c r="AF198" s="1"/>
      <c r="AG198" s="1"/>
      <c r="AH198" s="1"/>
      <c r="AI198" s="1"/>
      <c r="AJ198" s="1"/>
      <c r="AK198" s="1"/>
      <c r="AL198" s="1">
        <f>IFERROR(__xludf.DUMMYFUNCTION("IF(
  TRIM(AD198)="""",
  0,
  COUNTA(
    SPLIT(
      REGEXREPLACE(AD198,""\s*,\s*"","",""),
      "",""
    )
  )
)"),5.0)</f>
        <v>5</v>
      </c>
    </row>
    <row r="199">
      <c r="A199" s="1" t="s">
        <v>3464</v>
      </c>
      <c r="B199" s="1" t="s">
        <v>3464</v>
      </c>
      <c r="C199" s="1" t="s">
        <v>3465</v>
      </c>
      <c r="D199" s="1" t="s">
        <v>3465</v>
      </c>
      <c r="E199" s="4">
        <v>4643.0</v>
      </c>
      <c r="F199" s="4">
        <v>20.0</v>
      </c>
      <c r="G199" s="4">
        <v>30.0</v>
      </c>
      <c r="H199" s="7" t="s">
        <v>3466</v>
      </c>
      <c r="I199" s="1" t="s">
        <v>3469</v>
      </c>
      <c r="J199" s="1"/>
      <c r="K199" s="9">
        <v>45854.83372685185</v>
      </c>
      <c r="L199" s="4">
        <v>1.752696034E9</v>
      </c>
      <c r="M199" s="1" t="s">
        <v>47</v>
      </c>
      <c r="N199" s="1" t="s">
        <v>47</v>
      </c>
      <c r="O199" s="1" t="s">
        <v>47</v>
      </c>
      <c r="P199" s="1" t="s">
        <v>47</v>
      </c>
      <c r="Q199" s="1" t="s">
        <v>47</v>
      </c>
      <c r="R199" s="1" t="s">
        <v>3470</v>
      </c>
      <c r="S199" s="1" t="s">
        <v>3471</v>
      </c>
      <c r="T199" s="7" t="s">
        <v>3472</v>
      </c>
      <c r="U199" s="7" t="s">
        <v>3474</v>
      </c>
      <c r="V199" s="1" t="s">
        <v>3477</v>
      </c>
      <c r="W199" s="7" t="s">
        <v>3478</v>
      </c>
      <c r="X199" s="7" t="s">
        <v>3479</v>
      </c>
      <c r="Y199" s="1"/>
      <c r="Z199" s="4">
        <v>5560.0</v>
      </c>
      <c r="AA199" s="4">
        <v>107.0</v>
      </c>
      <c r="AB199" s="4">
        <v>994.0</v>
      </c>
      <c r="AC199" s="4">
        <v>435700.0</v>
      </c>
      <c r="AD199" s="1" t="s">
        <v>3481</v>
      </c>
      <c r="AE199" s="1" t="s">
        <v>3481</v>
      </c>
      <c r="AF199" s="1"/>
      <c r="AG199" s="1"/>
      <c r="AH199" s="1" t="s">
        <v>97</v>
      </c>
      <c r="AI199" s="1"/>
      <c r="AJ199" s="1"/>
      <c r="AK199" s="1"/>
      <c r="AL199" s="1">
        <f>IFERROR(__xludf.DUMMYFUNCTION("IF(
  TRIM(AD199)="""",
  0,
  COUNTA(
    SPLIT(
      REGEXREPLACE(AD199,""\s*,\s*"","",""),
      "",""
    )
  )
)"),5.0)</f>
        <v>5</v>
      </c>
    </row>
    <row r="200">
      <c r="A200" s="1" t="s">
        <v>3314</v>
      </c>
      <c r="B200" s="1" t="s">
        <v>3314</v>
      </c>
      <c r="C200" s="1" t="s">
        <v>3062</v>
      </c>
      <c r="D200" s="1" t="s">
        <v>3063</v>
      </c>
      <c r="E200" s="4">
        <v>216300.0</v>
      </c>
      <c r="F200" s="4">
        <v>3822.0</v>
      </c>
      <c r="G200" s="4">
        <v>551.0</v>
      </c>
      <c r="H200" s="7" t="s">
        <v>3394</v>
      </c>
      <c r="I200" s="1" t="s">
        <v>3321</v>
      </c>
      <c r="J200" s="1" t="s">
        <v>3322</v>
      </c>
      <c r="K200" s="9">
        <v>45967.00971064815</v>
      </c>
      <c r="L200" s="4">
        <v>1.762388039E9</v>
      </c>
      <c r="M200" s="1" t="s">
        <v>47</v>
      </c>
      <c r="N200" s="1" t="s">
        <v>47</v>
      </c>
      <c r="O200" s="1" t="s">
        <v>47</v>
      </c>
      <c r="P200" s="1" t="s">
        <v>47</v>
      </c>
      <c r="Q200" s="1" t="s">
        <v>47</v>
      </c>
      <c r="R200" s="1" t="s">
        <v>48</v>
      </c>
      <c r="S200" s="1" t="s">
        <v>3323</v>
      </c>
      <c r="T200" s="7" t="s">
        <v>3482</v>
      </c>
      <c r="U200" s="7" t="s">
        <v>3484</v>
      </c>
      <c r="V200" s="1" t="s">
        <v>3063</v>
      </c>
      <c r="W200" s="7" t="s">
        <v>3485</v>
      </c>
      <c r="X200" s="7" t="s">
        <v>3330</v>
      </c>
      <c r="Y200" s="1"/>
      <c r="Z200" s="4">
        <v>5168.0</v>
      </c>
      <c r="AA200" s="4">
        <v>176.0</v>
      </c>
      <c r="AB200" s="4">
        <v>1136.0</v>
      </c>
      <c r="AC200" s="4">
        <v>64300.0</v>
      </c>
      <c r="AD200" s="1" t="s">
        <v>3331</v>
      </c>
      <c r="AE200" s="1" t="s">
        <v>3331</v>
      </c>
      <c r="AF200" s="1"/>
      <c r="AG200" s="1"/>
      <c r="AH200" s="1"/>
      <c r="AI200" s="1"/>
      <c r="AJ200" s="1"/>
      <c r="AK200" s="1"/>
      <c r="AL200" s="1">
        <f>IFERROR(__xludf.DUMMYFUNCTION("IF(
  TRIM(AD200)="""",
  0,
  COUNTA(
    SPLIT(
      REGEXREPLACE(AD200,""\s*,\s*"","",""),
      "",""
    )
  )
)"),5.0)</f>
        <v>5</v>
      </c>
    </row>
    <row r="201">
      <c r="A201" s="1" t="s">
        <v>3492</v>
      </c>
      <c r="B201" s="1" t="s">
        <v>3492</v>
      </c>
      <c r="C201" s="1" t="s">
        <v>3493</v>
      </c>
      <c r="D201" s="1" t="s">
        <v>3494</v>
      </c>
      <c r="E201" s="4">
        <v>1005.0</v>
      </c>
      <c r="F201" s="4">
        <v>77.0</v>
      </c>
      <c r="G201" s="4">
        <v>9.0</v>
      </c>
      <c r="H201" s="7" t="s">
        <v>3495</v>
      </c>
      <c r="I201" s="1" t="s">
        <v>3496</v>
      </c>
      <c r="J201" s="1"/>
      <c r="K201" s="9">
        <v>45949.907118055555</v>
      </c>
      <c r="L201" s="4">
        <v>1.760910375E9</v>
      </c>
      <c r="M201" s="1" t="s">
        <v>47</v>
      </c>
      <c r="N201" s="1" t="s">
        <v>47</v>
      </c>
      <c r="O201" s="1" t="s">
        <v>47</v>
      </c>
      <c r="P201" s="1" t="s">
        <v>47</v>
      </c>
      <c r="Q201" s="1" t="s">
        <v>47</v>
      </c>
      <c r="R201" s="1" t="s">
        <v>48</v>
      </c>
      <c r="S201" s="1" t="s">
        <v>3498</v>
      </c>
      <c r="T201" s="7" t="s">
        <v>3499</v>
      </c>
      <c r="U201" s="7" t="s">
        <v>3500</v>
      </c>
      <c r="V201" s="1" t="s">
        <v>3494</v>
      </c>
      <c r="W201" s="7" t="s">
        <v>3502</v>
      </c>
      <c r="X201" s="7" t="s">
        <v>3508</v>
      </c>
      <c r="Y201" s="1"/>
      <c r="Z201" s="4">
        <v>4905.0</v>
      </c>
      <c r="AA201" s="4">
        <v>168.0</v>
      </c>
      <c r="AB201" s="4">
        <v>612.0</v>
      </c>
      <c r="AC201" s="4">
        <v>58000.0</v>
      </c>
      <c r="AD201" s="1" t="s">
        <v>3509</v>
      </c>
      <c r="AE201" s="1" t="s">
        <v>3509</v>
      </c>
      <c r="AF201" s="1"/>
      <c r="AG201" s="1"/>
      <c r="AH201" s="1"/>
      <c r="AI201" s="1"/>
      <c r="AJ201" s="1"/>
      <c r="AK201" s="1"/>
      <c r="AL201" s="1">
        <f>IFERROR(__xludf.DUMMYFUNCTION("IF(
  TRIM(AD201)="""",
  0,
  COUNTA(
    SPLIT(
      REGEXREPLACE(AD201,""\s*,\s*"","",""),
      "",""
    )
  )
)"),5.0)</f>
        <v>5</v>
      </c>
    </row>
    <row r="202">
      <c r="A202" s="1" t="s">
        <v>3196</v>
      </c>
      <c r="B202" s="1" t="s">
        <v>3196</v>
      </c>
      <c r="C202" s="1" t="s">
        <v>1124</v>
      </c>
      <c r="D202" s="1" t="s">
        <v>1125</v>
      </c>
      <c r="E202" s="4">
        <v>732500.0</v>
      </c>
      <c r="F202" s="4">
        <v>3309.0</v>
      </c>
      <c r="G202" s="4">
        <v>1366.0</v>
      </c>
      <c r="H202" s="7" t="s">
        <v>3129</v>
      </c>
      <c r="I202" s="1" t="s">
        <v>3197</v>
      </c>
      <c r="J202" s="1"/>
      <c r="K202" s="9">
        <v>45084.629537037035</v>
      </c>
      <c r="L202" s="4">
        <v>1.686150392E9</v>
      </c>
      <c r="M202" s="1" t="s">
        <v>47</v>
      </c>
      <c r="N202" s="1" t="s">
        <v>47</v>
      </c>
      <c r="O202" s="1" t="s">
        <v>47</v>
      </c>
      <c r="P202" s="1" t="s">
        <v>47</v>
      </c>
      <c r="Q202" s="1" t="s">
        <v>47</v>
      </c>
      <c r="R202" s="1" t="s">
        <v>48</v>
      </c>
      <c r="S202" s="1" t="s">
        <v>3198</v>
      </c>
      <c r="T202" s="7" t="s">
        <v>3512</v>
      </c>
      <c r="U202" s="7" t="s">
        <v>3137</v>
      </c>
      <c r="V202" s="1" t="s">
        <v>1125</v>
      </c>
      <c r="W202" s="7" t="s">
        <v>3517</v>
      </c>
      <c r="X202" s="7" t="s">
        <v>3203</v>
      </c>
      <c r="Y202" s="1"/>
      <c r="Z202" s="4">
        <v>4763.0</v>
      </c>
      <c r="AA202" s="4">
        <v>66.0</v>
      </c>
      <c r="AB202" s="4">
        <v>638.0</v>
      </c>
      <c r="AC202" s="4">
        <v>43800.0</v>
      </c>
      <c r="AD202" s="1" t="s">
        <v>1143</v>
      </c>
      <c r="AE202" s="1" t="s">
        <v>1143</v>
      </c>
      <c r="AF202" s="1"/>
      <c r="AG202" s="1"/>
      <c r="AH202" s="1"/>
      <c r="AI202" s="1"/>
      <c r="AJ202" s="1"/>
      <c r="AK202" s="1"/>
      <c r="AL202" s="1">
        <f>IFERROR(__xludf.DUMMYFUNCTION("IF(
  TRIM(AD202)="""",
  0,
  COUNTA(
    SPLIT(
      REGEXREPLACE(AD202,""\s*,\s*"","",""),
      "",""
    )
  )
)"),5.0)</f>
        <v>5</v>
      </c>
    </row>
    <row r="203">
      <c r="A203" s="1" t="s">
        <v>3209</v>
      </c>
      <c r="B203" s="1" t="s">
        <v>3209</v>
      </c>
      <c r="C203" s="1" t="s">
        <v>69</v>
      </c>
      <c r="D203" s="1" t="s">
        <v>70</v>
      </c>
      <c r="E203" s="4">
        <v>176100.0</v>
      </c>
      <c r="F203" s="4">
        <v>889.0</v>
      </c>
      <c r="G203" s="4">
        <v>777.0</v>
      </c>
      <c r="H203" s="7" t="s">
        <v>330</v>
      </c>
      <c r="I203" s="1" t="s">
        <v>3210</v>
      </c>
      <c r="J203" s="1"/>
      <c r="K203" s="9">
        <v>45545.05520833333</v>
      </c>
      <c r="L203" s="4">
        <v>1.72593117E9</v>
      </c>
      <c r="M203" s="1" t="s">
        <v>47</v>
      </c>
      <c r="N203" s="1" t="s">
        <v>47</v>
      </c>
      <c r="O203" s="1" t="s">
        <v>47</v>
      </c>
      <c r="P203" s="1" t="s">
        <v>47</v>
      </c>
      <c r="Q203" s="1" t="s">
        <v>47</v>
      </c>
      <c r="R203" s="1" t="s">
        <v>3211</v>
      </c>
      <c r="S203" s="1" t="s">
        <v>3212</v>
      </c>
      <c r="T203" s="7" t="s">
        <v>3213</v>
      </c>
      <c r="U203" s="7" t="s">
        <v>3215</v>
      </c>
      <c r="V203" s="1" t="s">
        <v>3216</v>
      </c>
      <c r="W203" s="7" t="s">
        <v>3526</v>
      </c>
      <c r="X203" s="7" t="s">
        <v>3218</v>
      </c>
      <c r="Y203" s="1"/>
      <c r="Z203" s="4">
        <v>4717.0</v>
      </c>
      <c r="AA203" s="4">
        <v>89.0</v>
      </c>
      <c r="AB203" s="4">
        <v>774.0</v>
      </c>
      <c r="AC203" s="4">
        <v>52000.0</v>
      </c>
      <c r="AD203" s="1" t="s">
        <v>3219</v>
      </c>
      <c r="AE203" s="1" t="s">
        <v>3219</v>
      </c>
      <c r="AF203" s="1"/>
      <c r="AG203" s="1"/>
      <c r="AH203" s="1"/>
      <c r="AI203" s="1"/>
      <c r="AJ203" s="1"/>
      <c r="AK203" s="1"/>
      <c r="AL203" s="1">
        <f>IFERROR(__xludf.DUMMYFUNCTION("IF(
  TRIM(AD203)="""",
  0,
  COUNTA(
    SPLIT(
      REGEXREPLACE(AD203,""\s*,\s*"","",""),
      "",""
    )
  )
)"),5.0)</f>
        <v>5</v>
      </c>
    </row>
    <row r="204">
      <c r="A204" s="1" t="s">
        <v>3278</v>
      </c>
      <c r="B204" s="1" t="s">
        <v>3278</v>
      </c>
      <c r="C204" s="7" t="s">
        <v>3281</v>
      </c>
      <c r="D204" s="1" t="s">
        <v>3282</v>
      </c>
      <c r="E204" s="4">
        <v>11000.0</v>
      </c>
      <c r="F204" s="4">
        <v>102.0</v>
      </c>
      <c r="G204" s="4">
        <v>29.0</v>
      </c>
      <c r="H204" s="7" t="s">
        <v>3529</v>
      </c>
      <c r="I204" s="1" t="s">
        <v>3287</v>
      </c>
      <c r="J204" s="1" t="s">
        <v>3288</v>
      </c>
      <c r="K204" s="9">
        <v>45889.63295138889</v>
      </c>
      <c r="L204" s="4">
        <v>1.755702687E9</v>
      </c>
      <c r="M204" s="1" t="s">
        <v>47</v>
      </c>
      <c r="N204" s="1" t="s">
        <v>47</v>
      </c>
      <c r="O204" s="1" t="s">
        <v>47</v>
      </c>
      <c r="P204" s="1" t="s">
        <v>47</v>
      </c>
      <c r="Q204" s="1" t="s">
        <v>47</v>
      </c>
      <c r="R204" s="1" t="s">
        <v>3289</v>
      </c>
      <c r="S204" s="1" t="s">
        <v>3290</v>
      </c>
      <c r="T204" s="7" t="s">
        <v>3291</v>
      </c>
      <c r="U204" s="7" t="s">
        <v>3531</v>
      </c>
      <c r="V204" s="1" t="s">
        <v>3293</v>
      </c>
      <c r="W204" s="1"/>
      <c r="X204" s="7" t="s">
        <v>3294</v>
      </c>
      <c r="Y204" s="1"/>
      <c r="Z204" s="4">
        <v>4349.0</v>
      </c>
      <c r="AA204" s="4">
        <v>62.0</v>
      </c>
      <c r="AB204" s="4">
        <v>391.0</v>
      </c>
      <c r="AC204" s="4">
        <v>55100.0</v>
      </c>
      <c r="AD204" s="1" t="s">
        <v>3296</v>
      </c>
      <c r="AE204" s="1" t="s">
        <v>3296</v>
      </c>
      <c r="AF204" s="1"/>
      <c r="AG204" s="1"/>
      <c r="AH204" s="1"/>
      <c r="AI204" s="1"/>
      <c r="AJ204" s="1"/>
      <c r="AK204" s="1"/>
      <c r="AL204" s="1">
        <f>IFERROR(__xludf.DUMMYFUNCTION("IF(
  TRIM(AD204)="""",
  0,
  COUNTA(
    SPLIT(
      REGEXREPLACE(AD204,""\s*,\s*"","",""),
      "",""
    )
  )
)"),5.0)</f>
        <v>5</v>
      </c>
    </row>
    <row r="205">
      <c r="A205" s="1" t="s">
        <v>3533</v>
      </c>
      <c r="B205" s="1" t="s">
        <v>3533</v>
      </c>
      <c r="C205" s="1" t="s">
        <v>2762</v>
      </c>
      <c r="D205" s="1" t="s">
        <v>2763</v>
      </c>
      <c r="E205" s="4">
        <v>138400.0</v>
      </c>
      <c r="F205" s="4">
        <v>679.0</v>
      </c>
      <c r="G205" s="4">
        <v>238.0</v>
      </c>
      <c r="H205" s="7" t="s">
        <v>3534</v>
      </c>
      <c r="I205" s="1" t="s">
        <v>3536</v>
      </c>
      <c r="J205" s="1" t="s">
        <v>3537</v>
      </c>
      <c r="K205" s="9">
        <v>45187.87516203704</v>
      </c>
      <c r="L205" s="4">
        <v>1.695070814E9</v>
      </c>
      <c r="M205" s="1" t="s">
        <v>47</v>
      </c>
      <c r="N205" s="1" t="s">
        <v>47</v>
      </c>
      <c r="O205" s="1" t="s">
        <v>47</v>
      </c>
      <c r="P205" s="1" t="s">
        <v>47</v>
      </c>
      <c r="Q205" s="1" t="s">
        <v>47</v>
      </c>
      <c r="R205" s="1" t="s">
        <v>48</v>
      </c>
      <c r="S205" s="1" t="s">
        <v>3538</v>
      </c>
      <c r="T205" s="7" t="s">
        <v>3539</v>
      </c>
      <c r="U205" s="7" t="s">
        <v>3544</v>
      </c>
      <c r="V205" s="1" t="s">
        <v>2763</v>
      </c>
      <c r="W205" s="7" t="s">
        <v>3547</v>
      </c>
      <c r="X205" s="7" t="s">
        <v>3549</v>
      </c>
      <c r="Y205" s="1"/>
      <c r="Z205" s="4">
        <v>4336.0</v>
      </c>
      <c r="AA205" s="4">
        <v>68.0</v>
      </c>
      <c r="AB205" s="4">
        <v>708.0</v>
      </c>
      <c r="AC205" s="4">
        <v>102900.0</v>
      </c>
      <c r="AD205" s="1" t="s">
        <v>3550</v>
      </c>
      <c r="AE205" s="1" t="s">
        <v>3550</v>
      </c>
      <c r="AF205" s="1"/>
      <c r="AG205" s="1"/>
      <c r="AH205" s="1" t="s">
        <v>103</v>
      </c>
      <c r="AI205" s="1"/>
      <c r="AJ205" s="1"/>
      <c r="AK205" s="1"/>
      <c r="AL205" s="1">
        <f>IFERROR(__xludf.DUMMYFUNCTION("IF(
  TRIM(AD205)="""",
  0,
  COUNTA(
    SPLIT(
      REGEXREPLACE(AD205,""\s*,\s*"","",""),
      "",""
    )
  )
)"),5.0)</f>
        <v>5</v>
      </c>
    </row>
    <row r="206">
      <c r="A206" s="1" t="s">
        <v>3551</v>
      </c>
      <c r="B206" s="1" t="s">
        <v>3551</v>
      </c>
      <c r="C206" s="1" t="s">
        <v>123</v>
      </c>
      <c r="D206" s="1" t="s">
        <v>124</v>
      </c>
      <c r="E206" s="4">
        <v>254700.0</v>
      </c>
      <c r="F206" s="4">
        <v>364.0</v>
      </c>
      <c r="G206" s="4">
        <v>684.0</v>
      </c>
      <c r="H206" s="7" t="s">
        <v>3205</v>
      </c>
      <c r="I206" s="1" t="s">
        <v>3553</v>
      </c>
      <c r="J206" s="1"/>
      <c r="K206" s="9">
        <v>45986.556875</v>
      </c>
      <c r="L206" s="4">
        <v>1.764076914E9</v>
      </c>
      <c r="M206" s="1" t="s">
        <v>47</v>
      </c>
      <c r="N206" s="1" t="s">
        <v>47</v>
      </c>
      <c r="O206" s="1" t="s">
        <v>47</v>
      </c>
      <c r="P206" s="1" t="s">
        <v>47</v>
      </c>
      <c r="Q206" s="1" t="s">
        <v>47</v>
      </c>
      <c r="R206" s="1" t="s">
        <v>48</v>
      </c>
      <c r="S206" s="1" t="s">
        <v>3554</v>
      </c>
      <c r="T206" s="7" t="s">
        <v>3555</v>
      </c>
      <c r="U206" s="7" t="s">
        <v>3557</v>
      </c>
      <c r="V206" s="1" t="s">
        <v>124</v>
      </c>
      <c r="W206" s="7" t="s">
        <v>3558</v>
      </c>
      <c r="X206" s="7" t="s">
        <v>3560</v>
      </c>
      <c r="Y206" s="1"/>
      <c r="Z206" s="4">
        <v>3940.0</v>
      </c>
      <c r="AA206" s="4">
        <v>87.0</v>
      </c>
      <c r="AB206" s="4">
        <v>487.0</v>
      </c>
      <c r="AC206" s="4">
        <v>38400.0</v>
      </c>
      <c r="AD206" s="1" t="s">
        <v>3563</v>
      </c>
      <c r="AE206" s="1" t="s">
        <v>3563</v>
      </c>
      <c r="AF206" s="1"/>
      <c r="AG206" s="1"/>
      <c r="AH206" s="1"/>
      <c r="AI206" s="1"/>
      <c r="AJ206" s="1"/>
      <c r="AK206" s="1"/>
      <c r="AL206" s="1">
        <f>IFERROR(__xludf.DUMMYFUNCTION("IF(
  TRIM(AD206)="""",
  0,
  COUNTA(
    SPLIT(
      REGEXREPLACE(AD206,""\s*,\s*"","",""),
      "",""
    )
  )
)"),5.0)</f>
        <v>5</v>
      </c>
    </row>
    <row r="207">
      <c r="A207" s="1" t="s">
        <v>3564</v>
      </c>
      <c r="B207" s="1" t="s">
        <v>3564</v>
      </c>
      <c r="C207" s="1" t="s">
        <v>69</v>
      </c>
      <c r="D207" s="1" t="s">
        <v>70</v>
      </c>
      <c r="E207" s="4">
        <v>176100.0</v>
      </c>
      <c r="F207" s="4">
        <v>889.0</v>
      </c>
      <c r="G207" s="4">
        <v>777.0</v>
      </c>
      <c r="H207" s="7" t="s">
        <v>330</v>
      </c>
      <c r="I207" s="1" t="s">
        <v>3567</v>
      </c>
      <c r="J207" s="1"/>
      <c r="K207" s="9">
        <v>45952.98164351852</v>
      </c>
      <c r="L207" s="4">
        <v>1.761176014E9</v>
      </c>
      <c r="M207" s="1" t="s">
        <v>47</v>
      </c>
      <c r="N207" s="1" t="s">
        <v>47</v>
      </c>
      <c r="O207" s="1" t="s">
        <v>47</v>
      </c>
      <c r="P207" s="1" t="s">
        <v>47</v>
      </c>
      <c r="Q207" s="1" t="s">
        <v>47</v>
      </c>
      <c r="R207" s="1" t="s">
        <v>48</v>
      </c>
      <c r="S207" s="1" t="s">
        <v>3569</v>
      </c>
      <c r="T207" s="7" t="s">
        <v>3570</v>
      </c>
      <c r="U207" s="7" t="s">
        <v>1787</v>
      </c>
      <c r="V207" s="1" t="s">
        <v>70</v>
      </c>
      <c r="W207" s="7" t="s">
        <v>3571</v>
      </c>
      <c r="X207" s="7" t="s">
        <v>3573</v>
      </c>
      <c r="Y207" s="1"/>
      <c r="Z207" s="4">
        <v>3160.0</v>
      </c>
      <c r="AA207" s="4">
        <v>55.0</v>
      </c>
      <c r="AB207" s="4">
        <v>597.0</v>
      </c>
      <c r="AC207" s="4">
        <v>26700.0</v>
      </c>
      <c r="AD207" s="1" t="s">
        <v>3574</v>
      </c>
      <c r="AE207" s="1" t="s">
        <v>3574</v>
      </c>
      <c r="AF207" s="1"/>
      <c r="AG207" s="1"/>
      <c r="AH207" s="1"/>
      <c r="AI207" s="1"/>
      <c r="AJ207" s="1"/>
      <c r="AK207" s="1"/>
      <c r="AL207" s="1">
        <f>IFERROR(__xludf.DUMMYFUNCTION("IF(
  TRIM(AD207)="""",
  0,
  COUNTA(
    SPLIT(
      REGEXREPLACE(AD207,""\s*,\s*"","",""),
      "",""
    )
  )
)"),5.0)</f>
        <v>5</v>
      </c>
    </row>
    <row r="208">
      <c r="A208" s="1" t="s">
        <v>3575</v>
      </c>
      <c r="B208" s="1" t="s">
        <v>3575</v>
      </c>
      <c r="C208" s="1" t="s">
        <v>3576</v>
      </c>
      <c r="D208" s="1" t="s">
        <v>3577</v>
      </c>
      <c r="E208" s="4">
        <v>1173.0</v>
      </c>
      <c r="F208" s="4">
        <v>71.0</v>
      </c>
      <c r="G208" s="4">
        <v>9.0</v>
      </c>
      <c r="H208" s="7" t="s">
        <v>3578</v>
      </c>
      <c r="I208" s="1" t="s">
        <v>3580</v>
      </c>
      <c r="J208" s="1"/>
      <c r="K208" s="9">
        <v>45905.51417824074</v>
      </c>
      <c r="L208" s="4">
        <v>1.757074825E9</v>
      </c>
      <c r="M208" s="1" t="s">
        <v>47</v>
      </c>
      <c r="N208" s="1" t="s">
        <v>47</v>
      </c>
      <c r="O208" s="1" t="s">
        <v>47</v>
      </c>
      <c r="P208" s="1" t="s">
        <v>47</v>
      </c>
      <c r="Q208" s="1" t="s">
        <v>47</v>
      </c>
      <c r="R208" s="1" t="s">
        <v>3581</v>
      </c>
      <c r="S208" s="1" t="s">
        <v>3582</v>
      </c>
      <c r="T208" s="7" t="s">
        <v>3583</v>
      </c>
      <c r="U208" s="7" t="s">
        <v>3587</v>
      </c>
      <c r="V208" s="1" t="s">
        <v>3591</v>
      </c>
      <c r="W208" s="7" t="s">
        <v>3592</v>
      </c>
      <c r="X208" s="7" t="s">
        <v>3593</v>
      </c>
      <c r="Y208" s="1"/>
      <c r="Z208" s="4">
        <v>3061.0</v>
      </c>
      <c r="AA208" s="4">
        <v>237.0</v>
      </c>
      <c r="AB208" s="4">
        <v>861.0</v>
      </c>
      <c r="AC208" s="4">
        <v>34400.0</v>
      </c>
      <c r="AD208" s="1" t="s">
        <v>3594</v>
      </c>
      <c r="AE208" s="1" t="s">
        <v>3594</v>
      </c>
      <c r="AF208" s="1"/>
      <c r="AG208" s="1"/>
      <c r="AH208" s="1"/>
      <c r="AI208" s="1"/>
      <c r="AJ208" s="1"/>
      <c r="AK208" s="1"/>
      <c r="AL208" s="1">
        <f>IFERROR(__xludf.DUMMYFUNCTION("IF(
  TRIM(AD208)="""",
  0,
  COUNTA(
    SPLIT(
      REGEXREPLACE(AD208,""\s*,\s*"","",""),
      "",""
    )
  )
)"),5.0)</f>
        <v>5</v>
      </c>
    </row>
    <row r="209">
      <c r="A209" s="1" t="s">
        <v>3596</v>
      </c>
      <c r="B209" s="1" t="s">
        <v>3596</v>
      </c>
      <c r="C209" s="1" t="s">
        <v>1933</v>
      </c>
      <c r="D209" s="1" t="s">
        <v>1934</v>
      </c>
      <c r="E209" s="4">
        <v>4293.0</v>
      </c>
      <c r="F209" s="4">
        <v>2.0</v>
      </c>
      <c r="G209" s="4">
        <v>87.0</v>
      </c>
      <c r="H209" s="7" t="s">
        <v>3597</v>
      </c>
      <c r="I209" s="1" t="s">
        <v>3598</v>
      </c>
      <c r="J209" s="1"/>
      <c r="K209" s="9">
        <v>45973.937893518516</v>
      </c>
      <c r="L209" s="4">
        <v>1.762986634E9</v>
      </c>
      <c r="M209" s="1" t="s">
        <v>47</v>
      </c>
      <c r="N209" s="1" t="s">
        <v>47</v>
      </c>
      <c r="O209" s="1" t="s">
        <v>47</v>
      </c>
      <c r="P209" s="1" t="s">
        <v>47</v>
      </c>
      <c r="Q209" s="1" t="s">
        <v>47</v>
      </c>
      <c r="R209" s="1" t="s">
        <v>48</v>
      </c>
      <c r="S209" s="1" t="s">
        <v>3599</v>
      </c>
      <c r="T209" s="7" t="s">
        <v>3600</v>
      </c>
      <c r="U209" s="7" t="s">
        <v>3604</v>
      </c>
      <c r="V209" s="1" t="s">
        <v>1934</v>
      </c>
      <c r="W209" s="7" t="s">
        <v>3605</v>
      </c>
      <c r="X209" s="7" t="s">
        <v>3606</v>
      </c>
      <c r="Y209" s="1"/>
      <c r="Z209" s="4">
        <v>2728.0</v>
      </c>
      <c r="AA209" s="4">
        <v>715.0</v>
      </c>
      <c r="AB209" s="4">
        <v>301.0</v>
      </c>
      <c r="AC209" s="4">
        <v>55400.0</v>
      </c>
      <c r="AD209" s="1" t="s">
        <v>3607</v>
      </c>
      <c r="AE209" s="1" t="s">
        <v>3607</v>
      </c>
      <c r="AF209" s="1"/>
      <c r="AG209" s="1"/>
      <c r="AH209" s="1"/>
      <c r="AI209" s="1"/>
      <c r="AJ209" s="1"/>
      <c r="AK209" s="1"/>
      <c r="AL209" s="1">
        <f>IFERROR(__xludf.DUMMYFUNCTION("IF(
  TRIM(AD209)="""",
  0,
  COUNTA(
    SPLIT(
      REGEXREPLACE(AD209,""\s*,\s*"","",""),
      "",""
    )
  )
)"),5.0)</f>
        <v>5</v>
      </c>
    </row>
    <row r="210">
      <c r="A210" s="1" t="s">
        <v>3608</v>
      </c>
      <c r="B210" s="1" t="s">
        <v>3608</v>
      </c>
      <c r="C210" s="1" t="s">
        <v>3609</v>
      </c>
      <c r="D210" s="1" t="s">
        <v>3610</v>
      </c>
      <c r="E210" s="4">
        <v>11700.0</v>
      </c>
      <c r="F210" s="4">
        <v>318.0</v>
      </c>
      <c r="G210" s="4">
        <v>210.0</v>
      </c>
      <c r="H210" s="7" t="s">
        <v>3611</v>
      </c>
      <c r="I210" s="1" t="s">
        <v>3613</v>
      </c>
      <c r="J210" s="1"/>
      <c r="K210" s="9">
        <v>45976.49153935185</v>
      </c>
      <c r="L210" s="4">
        <v>1.763207269E9</v>
      </c>
      <c r="M210" s="1" t="s">
        <v>47</v>
      </c>
      <c r="N210" s="1" t="s">
        <v>47</v>
      </c>
      <c r="O210" s="1" t="s">
        <v>47</v>
      </c>
      <c r="P210" s="1" t="s">
        <v>47</v>
      </c>
      <c r="Q210" s="1" t="s">
        <v>47</v>
      </c>
      <c r="R210" s="1" t="s">
        <v>3614</v>
      </c>
      <c r="S210" s="1" t="s">
        <v>3615</v>
      </c>
      <c r="T210" s="7" t="s">
        <v>3616</v>
      </c>
      <c r="U210" s="7" t="s">
        <v>3617</v>
      </c>
      <c r="V210" s="1" t="s">
        <v>3618</v>
      </c>
      <c r="W210" s="7" t="s">
        <v>3619</v>
      </c>
      <c r="X210" s="7" t="s">
        <v>3620</v>
      </c>
      <c r="Y210" s="1"/>
      <c r="Z210" s="4">
        <v>2507.0</v>
      </c>
      <c r="AA210" s="4">
        <v>65.0</v>
      </c>
      <c r="AB210" s="4">
        <v>715.0</v>
      </c>
      <c r="AC210" s="4">
        <v>64300.0</v>
      </c>
      <c r="AD210" s="1" t="s">
        <v>3622</v>
      </c>
      <c r="AE210" s="1" t="s">
        <v>3623</v>
      </c>
      <c r="AF210" s="1"/>
      <c r="AG210" s="1"/>
      <c r="AH210" s="1"/>
      <c r="AI210" s="1"/>
      <c r="AJ210" s="1"/>
      <c r="AK210" s="1"/>
      <c r="AL210" s="1">
        <f>IFERROR(__xludf.DUMMYFUNCTION("IF(
  TRIM(AD210)="""",
  0,
  COUNTA(
    SPLIT(
      REGEXREPLACE(AD210,""\s*,\s*"","",""),
      "",""
    )
  )
)"),5.0)</f>
        <v>5</v>
      </c>
    </row>
    <row r="211">
      <c r="A211" s="1" t="s">
        <v>3624</v>
      </c>
      <c r="B211" s="1" t="s">
        <v>3624</v>
      </c>
      <c r="C211" s="1" t="s">
        <v>409</v>
      </c>
      <c r="D211" s="1" t="s">
        <v>410</v>
      </c>
      <c r="E211" s="4">
        <v>200400.0</v>
      </c>
      <c r="F211" s="4">
        <v>752.0</v>
      </c>
      <c r="G211" s="4">
        <v>150.0</v>
      </c>
      <c r="H211" s="7" t="s">
        <v>3333</v>
      </c>
      <c r="I211" s="1" t="s">
        <v>3625</v>
      </c>
      <c r="J211" s="1" t="s">
        <v>3626</v>
      </c>
      <c r="K211" s="9">
        <v>45983.01144675926</v>
      </c>
      <c r="L211" s="4">
        <v>1.763770589E9</v>
      </c>
      <c r="M211" s="1" t="s">
        <v>47</v>
      </c>
      <c r="N211" s="1" t="s">
        <v>47</v>
      </c>
      <c r="O211" s="1" t="s">
        <v>47</v>
      </c>
      <c r="P211" s="1" t="s">
        <v>47</v>
      </c>
      <c r="Q211" s="1" t="s">
        <v>47</v>
      </c>
      <c r="R211" s="1" t="s">
        <v>48</v>
      </c>
      <c r="S211" s="1" t="s">
        <v>3627</v>
      </c>
      <c r="T211" s="7" t="s">
        <v>3628</v>
      </c>
      <c r="U211" s="7" t="s">
        <v>3630</v>
      </c>
      <c r="V211" s="1" t="s">
        <v>410</v>
      </c>
      <c r="W211" s="7" t="s">
        <v>3631</v>
      </c>
      <c r="X211" s="7" t="s">
        <v>3636</v>
      </c>
      <c r="Y211" s="1"/>
      <c r="Z211" s="4">
        <v>2471.0</v>
      </c>
      <c r="AA211" s="4">
        <v>72.0</v>
      </c>
      <c r="AB211" s="4">
        <v>478.0</v>
      </c>
      <c r="AC211" s="4">
        <v>41800.0</v>
      </c>
      <c r="AD211" s="1" t="s">
        <v>3637</v>
      </c>
      <c r="AE211" s="1" t="s">
        <v>3637</v>
      </c>
      <c r="AF211" s="1"/>
      <c r="AG211" s="1"/>
      <c r="AH211" s="1"/>
      <c r="AI211" s="1"/>
      <c r="AJ211" s="1"/>
      <c r="AK211" s="1"/>
      <c r="AL211" s="1">
        <f>IFERROR(__xludf.DUMMYFUNCTION("IF(
  TRIM(AD211)="""",
  0,
  COUNTA(
    SPLIT(
      REGEXREPLACE(AD211,""\s*,\s*"","",""),
      "",""
    )
  )
)"),5.0)</f>
        <v>5</v>
      </c>
    </row>
    <row r="212">
      <c r="A212" s="1" t="s">
        <v>3638</v>
      </c>
      <c r="B212" s="1" t="s">
        <v>3638</v>
      </c>
      <c r="C212" s="1" t="s">
        <v>1630</v>
      </c>
      <c r="D212" s="1" t="s">
        <v>1631</v>
      </c>
      <c r="E212" s="4">
        <v>19100.0</v>
      </c>
      <c r="F212" s="4">
        <v>8603.0</v>
      </c>
      <c r="G212" s="4">
        <v>292.0</v>
      </c>
      <c r="H212" s="7" t="s">
        <v>2632</v>
      </c>
      <c r="I212" s="1" t="s">
        <v>3639</v>
      </c>
      <c r="J212" s="1" t="s">
        <v>3640</v>
      </c>
      <c r="K212" s="9">
        <v>45957.827060185184</v>
      </c>
      <c r="L212" s="4">
        <v>1.761594658E9</v>
      </c>
      <c r="M212" s="1" t="s">
        <v>47</v>
      </c>
      <c r="N212" s="1" t="s">
        <v>47</v>
      </c>
      <c r="O212" s="1" t="s">
        <v>47</v>
      </c>
      <c r="P212" s="1" t="s">
        <v>47</v>
      </c>
      <c r="Q212" s="1" t="s">
        <v>47</v>
      </c>
      <c r="R212" s="1" t="s">
        <v>48</v>
      </c>
      <c r="S212" s="1" t="s">
        <v>3642</v>
      </c>
      <c r="T212" s="7" t="s">
        <v>3643</v>
      </c>
      <c r="U212" s="7" t="s">
        <v>2751</v>
      </c>
      <c r="V212" s="1" t="s">
        <v>1631</v>
      </c>
      <c r="W212" s="7" t="s">
        <v>3646</v>
      </c>
      <c r="X212" s="7" t="s">
        <v>3648</v>
      </c>
      <c r="Y212" s="1"/>
      <c r="Z212" s="4">
        <v>2351.0</v>
      </c>
      <c r="AA212" s="4">
        <v>90.0</v>
      </c>
      <c r="AB212" s="4">
        <v>1055.0</v>
      </c>
      <c r="AC212" s="4">
        <v>34200.0</v>
      </c>
      <c r="AD212" s="1" t="s">
        <v>3649</v>
      </c>
      <c r="AE212" s="1" t="s">
        <v>3649</v>
      </c>
      <c r="AF212" s="1"/>
      <c r="AG212" s="1"/>
      <c r="AH212" s="1" t="s">
        <v>144</v>
      </c>
      <c r="AI212" s="1"/>
      <c r="AJ212" s="1"/>
      <c r="AK212" s="1"/>
      <c r="AL212" s="1">
        <f>IFERROR(__xludf.DUMMYFUNCTION("IF(
  TRIM(AD212)="""",
  0,
  COUNTA(
    SPLIT(
      REGEXREPLACE(AD212,""\s*,\s*"","",""),
      "",""
    )
  )
)"),5.0)</f>
        <v>5</v>
      </c>
    </row>
    <row r="213">
      <c r="A213" s="1" t="s">
        <v>3651</v>
      </c>
      <c r="B213" s="1" t="s">
        <v>3651</v>
      </c>
      <c r="C213" s="1" t="s">
        <v>123</v>
      </c>
      <c r="D213" s="1" t="s">
        <v>124</v>
      </c>
      <c r="E213" s="4">
        <v>254700.0</v>
      </c>
      <c r="F213" s="4">
        <v>364.0</v>
      </c>
      <c r="G213" s="4">
        <v>684.0</v>
      </c>
      <c r="H213" s="7" t="s">
        <v>3652</v>
      </c>
      <c r="I213" s="1" t="s">
        <v>3653</v>
      </c>
      <c r="J213" s="1"/>
      <c r="K213" s="9">
        <v>45807.59048611111</v>
      </c>
      <c r="L213" s="4">
        <v>1.748614218E9</v>
      </c>
      <c r="M213" s="1" t="s">
        <v>47</v>
      </c>
      <c r="N213" s="1" t="s">
        <v>47</v>
      </c>
      <c r="O213" s="1" t="s">
        <v>47</v>
      </c>
      <c r="P213" s="1" t="s">
        <v>47</v>
      </c>
      <c r="Q213" s="1" t="s">
        <v>47</v>
      </c>
      <c r="R213" s="1" t="s">
        <v>48</v>
      </c>
      <c r="S213" s="1" t="s">
        <v>3654</v>
      </c>
      <c r="T213" s="7" t="s">
        <v>3655</v>
      </c>
      <c r="U213" s="7" t="s">
        <v>3208</v>
      </c>
      <c r="V213" s="1" t="s">
        <v>124</v>
      </c>
      <c r="W213" s="7" t="s">
        <v>3659</v>
      </c>
      <c r="X213" s="7" t="s">
        <v>3664</v>
      </c>
      <c r="Y213" s="1"/>
      <c r="Z213" s="4">
        <v>2262.0</v>
      </c>
      <c r="AA213" s="4">
        <v>40.0</v>
      </c>
      <c r="AB213" s="4">
        <v>376.0</v>
      </c>
      <c r="AC213" s="4">
        <v>18200.0</v>
      </c>
      <c r="AD213" s="1" t="s">
        <v>3667</v>
      </c>
      <c r="AE213" s="1" t="s">
        <v>3667</v>
      </c>
      <c r="AF213" s="1"/>
      <c r="AG213" s="1"/>
      <c r="AH213" s="1" t="s">
        <v>836</v>
      </c>
      <c r="AI213" s="1"/>
      <c r="AJ213" s="1"/>
      <c r="AK213" s="1"/>
      <c r="AL213" s="1">
        <f>IFERROR(__xludf.DUMMYFUNCTION("IF(
  TRIM(AD213)="""",
  0,
  COUNTA(
    SPLIT(
      REGEXREPLACE(AD213,""\s*,\s*"","",""),
      "",""
    )
  )
)"),5.0)</f>
        <v>5</v>
      </c>
    </row>
    <row r="214">
      <c r="A214" s="1" t="s">
        <v>3669</v>
      </c>
      <c r="B214" s="1" t="s">
        <v>3669</v>
      </c>
      <c r="C214" s="1" t="s">
        <v>3416</v>
      </c>
      <c r="D214" s="1" t="s">
        <v>3417</v>
      </c>
      <c r="E214" s="4">
        <v>2687.0</v>
      </c>
      <c r="F214" s="4">
        <v>55.0</v>
      </c>
      <c r="G214" s="4">
        <v>217.0</v>
      </c>
      <c r="H214" s="7" t="s">
        <v>3418</v>
      </c>
      <c r="I214" s="1" t="s">
        <v>3670</v>
      </c>
      <c r="J214" s="1" t="s">
        <v>3671</v>
      </c>
      <c r="K214" s="9">
        <v>45948.626608796294</v>
      </c>
      <c r="L214" s="4">
        <v>1.760799739E9</v>
      </c>
      <c r="M214" s="1" t="s">
        <v>47</v>
      </c>
      <c r="N214" s="1" t="s">
        <v>47</v>
      </c>
      <c r="O214" s="1" t="s">
        <v>47</v>
      </c>
      <c r="P214" s="1" t="s">
        <v>47</v>
      </c>
      <c r="Q214" s="1" t="s">
        <v>47</v>
      </c>
      <c r="R214" s="1" t="s">
        <v>3672</v>
      </c>
      <c r="S214" s="1" t="s">
        <v>3673</v>
      </c>
      <c r="T214" s="7" t="s">
        <v>3674</v>
      </c>
      <c r="U214" s="7" t="s">
        <v>3675</v>
      </c>
      <c r="V214" s="1" t="s">
        <v>3676</v>
      </c>
      <c r="W214" s="7" t="s">
        <v>3677</v>
      </c>
      <c r="X214" s="7" t="s">
        <v>3679</v>
      </c>
      <c r="Y214" s="1"/>
      <c r="Z214" s="4">
        <v>2022.0</v>
      </c>
      <c r="AA214" s="4">
        <v>86.0</v>
      </c>
      <c r="AB214" s="4">
        <v>1131.0</v>
      </c>
      <c r="AC214" s="4">
        <v>46600.0</v>
      </c>
      <c r="AD214" s="1" t="s">
        <v>3680</v>
      </c>
      <c r="AE214" s="1" t="s">
        <v>3680</v>
      </c>
      <c r="AF214" s="1"/>
      <c r="AG214" s="1"/>
      <c r="AH214" s="1" t="s">
        <v>918</v>
      </c>
      <c r="AI214" s="1"/>
      <c r="AJ214" s="1"/>
      <c r="AK214" s="1"/>
      <c r="AL214" s="1">
        <f>IFERROR(__xludf.DUMMYFUNCTION("IF(
  TRIM(AD214)="""",
  0,
  COUNTA(
    SPLIT(
      REGEXREPLACE(AD214,""\s*,\s*"","",""),
      "",""
    )
  )
)"),5.0)</f>
        <v>5</v>
      </c>
    </row>
    <row r="215">
      <c r="A215" s="1" t="s">
        <v>3682</v>
      </c>
      <c r="B215" s="1" t="s">
        <v>3682</v>
      </c>
      <c r="C215" s="1" t="s">
        <v>1240</v>
      </c>
      <c r="D215" s="1" t="s">
        <v>1241</v>
      </c>
      <c r="E215" s="4">
        <v>13400.0</v>
      </c>
      <c r="F215" s="4">
        <v>182.0</v>
      </c>
      <c r="G215" s="4">
        <v>234.0</v>
      </c>
      <c r="H215" s="7" t="s">
        <v>3118</v>
      </c>
      <c r="I215" s="1" t="s">
        <v>3683</v>
      </c>
      <c r="J215" s="1"/>
      <c r="K215" s="9">
        <v>45890.88719907407</v>
      </c>
      <c r="L215" s="4">
        <v>1.755811054E9</v>
      </c>
      <c r="M215" s="1" t="s">
        <v>47</v>
      </c>
      <c r="N215" s="1" t="s">
        <v>47</v>
      </c>
      <c r="O215" s="1" t="s">
        <v>47</v>
      </c>
      <c r="P215" s="1" t="s">
        <v>47</v>
      </c>
      <c r="Q215" s="1" t="s">
        <v>47</v>
      </c>
      <c r="R215" s="1" t="s">
        <v>48</v>
      </c>
      <c r="S215" s="1" t="s">
        <v>3684</v>
      </c>
      <c r="T215" s="7" t="s">
        <v>3685</v>
      </c>
      <c r="U215" s="7" t="s">
        <v>3686</v>
      </c>
      <c r="V215" s="1" t="s">
        <v>1241</v>
      </c>
      <c r="W215" s="7" t="s">
        <v>3688</v>
      </c>
      <c r="X215" s="7" t="s">
        <v>3695</v>
      </c>
      <c r="Y215" s="1"/>
      <c r="Z215" s="4">
        <v>1604.0</v>
      </c>
      <c r="AA215" s="4">
        <v>46.0</v>
      </c>
      <c r="AB215" s="4">
        <v>391.0</v>
      </c>
      <c r="AC215" s="4">
        <v>25200.0</v>
      </c>
      <c r="AD215" s="1" t="s">
        <v>1251</v>
      </c>
      <c r="AE215" s="1" t="s">
        <v>1251</v>
      </c>
      <c r="AF215" s="1"/>
      <c r="AG215" s="1"/>
      <c r="AH215" s="1"/>
      <c r="AI215" s="1"/>
      <c r="AJ215" s="1"/>
      <c r="AK215" s="1"/>
      <c r="AL215" s="1">
        <f>IFERROR(__xludf.DUMMYFUNCTION("IF(
  TRIM(AD215)="""",
  0,
  COUNTA(
    SPLIT(
      REGEXREPLACE(AD215,""\s*,\s*"","",""),
      "",""
    )
  )
)"),5.0)</f>
        <v>5</v>
      </c>
    </row>
    <row r="216">
      <c r="A216" s="1" t="s">
        <v>3696</v>
      </c>
      <c r="B216" s="1" t="s">
        <v>3696</v>
      </c>
      <c r="C216" s="1" t="s">
        <v>69</v>
      </c>
      <c r="D216" s="1" t="s">
        <v>70</v>
      </c>
      <c r="E216" s="4">
        <v>176100.0</v>
      </c>
      <c r="F216" s="4">
        <v>889.0</v>
      </c>
      <c r="G216" s="4">
        <v>777.0</v>
      </c>
      <c r="H216" s="7" t="s">
        <v>330</v>
      </c>
      <c r="I216" s="1" t="s">
        <v>3698</v>
      </c>
      <c r="J216" s="1"/>
      <c r="K216" s="9">
        <v>45900.02479166666</v>
      </c>
      <c r="L216" s="4">
        <v>1.756600542E9</v>
      </c>
      <c r="M216" s="1" t="s">
        <v>47</v>
      </c>
      <c r="N216" s="1" t="s">
        <v>47</v>
      </c>
      <c r="O216" s="1" t="s">
        <v>47</v>
      </c>
      <c r="P216" s="1" t="s">
        <v>47</v>
      </c>
      <c r="Q216" s="1" t="s">
        <v>47</v>
      </c>
      <c r="R216" s="1" t="s">
        <v>48</v>
      </c>
      <c r="S216" s="1" t="s">
        <v>3699</v>
      </c>
      <c r="T216" s="7" t="s">
        <v>3700</v>
      </c>
      <c r="U216" s="7" t="s">
        <v>1787</v>
      </c>
      <c r="V216" s="1" t="s">
        <v>70</v>
      </c>
      <c r="W216" s="7" t="s">
        <v>3701</v>
      </c>
      <c r="X216" s="7" t="s">
        <v>3703</v>
      </c>
      <c r="Y216" s="1"/>
      <c r="Z216" s="4">
        <v>1492.0</v>
      </c>
      <c r="AA216" s="4">
        <v>51.0</v>
      </c>
      <c r="AB216" s="4">
        <v>35.0</v>
      </c>
      <c r="AC216" s="4">
        <v>19200.0</v>
      </c>
      <c r="AD216" s="1" t="s">
        <v>3705</v>
      </c>
      <c r="AE216" s="1" t="s">
        <v>3705</v>
      </c>
      <c r="AF216" s="1"/>
      <c r="AG216" s="1"/>
      <c r="AH216" s="1"/>
      <c r="AI216" s="1"/>
      <c r="AJ216" s="1"/>
      <c r="AK216" s="1"/>
      <c r="AL216" s="1">
        <f>IFERROR(__xludf.DUMMYFUNCTION("IF(
  TRIM(AD216)="""",
  0,
  COUNTA(
    SPLIT(
      REGEXREPLACE(AD216,""\s*,\s*"","",""),
      "",""
    )
  )
)"),5.0)</f>
        <v>5</v>
      </c>
    </row>
    <row r="217">
      <c r="A217" s="1" t="s">
        <v>3706</v>
      </c>
      <c r="B217" s="1" t="s">
        <v>3706</v>
      </c>
      <c r="C217" s="1" t="s">
        <v>716</v>
      </c>
      <c r="D217" s="1" t="s">
        <v>717</v>
      </c>
      <c r="E217" s="4">
        <v>92700.0</v>
      </c>
      <c r="F217" s="4">
        <v>2574.0</v>
      </c>
      <c r="G217" s="4">
        <v>121.0</v>
      </c>
      <c r="H217" s="7" t="s">
        <v>2455</v>
      </c>
      <c r="I217" s="1" t="s">
        <v>720</v>
      </c>
      <c r="J217" s="1" t="s">
        <v>3707</v>
      </c>
      <c r="K217" s="9">
        <v>45453.97193287037</v>
      </c>
      <c r="L217" s="4">
        <v>1.718061575E9</v>
      </c>
      <c r="M217" s="1" t="s">
        <v>47</v>
      </c>
      <c r="N217" s="1" t="s">
        <v>47</v>
      </c>
      <c r="O217" s="1" t="s">
        <v>47</v>
      </c>
      <c r="P217" s="1" t="s">
        <v>47</v>
      </c>
      <c r="Q217" s="1" t="s">
        <v>47</v>
      </c>
      <c r="R217" s="1" t="s">
        <v>48</v>
      </c>
      <c r="S217" s="1" t="s">
        <v>3708</v>
      </c>
      <c r="T217" s="7" t="s">
        <v>3709</v>
      </c>
      <c r="U217" s="7" t="s">
        <v>2510</v>
      </c>
      <c r="V217" s="1" t="s">
        <v>717</v>
      </c>
      <c r="W217" s="1"/>
      <c r="X217" s="7" t="s">
        <v>3711</v>
      </c>
      <c r="Y217" s="1"/>
      <c r="Z217" s="4">
        <v>1446.0</v>
      </c>
      <c r="AA217" s="4">
        <v>16.0</v>
      </c>
      <c r="AB217" s="4">
        <v>223.0</v>
      </c>
      <c r="AC217" s="4">
        <v>32000.0</v>
      </c>
      <c r="AD217" s="1" t="s">
        <v>731</v>
      </c>
      <c r="AE217" s="1" t="s">
        <v>731</v>
      </c>
      <c r="AF217" s="1"/>
      <c r="AG217" s="1"/>
      <c r="AH217" s="1"/>
      <c r="AI217" s="1"/>
      <c r="AJ217" s="1"/>
      <c r="AK217" s="1"/>
      <c r="AL217" s="1">
        <f>IFERROR(__xludf.DUMMYFUNCTION("IF(
  TRIM(AD217)="""",
  0,
  COUNTA(
    SPLIT(
      REGEXREPLACE(AD217,""\s*,\s*"","",""),
      "",""
    )
  )
)"),5.0)</f>
        <v>5</v>
      </c>
    </row>
    <row r="218">
      <c r="A218" s="1" t="s">
        <v>3712</v>
      </c>
      <c r="B218" s="1" t="s">
        <v>3712</v>
      </c>
      <c r="C218" s="1" t="s">
        <v>3713</v>
      </c>
      <c r="D218" s="1" t="s">
        <v>3714</v>
      </c>
      <c r="E218" s="4">
        <v>1783.0</v>
      </c>
      <c r="F218" s="4">
        <v>7082.0</v>
      </c>
      <c r="G218" s="4">
        <v>93.0</v>
      </c>
      <c r="H218" s="7" t="s">
        <v>3715</v>
      </c>
      <c r="I218" s="1" t="s">
        <v>3716</v>
      </c>
      <c r="J218" s="1" t="s">
        <v>3717</v>
      </c>
      <c r="K218" s="9">
        <v>45965.97466435185</v>
      </c>
      <c r="L218" s="4">
        <v>1.762298611E9</v>
      </c>
      <c r="M218" s="1" t="s">
        <v>47</v>
      </c>
      <c r="N218" s="1" t="s">
        <v>47</v>
      </c>
      <c r="O218" s="1" t="s">
        <v>47</v>
      </c>
      <c r="P218" s="1" t="s">
        <v>47</v>
      </c>
      <c r="Q218" s="1" t="s">
        <v>47</v>
      </c>
      <c r="R218" s="1" t="s">
        <v>48</v>
      </c>
      <c r="S218" s="1" t="s">
        <v>3718</v>
      </c>
      <c r="T218" s="7" t="s">
        <v>3719</v>
      </c>
      <c r="U218" s="7" t="s">
        <v>3724</v>
      </c>
      <c r="V218" s="1" t="s">
        <v>3714</v>
      </c>
      <c r="W218" s="7" t="s">
        <v>3725</v>
      </c>
      <c r="X218" s="7" t="s">
        <v>3729</v>
      </c>
      <c r="Y218" s="1"/>
      <c r="Z218" s="4">
        <v>1062.0</v>
      </c>
      <c r="AA218" s="4">
        <v>81.0</v>
      </c>
      <c r="AB218" s="4">
        <v>151.0</v>
      </c>
      <c r="AC218" s="4">
        <v>11200.0</v>
      </c>
      <c r="AD218" s="1" t="s">
        <v>3731</v>
      </c>
      <c r="AE218" s="1" t="s">
        <v>3731</v>
      </c>
      <c r="AF218" s="1"/>
      <c r="AG218" s="1"/>
      <c r="AH218" s="1" t="s">
        <v>144</v>
      </c>
      <c r="AI218" s="1"/>
      <c r="AJ218" s="1"/>
      <c r="AK218" s="1"/>
      <c r="AL218" s="1">
        <f>IFERROR(__xludf.DUMMYFUNCTION("IF(
  TRIM(AD218)="""",
  0,
  COUNTA(
    SPLIT(
      REGEXREPLACE(AD218,""\s*,\s*"","",""),
      "",""
    )
  )
)"),5.0)</f>
        <v>5</v>
      </c>
    </row>
    <row r="219">
      <c r="A219" s="1" t="s">
        <v>3733</v>
      </c>
      <c r="B219" s="1" t="s">
        <v>3733</v>
      </c>
      <c r="C219" s="1" t="s">
        <v>69</v>
      </c>
      <c r="D219" s="1" t="s">
        <v>70</v>
      </c>
      <c r="E219" s="4">
        <v>176100.0</v>
      </c>
      <c r="F219" s="4">
        <v>889.0</v>
      </c>
      <c r="G219" s="4">
        <v>777.0</v>
      </c>
      <c r="H219" s="7" t="s">
        <v>330</v>
      </c>
      <c r="I219" s="1" t="s">
        <v>3734</v>
      </c>
      <c r="J219" s="1"/>
      <c r="K219" s="9">
        <v>45980.9296412037</v>
      </c>
      <c r="L219" s="4">
        <v>1.763590721E9</v>
      </c>
      <c r="M219" s="1" t="s">
        <v>47</v>
      </c>
      <c r="N219" s="1" t="s">
        <v>47</v>
      </c>
      <c r="O219" s="1" t="s">
        <v>47</v>
      </c>
      <c r="P219" s="1" t="s">
        <v>47</v>
      </c>
      <c r="Q219" s="1" t="s">
        <v>47</v>
      </c>
      <c r="R219" s="1" t="s">
        <v>3735</v>
      </c>
      <c r="S219" s="1" t="s">
        <v>3736</v>
      </c>
      <c r="T219" s="7" t="s">
        <v>3737</v>
      </c>
      <c r="U219" s="7" t="s">
        <v>3738</v>
      </c>
      <c r="V219" s="1" t="s">
        <v>3739</v>
      </c>
      <c r="W219" s="7" t="s">
        <v>3740</v>
      </c>
      <c r="X219" s="7" t="s">
        <v>3746</v>
      </c>
      <c r="Y219" s="1"/>
      <c r="Z219" s="4">
        <v>904.0</v>
      </c>
      <c r="AA219" s="4">
        <v>24.0</v>
      </c>
      <c r="AB219" s="4">
        <v>87.0</v>
      </c>
      <c r="AC219" s="4">
        <v>7484.0</v>
      </c>
      <c r="AD219" s="1" t="s">
        <v>3747</v>
      </c>
      <c r="AE219" s="1" t="s">
        <v>3747</v>
      </c>
      <c r="AF219" s="1"/>
      <c r="AG219" s="1"/>
      <c r="AH219" s="1"/>
      <c r="AI219" s="1"/>
      <c r="AJ219" s="1"/>
      <c r="AK219" s="1"/>
      <c r="AL219" s="1">
        <f>IFERROR(__xludf.DUMMYFUNCTION("IF(
  TRIM(AD219)="""",
  0,
  COUNTA(
    SPLIT(
      REGEXREPLACE(AD219,""\s*,\s*"","",""),
      "",""
    )
  )
)"),5.0)</f>
        <v>5</v>
      </c>
    </row>
    <row r="220">
      <c r="A220" s="1" t="s">
        <v>3748</v>
      </c>
      <c r="B220" s="1" t="s">
        <v>3748</v>
      </c>
      <c r="C220" s="1" t="s">
        <v>3749</v>
      </c>
      <c r="D220" s="1" t="s">
        <v>279</v>
      </c>
      <c r="E220" s="4">
        <v>813.0</v>
      </c>
      <c r="F220" s="4">
        <v>0.0</v>
      </c>
      <c r="G220" s="4">
        <v>47.0</v>
      </c>
      <c r="H220" s="7" t="s">
        <v>3750</v>
      </c>
      <c r="I220" s="1" t="s">
        <v>3755</v>
      </c>
      <c r="J220" s="1"/>
      <c r="K220" s="9">
        <v>45981.990532407406</v>
      </c>
      <c r="L220" s="4">
        <v>1.763682382E9</v>
      </c>
      <c r="M220" s="1" t="s">
        <v>47</v>
      </c>
      <c r="N220" s="1" t="s">
        <v>47</v>
      </c>
      <c r="O220" s="1" t="s">
        <v>47</v>
      </c>
      <c r="P220" s="1" t="s">
        <v>47</v>
      </c>
      <c r="Q220" s="1" t="s">
        <v>47</v>
      </c>
      <c r="R220" s="1" t="s">
        <v>48</v>
      </c>
      <c r="S220" s="1" t="s">
        <v>3756</v>
      </c>
      <c r="T220" s="7" t="s">
        <v>3757</v>
      </c>
      <c r="U220" s="7" t="s">
        <v>3761</v>
      </c>
      <c r="V220" s="1" t="s">
        <v>279</v>
      </c>
      <c r="W220" s="7" t="s">
        <v>3762</v>
      </c>
      <c r="X220" s="7" t="s">
        <v>3764</v>
      </c>
      <c r="Y220" s="1"/>
      <c r="Z220" s="4">
        <v>818.0</v>
      </c>
      <c r="AA220" s="4">
        <v>15.0</v>
      </c>
      <c r="AB220" s="4">
        <v>164.0</v>
      </c>
      <c r="AC220" s="4">
        <v>12600.0</v>
      </c>
      <c r="AD220" s="1" t="s">
        <v>3765</v>
      </c>
      <c r="AE220" s="1" t="s">
        <v>3765</v>
      </c>
      <c r="AF220" s="1"/>
      <c r="AG220" s="1"/>
      <c r="AH220" s="1"/>
      <c r="AI220" s="1"/>
      <c r="AJ220" s="1"/>
      <c r="AK220" s="1"/>
      <c r="AL220" s="1">
        <f>IFERROR(__xludf.DUMMYFUNCTION("IF(
  TRIM(AD220)="""",
  0,
  COUNTA(
    SPLIT(
      REGEXREPLACE(AD220,""\s*,\s*"","",""),
      "",""
    )
  )
)"),5.0)</f>
        <v>5</v>
      </c>
    </row>
    <row r="221">
      <c r="A221" s="1" t="s">
        <v>3766</v>
      </c>
      <c r="B221" s="1" t="s">
        <v>3766</v>
      </c>
      <c r="C221" s="1" t="s">
        <v>3062</v>
      </c>
      <c r="D221" s="1" t="s">
        <v>3063</v>
      </c>
      <c r="E221" s="4">
        <v>216300.0</v>
      </c>
      <c r="F221" s="4">
        <v>3822.0</v>
      </c>
      <c r="G221" s="4">
        <v>551.0</v>
      </c>
      <c r="H221" s="7" t="s">
        <v>3394</v>
      </c>
      <c r="I221" s="1" t="s">
        <v>3767</v>
      </c>
      <c r="J221" s="1" t="s">
        <v>3768</v>
      </c>
      <c r="K221" s="9">
        <v>45980.01262731481</v>
      </c>
      <c r="L221" s="4">
        <v>1.763511491E9</v>
      </c>
      <c r="M221" s="1" t="s">
        <v>47</v>
      </c>
      <c r="N221" s="1" t="s">
        <v>47</v>
      </c>
      <c r="O221" s="1" t="s">
        <v>47</v>
      </c>
      <c r="P221" s="1" t="s">
        <v>47</v>
      </c>
      <c r="Q221" s="1" t="s">
        <v>47</v>
      </c>
      <c r="R221" s="1" t="s">
        <v>48</v>
      </c>
      <c r="S221" s="1" t="s">
        <v>3769</v>
      </c>
      <c r="T221" s="7" t="s">
        <v>3771</v>
      </c>
      <c r="U221" s="7" t="s">
        <v>3484</v>
      </c>
      <c r="V221" s="1" t="s">
        <v>3063</v>
      </c>
      <c r="W221" s="7" t="s">
        <v>3773</v>
      </c>
      <c r="X221" s="7" t="s">
        <v>3774</v>
      </c>
      <c r="Y221" s="1"/>
      <c r="Z221" s="4">
        <v>758.0</v>
      </c>
      <c r="AA221" s="4">
        <v>91.0</v>
      </c>
      <c r="AB221" s="4">
        <v>143.0</v>
      </c>
      <c r="AC221" s="4">
        <v>11700.0</v>
      </c>
      <c r="AD221" s="1" t="s">
        <v>3776</v>
      </c>
      <c r="AE221" s="1" t="s">
        <v>3776</v>
      </c>
      <c r="AF221" s="1"/>
      <c r="AG221" s="1"/>
      <c r="AH221" s="1"/>
      <c r="AI221" s="1"/>
      <c r="AJ221" s="1"/>
      <c r="AK221" s="1"/>
      <c r="AL221" s="1">
        <f>IFERROR(__xludf.DUMMYFUNCTION("IF(
  TRIM(AD221)="""",
  0,
  COUNTA(
    SPLIT(
      REGEXREPLACE(AD221,""\s*,\s*"","",""),
      "",""
    )
  )
)"),5.0)</f>
        <v>5</v>
      </c>
    </row>
    <row r="222">
      <c r="A222" s="1" t="s">
        <v>3777</v>
      </c>
      <c r="B222" s="1" t="s">
        <v>3777</v>
      </c>
      <c r="C222" s="1" t="s">
        <v>3778</v>
      </c>
      <c r="D222" s="1" t="s">
        <v>3779</v>
      </c>
      <c r="E222" s="4">
        <v>52100.0</v>
      </c>
      <c r="F222" s="4">
        <v>7448.0</v>
      </c>
      <c r="G222" s="4">
        <v>263.0</v>
      </c>
      <c r="H222" s="7" t="s">
        <v>3780</v>
      </c>
      <c r="I222" s="1" t="s">
        <v>3781</v>
      </c>
      <c r="J222" s="1"/>
      <c r="K222" s="9">
        <v>45261.576261574075</v>
      </c>
      <c r="L222" s="4">
        <v>1.701438589E9</v>
      </c>
      <c r="M222" s="1" t="s">
        <v>47</v>
      </c>
      <c r="N222" s="1" t="s">
        <v>47</v>
      </c>
      <c r="O222" s="1" t="s">
        <v>47</v>
      </c>
      <c r="P222" s="1" t="s">
        <v>47</v>
      </c>
      <c r="Q222" s="1" t="s">
        <v>47</v>
      </c>
      <c r="R222" s="1" t="s">
        <v>2776</v>
      </c>
      <c r="S222" s="1" t="s">
        <v>2777</v>
      </c>
      <c r="T222" s="1"/>
      <c r="U222" s="7" t="s">
        <v>3782</v>
      </c>
      <c r="V222" s="1" t="s">
        <v>2780</v>
      </c>
      <c r="W222" s="7" t="s">
        <v>3783</v>
      </c>
      <c r="X222" s="7" t="s">
        <v>3785</v>
      </c>
      <c r="Y222" s="1"/>
      <c r="Z222" s="4">
        <v>729.0</v>
      </c>
      <c r="AA222" s="4">
        <v>6.0</v>
      </c>
      <c r="AB222" s="4">
        <v>130.0</v>
      </c>
      <c r="AC222" s="4">
        <v>26800.0</v>
      </c>
      <c r="AD222" s="1" t="s">
        <v>3786</v>
      </c>
      <c r="AE222" s="1" t="s">
        <v>3787</v>
      </c>
      <c r="AF222" s="1"/>
      <c r="AG222" s="1"/>
      <c r="AH222" s="1"/>
      <c r="AI222" s="1"/>
      <c r="AJ222" s="1"/>
      <c r="AK222" s="1"/>
      <c r="AL222" s="1">
        <f>IFERROR(__xludf.DUMMYFUNCTION("IF(
  TRIM(AD222)="""",
  0,
  COUNTA(
    SPLIT(
      REGEXREPLACE(AD222,""\s*,\s*"","",""),
      "",""
    )
  )
)"),5.0)</f>
        <v>5</v>
      </c>
    </row>
    <row r="223">
      <c r="A223" s="1" t="s">
        <v>3788</v>
      </c>
      <c r="B223" s="1" t="s">
        <v>3788</v>
      </c>
      <c r="C223" s="1" t="s">
        <v>69</v>
      </c>
      <c r="D223" s="1" t="s">
        <v>70</v>
      </c>
      <c r="E223" s="4">
        <v>176100.0</v>
      </c>
      <c r="F223" s="4">
        <v>889.0</v>
      </c>
      <c r="G223" s="4">
        <v>777.0</v>
      </c>
      <c r="H223" s="7" t="s">
        <v>330</v>
      </c>
      <c r="I223" s="1" t="s">
        <v>3789</v>
      </c>
      <c r="J223" s="1"/>
      <c r="K223" s="9">
        <v>45635.027546296296</v>
      </c>
      <c r="L223" s="4">
        <v>1.73370478E9</v>
      </c>
      <c r="M223" s="1" t="s">
        <v>47</v>
      </c>
      <c r="N223" s="1" t="s">
        <v>47</v>
      </c>
      <c r="O223" s="1" t="s">
        <v>47</v>
      </c>
      <c r="P223" s="1" t="s">
        <v>47</v>
      </c>
      <c r="Q223" s="1" t="s">
        <v>47</v>
      </c>
      <c r="R223" s="1" t="s">
        <v>3790</v>
      </c>
      <c r="S223" s="1" t="s">
        <v>3791</v>
      </c>
      <c r="T223" s="7" t="s">
        <v>3792</v>
      </c>
      <c r="U223" s="7" t="s">
        <v>3793</v>
      </c>
      <c r="V223" s="1" t="s">
        <v>3794</v>
      </c>
      <c r="W223" s="7" t="s">
        <v>3795</v>
      </c>
      <c r="X223" s="7" t="s">
        <v>3798</v>
      </c>
      <c r="Y223" s="1"/>
      <c r="Z223" s="4">
        <v>640.0</v>
      </c>
      <c r="AA223" s="4">
        <v>3.0</v>
      </c>
      <c r="AB223" s="4">
        <v>125.0</v>
      </c>
      <c r="AC223" s="4">
        <v>7500.0</v>
      </c>
      <c r="AD223" s="1" t="s">
        <v>3799</v>
      </c>
      <c r="AE223" s="1" t="s">
        <v>3799</v>
      </c>
      <c r="AF223" s="1"/>
      <c r="AG223" s="1"/>
      <c r="AH223" s="1"/>
      <c r="AI223" s="1"/>
      <c r="AJ223" s="1"/>
      <c r="AK223" s="1"/>
      <c r="AL223" s="1">
        <f>IFERROR(__xludf.DUMMYFUNCTION("IF(
  TRIM(AD223)="""",
  0,
  COUNTA(
    SPLIT(
      REGEXREPLACE(AD223,""\s*,\s*"","",""),
      "",""
    )
  )
)"),5.0)</f>
        <v>5</v>
      </c>
    </row>
    <row r="224">
      <c r="A224" s="1" t="s">
        <v>3800</v>
      </c>
      <c r="B224" s="1" t="s">
        <v>3800</v>
      </c>
      <c r="C224" s="1" t="s">
        <v>3801</v>
      </c>
      <c r="D224" s="1" t="s">
        <v>3802</v>
      </c>
      <c r="E224" s="4">
        <v>23400.0</v>
      </c>
      <c r="F224" s="4">
        <v>39.0</v>
      </c>
      <c r="G224" s="4">
        <v>177.0</v>
      </c>
      <c r="H224" s="7" t="s">
        <v>3803</v>
      </c>
      <c r="I224" s="1" t="s">
        <v>3804</v>
      </c>
      <c r="J224" s="1" t="s">
        <v>3805</v>
      </c>
      <c r="K224" s="9">
        <v>45152.61372685185</v>
      </c>
      <c r="L224" s="4">
        <v>1.692024226E9</v>
      </c>
      <c r="M224" s="1" t="s">
        <v>47</v>
      </c>
      <c r="N224" s="1" t="s">
        <v>47</v>
      </c>
      <c r="O224" s="1" t="s">
        <v>47</v>
      </c>
      <c r="P224" s="1" t="s">
        <v>47</v>
      </c>
      <c r="Q224" s="1" t="s">
        <v>47</v>
      </c>
      <c r="R224" s="1" t="s">
        <v>48</v>
      </c>
      <c r="S224" s="1" t="s">
        <v>3806</v>
      </c>
      <c r="T224" s="7" t="s">
        <v>3807</v>
      </c>
      <c r="U224" s="7" t="s">
        <v>3808</v>
      </c>
      <c r="V224" s="1" t="s">
        <v>3802</v>
      </c>
      <c r="W224" s="7" t="s">
        <v>3810</v>
      </c>
      <c r="X224" s="7" t="s">
        <v>3811</v>
      </c>
      <c r="Y224" s="1"/>
      <c r="Z224" s="4">
        <v>576.0</v>
      </c>
      <c r="AA224" s="4">
        <v>22.0</v>
      </c>
      <c r="AB224" s="4">
        <v>195.0</v>
      </c>
      <c r="AC224" s="4">
        <v>13400.0</v>
      </c>
      <c r="AD224" s="1" t="s">
        <v>3813</v>
      </c>
      <c r="AE224" s="1" t="s">
        <v>3813</v>
      </c>
      <c r="AF224" s="1"/>
      <c r="AG224" s="1"/>
      <c r="AH224" s="1" t="s">
        <v>300</v>
      </c>
      <c r="AI224" s="1"/>
      <c r="AJ224" s="1"/>
      <c r="AK224" s="1"/>
      <c r="AL224" s="1">
        <f>IFERROR(__xludf.DUMMYFUNCTION("IF(
  TRIM(AD224)="""",
  0,
  COUNTA(
    SPLIT(
      REGEXREPLACE(AD224,""\s*,\s*"","",""),
      "",""
    )
  )
)"),5.0)</f>
        <v>5</v>
      </c>
    </row>
    <row r="225">
      <c r="A225" s="1" t="s">
        <v>3814</v>
      </c>
      <c r="B225" s="1" t="s">
        <v>3814</v>
      </c>
      <c r="C225" s="1" t="s">
        <v>3749</v>
      </c>
      <c r="D225" s="1" t="s">
        <v>279</v>
      </c>
      <c r="E225" s="4">
        <v>813.0</v>
      </c>
      <c r="F225" s="4">
        <v>0.0</v>
      </c>
      <c r="G225" s="4">
        <v>47.0</v>
      </c>
      <c r="H225" s="7" t="s">
        <v>3750</v>
      </c>
      <c r="I225" s="1" t="s">
        <v>3815</v>
      </c>
      <c r="J225" s="1"/>
      <c r="K225" s="9">
        <v>45980.947488425925</v>
      </c>
      <c r="L225" s="4">
        <v>1.763592263E9</v>
      </c>
      <c r="M225" s="1" t="s">
        <v>47</v>
      </c>
      <c r="N225" s="1" t="s">
        <v>47</v>
      </c>
      <c r="O225" s="1" t="s">
        <v>47</v>
      </c>
      <c r="P225" s="1" t="s">
        <v>47</v>
      </c>
      <c r="Q225" s="1" t="s">
        <v>47</v>
      </c>
      <c r="R225" s="1" t="s">
        <v>48</v>
      </c>
      <c r="S225" s="1" t="s">
        <v>3816</v>
      </c>
      <c r="T225" s="7" t="s">
        <v>3817</v>
      </c>
      <c r="U225" s="7" t="s">
        <v>3761</v>
      </c>
      <c r="V225" s="1" t="s">
        <v>279</v>
      </c>
      <c r="W225" s="7" t="s">
        <v>3819</v>
      </c>
      <c r="X225" s="7" t="s">
        <v>3820</v>
      </c>
      <c r="Y225" s="1"/>
      <c r="Z225" s="4">
        <v>566.0</v>
      </c>
      <c r="AA225" s="4">
        <v>2.0</v>
      </c>
      <c r="AB225" s="4">
        <v>27.0</v>
      </c>
      <c r="AC225" s="4">
        <v>7525.0</v>
      </c>
      <c r="AD225" s="1" t="s">
        <v>3765</v>
      </c>
      <c r="AE225" s="1" t="s">
        <v>3765</v>
      </c>
      <c r="AF225" s="1"/>
      <c r="AG225" s="1"/>
      <c r="AH225" s="1"/>
      <c r="AI225" s="1"/>
      <c r="AJ225" s="1"/>
      <c r="AK225" s="1"/>
      <c r="AL225" s="1">
        <f>IFERROR(__xludf.DUMMYFUNCTION("IF(
  TRIM(AD225)="""",
  0,
  COUNTA(
    SPLIT(
      REGEXREPLACE(AD225,""\s*,\s*"","",""),
      "",""
    )
  )
)"),5.0)</f>
        <v>5</v>
      </c>
    </row>
    <row r="226">
      <c r="A226" s="1" t="s">
        <v>3821</v>
      </c>
      <c r="B226" s="1" t="s">
        <v>3821</v>
      </c>
      <c r="C226" s="1" t="s">
        <v>3822</v>
      </c>
      <c r="D226" s="1" t="s">
        <v>3823</v>
      </c>
      <c r="E226" s="4">
        <v>17.0</v>
      </c>
      <c r="F226" s="4">
        <v>115.0</v>
      </c>
      <c r="G226" s="4">
        <v>15.0</v>
      </c>
      <c r="H226" s="7" t="s">
        <v>3824</v>
      </c>
      <c r="I226" s="1" t="s">
        <v>3827</v>
      </c>
      <c r="J226" s="1"/>
      <c r="K226" s="9">
        <v>45790.511469907404</v>
      </c>
      <c r="L226" s="4">
        <v>1.747138591E9</v>
      </c>
      <c r="M226" s="1" t="s">
        <v>47</v>
      </c>
      <c r="N226" s="1" t="s">
        <v>47</v>
      </c>
      <c r="O226" s="1" t="s">
        <v>47</v>
      </c>
      <c r="P226" s="1" t="s">
        <v>47</v>
      </c>
      <c r="Q226" s="1" t="s">
        <v>47</v>
      </c>
      <c r="R226" s="1" t="s">
        <v>48</v>
      </c>
      <c r="S226" s="1" t="s">
        <v>3828</v>
      </c>
      <c r="T226" s="7" t="s">
        <v>3829</v>
      </c>
      <c r="U226" s="7" t="s">
        <v>3834</v>
      </c>
      <c r="V226" s="1" t="s">
        <v>3823</v>
      </c>
      <c r="W226" s="7" t="s">
        <v>3835</v>
      </c>
      <c r="X226" s="7" t="s">
        <v>3837</v>
      </c>
      <c r="Y226" s="1"/>
      <c r="Z226" s="4">
        <v>447.0</v>
      </c>
      <c r="AA226" s="4">
        <v>1.0</v>
      </c>
      <c r="AB226" s="4">
        <v>3.0</v>
      </c>
      <c r="AC226" s="4">
        <v>2576.0</v>
      </c>
      <c r="AD226" s="1" t="s">
        <v>3838</v>
      </c>
      <c r="AE226" s="1" t="s">
        <v>3838</v>
      </c>
      <c r="AF226" s="1"/>
      <c r="AG226" s="1"/>
      <c r="AH226" s="1" t="s">
        <v>2014</v>
      </c>
      <c r="AI226" s="1"/>
      <c r="AJ226" s="1"/>
      <c r="AK226" s="1"/>
      <c r="AL226" s="1">
        <f>IFERROR(__xludf.DUMMYFUNCTION("IF(
  TRIM(AD226)="""",
  0,
  COUNTA(
    SPLIT(
      REGEXREPLACE(AD226,""\s*,\s*"","",""),
      "",""
    )
  )
)"),5.0)</f>
        <v>5</v>
      </c>
    </row>
    <row r="227">
      <c r="A227" s="1" t="s">
        <v>3839</v>
      </c>
      <c r="B227" s="1" t="s">
        <v>3839</v>
      </c>
      <c r="C227" s="1" t="s">
        <v>3840</v>
      </c>
      <c r="D227" s="1" t="s">
        <v>3841</v>
      </c>
      <c r="E227" s="4">
        <v>129.0</v>
      </c>
      <c r="F227" s="4">
        <v>75.0</v>
      </c>
      <c r="G227" s="4">
        <v>14.0</v>
      </c>
      <c r="H227" s="7" t="s">
        <v>3842</v>
      </c>
      <c r="I227" s="1" t="s">
        <v>3844</v>
      </c>
      <c r="J227" s="1"/>
      <c r="K227" s="9">
        <v>45913.94210648148</v>
      </c>
      <c r="L227" s="4">
        <v>1.757802998E9</v>
      </c>
      <c r="M227" s="1" t="s">
        <v>47</v>
      </c>
      <c r="N227" s="1" t="s">
        <v>47</v>
      </c>
      <c r="O227" s="1" t="s">
        <v>47</v>
      </c>
      <c r="P227" s="1" t="s">
        <v>47</v>
      </c>
      <c r="Q227" s="1" t="s">
        <v>47</v>
      </c>
      <c r="R227" s="1" t="s">
        <v>48</v>
      </c>
      <c r="S227" s="1" t="s">
        <v>3845</v>
      </c>
      <c r="T227" s="7" t="s">
        <v>3846</v>
      </c>
      <c r="U227" s="7" t="s">
        <v>3848</v>
      </c>
      <c r="V227" s="1" t="s">
        <v>3841</v>
      </c>
      <c r="W227" s="7" t="s">
        <v>3851</v>
      </c>
      <c r="X227" s="7" t="s">
        <v>3853</v>
      </c>
      <c r="Y227" s="1"/>
      <c r="Z227" s="4">
        <v>400.0</v>
      </c>
      <c r="AA227" s="4">
        <v>25.0</v>
      </c>
      <c r="AB227" s="4">
        <v>112.0</v>
      </c>
      <c r="AC227" s="4">
        <v>20000.0</v>
      </c>
      <c r="AD227" s="1" t="s">
        <v>3854</v>
      </c>
      <c r="AE227" s="1" t="s">
        <v>3854</v>
      </c>
      <c r="AF227" s="1"/>
      <c r="AG227" s="1"/>
      <c r="AH227" s="1" t="s">
        <v>300</v>
      </c>
      <c r="AI227" s="1"/>
      <c r="AJ227" s="1"/>
      <c r="AK227" s="1"/>
      <c r="AL227" s="1">
        <f>IFERROR(__xludf.DUMMYFUNCTION("IF(
  TRIM(AD227)="""",
  0,
  COUNTA(
    SPLIT(
      REGEXREPLACE(AD227,""\s*,\s*"","",""),
      "",""
    )
  )
)"),5.0)</f>
        <v>5</v>
      </c>
    </row>
    <row r="228">
      <c r="A228" s="1" t="s">
        <v>3855</v>
      </c>
      <c r="B228" s="1" t="s">
        <v>3855</v>
      </c>
      <c r="C228" s="1" t="s">
        <v>1933</v>
      </c>
      <c r="D228" s="1" t="s">
        <v>1934</v>
      </c>
      <c r="E228" s="4">
        <v>4293.0</v>
      </c>
      <c r="F228" s="4">
        <v>2.0</v>
      </c>
      <c r="G228" s="4">
        <v>87.0</v>
      </c>
      <c r="H228" s="7" t="s">
        <v>1937</v>
      </c>
      <c r="I228" s="1" t="s">
        <v>3856</v>
      </c>
      <c r="J228" s="1"/>
      <c r="K228" s="9">
        <v>45989.073287037034</v>
      </c>
      <c r="L228" s="4">
        <v>1.764294332E9</v>
      </c>
      <c r="M228" s="1" t="s">
        <v>47</v>
      </c>
      <c r="N228" s="1" t="s">
        <v>47</v>
      </c>
      <c r="O228" s="1" t="s">
        <v>47</v>
      </c>
      <c r="P228" s="1" t="s">
        <v>47</v>
      </c>
      <c r="Q228" s="1" t="s">
        <v>47</v>
      </c>
      <c r="R228" s="1" t="s">
        <v>48</v>
      </c>
      <c r="S228" s="1" t="s">
        <v>3857</v>
      </c>
      <c r="T228" s="7" t="s">
        <v>3858</v>
      </c>
      <c r="U228" s="7" t="s">
        <v>1945</v>
      </c>
      <c r="V228" s="1" t="s">
        <v>1934</v>
      </c>
      <c r="W228" s="7" t="s">
        <v>3860</v>
      </c>
      <c r="X228" s="7" t="s">
        <v>3861</v>
      </c>
      <c r="Y228" s="1"/>
      <c r="Z228" s="4">
        <v>399.0</v>
      </c>
      <c r="AA228" s="4">
        <v>11.0</v>
      </c>
      <c r="AB228" s="4">
        <v>81.0</v>
      </c>
      <c r="AC228" s="4">
        <v>7338.0</v>
      </c>
      <c r="AD228" s="1" t="s">
        <v>3862</v>
      </c>
      <c r="AE228" s="1" t="s">
        <v>3862</v>
      </c>
      <c r="AF228" s="1"/>
      <c r="AG228" s="1"/>
      <c r="AH228" s="1" t="s">
        <v>918</v>
      </c>
      <c r="AI228" s="1"/>
      <c r="AJ228" s="1"/>
      <c r="AK228" s="1"/>
      <c r="AL228" s="1">
        <f>IFERROR(__xludf.DUMMYFUNCTION("IF(
  TRIM(AD228)="""",
  0,
  COUNTA(
    SPLIT(
      REGEXREPLACE(AD228,""\s*,\s*"","",""),
      "",""
    )
  )
)"),5.0)</f>
        <v>5</v>
      </c>
    </row>
    <row r="229">
      <c r="A229" s="1" t="s">
        <v>3863</v>
      </c>
      <c r="B229" s="1" t="s">
        <v>3863</v>
      </c>
      <c r="C229" s="1" t="s">
        <v>3085</v>
      </c>
      <c r="D229" s="1" t="s">
        <v>3086</v>
      </c>
      <c r="E229" s="4">
        <v>1253.0</v>
      </c>
      <c r="F229" s="4">
        <v>157.0</v>
      </c>
      <c r="G229" s="4">
        <v>81.0</v>
      </c>
      <c r="H229" s="7" t="s">
        <v>3864</v>
      </c>
      <c r="I229" s="1" t="s">
        <v>3868</v>
      </c>
      <c r="J229" s="1"/>
      <c r="K229" s="9">
        <v>45964.7421875</v>
      </c>
      <c r="L229" s="4">
        <v>1.762192125E9</v>
      </c>
      <c r="M229" s="1" t="s">
        <v>47</v>
      </c>
      <c r="N229" s="1" t="s">
        <v>47</v>
      </c>
      <c r="O229" s="1" t="s">
        <v>47</v>
      </c>
      <c r="P229" s="1" t="s">
        <v>47</v>
      </c>
      <c r="Q229" s="1" t="s">
        <v>47</v>
      </c>
      <c r="R229" s="1" t="s">
        <v>48</v>
      </c>
      <c r="S229" s="1" t="s">
        <v>3869</v>
      </c>
      <c r="T229" s="7" t="s">
        <v>3870</v>
      </c>
      <c r="U229" s="7" t="s">
        <v>3875</v>
      </c>
      <c r="V229" s="1" t="s">
        <v>3086</v>
      </c>
      <c r="W229" s="7" t="s">
        <v>3876</v>
      </c>
      <c r="X229" s="7" t="s">
        <v>3878</v>
      </c>
      <c r="Y229" s="1"/>
      <c r="Z229" s="4">
        <v>356.0</v>
      </c>
      <c r="AA229" s="4">
        <v>20.0</v>
      </c>
      <c r="AB229" s="4">
        <v>36.0</v>
      </c>
      <c r="AC229" s="4">
        <v>6414.0</v>
      </c>
      <c r="AD229" s="1" t="s">
        <v>3880</v>
      </c>
      <c r="AE229" s="1" t="s">
        <v>3880</v>
      </c>
      <c r="AF229" s="1"/>
      <c r="AG229" s="1"/>
      <c r="AH229" s="1"/>
      <c r="AI229" s="1"/>
      <c r="AJ229" s="1"/>
      <c r="AK229" s="1"/>
      <c r="AL229" s="1">
        <f>IFERROR(__xludf.DUMMYFUNCTION("IF(
  TRIM(AD229)="""",
  0,
  COUNTA(
    SPLIT(
      REGEXREPLACE(AD229,""\s*,\s*"","",""),
      "",""
    )
  )
)"),5.0)</f>
        <v>5</v>
      </c>
    </row>
    <row r="230">
      <c r="A230" s="1" t="s">
        <v>3881</v>
      </c>
      <c r="B230" s="1" t="s">
        <v>3881</v>
      </c>
      <c r="C230" s="1" t="s">
        <v>3882</v>
      </c>
      <c r="D230" s="1" t="s">
        <v>3883</v>
      </c>
      <c r="E230" s="4">
        <v>30.0</v>
      </c>
      <c r="F230" s="4">
        <v>149.0</v>
      </c>
      <c r="G230" s="4">
        <v>16.0</v>
      </c>
      <c r="H230" s="7" t="s">
        <v>3884</v>
      </c>
      <c r="I230" s="1" t="s">
        <v>3885</v>
      </c>
      <c r="J230" s="1" t="s">
        <v>3886</v>
      </c>
      <c r="K230" s="9">
        <v>45663.943703703706</v>
      </c>
      <c r="L230" s="4">
        <v>1.736203136E9</v>
      </c>
      <c r="M230" s="1" t="s">
        <v>47</v>
      </c>
      <c r="N230" s="1" t="s">
        <v>47</v>
      </c>
      <c r="O230" s="1" t="s">
        <v>47</v>
      </c>
      <c r="P230" s="1" t="s">
        <v>47</v>
      </c>
      <c r="Q230" s="1" t="s">
        <v>47</v>
      </c>
      <c r="R230" s="1" t="s">
        <v>48</v>
      </c>
      <c r="S230" s="1" t="s">
        <v>3887</v>
      </c>
      <c r="T230" s="7" t="s">
        <v>3888</v>
      </c>
      <c r="U230" s="7" t="s">
        <v>3891</v>
      </c>
      <c r="V230" s="1" t="s">
        <v>3883</v>
      </c>
      <c r="W230" s="1"/>
      <c r="X230" s="7" t="s">
        <v>3897</v>
      </c>
      <c r="Y230" s="1"/>
      <c r="Z230" s="4">
        <v>325.0</v>
      </c>
      <c r="AA230" s="4">
        <v>17.0</v>
      </c>
      <c r="AB230" s="4">
        <v>150.0</v>
      </c>
      <c r="AC230" s="4">
        <v>8785.0</v>
      </c>
      <c r="AD230" s="1" t="s">
        <v>3898</v>
      </c>
      <c r="AE230" s="1" t="s">
        <v>3898</v>
      </c>
      <c r="AF230" s="1"/>
      <c r="AG230" s="1"/>
      <c r="AH230" s="1"/>
      <c r="AI230" s="1"/>
      <c r="AJ230" s="1"/>
      <c r="AK230" s="1"/>
      <c r="AL230" s="1">
        <f>IFERROR(__xludf.DUMMYFUNCTION("IF(
  TRIM(AD230)="""",
  0,
  COUNTA(
    SPLIT(
      REGEXREPLACE(AD230,""\s*,\s*"","",""),
      "",""
    )
  )
)"),5.0)</f>
        <v>5</v>
      </c>
    </row>
    <row r="231">
      <c r="A231" s="1" t="s">
        <v>3899</v>
      </c>
      <c r="B231" s="1" t="s">
        <v>3899</v>
      </c>
      <c r="C231" s="1" t="s">
        <v>3749</v>
      </c>
      <c r="D231" s="1" t="s">
        <v>279</v>
      </c>
      <c r="E231" s="4">
        <v>813.0</v>
      </c>
      <c r="F231" s="4">
        <v>0.0</v>
      </c>
      <c r="G231" s="4">
        <v>47.0</v>
      </c>
      <c r="H231" s="7" t="s">
        <v>3750</v>
      </c>
      <c r="I231" s="1" t="s">
        <v>3900</v>
      </c>
      <c r="J231" s="1"/>
      <c r="K231" s="9">
        <v>45976.96461805556</v>
      </c>
      <c r="L231" s="4">
        <v>1.763248143E9</v>
      </c>
      <c r="M231" s="1" t="s">
        <v>47</v>
      </c>
      <c r="N231" s="1" t="s">
        <v>47</v>
      </c>
      <c r="O231" s="1" t="s">
        <v>47</v>
      </c>
      <c r="P231" s="1" t="s">
        <v>47</v>
      </c>
      <c r="Q231" s="1" t="s">
        <v>47</v>
      </c>
      <c r="R231" s="1" t="s">
        <v>48</v>
      </c>
      <c r="S231" s="1" t="s">
        <v>3901</v>
      </c>
      <c r="T231" s="7" t="s">
        <v>3902</v>
      </c>
      <c r="U231" s="7" t="s">
        <v>3761</v>
      </c>
      <c r="V231" s="1" t="s">
        <v>279</v>
      </c>
      <c r="W231" s="7" t="s">
        <v>3906</v>
      </c>
      <c r="X231" s="7" t="s">
        <v>3907</v>
      </c>
      <c r="Y231" s="1"/>
      <c r="Z231" s="4">
        <v>255.0</v>
      </c>
      <c r="AA231" s="4">
        <v>3.0</v>
      </c>
      <c r="AB231" s="4">
        <v>27.0</v>
      </c>
      <c r="AC231" s="4">
        <v>4204.0</v>
      </c>
      <c r="AD231" s="1" t="s">
        <v>3908</v>
      </c>
      <c r="AE231" s="1" t="s">
        <v>3908</v>
      </c>
      <c r="AF231" s="1"/>
      <c r="AG231" s="1"/>
      <c r="AH231" s="1"/>
      <c r="AI231" s="1"/>
      <c r="AJ231" s="1"/>
      <c r="AK231" s="1"/>
      <c r="AL231" s="1">
        <f>IFERROR(__xludf.DUMMYFUNCTION("IF(
  TRIM(AD231)="""",
  0,
  COUNTA(
    SPLIT(
      REGEXREPLACE(AD231,""\s*,\s*"","",""),
      "",""
    )
  )
)"),5.0)</f>
        <v>5</v>
      </c>
    </row>
    <row r="232">
      <c r="A232" s="1" t="s">
        <v>3909</v>
      </c>
      <c r="B232" s="1" t="s">
        <v>3909</v>
      </c>
      <c r="C232" s="1" t="s">
        <v>3749</v>
      </c>
      <c r="D232" s="1" t="s">
        <v>279</v>
      </c>
      <c r="E232" s="4">
        <v>813.0</v>
      </c>
      <c r="F232" s="4">
        <v>0.0</v>
      </c>
      <c r="G232" s="4">
        <v>47.0</v>
      </c>
      <c r="H232" s="7" t="s">
        <v>3750</v>
      </c>
      <c r="I232" s="1" t="s">
        <v>3911</v>
      </c>
      <c r="J232" s="1"/>
      <c r="K232" s="9">
        <v>45986.79759259259</v>
      </c>
      <c r="L232" s="4">
        <v>1.764097712E9</v>
      </c>
      <c r="M232" s="1" t="s">
        <v>47</v>
      </c>
      <c r="N232" s="1" t="s">
        <v>47</v>
      </c>
      <c r="O232" s="1" t="s">
        <v>47</v>
      </c>
      <c r="P232" s="1" t="s">
        <v>47</v>
      </c>
      <c r="Q232" s="1" t="s">
        <v>47</v>
      </c>
      <c r="R232" s="1" t="s">
        <v>48</v>
      </c>
      <c r="S232" s="1" t="s">
        <v>3912</v>
      </c>
      <c r="T232" s="7" t="s">
        <v>3913</v>
      </c>
      <c r="U232" s="7" t="s">
        <v>3761</v>
      </c>
      <c r="V232" s="1" t="s">
        <v>279</v>
      </c>
      <c r="W232" s="7" t="s">
        <v>3920</v>
      </c>
      <c r="X232" s="7" t="s">
        <v>3925</v>
      </c>
      <c r="Y232" s="1"/>
      <c r="Z232" s="4">
        <v>219.0</v>
      </c>
      <c r="AA232" s="4">
        <v>1.0</v>
      </c>
      <c r="AB232" s="4">
        <v>39.0</v>
      </c>
      <c r="AC232" s="4">
        <v>3390.0</v>
      </c>
      <c r="AD232" s="1" t="s">
        <v>3926</v>
      </c>
      <c r="AE232" s="1" t="s">
        <v>3926</v>
      </c>
      <c r="AF232" s="1"/>
      <c r="AG232" s="1"/>
      <c r="AH232" s="1" t="s">
        <v>121</v>
      </c>
      <c r="AI232" s="1"/>
      <c r="AJ232" s="1"/>
      <c r="AK232" s="1"/>
      <c r="AL232" s="1">
        <f>IFERROR(__xludf.DUMMYFUNCTION("IF(
  TRIM(AD232)="""",
  0,
  COUNTA(
    SPLIT(
      REGEXREPLACE(AD232,""\s*,\s*"","",""),
      "",""
    )
  )
)"),5.0)</f>
        <v>5</v>
      </c>
    </row>
    <row r="233">
      <c r="A233" s="1" t="s">
        <v>3927</v>
      </c>
      <c r="B233" s="1" t="s">
        <v>3927</v>
      </c>
      <c r="C233" s="1" t="s">
        <v>3749</v>
      </c>
      <c r="D233" s="1" t="s">
        <v>279</v>
      </c>
      <c r="E233" s="4">
        <v>813.0</v>
      </c>
      <c r="F233" s="4">
        <v>0.0</v>
      </c>
      <c r="G233" s="4">
        <v>47.0</v>
      </c>
      <c r="H233" s="7" t="s">
        <v>3750</v>
      </c>
      <c r="I233" s="1" t="s">
        <v>3928</v>
      </c>
      <c r="J233" s="1"/>
      <c r="K233" s="9">
        <v>45978.75714120371</v>
      </c>
      <c r="L233" s="4">
        <v>1.763403017E9</v>
      </c>
      <c r="M233" s="1" t="s">
        <v>47</v>
      </c>
      <c r="N233" s="1" t="s">
        <v>47</v>
      </c>
      <c r="O233" s="1" t="s">
        <v>47</v>
      </c>
      <c r="P233" s="1" t="s">
        <v>47</v>
      </c>
      <c r="Q233" s="1" t="s">
        <v>47</v>
      </c>
      <c r="R233" s="1" t="s">
        <v>48</v>
      </c>
      <c r="S233" s="1" t="s">
        <v>3929</v>
      </c>
      <c r="T233" s="7" t="s">
        <v>3930</v>
      </c>
      <c r="U233" s="7" t="s">
        <v>3761</v>
      </c>
      <c r="V233" s="1" t="s">
        <v>279</v>
      </c>
      <c r="W233" s="7" t="s">
        <v>3932</v>
      </c>
      <c r="X233" s="7" t="s">
        <v>3934</v>
      </c>
      <c r="Y233" s="1"/>
      <c r="Z233" s="4">
        <v>134.0</v>
      </c>
      <c r="AA233" s="4">
        <v>0.0</v>
      </c>
      <c r="AB233" s="4">
        <v>7.0</v>
      </c>
      <c r="AC233" s="4">
        <v>1927.0</v>
      </c>
      <c r="AD233" s="1" t="s">
        <v>3935</v>
      </c>
      <c r="AE233" s="1" t="s">
        <v>3935</v>
      </c>
      <c r="AF233" s="1"/>
      <c r="AG233" s="1"/>
      <c r="AH233" s="1" t="s">
        <v>918</v>
      </c>
      <c r="AI233" s="1"/>
      <c r="AJ233" s="1"/>
      <c r="AK233" s="1"/>
      <c r="AL233" s="1">
        <f>IFERROR(__xludf.DUMMYFUNCTION("IF(
  TRIM(AD233)="""",
  0,
  COUNTA(
    SPLIT(
      REGEXREPLACE(AD233,""\s*,\s*"","",""),
      "",""
    )
  )
)"),5.0)</f>
        <v>5</v>
      </c>
    </row>
    <row r="234">
      <c r="A234" s="1" t="s">
        <v>3936</v>
      </c>
      <c r="B234" s="1" t="s">
        <v>3936</v>
      </c>
      <c r="C234" s="1" t="s">
        <v>3937</v>
      </c>
      <c r="D234" s="1" t="s">
        <v>3938</v>
      </c>
      <c r="E234" s="4">
        <v>5265.0</v>
      </c>
      <c r="F234" s="4">
        <v>1522.0</v>
      </c>
      <c r="G234" s="4">
        <v>258.0</v>
      </c>
      <c r="H234" s="7" t="s">
        <v>3939</v>
      </c>
      <c r="I234" s="1" t="s">
        <v>3940</v>
      </c>
      <c r="J234" s="1" t="s">
        <v>3941</v>
      </c>
      <c r="K234" s="9">
        <v>45907.489652777775</v>
      </c>
      <c r="L234" s="4">
        <v>1.757245506E9</v>
      </c>
      <c r="M234" s="1" t="s">
        <v>47</v>
      </c>
      <c r="N234" s="1" t="s">
        <v>47</v>
      </c>
      <c r="O234" s="1" t="s">
        <v>47</v>
      </c>
      <c r="P234" s="1" t="s">
        <v>47</v>
      </c>
      <c r="Q234" s="1" t="s">
        <v>47</v>
      </c>
      <c r="R234" s="1" t="s">
        <v>942</v>
      </c>
      <c r="S234" s="1" t="s">
        <v>943</v>
      </c>
      <c r="T234" s="7" t="s">
        <v>944</v>
      </c>
      <c r="U234" s="7" t="s">
        <v>3942</v>
      </c>
      <c r="V234" s="1" t="s">
        <v>951</v>
      </c>
      <c r="W234" s="7" t="s">
        <v>3943</v>
      </c>
      <c r="X234" s="7" t="s">
        <v>3950</v>
      </c>
      <c r="Y234" s="1"/>
      <c r="Z234" s="4">
        <v>110.0</v>
      </c>
      <c r="AA234" s="4">
        <v>8.0</v>
      </c>
      <c r="AB234" s="4">
        <v>9.0</v>
      </c>
      <c r="AC234" s="4">
        <v>2510.0</v>
      </c>
      <c r="AD234" s="1" t="s">
        <v>3951</v>
      </c>
      <c r="AE234" s="1" t="s">
        <v>3952</v>
      </c>
      <c r="AF234" s="1"/>
      <c r="AG234" s="1"/>
      <c r="AH234" s="1" t="s">
        <v>97</v>
      </c>
      <c r="AI234" s="1"/>
      <c r="AJ234" s="1"/>
      <c r="AK234" s="1"/>
      <c r="AL234" s="1">
        <f>IFERROR(__xludf.DUMMYFUNCTION("IF(
  TRIM(AD234)="""",
  0,
  COUNTA(
    SPLIT(
      REGEXREPLACE(AD234,""\s*,\s*"","",""),
      "",""
    )
  )
)"),5.0)</f>
        <v>5</v>
      </c>
    </row>
    <row r="235">
      <c r="A235" s="1" t="s">
        <v>3953</v>
      </c>
      <c r="B235" s="1" t="s">
        <v>3953</v>
      </c>
      <c r="C235" s="1" t="s">
        <v>3749</v>
      </c>
      <c r="D235" s="1" t="s">
        <v>279</v>
      </c>
      <c r="E235" s="4">
        <v>813.0</v>
      </c>
      <c r="F235" s="4">
        <v>0.0</v>
      </c>
      <c r="G235" s="4">
        <v>47.0</v>
      </c>
      <c r="H235" s="7" t="s">
        <v>3750</v>
      </c>
      <c r="I235" s="1" t="s">
        <v>3954</v>
      </c>
      <c r="J235" s="1"/>
      <c r="K235" s="9">
        <v>45978.94436342592</v>
      </c>
      <c r="L235" s="4">
        <v>1.763419193E9</v>
      </c>
      <c r="M235" s="1" t="s">
        <v>47</v>
      </c>
      <c r="N235" s="1" t="s">
        <v>47</v>
      </c>
      <c r="O235" s="1" t="s">
        <v>47</v>
      </c>
      <c r="P235" s="1" t="s">
        <v>47</v>
      </c>
      <c r="Q235" s="1" t="s">
        <v>47</v>
      </c>
      <c r="R235" s="1" t="s">
        <v>48</v>
      </c>
      <c r="S235" s="1" t="s">
        <v>3955</v>
      </c>
      <c r="T235" s="7" t="s">
        <v>3956</v>
      </c>
      <c r="U235" s="7" t="s">
        <v>3761</v>
      </c>
      <c r="V235" s="1" t="s">
        <v>279</v>
      </c>
      <c r="W235" s="7" t="s">
        <v>3960</v>
      </c>
      <c r="X235" s="7" t="s">
        <v>3962</v>
      </c>
      <c r="Y235" s="1"/>
      <c r="Z235" s="4">
        <v>84.0</v>
      </c>
      <c r="AA235" s="4">
        <v>8.0</v>
      </c>
      <c r="AB235" s="4">
        <v>6.0</v>
      </c>
      <c r="AC235" s="4">
        <v>789.0</v>
      </c>
      <c r="AD235" s="1" t="s">
        <v>3963</v>
      </c>
      <c r="AE235" s="1" t="s">
        <v>3963</v>
      </c>
      <c r="AF235" s="1"/>
      <c r="AG235" s="1"/>
      <c r="AH235" s="1"/>
      <c r="AI235" s="1"/>
      <c r="AJ235" s="1"/>
      <c r="AK235" s="1"/>
      <c r="AL235" s="1">
        <f>IFERROR(__xludf.DUMMYFUNCTION("IF(
  TRIM(AD235)="""",
  0,
  COUNTA(
    SPLIT(
      REGEXREPLACE(AD235,""\s*,\s*"","",""),
      "",""
    )
  )
)"),5.0)</f>
        <v>5</v>
      </c>
    </row>
    <row r="236">
      <c r="A236" s="1" t="s">
        <v>3964</v>
      </c>
      <c r="B236" s="1" t="s">
        <v>3964</v>
      </c>
      <c r="C236" s="1" t="s">
        <v>3937</v>
      </c>
      <c r="D236" s="1" t="s">
        <v>3938</v>
      </c>
      <c r="E236" s="4">
        <v>5265.0</v>
      </c>
      <c r="F236" s="4">
        <v>1522.0</v>
      </c>
      <c r="G236" s="4">
        <v>258.0</v>
      </c>
      <c r="H236" s="7" t="s">
        <v>3939</v>
      </c>
      <c r="I236" s="1" t="s">
        <v>3965</v>
      </c>
      <c r="J236" s="1" t="s">
        <v>3966</v>
      </c>
      <c r="K236" s="9">
        <v>45908.92665509259</v>
      </c>
      <c r="L236" s="4">
        <v>1.757369663E9</v>
      </c>
      <c r="M236" s="1" t="s">
        <v>47</v>
      </c>
      <c r="N236" s="1" t="s">
        <v>47</v>
      </c>
      <c r="O236" s="1" t="s">
        <v>47</v>
      </c>
      <c r="P236" s="1" t="s">
        <v>47</v>
      </c>
      <c r="Q236" s="1" t="s">
        <v>47</v>
      </c>
      <c r="R236" s="1" t="s">
        <v>942</v>
      </c>
      <c r="S236" s="1" t="s">
        <v>943</v>
      </c>
      <c r="T236" s="7" t="s">
        <v>944</v>
      </c>
      <c r="U236" s="7" t="s">
        <v>3942</v>
      </c>
      <c r="V236" s="1" t="s">
        <v>951</v>
      </c>
      <c r="W236" s="7" t="s">
        <v>3967</v>
      </c>
      <c r="X236" s="7" t="s">
        <v>3969</v>
      </c>
      <c r="Y236" s="1"/>
      <c r="Z236" s="4">
        <v>74.0</v>
      </c>
      <c r="AA236" s="4">
        <v>3.0</v>
      </c>
      <c r="AB236" s="4">
        <v>3.0</v>
      </c>
      <c r="AC236" s="4">
        <v>770.0</v>
      </c>
      <c r="AD236" s="1" t="s">
        <v>3951</v>
      </c>
      <c r="AE236" s="1" t="s">
        <v>3952</v>
      </c>
      <c r="AF236" s="1"/>
      <c r="AG236" s="1"/>
      <c r="AH236" s="1" t="s">
        <v>97</v>
      </c>
      <c r="AI236" s="1"/>
      <c r="AJ236" s="1"/>
      <c r="AK236" s="1"/>
      <c r="AL236" s="1">
        <f>IFERROR(__xludf.DUMMYFUNCTION("IF(
  TRIM(AD236)="""",
  0,
  COUNTA(
    SPLIT(
      REGEXREPLACE(AD236,""\s*,\s*"","",""),
      "",""
    )
  )
)"),5.0)</f>
        <v>5</v>
      </c>
    </row>
    <row r="237">
      <c r="A237" s="1" t="s">
        <v>3970</v>
      </c>
      <c r="B237" s="1" t="s">
        <v>3970</v>
      </c>
      <c r="C237" s="1" t="s">
        <v>3971</v>
      </c>
      <c r="D237" s="1" t="s">
        <v>3972</v>
      </c>
      <c r="E237" s="4">
        <v>1519.0</v>
      </c>
      <c r="F237" s="4">
        <v>124.0</v>
      </c>
      <c r="G237" s="4">
        <v>64.0</v>
      </c>
      <c r="H237" s="7" t="s">
        <v>3973</v>
      </c>
      <c r="I237" s="1" t="s">
        <v>3975</v>
      </c>
      <c r="J237" s="1" t="s">
        <v>3976</v>
      </c>
      <c r="K237" s="9">
        <v>45963.46424768519</v>
      </c>
      <c r="L237" s="4">
        <v>1.762081711E9</v>
      </c>
      <c r="M237" s="1" t="s">
        <v>47</v>
      </c>
      <c r="N237" s="1" t="s">
        <v>47</v>
      </c>
      <c r="O237" s="1" t="s">
        <v>47</v>
      </c>
      <c r="P237" s="1" t="s">
        <v>47</v>
      </c>
      <c r="Q237" s="1" t="s">
        <v>47</v>
      </c>
      <c r="R237" s="1" t="s">
        <v>3977</v>
      </c>
      <c r="S237" s="1" t="s">
        <v>3978</v>
      </c>
      <c r="T237" s="7" t="s">
        <v>3979</v>
      </c>
      <c r="U237" s="7" t="s">
        <v>3981</v>
      </c>
      <c r="V237" s="1" t="s">
        <v>3983</v>
      </c>
      <c r="W237" s="7" t="s">
        <v>3984</v>
      </c>
      <c r="X237" s="7" t="s">
        <v>3986</v>
      </c>
      <c r="Y237" s="1"/>
      <c r="Z237" s="4">
        <v>59.0</v>
      </c>
      <c r="AA237" s="4">
        <v>9.0</v>
      </c>
      <c r="AB237" s="4">
        <v>9.0</v>
      </c>
      <c r="AC237" s="4">
        <v>1181.0</v>
      </c>
      <c r="AD237" s="1" t="s">
        <v>3987</v>
      </c>
      <c r="AE237" s="1" t="s">
        <v>3987</v>
      </c>
      <c r="AF237" s="1"/>
      <c r="AG237" s="1"/>
      <c r="AH237" s="1"/>
      <c r="AI237" s="1"/>
      <c r="AJ237" s="1"/>
      <c r="AK237" s="1"/>
      <c r="AL237" s="1">
        <f>IFERROR(__xludf.DUMMYFUNCTION("IF(
  TRIM(AD237)="""",
  0,
  COUNTA(
    SPLIT(
      REGEXREPLACE(AD237,""\s*,\s*"","",""),
      "",""
    )
  )
)"),5.0)</f>
        <v>5</v>
      </c>
    </row>
    <row r="238">
      <c r="A238" s="1" t="s">
        <v>3988</v>
      </c>
      <c r="B238" s="1" t="s">
        <v>3988</v>
      </c>
      <c r="C238" s="1" t="s">
        <v>3937</v>
      </c>
      <c r="D238" s="1" t="s">
        <v>3938</v>
      </c>
      <c r="E238" s="4">
        <v>5265.0</v>
      </c>
      <c r="F238" s="4">
        <v>1522.0</v>
      </c>
      <c r="G238" s="4">
        <v>258.0</v>
      </c>
      <c r="H238" s="7" t="s">
        <v>3939</v>
      </c>
      <c r="I238" s="1" t="s">
        <v>3990</v>
      </c>
      <c r="J238" s="1"/>
      <c r="K238" s="9">
        <v>45902.98351851852</v>
      </c>
      <c r="L238" s="4">
        <v>1.756856176E9</v>
      </c>
      <c r="M238" s="1" t="s">
        <v>47</v>
      </c>
      <c r="N238" s="1" t="s">
        <v>47</v>
      </c>
      <c r="O238" s="1" t="s">
        <v>47</v>
      </c>
      <c r="P238" s="1" t="s">
        <v>47</v>
      </c>
      <c r="Q238" s="1" t="s">
        <v>47</v>
      </c>
      <c r="R238" s="1" t="s">
        <v>3991</v>
      </c>
      <c r="S238" s="1" t="s">
        <v>3992</v>
      </c>
      <c r="T238" s="7" t="s">
        <v>3993</v>
      </c>
      <c r="U238" s="7" t="s">
        <v>3994</v>
      </c>
      <c r="V238" s="1" t="s">
        <v>3995</v>
      </c>
      <c r="W238" s="7" t="s">
        <v>3996</v>
      </c>
      <c r="X238" s="7" t="s">
        <v>3998</v>
      </c>
      <c r="Y238" s="1"/>
      <c r="Z238" s="4">
        <v>45.0</v>
      </c>
      <c r="AA238" s="4">
        <v>0.0</v>
      </c>
      <c r="AB238" s="4">
        <v>4.0</v>
      </c>
      <c r="AC238" s="4">
        <v>776.0</v>
      </c>
      <c r="AD238" s="1" t="s">
        <v>3999</v>
      </c>
      <c r="AE238" s="1" t="s">
        <v>3999</v>
      </c>
      <c r="AF238" s="1"/>
      <c r="AG238" s="1"/>
      <c r="AH238" s="1" t="s">
        <v>97</v>
      </c>
      <c r="AI238" s="1"/>
      <c r="AJ238" s="1"/>
      <c r="AK238" s="1"/>
      <c r="AL238" s="1">
        <f>IFERROR(__xludf.DUMMYFUNCTION("IF(
  TRIM(AD238)="""",
  0,
  COUNTA(
    SPLIT(
      REGEXREPLACE(AD238,""\s*,\s*"","",""),
      "",""
    )
  )
)"),5.0)</f>
        <v>5</v>
      </c>
    </row>
    <row r="239">
      <c r="A239" s="1" t="s">
        <v>4000</v>
      </c>
      <c r="B239" s="1" t="s">
        <v>4000</v>
      </c>
      <c r="C239" s="1" t="s">
        <v>4001</v>
      </c>
      <c r="D239" s="1" t="s">
        <v>4002</v>
      </c>
      <c r="E239" s="4">
        <v>1356.0</v>
      </c>
      <c r="F239" s="4">
        <v>3211.0</v>
      </c>
      <c r="G239" s="4">
        <v>202.0</v>
      </c>
      <c r="H239" s="7" t="s">
        <v>4003</v>
      </c>
      <c r="I239" s="1" t="s">
        <v>4004</v>
      </c>
      <c r="J239" s="1" t="s">
        <v>4005</v>
      </c>
      <c r="K239" s="9">
        <v>45987.81619212963</v>
      </c>
      <c r="L239" s="4">
        <v>1.764185719E9</v>
      </c>
      <c r="M239" s="1" t="s">
        <v>47</v>
      </c>
      <c r="N239" s="1" t="s">
        <v>47</v>
      </c>
      <c r="O239" s="1" t="s">
        <v>47</v>
      </c>
      <c r="P239" s="1" t="s">
        <v>47</v>
      </c>
      <c r="Q239" s="1" t="s">
        <v>47</v>
      </c>
      <c r="R239" s="1" t="s">
        <v>204</v>
      </c>
      <c r="S239" s="1" t="s">
        <v>4006</v>
      </c>
      <c r="T239" s="7" t="s">
        <v>4007</v>
      </c>
      <c r="U239" s="7" t="s">
        <v>4013</v>
      </c>
      <c r="V239" s="4" t="s">
        <v>4014</v>
      </c>
      <c r="W239" s="7" t="s">
        <v>4015</v>
      </c>
      <c r="X239" s="7" t="s">
        <v>4017</v>
      </c>
      <c r="Y239" s="1"/>
      <c r="Z239" s="4">
        <v>15.0</v>
      </c>
      <c r="AA239" s="4">
        <v>1.0</v>
      </c>
      <c r="AB239" s="4">
        <v>5.0</v>
      </c>
      <c r="AC239" s="4">
        <v>345.0</v>
      </c>
      <c r="AD239" s="1" t="s">
        <v>4018</v>
      </c>
      <c r="AE239" s="1" t="s">
        <v>4018</v>
      </c>
      <c r="AF239" s="1"/>
      <c r="AG239" s="1"/>
      <c r="AH239" s="1"/>
      <c r="AI239" s="1"/>
      <c r="AJ239" s="1"/>
      <c r="AK239" s="1"/>
      <c r="AL239" s="1">
        <f>IFERROR(__xludf.DUMMYFUNCTION("IF(
  TRIM(AD239)="""",
  0,
  COUNTA(
    SPLIT(
      REGEXREPLACE(AD239,""\s*,\s*"","",""),
      "",""
    )
  )
)"),5.0)</f>
        <v>5</v>
      </c>
    </row>
    <row r="240">
      <c r="A240" s="1" t="s">
        <v>221</v>
      </c>
      <c r="B240" s="1" t="s">
        <v>221</v>
      </c>
      <c r="C240" s="1" t="s">
        <v>222</v>
      </c>
      <c r="D240" s="1" t="s">
        <v>223</v>
      </c>
      <c r="E240" s="4">
        <v>11900.0</v>
      </c>
      <c r="F240" s="4">
        <v>52400.0</v>
      </c>
      <c r="G240" s="4">
        <v>160.0</v>
      </c>
      <c r="H240" s="7" t="s">
        <v>4019</v>
      </c>
      <c r="I240" s="1" t="s">
        <v>225</v>
      </c>
      <c r="J240" s="1" t="s">
        <v>226</v>
      </c>
      <c r="K240" s="9">
        <v>45533.59100694444</v>
      </c>
      <c r="L240" s="4">
        <v>1.724940663E9</v>
      </c>
      <c r="M240" s="1" t="s">
        <v>47</v>
      </c>
      <c r="N240" s="1" t="s">
        <v>47</v>
      </c>
      <c r="O240" s="1" t="s">
        <v>47</v>
      </c>
      <c r="P240" s="1" t="s">
        <v>47</v>
      </c>
      <c r="Q240" s="1" t="s">
        <v>47</v>
      </c>
      <c r="R240" s="1" t="s">
        <v>48</v>
      </c>
      <c r="S240" s="1" t="s">
        <v>227</v>
      </c>
      <c r="T240" s="7" t="s">
        <v>4026</v>
      </c>
      <c r="U240" s="7" t="s">
        <v>4028</v>
      </c>
      <c r="V240" s="1" t="s">
        <v>235</v>
      </c>
      <c r="W240" s="1"/>
      <c r="X240" s="7" t="s">
        <v>236</v>
      </c>
      <c r="Y240" s="1"/>
      <c r="Z240" s="4">
        <v>264200.0</v>
      </c>
      <c r="AA240" s="4">
        <v>0.0</v>
      </c>
      <c r="AB240" s="4">
        <v>27100.0</v>
      </c>
      <c r="AC240" s="4">
        <v>1600000.0</v>
      </c>
      <c r="AD240" s="1" t="s">
        <v>237</v>
      </c>
      <c r="AE240" s="1" t="s">
        <v>237</v>
      </c>
      <c r="AF240" s="1"/>
      <c r="AG240" s="1"/>
      <c r="AH240" s="1" t="s">
        <v>121</v>
      </c>
      <c r="AI240" s="1"/>
      <c r="AJ240" s="1"/>
      <c r="AK240" s="1"/>
      <c r="AL240" s="1">
        <f>IFERROR(__xludf.DUMMYFUNCTION("IF(
  TRIM(AD240)="""",
  0,
  COUNTA(
    SPLIT(
      REGEXREPLACE(AD240,""\s*,\s*"","",""),
      "",""
    )
  )
)"),6.0)</f>
        <v>6</v>
      </c>
    </row>
    <row r="241">
      <c r="A241" s="1" t="s">
        <v>397</v>
      </c>
      <c r="B241" s="1" t="s">
        <v>397</v>
      </c>
      <c r="C241" s="1" t="s">
        <v>296</v>
      </c>
      <c r="D241" s="1" t="s">
        <v>297</v>
      </c>
      <c r="E241" s="4">
        <v>81500.0</v>
      </c>
      <c r="F241" s="4">
        <v>1728.0</v>
      </c>
      <c r="G241" s="4">
        <v>33.0</v>
      </c>
      <c r="H241" s="7" t="s">
        <v>2349</v>
      </c>
      <c r="I241" s="1" t="s">
        <v>398</v>
      </c>
      <c r="J241" s="1" t="s">
        <v>399</v>
      </c>
      <c r="K241" s="9">
        <v>45456.89424768519</v>
      </c>
      <c r="L241" s="4">
        <v>1.718314063E9</v>
      </c>
      <c r="M241" s="1" t="s">
        <v>47</v>
      </c>
      <c r="N241" s="1" t="s">
        <v>47</v>
      </c>
      <c r="O241" s="1" t="s">
        <v>47</v>
      </c>
      <c r="P241" s="1" t="s">
        <v>47</v>
      </c>
      <c r="Q241" s="1" t="s">
        <v>47</v>
      </c>
      <c r="R241" s="1" t="s">
        <v>48</v>
      </c>
      <c r="S241" s="1" t="s">
        <v>400</v>
      </c>
      <c r="T241" s="7" t="s">
        <v>4033</v>
      </c>
      <c r="U241" s="7" t="s">
        <v>2355</v>
      </c>
      <c r="V241" s="1" t="s">
        <v>297</v>
      </c>
      <c r="W241" s="7" t="s">
        <v>4035</v>
      </c>
      <c r="X241" s="7" t="s">
        <v>405</v>
      </c>
      <c r="Y241" s="1"/>
      <c r="Z241" s="4">
        <v>165600.0</v>
      </c>
      <c r="AA241" s="4">
        <v>6749.0</v>
      </c>
      <c r="AB241" s="4">
        <v>29700.0</v>
      </c>
      <c r="AC241" s="4">
        <v>2500000.0</v>
      </c>
      <c r="AD241" s="1" t="s">
        <v>406</v>
      </c>
      <c r="AE241" s="1" t="s">
        <v>406</v>
      </c>
      <c r="AF241" s="1"/>
      <c r="AG241" s="1"/>
      <c r="AH241" s="1"/>
      <c r="AI241" s="1"/>
      <c r="AJ241" s="1"/>
      <c r="AK241" s="1"/>
      <c r="AL241" s="1">
        <f>IFERROR(__xludf.DUMMYFUNCTION("IF(
  TRIM(AD241)="""",
  0,
  COUNTA(
    SPLIT(
      REGEXREPLACE(AD241,""\s*,\s*"","",""),
      "",""
    )
  )
)"),6.0)</f>
        <v>6</v>
      </c>
    </row>
    <row r="242">
      <c r="A242" s="1" t="s">
        <v>517</v>
      </c>
      <c r="B242" s="1" t="s">
        <v>517</v>
      </c>
      <c r="C242" s="1" t="s">
        <v>518</v>
      </c>
      <c r="D242" s="1" t="s">
        <v>519</v>
      </c>
      <c r="E242" s="4">
        <v>300600.0</v>
      </c>
      <c r="F242" s="4">
        <v>21500.0</v>
      </c>
      <c r="G242" s="4">
        <v>278.0</v>
      </c>
      <c r="H242" s="7" t="s">
        <v>4036</v>
      </c>
      <c r="I242" s="1" t="s">
        <v>521</v>
      </c>
      <c r="J242" s="1" t="s">
        <v>522</v>
      </c>
      <c r="K242" s="9">
        <v>45171.63244212963</v>
      </c>
      <c r="L242" s="4">
        <v>1.693667443E9</v>
      </c>
      <c r="M242" s="1" t="s">
        <v>47</v>
      </c>
      <c r="N242" s="1" t="s">
        <v>47</v>
      </c>
      <c r="O242" s="1" t="s">
        <v>47</v>
      </c>
      <c r="P242" s="1" t="s">
        <v>47</v>
      </c>
      <c r="Q242" s="1" t="s">
        <v>47</v>
      </c>
      <c r="R242" s="1" t="s">
        <v>48</v>
      </c>
      <c r="S242" s="1" t="s">
        <v>523</v>
      </c>
      <c r="T242" s="7" t="s">
        <v>4037</v>
      </c>
      <c r="U242" s="7" t="s">
        <v>4040</v>
      </c>
      <c r="V242" s="1" t="s">
        <v>519</v>
      </c>
      <c r="W242" s="7" t="s">
        <v>4045</v>
      </c>
      <c r="X242" s="7" t="s">
        <v>529</v>
      </c>
      <c r="Y242" s="1"/>
      <c r="Z242" s="4">
        <v>137000.0</v>
      </c>
      <c r="AA242" s="4">
        <v>4997.0</v>
      </c>
      <c r="AB242" s="4">
        <v>34700.0</v>
      </c>
      <c r="AC242" s="4">
        <v>1800000.0</v>
      </c>
      <c r="AD242" s="1" t="s">
        <v>530</v>
      </c>
      <c r="AE242" s="1" t="s">
        <v>530</v>
      </c>
      <c r="AF242" s="1"/>
      <c r="AG242" s="1"/>
      <c r="AH242" s="1"/>
      <c r="AI242" s="1"/>
      <c r="AJ242" s="1"/>
      <c r="AK242" s="1"/>
      <c r="AL242" s="1">
        <f>IFERROR(__xludf.DUMMYFUNCTION("IF(
  TRIM(AD242)="""",
  0,
  COUNTA(
    SPLIT(
      REGEXREPLACE(AD242,""\s*,\s*"","",""),
      "",""
    )
  )
)"),6.0)</f>
        <v>6</v>
      </c>
    </row>
    <row r="243">
      <c r="A243" s="1" t="s">
        <v>879</v>
      </c>
      <c r="B243" s="1" t="s">
        <v>879</v>
      </c>
      <c r="C243" s="1" t="s">
        <v>239</v>
      </c>
      <c r="D243" s="1" t="s">
        <v>239</v>
      </c>
      <c r="E243" s="4">
        <v>29300.0</v>
      </c>
      <c r="F243" s="4">
        <v>135.0</v>
      </c>
      <c r="G243" s="4">
        <v>74.0</v>
      </c>
      <c r="H243" s="7" t="s">
        <v>4047</v>
      </c>
      <c r="I243" s="1" t="s">
        <v>881</v>
      </c>
      <c r="J243" s="1" t="s">
        <v>882</v>
      </c>
      <c r="K243" s="9">
        <v>45160.64540509259</v>
      </c>
      <c r="L243" s="4">
        <v>1.692718163E9</v>
      </c>
      <c r="M243" s="1" t="s">
        <v>47</v>
      </c>
      <c r="N243" s="1" t="s">
        <v>47</v>
      </c>
      <c r="O243" s="1" t="s">
        <v>47</v>
      </c>
      <c r="P243" s="1" t="s">
        <v>47</v>
      </c>
      <c r="Q243" s="1" t="s">
        <v>47</v>
      </c>
      <c r="R243" s="1" t="s">
        <v>883</v>
      </c>
      <c r="S243" s="1" t="s">
        <v>885</v>
      </c>
      <c r="T243" s="7" t="s">
        <v>4049</v>
      </c>
      <c r="U243" s="7" t="s">
        <v>4055</v>
      </c>
      <c r="V243" s="1" t="s">
        <v>889</v>
      </c>
      <c r="W243" s="7" t="s">
        <v>4057</v>
      </c>
      <c r="X243" s="7" t="s">
        <v>896</v>
      </c>
      <c r="Y243" s="1"/>
      <c r="Z243" s="4">
        <v>74000.0</v>
      </c>
      <c r="AA243" s="4">
        <v>2140.0</v>
      </c>
      <c r="AB243" s="4">
        <v>8576.0</v>
      </c>
      <c r="AC243" s="4">
        <v>771600.0</v>
      </c>
      <c r="AD243" s="1" t="s">
        <v>897</v>
      </c>
      <c r="AE243" s="1" t="s">
        <v>897</v>
      </c>
      <c r="AF243" s="1"/>
      <c r="AG243" s="1"/>
      <c r="AH243" s="1"/>
      <c r="AI243" s="1"/>
      <c r="AJ243" s="1"/>
      <c r="AK243" s="1"/>
      <c r="AL243" s="1">
        <f>IFERROR(__xludf.DUMMYFUNCTION("IF(
  TRIM(AD243)="""",
  0,
  COUNTA(
    SPLIT(
      REGEXREPLACE(AD243,""\s*,\s*"","",""),
      "",""
    )
  )
)"),6.0)</f>
        <v>6</v>
      </c>
    </row>
    <row r="244">
      <c r="A244" s="1" t="s">
        <v>939</v>
      </c>
      <c r="B244" s="1" t="s">
        <v>939</v>
      </c>
      <c r="C244" s="1" t="s">
        <v>940</v>
      </c>
      <c r="D244" s="1" t="s">
        <v>940</v>
      </c>
      <c r="E244" s="4">
        <v>24100.0</v>
      </c>
      <c r="F244" s="4">
        <v>6308.0</v>
      </c>
      <c r="G244" s="4">
        <v>1467.0</v>
      </c>
      <c r="H244" s="7" t="s">
        <v>4061</v>
      </c>
      <c r="I244" s="1" t="s">
        <v>946</v>
      </c>
      <c r="J244" s="1" t="s">
        <v>947</v>
      </c>
      <c r="K244" s="9">
        <v>45360.70167824074</v>
      </c>
      <c r="L244" s="4">
        <v>1.710003025E9</v>
      </c>
      <c r="M244" s="1" t="s">
        <v>47</v>
      </c>
      <c r="N244" s="1" t="s">
        <v>47</v>
      </c>
      <c r="O244" s="1" t="s">
        <v>47</v>
      </c>
      <c r="P244" s="1" t="s">
        <v>47</v>
      </c>
      <c r="Q244" s="1" t="s">
        <v>47</v>
      </c>
      <c r="R244" s="1" t="s">
        <v>948</v>
      </c>
      <c r="S244" s="1" t="s">
        <v>949</v>
      </c>
      <c r="T244" s="7" t="s">
        <v>950</v>
      </c>
      <c r="U244" s="7" t="s">
        <v>953</v>
      </c>
      <c r="V244" s="1" t="s">
        <v>954</v>
      </c>
      <c r="W244" s="1"/>
      <c r="X244" s="7" t="s">
        <v>955</v>
      </c>
      <c r="Y244" s="1"/>
      <c r="Z244" s="4">
        <v>68900.0</v>
      </c>
      <c r="AA244" s="4">
        <v>1870.0</v>
      </c>
      <c r="AB244" s="4">
        <v>16100.0</v>
      </c>
      <c r="AC244" s="4">
        <v>2000000.0</v>
      </c>
      <c r="AD244" s="1" t="s">
        <v>956</v>
      </c>
      <c r="AE244" s="1" t="s">
        <v>956</v>
      </c>
      <c r="AF244" s="1"/>
      <c r="AG244" s="1"/>
      <c r="AH244" s="1"/>
      <c r="AI244" s="1"/>
      <c r="AJ244" s="1"/>
      <c r="AK244" s="1"/>
      <c r="AL244" s="1">
        <f>IFERROR(__xludf.DUMMYFUNCTION("IF(
  TRIM(AD244)="""",
  0,
  COUNTA(
    SPLIT(
      REGEXREPLACE(AD244,""\s*,\s*"","",""),
      "",""
    )
  )
)"),6.0)</f>
        <v>6</v>
      </c>
    </row>
    <row r="245">
      <c r="A245" s="1" t="s">
        <v>2125</v>
      </c>
      <c r="B245" s="1" t="s">
        <v>2125</v>
      </c>
      <c r="C245" s="1" t="s">
        <v>2126</v>
      </c>
      <c r="D245" s="1" t="s">
        <v>2127</v>
      </c>
      <c r="E245" s="4">
        <v>106500.0</v>
      </c>
      <c r="F245" s="4">
        <v>1340.0</v>
      </c>
      <c r="G245" s="4">
        <v>450.0</v>
      </c>
      <c r="H245" s="7" t="s">
        <v>4064</v>
      </c>
      <c r="I245" s="1" t="s">
        <v>2131</v>
      </c>
      <c r="J245" s="1" t="s">
        <v>2132</v>
      </c>
      <c r="K245" s="9">
        <v>45724.90516203704</v>
      </c>
      <c r="L245" s="4">
        <v>1.741470206E9</v>
      </c>
      <c r="M245" s="1" t="s">
        <v>47</v>
      </c>
      <c r="N245" s="1" t="s">
        <v>47</v>
      </c>
      <c r="O245" s="1" t="s">
        <v>47</v>
      </c>
      <c r="P245" s="1" t="s">
        <v>47</v>
      </c>
      <c r="Q245" s="1" t="s">
        <v>47</v>
      </c>
      <c r="R245" s="1" t="s">
        <v>1610</v>
      </c>
      <c r="S245" s="1" t="s">
        <v>2133</v>
      </c>
      <c r="T245" s="7" t="s">
        <v>2134</v>
      </c>
      <c r="U245" s="7" t="s">
        <v>4067</v>
      </c>
      <c r="V245" s="1" t="s">
        <v>1615</v>
      </c>
      <c r="W245" s="7" t="s">
        <v>4068</v>
      </c>
      <c r="X245" s="7" t="s">
        <v>2137</v>
      </c>
      <c r="Y245" s="1"/>
      <c r="Z245" s="4">
        <v>15600.0</v>
      </c>
      <c r="AA245" s="4">
        <v>549.0</v>
      </c>
      <c r="AB245" s="4">
        <v>2067.0</v>
      </c>
      <c r="AC245" s="4">
        <v>729300.0</v>
      </c>
      <c r="AD245" s="1" t="s">
        <v>2139</v>
      </c>
      <c r="AE245" s="1" t="s">
        <v>2139</v>
      </c>
      <c r="AF245" s="1"/>
      <c r="AG245" s="1"/>
      <c r="AH245" s="1"/>
      <c r="AI245" s="1"/>
      <c r="AJ245" s="1"/>
      <c r="AK245" s="1"/>
      <c r="AL245" s="1">
        <f>IFERROR(__xludf.DUMMYFUNCTION("IF(
  TRIM(AD245)="""",
  0,
  COUNTA(
    SPLIT(
      REGEXREPLACE(AD245,""\s*,\s*"","",""),
      "",""
    )
  )
)"),6.0)</f>
        <v>6</v>
      </c>
    </row>
    <row r="246">
      <c r="A246" s="1" t="s">
        <v>4070</v>
      </c>
      <c r="B246" s="1" t="s">
        <v>4070</v>
      </c>
      <c r="C246" s="1" t="s">
        <v>4071</v>
      </c>
      <c r="D246" s="1" t="s">
        <v>4072</v>
      </c>
      <c r="E246" s="4">
        <v>14100.0</v>
      </c>
      <c r="F246" s="4">
        <v>341.0</v>
      </c>
      <c r="G246" s="4">
        <v>271.0</v>
      </c>
      <c r="H246" s="7" t="s">
        <v>4073</v>
      </c>
      <c r="I246" s="1" t="s">
        <v>4078</v>
      </c>
      <c r="J246" s="1"/>
      <c r="K246" s="9">
        <v>45818.669594907406</v>
      </c>
      <c r="L246" s="4">
        <v>1.749571453E9</v>
      </c>
      <c r="M246" s="1" t="s">
        <v>47</v>
      </c>
      <c r="N246" s="1" t="s">
        <v>47</v>
      </c>
      <c r="O246" s="1" t="s">
        <v>47</v>
      </c>
      <c r="P246" s="1" t="s">
        <v>47</v>
      </c>
      <c r="Q246" s="1" t="s">
        <v>47</v>
      </c>
      <c r="R246" s="1" t="s">
        <v>48</v>
      </c>
      <c r="S246" s="1" t="s">
        <v>4079</v>
      </c>
      <c r="T246" s="7" t="s">
        <v>4080</v>
      </c>
      <c r="U246" s="7" t="s">
        <v>4082</v>
      </c>
      <c r="V246" s="1" t="s">
        <v>4072</v>
      </c>
      <c r="W246" s="7" t="s">
        <v>4083</v>
      </c>
      <c r="X246" s="7" t="s">
        <v>4087</v>
      </c>
      <c r="Y246" s="1"/>
      <c r="Z246" s="4">
        <v>14400.0</v>
      </c>
      <c r="AA246" s="4">
        <v>301.0</v>
      </c>
      <c r="AB246" s="4">
        <v>5680.0</v>
      </c>
      <c r="AC246" s="4">
        <v>333100.0</v>
      </c>
      <c r="AD246" s="1" t="s">
        <v>4088</v>
      </c>
      <c r="AE246" s="1" t="s">
        <v>4088</v>
      </c>
      <c r="AF246" s="1"/>
      <c r="AG246" s="1"/>
      <c r="AH246" s="1"/>
      <c r="AI246" s="1"/>
      <c r="AJ246" s="1"/>
      <c r="AK246" s="1"/>
      <c r="AL246" s="1">
        <f>IFERROR(__xludf.DUMMYFUNCTION("IF(
  TRIM(AD246)="""",
  0,
  COUNTA(
    SPLIT(
      REGEXREPLACE(AD246,""\s*,\s*"","",""),
      "",""
    )
  )
)"),6.0)</f>
        <v>6</v>
      </c>
    </row>
    <row r="247">
      <c r="A247" s="1" t="s">
        <v>2448</v>
      </c>
      <c r="B247" s="1" t="s">
        <v>2448</v>
      </c>
      <c r="C247" s="1" t="s">
        <v>69</v>
      </c>
      <c r="D247" s="1" t="s">
        <v>70</v>
      </c>
      <c r="E247" s="4">
        <v>176100.0</v>
      </c>
      <c r="F247" s="4">
        <v>889.0</v>
      </c>
      <c r="G247" s="4">
        <v>777.0</v>
      </c>
      <c r="H247" s="7" t="s">
        <v>330</v>
      </c>
      <c r="I247" s="1" t="s">
        <v>2449</v>
      </c>
      <c r="J247" s="1"/>
      <c r="K247" s="9">
        <v>45396.00986111111</v>
      </c>
      <c r="L247" s="4">
        <v>1.713053652E9</v>
      </c>
      <c r="M247" s="1" t="s">
        <v>47</v>
      </c>
      <c r="N247" s="1" t="s">
        <v>47</v>
      </c>
      <c r="O247" s="1" t="s">
        <v>47</v>
      </c>
      <c r="P247" s="1" t="s">
        <v>47</v>
      </c>
      <c r="Q247" s="1" t="s">
        <v>47</v>
      </c>
      <c r="R247" s="1" t="s">
        <v>48</v>
      </c>
      <c r="S247" s="1" t="s">
        <v>2450</v>
      </c>
      <c r="T247" s="7" t="s">
        <v>4092</v>
      </c>
      <c r="U247" s="7" t="s">
        <v>355</v>
      </c>
      <c r="V247" s="1" t="s">
        <v>70</v>
      </c>
      <c r="W247" s="7" t="s">
        <v>4094</v>
      </c>
      <c r="X247" s="7" t="s">
        <v>2457</v>
      </c>
      <c r="Y247" s="1"/>
      <c r="Z247" s="4">
        <v>12300.0</v>
      </c>
      <c r="AA247" s="4">
        <v>158.0</v>
      </c>
      <c r="AB247" s="4">
        <v>1829.0</v>
      </c>
      <c r="AC247" s="4">
        <v>83100.0</v>
      </c>
      <c r="AD247" s="1" t="s">
        <v>2458</v>
      </c>
      <c r="AE247" s="1" t="s">
        <v>2458</v>
      </c>
      <c r="AF247" s="1"/>
      <c r="AG247" s="1"/>
      <c r="AH247" s="1"/>
      <c r="AI247" s="1"/>
      <c r="AJ247" s="1"/>
      <c r="AK247" s="1"/>
      <c r="AL247" s="1">
        <f>IFERROR(__xludf.DUMMYFUNCTION("IF(
  TRIM(AD247)="""",
  0,
  COUNTA(
    SPLIT(
      REGEXREPLACE(AD247,""\s*,\s*"","",""),
      "",""
    )
  )
)"),6.0)</f>
        <v>6</v>
      </c>
    </row>
    <row r="248">
      <c r="A248" s="1" t="s">
        <v>4101</v>
      </c>
      <c r="B248" s="1" t="s">
        <v>4101</v>
      </c>
      <c r="C248" s="1" t="s">
        <v>69</v>
      </c>
      <c r="D248" s="1" t="s">
        <v>70</v>
      </c>
      <c r="E248" s="4">
        <v>176100.0</v>
      </c>
      <c r="F248" s="4">
        <v>889.0</v>
      </c>
      <c r="G248" s="4">
        <v>777.0</v>
      </c>
      <c r="H248" s="7" t="s">
        <v>330</v>
      </c>
      <c r="I248" s="1" t="s">
        <v>4103</v>
      </c>
      <c r="J248" s="1"/>
      <c r="K248" s="9">
        <v>45634.017546296294</v>
      </c>
      <c r="L248" s="4">
        <v>1.733617516E9</v>
      </c>
      <c r="M248" s="1" t="s">
        <v>47</v>
      </c>
      <c r="N248" s="1" t="s">
        <v>47</v>
      </c>
      <c r="O248" s="1" t="s">
        <v>47</v>
      </c>
      <c r="P248" s="1" t="s">
        <v>47</v>
      </c>
      <c r="Q248" s="1" t="s">
        <v>47</v>
      </c>
      <c r="R248" s="1" t="s">
        <v>48</v>
      </c>
      <c r="S248" s="1" t="s">
        <v>4104</v>
      </c>
      <c r="T248" s="7" t="s">
        <v>4105</v>
      </c>
      <c r="U248" s="7" t="s">
        <v>355</v>
      </c>
      <c r="V248" s="1" t="s">
        <v>70</v>
      </c>
      <c r="W248" s="7" t="s">
        <v>4109</v>
      </c>
      <c r="X248" s="7" t="s">
        <v>4111</v>
      </c>
      <c r="Y248" s="1"/>
      <c r="Z248" s="4">
        <v>8965.0</v>
      </c>
      <c r="AA248" s="4">
        <v>225.0</v>
      </c>
      <c r="AB248" s="4">
        <v>1725.0</v>
      </c>
      <c r="AC248" s="4">
        <v>121000.0</v>
      </c>
      <c r="AD248" s="1" t="s">
        <v>4112</v>
      </c>
      <c r="AE248" s="1" t="s">
        <v>4112</v>
      </c>
      <c r="AF248" s="1"/>
      <c r="AG248" s="1"/>
      <c r="AH248" s="1"/>
      <c r="AI248" s="1"/>
      <c r="AJ248" s="1"/>
      <c r="AK248" s="1"/>
      <c r="AL248" s="1">
        <f>IFERROR(__xludf.DUMMYFUNCTION("IF(
  TRIM(AD248)="""",
  0,
  COUNTA(
    SPLIT(
      REGEXREPLACE(AD248,""\s*,\s*"","",""),
      "",""
    )
  )
)"),6.0)</f>
        <v>6</v>
      </c>
    </row>
    <row r="249">
      <c r="A249" s="1" t="s">
        <v>2761</v>
      </c>
      <c r="B249" s="1" t="s">
        <v>2761</v>
      </c>
      <c r="C249" s="1" t="s">
        <v>2762</v>
      </c>
      <c r="D249" s="1" t="s">
        <v>2763</v>
      </c>
      <c r="E249" s="4">
        <v>138400.0</v>
      </c>
      <c r="F249" s="4">
        <v>679.0</v>
      </c>
      <c r="G249" s="4">
        <v>238.0</v>
      </c>
      <c r="H249" s="7" t="s">
        <v>4114</v>
      </c>
      <c r="I249" s="1" t="s">
        <v>2766</v>
      </c>
      <c r="J249" s="1" t="s">
        <v>2767</v>
      </c>
      <c r="K249" s="9">
        <v>45183.00150462963</v>
      </c>
      <c r="L249" s="4">
        <v>1.69464973E9</v>
      </c>
      <c r="M249" s="1" t="s">
        <v>47</v>
      </c>
      <c r="N249" s="1" t="s">
        <v>47</v>
      </c>
      <c r="O249" s="1" t="s">
        <v>47</v>
      </c>
      <c r="P249" s="1" t="s">
        <v>47</v>
      </c>
      <c r="Q249" s="1" t="s">
        <v>47</v>
      </c>
      <c r="R249" s="1" t="s">
        <v>48</v>
      </c>
      <c r="S249" s="1" t="s">
        <v>2768</v>
      </c>
      <c r="T249" s="7" t="s">
        <v>4116</v>
      </c>
      <c r="U249" s="7" t="s">
        <v>3544</v>
      </c>
      <c r="V249" s="1" t="s">
        <v>2763</v>
      </c>
      <c r="W249" s="7" t="s">
        <v>4124</v>
      </c>
      <c r="X249" s="7" t="s">
        <v>2782</v>
      </c>
      <c r="Y249" s="1"/>
      <c r="Z249" s="4">
        <v>8939.0</v>
      </c>
      <c r="AA249" s="4">
        <v>162.0</v>
      </c>
      <c r="AB249" s="4">
        <v>1265.0</v>
      </c>
      <c r="AC249" s="4">
        <v>140300.0</v>
      </c>
      <c r="AD249" s="1" t="s">
        <v>2784</v>
      </c>
      <c r="AE249" s="1" t="s">
        <v>2784</v>
      </c>
      <c r="AF249" s="1"/>
      <c r="AG249" s="1"/>
      <c r="AH249" s="1"/>
      <c r="AI249" s="1"/>
      <c r="AJ249" s="1"/>
      <c r="AK249" s="1"/>
      <c r="AL249" s="1">
        <f>IFERROR(__xludf.DUMMYFUNCTION("IF(
  TRIM(AD249)="""",
  0,
  COUNTA(
    SPLIT(
      REGEXREPLACE(AD249,""\s*,\s*"","",""),
      "",""
    )
  )
)"),6.0)</f>
        <v>6</v>
      </c>
    </row>
    <row r="250">
      <c r="A250" s="1" t="s">
        <v>4128</v>
      </c>
      <c r="B250" s="1" t="s">
        <v>4128</v>
      </c>
      <c r="C250" s="1" t="s">
        <v>4129</v>
      </c>
      <c r="D250" s="1" t="s">
        <v>4130</v>
      </c>
      <c r="E250" s="4">
        <v>4656.0</v>
      </c>
      <c r="F250" s="4">
        <v>179.0</v>
      </c>
      <c r="G250" s="4">
        <v>63.0</v>
      </c>
      <c r="H250" s="7" t="s">
        <v>4131</v>
      </c>
      <c r="I250" s="1" t="s">
        <v>4133</v>
      </c>
      <c r="J250" s="1"/>
      <c r="K250" s="9">
        <v>45773.87631944445</v>
      </c>
      <c r="L250" s="4">
        <v>1.745701314E9</v>
      </c>
      <c r="M250" s="1" t="s">
        <v>47</v>
      </c>
      <c r="N250" s="1" t="s">
        <v>47</v>
      </c>
      <c r="O250" s="1" t="s">
        <v>47</v>
      </c>
      <c r="P250" s="1" t="s">
        <v>47</v>
      </c>
      <c r="Q250" s="1" t="s">
        <v>47</v>
      </c>
      <c r="R250" s="1" t="s">
        <v>48</v>
      </c>
      <c r="S250" s="1" t="s">
        <v>4134</v>
      </c>
      <c r="T250" s="7" t="s">
        <v>4135</v>
      </c>
      <c r="U250" s="7" t="s">
        <v>4136</v>
      </c>
      <c r="V250" s="1" t="s">
        <v>4130</v>
      </c>
      <c r="W250" s="7" t="s">
        <v>4143</v>
      </c>
      <c r="X250" s="7" t="s">
        <v>4146</v>
      </c>
      <c r="Y250" s="1"/>
      <c r="Z250" s="4">
        <v>6743.0</v>
      </c>
      <c r="AA250" s="4">
        <v>185.0</v>
      </c>
      <c r="AB250" s="4">
        <v>2191.0</v>
      </c>
      <c r="AC250" s="4">
        <v>154900.0</v>
      </c>
      <c r="AD250" s="1" t="s">
        <v>4148</v>
      </c>
      <c r="AE250" s="1" t="s">
        <v>4148</v>
      </c>
      <c r="AF250" s="1"/>
      <c r="AG250" s="1"/>
      <c r="AH250" s="1"/>
      <c r="AI250" s="1"/>
      <c r="AJ250" s="1"/>
      <c r="AK250" s="1"/>
      <c r="AL250" s="1">
        <f>IFERROR(__xludf.DUMMYFUNCTION("IF(
  TRIM(AD250)="""",
  0,
  COUNTA(
    SPLIT(
      REGEXREPLACE(AD250,""\s*,\s*"","",""),
      "",""
    )
  )
)"),6.0)</f>
        <v>6</v>
      </c>
    </row>
    <row r="251">
      <c r="A251" s="1" t="s">
        <v>4150</v>
      </c>
      <c r="B251" s="1" t="s">
        <v>4150</v>
      </c>
      <c r="C251" s="1" t="s">
        <v>4151</v>
      </c>
      <c r="D251" s="1" t="s">
        <v>4151</v>
      </c>
      <c r="E251" s="4">
        <v>20600.0</v>
      </c>
      <c r="F251" s="4">
        <v>2.0</v>
      </c>
      <c r="G251" s="4">
        <v>811.0</v>
      </c>
      <c r="H251" s="7" t="s">
        <v>4152</v>
      </c>
      <c r="I251" s="1" t="s">
        <v>4157</v>
      </c>
      <c r="J251" s="1" t="s">
        <v>4158</v>
      </c>
      <c r="K251" s="9">
        <v>45844.87363425926</v>
      </c>
      <c r="L251" s="4">
        <v>1.751835482E9</v>
      </c>
      <c r="M251" s="1" t="s">
        <v>47</v>
      </c>
      <c r="N251" s="1" t="s">
        <v>47</v>
      </c>
      <c r="O251" s="1" t="s">
        <v>47</v>
      </c>
      <c r="P251" s="1" t="s">
        <v>47</v>
      </c>
      <c r="Q251" s="1" t="s">
        <v>47</v>
      </c>
      <c r="R251" s="1" t="s">
        <v>204</v>
      </c>
      <c r="S251" s="1" t="s">
        <v>4159</v>
      </c>
      <c r="T251" s="7" t="s">
        <v>4160</v>
      </c>
      <c r="U251" s="7" t="s">
        <v>4164</v>
      </c>
      <c r="V251" s="1" t="s">
        <v>4151</v>
      </c>
      <c r="W251" s="7" t="s">
        <v>4166</v>
      </c>
      <c r="X251" s="7" t="s">
        <v>4168</v>
      </c>
      <c r="Y251" s="1"/>
      <c r="Z251" s="4">
        <v>5505.0</v>
      </c>
      <c r="AA251" s="4">
        <v>77.0</v>
      </c>
      <c r="AB251" s="4">
        <v>774.0</v>
      </c>
      <c r="AC251" s="4">
        <v>79500.0</v>
      </c>
      <c r="AD251" s="1" t="s">
        <v>4169</v>
      </c>
      <c r="AE251" s="1" t="s">
        <v>4169</v>
      </c>
      <c r="AF251" s="1"/>
      <c r="AG251" s="1"/>
      <c r="AH251" s="1"/>
      <c r="AI251" s="1"/>
      <c r="AJ251" s="1"/>
      <c r="AK251" s="1"/>
      <c r="AL251" s="1">
        <f>IFERROR(__xludf.DUMMYFUNCTION("IF(
  TRIM(AD251)="""",
  0,
  COUNTA(
    SPLIT(
      REGEXREPLACE(AD251,""\s*,\s*"","",""),
      "",""
    )
  )
)"),6.0)</f>
        <v>6</v>
      </c>
    </row>
    <row r="252">
      <c r="A252" s="1" t="s">
        <v>4170</v>
      </c>
      <c r="B252" s="1" t="s">
        <v>4170</v>
      </c>
      <c r="C252" s="1" t="s">
        <v>2126</v>
      </c>
      <c r="D252" s="1" t="s">
        <v>2127</v>
      </c>
      <c r="E252" s="4">
        <v>106500.0</v>
      </c>
      <c r="F252" s="4">
        <v>1340.0</v>
      </c>
      <c r="G252" s="4">
        <v>450.0</v>
      </c>
      <c r="H252" s="7" t="s">
        <v>4171</v>
      </c>
      <c r="I252" s="1" t="s">
        <v>4174</v>
      </c>
      <c r="J252" s="1" t="s">
        <v>1396</v>
      </c>
      <c r="K252" s="9">
        <v>45832.60537037037</v>
      </c>
      <c r="L252" s="4">
        <v>1.750775504E9</v>
      </c>
      <c r="M252" s="1" t="s">
        <v>47</v>
      </c>
      <c r="N252" s="1" t="s">
        <v>47</v>
      </c>
      <c r="O252" s="1" t="s">
        <v>47</v>
      </c>
      <c r="P252" s="1" t="s">
        <v>47</v>
      </c>
      <c r="Q252" s="1" t="s">
        <v>47</v>
      </c>
      <c r="R252" s="1" t="s">
        <v>1610</v>
      </c>
      <c r="S252" s="1" t="s">
        <v>2133</v>
      </c>
      <c r="T252" s="7" t="s">
        <v>2134</v>
      </c>
      <c r="U252" s="7" t="s">
        <v>1614</v>
      </c>
      <c r="V252" s="1" t="s">
        <v>1615</v>
      </c>
      <c r="W252" s="7" t="s">
        <v>4175</v>
      </c>
      <c r="X252" s="7" t="s">
        <v>4177</v>
      </c>
      <c r="Y252" s="1"/>
      <c r="Z252" s="4">
        <v>4104.0</v>
      </c>
      <c r="AA252" s="4">
        <v>117.0</v>
      </c>
      <c r="AB252" s="4">
        <v>535.0</v>
      </c>
      <c r="AC252" s="4">
        <v>140700.0</v>
      </c>
      <c r="AD252" s="1" t="s">
        <v>4179</v>
      </c>
      <c r="AE252" s="1" t="s">
        <v>4179</v>
      </c>
      <c r="AF252" s="1"/>
      <c r="AG252" s="1"/>
      <c r="AH252" s="1"/>
      <c r="AI252" s="1"/>
      <c r="AJ252" s="1"/>
      <c r="AK252" s="1"/>
      <c r="AL252" s="1">
        <f>IFERROR(__xludf.DUMMYFUNCTION("IF(
  TRIM(AD252)="""",
  0,
  COUNTA(
    SPLIT(
      REGEXREPLACE(AD252,""\s*,\s*"","",""),
      "",""
    )
  )
)"),6.0)</f>
        <v>6</v>
      </c>
    </row>
    <row r="253">
      <c r="A253" s="1" t="s">
        <v>3504</v>
      </c>
      <c r="B253" s="1" t="s">
        <v>3504</v>
      </c>
      <c r="C253" s="1" t="s">
        <v>3505</v>
      </c>
      <c r="D253" s="1" t="s">
        <v>3506</v>
      </c>
      <c r="E253" s="4">
        <v>47200.0</v>
      </c>
      <c r="F253" s="4">
        <v>2502.0</v>
      </c>
      <c r="G253" s="4">
        <v>501.0</v>
      </c>
      <c r="H253" s="7" t="s">
        <v>4180</v>
      </c>
      <c r="I253" s="1" t="s">
        <v>3510</v>
      </c>
      <c r="J253" s="1" t="s">
        <v>3511</v>
      </c>
      <c r="K253" s="9">
        <v>45228.443391203706</v>
      </c>
      <c r="L253" s="4">
        <v>1.698575909E9</v>
      </c>
      <c r="M253" s="1" t="s">
        <v>47</v>
      </c>
      <c r="N253" s="1" t="s">
        <v>47</v>
      </c>
      <c r="O253" s="1" t="s">
        <v>47</v>
      </c>
      <c r="P253" s="1" t="s">
        <v>47</v>
      </c>
      <c r="Q253" s="1" t="s">
        <v>47</v>
      </c>
      <c r="R253" s="1" t="s">
        <v>3513</v>
      </c>
      <c r="S253" s="1" t="s">
        <v>3514</v>
      </c>
      <c r="T253" s="7" t="s">
        <v>3515</v>
      </c>
      <c r="U253" s="7" t="s">
        <v>4186</v>
      </c>
      <c r="V253" s="1" t="s">
        <v>3518</v>
      </c>
      <c r="W253" s="7" t="s">
        <v>4187</v>
      </c>
      <c r="X253" s="7" t="s">
        <v>3520</v>
      </c>
      <c r="Y253" s="1"/>
      <c r="Z253" s="4">
        <v>3267.0</v>
      </c>
      <c r="AA253" s="4">
        <v>181.0</v>
      </c>
      <c r="AB253" s="4">
        <v>316.0</v>
      </c>
      <c r="AC253" s="4">
        <v>88100.0</v>
      </c>
      <c r="AD253" s="1" t="s">
        <v>3521</v>
      </c>
      <c r="AE253" s="1" t="s">
        <v>3521</v>
      </c>
      <c r="AF253" s="1"/>
      <c r="AG253" s="1"/>
      <c r="AH253" s="1"/>
      <c r="AI253" s="1"/>
      <c r="AJ253" s="1"/>
      <c r="AK253" s="1"/>
      <c r="AL253" s="1">
        <f>IFERROR(__xludf.DUMMYFUNCTION("IF(
  TRIM(AD253)="""",
  0,
  COUNTA(
    SPLIT(
      REGEXREPLACE(AD253,""\s*,\s*"","",""),
      "",""
    )
  )
)"),6.0)</f>
        <v>6</v>
      </c>
    </row>
    <row r="254">
      <c r="A254" s="1" t="s">
        <v>4189</v>
      </c>
      <c r="B254" s="1" t="s">
        <v>4189</v>
      </c>
      <c r="C254" s="1" t="s">
        <v>4190</v>
      </c>
      <c r="D254" s="1" t="s">
        <v>4191</v>
      </c>
      <c r="E254" s="4">
        <v>2504.0</v>
      </c>
      <c r="F254" s="4">
        <v>496.0</v>
      </c>
      <c r="G254" s="4">
        <v>102.0</v>
      </c>
      <c r="H254" s="7" t="s">
        <v>4192</v>
      </c>
      <c r="I254" s="1" t="s">
        <v>4194</v>
      </c>
      <c r="J254" s="1" t="s">
        <v>4196</v>
      </c>
      <c r="K254" s="9">
        <v>45981.01268518518</v>
      </c>
      <c r="L254" s="4">
        <v>1.763597896E9</v>
      </c>
      <c r="M254" s="1" t="s">
        <v>47</v>
      </c>
      <c r="N254" s="1" t="s">
        <v>47</v>
      </c>
      <c r="O254" s="1" t="s">
        <v>47</v>
      </c>
      <c r="P254" s="1" t="s">
        <v>47</v>
      </c>
      <c r="Q254" s="1" t="s">
        <v>47</v>
      </c>
      <c r="R254" s="1" t="s">
        <v>48</v>
      </c>
      <c r="S254" s="1" t="s">
        <v>4198</v>
      </c>
      <c r="T254" s="7" t="s">
        <v>4199</v>
      </c>
      <c r="U254" s="7" t="s">
        <v>4201</v>
      </c>
      <c r="V254" s="1" t="s">
        <v>4191</v>
      </c>
      <c r="W254" s="7" t="s">
        <v>4203</v>
      </c>
      <c r="X254" s="7" t="s">
        <v>4205</v>
      </c>
      <c r="Y254" s="1"/>
      <c r="Z254" s="4">
        <v>1499.0</v>
      </c>
      <c r="AA254" s="4">
        <v>54.0</v>
      </c>
      <c r="AB254" s="4">
        <v>799.0</v>
      </c>
      <c r="AC254" s="4">
        <v>33400.0</v>
      </c>
      <c r="AD254" s="1" t="s">
        <v>4207</v>
      </c>
      <c r="AE254" s="1" t="s">
        <v>4208</v>
      </c>
      <c r="AF254" s="1"/>
      <c r="AG254" s="1"/>
      <c r="AH254" s="1" t="s">
        <v>300</v>
      </c>
      <c r="AI254" s="1"/>
      <c r="AJ254" s="1"/>
      <c r="AK254" s="1"/>
      <c r="AL254" s="1">
        <f>IFERROR(__xludf.DUMMYFUNCTION("IF(
  TRIM(AD254)="""",
  0,
  COUNTA(
    SPLIT(
      REGEXREPLACE(AD254,""\s*,\s*"","",""),
      "",""
    )
  )
)"),6.0)</f>
        <v>6</v>
      </c>
    </row>
    <row r="255">
      <c r="A255" s="1" t="s">
        <v>4118</v>
      </c>
      <c r="B255" s="1" t="s">
        <v>4118</v>
      </c>
      <c r="C255" s="1" t="s">
        <v>4119</v>
      </c>
      <c r="D255" s="1" t="s">
        <v>4120</v>
      </c>
      <c r="E255" s="4">
        <v>310.0</v>
      </c>
      <c r="F255" s="4">
        <v>0.0</v>
      </c>
      <c r="G255" s="4">
        <v>8.0</v>
      </c>
      <c r="H255" s="7" t="s">
        <v>4209</v>
      </c>
      <c r="I255" s="1" t="s">
        <v>4122</v>
      </c>
      <c r="J255" s="1"/>
      <c r="K255" s="9">
        <v>45169.85800925926</v>
      </c>
      <c r="L255" s="4">
        <v>1.693514132E9</v>
      </c>
      <c r="M255" s="1" t="s">
        <v>47</v>
      </c>
      <c r="N255" s="1" t="s">
        <v>47</v>
      </c>
      <c r="O255" s="1" t="s">
        <v>47</v>
      </c>
      <c r="P255" s="1" t="s">
        <v>47</v>
      </c>
      <c r="Q255" s="1" t="s">
        <v>47</v>
      </c>
      <c r="R255" s="1" t="s">
        <v>2571</v>
      </c>
      <c r="S255" s="1" t="s">
        <v>2572</v>
      </c>
      <c r="T255" s="7" t="s">
        <v>2573</v>
      </c>
      <c r="U255" s="7" t="s">
        <v>2575</v>
      </c>
      <c r="V255" s="1" t="s">
        <v>2576</v>
      </c>
      <c r="W255" s="7" t="s">
        <v>4212</v>
      </c>
      <c r="X255" s="7" t="s">
        <v>4125</v>
      </c>
      <c r="Y255" s="1"/>
      <c r="Z255" s="4">
        <v>1380.0</v>
      </c>
      <c r="AA255" s="4">
        <v>18.0</v>
      </c>
      <c r="AB255" s="4">
        <v>154.0</v>
      </c>
      <c r="AC255" s="4">
        <v>32500.0</v>
      </c>
      <c r="AD255" s="1" t="s">
        <v>4126</v>
      </c>
      <c r="AE255" s="1" t="s">
        <v>4126</v>
      </c>
      <c r="AF255" s="1"/>
      <c r="AG255" s="1"/>
      <c r="AH255" s="1"/>
      <c r="AI255" s="1"/>
      <c r="AJ255" s="1"/>
      <c r="AK255" s="1"/>
      <c r="AL255" s="1">
        <f>IFERROR(__xludf.DUMMYFUNCTION("IF(
  TRIM(AD255)="""",
  0,
  COUNTA(
    SPLIT(
      REGEXREPLACE(AD255,""\s*,\s*"","",""),
      "",""
    )
  )
)"),6.0)</f>
        <v>6</v>
      </c>
    </row>
    <row r="256">
      <c r="A256" s="1" t="s">
        <v>4219</v>
      </c>
      <c r="B256" s="1" t="s">
        <v>4219</v>
      </c>
      <c r="C256" s="1" t="s">
        <v>3778</v>
      </c>
      <c r="D256" s="1" t="s">
        <v>3779</v>
      </c>
      <c r="E256" s="4">
        <v>52100.0</v>
      </c>
      <c r="F256" s="4">
        <v>7448.0</v>
      </c>
      <c r="G256" s="4">
        <v>263.0</v>
      </c>
      <c r="H256" s="7" t="s">
        <v>4220</v>
      </c>
      <c r="I256" s="1" t="s">
        <v>4224</v>
      </c>
      <c r="J256" s="1"/>
      <c r="K256" s="9">
        <v>45317.51630787037</v>
      </c>
      <c r="L256" s="4">
        <v>1.706271809E9</v>
      </c>
      <c r="M256" s="1" t="s">
        <v>47</v>
      </c>
      <c r="N256" s="1" t="s">
        <v>47</v>
      </c>
      <c r="O256" s="1" t="s">
        <v>47</v>
      </c>
      <c r="P256" s="1" t="s">
        <v>47</v>
      </c>
      <c r="Q256" s="1" t="s">
        <v>47</v>
      </c>
      <c r="R256" s="1" t="s">
        <v>4225</v>
      </c>
      <c r="S256" s="1" t="s">
        <v>4226</v>
      </c>
      <c r="T256" s="7" t="s">
        <v>4227</v>
      </c>
      <c r="U256" s="7" t="s">
        <v>4229</v>
      </c>
      <c r="V256" s="1" t="s">
        <v>2445</v>
      </c>
      <c r="W256" s="7" t="s">
        <v>4234</v>
      </c>
      <c r="X256" s="7" t="s">
        <v>4237</v>
      </c>
      <c r="Y256" s="1"/>
      <c r="Z256" s="4">
        <v>669.0</v>
      </c>
      <c r="AA256" s="4">
        <v>6.0</v>
      </c>
      <c r="AB256" s="4">
        <v>213.0</v>
      </c>
      <c r="AC256" s="4">
        <v>16600.0</v>
      </c>
      <c r="AD256" s="1" t="s">
        <v>4238</v>
      </c>
      <c r="AE256" s="1" t="s">
        <v>4239</v>
      </c>
      <c r="AF256" s="1"/>
      <c r="AG256" s="1"/>
      <c r="AH256" s="1" t="s">
        <v>2014</v>
      </c>
      <c r="AI256" s="1"/>
      <c r="AJ256" s="1"/>
      <c r="AK256" s="1"/>
      <c r="AL256" s="1">
        <f>IFERROR(__xludf.DUMMYFUNCTION("IF(
  TRIM(AD256)="""",
  0,
  COUNTA(
    SPLIT(
      REGEXREPLACE(AD256,""\s*,\s*"","",""),
      "",""
    )
  )
)"),6.0)</f>
        <v>6</v>
      </c>
    </row>
    <row r="257">
      <c r="A257" s="1" t="s">
        <v>4240</v>
      </c>
      <c r="B257" s="1" t="s">
        <v>4240</v>
      </c>
      <c r="C257" s="1" t="s">
        <v>3609</v>
      </c>
      <c r="D257" s="1" t="s">
        <v>3610</v>
      </c>
      <c r="E257" s="4">
        <v>11700.0</v>
      </c>
      <c r="F257" s="4">
        <v>318.0</v>
      </c>
      <c r="G257" s="4">
        <v>210.0</v>
      </c>
      <c r="H257" s="7" t="s">
        <v>3611</v>
      </c>
      <c r="I257" s="1" t="s">
        <v>4241</v>
      </c>
      <c r="J257" s="1"/>
      <c r="K257" s="9">
        <v>45336.85050925926</v>
      </c>
      <c r="L257" s="4">
        <v>1.707942284E9</v>
      </c>
      <c r="M257" s="1" t="s">
        <v>47</v>
      </c>
      <c r="N257" s="1" t="s">
        <v>47</v>
      </c>
      <c r="O257" s="1" t="s">
        <v>47</v>
      </c>
      <c r="P257" s="1" t="s">
        <v>47</v>
      </c>
      <c r="Q257" s="1" t="s">
        <v>47</v>
      </c>
      <c r="R257" s="1" t="s">
        <v>48</v>
      </c>
      <c r="S257" s="1" t="s">
        <v>4242</v>
      </c>
      <c r="T257" s="7" t="s">
        <v>4243</v>
      </c>
      <c r="U257" s="7" t="s">
        <v>4248</v>
      </c>
      <c r="V257" s="1" t="s">
        <v>3610</v>
      </c>
      <c r="W257" s="7" t="s">
        <v>4252</v>
      </c>
      <c r="X257" s="7" t="s">
        <v>4255</v>
      </c>
      <c r="Y257" s="1"/>
      <c r="Z257" s="4">
        <v>405.0</v>
      </c>
      <c r="AA257" s="4">
        <v>22.0</v>
      </c>
      <c r="AB257" s="4">
        <v>133.0</v>
      </c>
      <c r="AC257" s="4">
        <v>13700.0</v>
      </c>
      <c r="AD257" s="1" t="s">
        <v>4256</v>
      </c>
      <c r="AE257" s="1" t="s">
        <v>4256</v>
      </c>
      <c r="AF257" s="1"/>
      <c r="AG257" s="1"/>
      <c r="AH257" s="1" t="s">
        <v>85</v>
      </c>
      <c r="AI257" s="1"/>
      <c r="AJ257" s="1"/>
      <c r="AK257" s="1"/>
      <c r="AL257" s="1">
        <f>IFERROR(__xludf.DUMMYFUNCTION("IF(
  TRIM(AD257)="""",
  0,
  COUNTA(
    SPLIT(
      REGEXREPLACE(AD257,""\s*,\s*"","",""),
      "",""
    )
  )
)"),6.0)</f>
        <v>6</v>
      </c>
    </row>
    <row r="258">
      <c r="A258" s="1" t="s">
        <v>4257</v>
      </c>
      <c r="B258" s="1" t="s">
        <v>4257</v>
      </c>
      <c r="C258" s="1" t="s">
        <v>69</v>
      </c>
      <c r="D258" s="1" t="s">
        <v>70</v>
      </c>
      <c r="E258" s="4">
        <v>176100.0</v>
      </c>
      <c r="F258" s="4">
        <v>889.0</v>
      </c>
      <c r="G258" s="4">
        <v>777.0</v>
      </c>
      <c r="H258" s="7" t="s">
        <v>330</v>
      </c>
      <c r="I258" s="1" t="s">
        <v>4258</v>
      </c>
      <c r="J258" s="1"/>
      <c r="K258" s="9">
        <v>45842.899305555555</v>
      </c>
      <c r="L258" s="4">
        <v>1.7516649E9</v>
      </c>
      <c r="M258" s="1" t="s">
        <v>47</v>
      </c>
      <c r="N258" s="1" t="s">
        <v>47</v>
      </c>
      <c r="O258" s="1" t="s">
        <v>47</v>
      </c>
      <c r="P258" s="1" t="s">
        <v>47</v>
      </c>
      <c r="Q258" s="1" t="s">
        <v>47</v>
      </c>
      <c r="R258" s="1" t="s">
        <v>352</v>
      </c>
      <c r="S258" s="1" t="s">
        <v>4259</v>
      </c>
      <c r="T258" s="7" t="s">
        <v>4260</v>
      </c>
      <c r="U258" s="7" t="s">
        <v>1787</v>
      </c>
      <c r="V258" s="1" t="s">
        <v>70</v>
      </c>
      <c r="W258" s="7" t="s">
        <v>4268</v>
      </c>
      <c r="X258" s="7" t="s">
        <v>4270</v>
      </c>
      <c r="Y258" s="1"/>
      <c r="Z258" s="4">
        <v>244.0</v>
      </c>
      <c r="AA258" s="4">
        <v>5.0</v>
      </c>
      <c r="AB258" s="4">
        <v>27.0</v>
      </c>
      <c r="AC258" s="4">
        <v>2170.0</v>
      </c>
      <c r="AD258" s="1" t="s">
        <v>4271</v>
      </c>
      <c r="AE258" s="1" t="s">
        <v>4271</v>
      </c>
      <c r="AF258" s="1"/>
      <c r="AG258" s="1"/>
      <c r="AH258" s="1"/>
      <c r="AI258" s="1"/>
      <c r="AJ258" s="1"/>
      <c r="AK258" s="1"/>
      <c r="AL258" s="1">
        <f>IFERROR(__xludf.DUMMYFUNCTION("IF(
  TRIM(AD258)="""",
  0,
  COUNTA(
    SPLIT(
      REGEXREPLACE(AD258,""\s*,\s*"","",""),
      "",""
    )
  )
)"),6.0)</f>
        <v>6</v>
      </c>
    </row>
    <row r="259">
      <c r="A259" s="1" t="s">
        <v>4272</v>
      </c>
      <c r="B259" s="1" t="s">
        <v>4272</v>
      </c>
      <c r="C259" s="1" t="s">
        <v>4273</v>
      </c>
      <c r="D259" s="1" t="s">
        <v>4274</v>
      </c>
      <c r="E259" s="4">
        <v>9476.0</v>
      </c>
      <c r="F259" s="4">
        <v>1084.0</v>
      </c>
      <c r="G259" s="4">
        <v>356.0</v>
      </c>
      <c r="H259" s="7" t="s">
        <v>4275</v>
      </c>
      <c r="I259" s="1" t="s">
        <v>4276</v>
      </c>
      <c r="J259" s="1" t="s">
        <v>4278</v>
      </c>
      <c r="K259" s="9">
        <v>45209.70101851852</v>
      </c>
      <c r="L259" s="4">
        <v>1.696956568E9</v>
      </c>
      <c r="M259" s="1" t="s">
        <v>47</v>
      </c>
      <c r="N259" s="1" t="s">
        <v>47</v>
      </c>
      <c r="O259" s="1" t="s">
        <v>47</v>
      </c>
      <c r="P259" s="1" t="s">
        <v>47</v>
      </c>
      <c r="Q259" s="1" t="s">
        <v>47</v>
      </c>
      <c r="R259" s="1" t="s">
        <v>4279</v>
      </c>
      <c r="S259" s="1" t="s">
        <v>4280</v>
      </c>
      <c r="T259" s="7" t="s">
        <v>4281</v>
      </c>
      <c r="U259" s="7" t="s">
        <v>4287</v>
      </c>
      <c r="V259" s="1" t="s">
        <v>4288</v>
      </c>
      <c r="W259" s="7" t="s">
        <v>4289</v>
      </c>
      <c r="X259" s="7" t="s">
        <v>4294</v>
      </c>
      <c r="Y259" s="1"/>
      <c r="Z259" s="4">
        <v>224.0</v>
      </c>
      <c r="AA259" s="4">
        <v>2.0</v>
      </c>
      <c r="AB259" s="4">
        <v>15.0</v>
      </c>
      <c r="AC259" s="4">
        <v>4505.0</v>
      </c>
      <c r="AD259" s="1" t="s">
        <v>4295</v>
      </c>
      <c r="AE259" s="1" t="s">
        <v>4295</v>
      </c>
      <c r="AF259" s="1"/>
      <c r="AG259" s="1"/>
      <c r="AH259" s="1" t="s">
        <v>85</v>
      </c>
      <c r="AI259" s="1"/>
      <c r="AJ259" s="1"/>
      <c r="AK259" s="1"/>
      <c r="AL259" s="1">
        <f>IFERROR(__xludf.DUMMYFUNCTION("IF(
  TRIM(AD259)="""",
  0,
  COUNTA(
    SPLIT(
      REGEXREPLACE(AD259,""\s*,\s*"","",""),
      "",""
    )
  )
)"),6.0)</f>
        <v>6</v>
      </c>
    </row>
    <row r="260">
      <c r="A260" s="1" t="s">
        <v>4296</v>
      </c>
      <c r="B260" s="1" t="s">
        <v>4296</v>
      </c>
      <c r="C260" s="1" t="s">
        <v>2523</v>
      </c>
      <c r="D260" s="1" t="s">
        <v>2524</v>
      </c>
      <c r="E260" s="4">
        <v>1300000.0</v>
      </c>
      <c r="F260" s="4">
        <v>1192.0</v>
      </c>
      <c r="G260" s="4">
        <v>1121.0</v>
      </c>
      <c r="H260" s="7" t="s">
        <v>2593</v>
      </c>
      <c r="I260" s="1" t="s">
        <v>4297</v>
      </c>
      <c r="J260" s="1"/>
      <c r="K260" s="9">
        <v>45540.627488425926</v>
      </c>
      <c r="L260" s="4">
        <v>1.725548615E9</v>
      </c>
      <c r="M260" s="1" t="s">
        <v>47</v>
      </c>
      <c r="N260" s="1" t="s">
        <v>47</v>
      </c>
      <c r="O260" s="1" t="s">
        <v>47</v>
      </c>
      <c r="P260" s="1" t="s">
        <v>47</v>
      </c>
      <c r="Q260" s="1" t="s">
        <v>47</v>
      </c>
      <c r="R260" s="1" t="s">
        <v>48</v>
      </c>
      <c r="S260" s="1" t="s">
        <v>4298</v>
      </c>
      <c r="T260" s="7" t="s">
        <v>4299</v>
      </c>
      <c r="U260" s="7" t="s">
        <v>2604</v>
      </c>
      <c r="V260" s="1" t="s">
        <v>2524</v>
      </c>
      <c r="W260" s="7" t="s">
        <v>4302</v>
      </c>
      <c r="X260" s="7" t="s">
        <v>4304</v>
      </c>
      <c r="Y260" s="1"/>
      <c r="Z260" s="4">
        <v>214.0</v>
      </c>
      <c r="AA260" s="4">
        <v>8.0</v>
      </c>
      <c r="AB260" s="4">
        <v>28.0</v>
      </c>
      <c r="AC260" s="4">
        <v>7737.0</v>
      </c>
      <c r="AD260" s="1" t="s">
        <v>4307</v>
      </c>
      <c r="AE260" s="1" t="s">
        <v>4307</v>
      </c>
      <c r="AF260" s="1"/>
      <c r="AG260" s="1"/>
      <c r="AH260" s="1"/>
      <c r="AI260" s="1"/>
      <c r="AJ260" s="1"/>
      <c r="AK260" s="1"/>
      <c r="AL260" s="1">
        <f>IFERROR(__xludf.DUMMYFUNCTION("IF(
  TRIM(AD260)="""",
  0,
  COUNTA(
    SPLIT(
      REGEXREPLACE(AD260,""\s*,\s*"","",""),
      "",""
    )
  )
)"),6.0)</f>
        <v>6</v>
      </c>
    </row>
    <row r="261">
      <c r="A261" s="1" t="s">
        <v>275</v>
      </c>
      <c r="B261" s="1" t="s">
        <v>275</v>
      </c>
      <c r="C261" s="1" t="s">
        <v>276</v>
      </c>
      <c r="D261" s="1" t="s">
        <v>277</v>
      </c>
      <c r="E261" s="4">
        <v>345000.0</v>
      </c>
      <c r="F261" s="4">
        <v>344.0</v>
      </c>
      <c r="G261" s="4">
        <v>493.0</v>
      </c>
      <c r="H261" s="7" t="s">
        <v>3359</v>
      </c>
      <c r="I261" s="1" t="s">
        <v>284</v>
      </c>
      <c r="J261" s="1" t="s">
        <v>285</v>
      </c>
      <c r="K261" s="9">
        <v>45531.00618055555</v>
      </c>
      <c r="L261" s="4">
        <v>1.724717334E9</v>
      </c>
      <c r="M261" s="1" t="s">
        <v>47</v>
      </c>
      <c r="N261" s="1" t="s">
        <v>47</v>
      </c>
      <c r="O261" s="1" t="s">
        <v>47</v>
      </c>
      <c r="P261" s="1" t="s">
        <v>47</v>
      </c>
      <c r="Q261" s="1" t="s">
        <v>47</v>
      </c>
      <c r="R261" s="1" t="s">
        <v>48</v>
      </c>
      <c r="S261" s="1" t="s">
        <v>286</v>
      </c>
      <c r="T261" s="7" t="s">
        <v>4308</v>
      </c>
      <c r="U261" s="7" t="s">
        <v>3057</v>
      </c>
      <c r="V261" s="1" t="s">
        <v>277</v>
      </c>
      <c r="W261" s="7" t="s">
        <v>4310</v>
      </c>
      <c r="X261" s="7" t="s">
        <v>293</v>
      </c>
      <c r="Y261" s="1"/>
      <c r="Z261" s="4">
        <v>236800.0</v>
      </c>
      <c r="AA261" s="4">
        <v>7278.0</v>
      </c>
      <c r="AB261" s="4">
        <v>36600.0</v>
      </c>
      <c r="AC261" s="4">
        <v>3600000.0</v>
      </c>
      <c r="AD261" s="1" t="s">
        <v>294</v>
      </c>
      <c r="AE261" s="1" t="s">
        <v>294</v>
      </c>
      <c r="AF261" s="1"/>
      <c r="AG261" s="1"/>
      <c r="AH261" s="1"/>
      <c r="AI261" s="1"/>
      <c r="AJ261" s="1"/>
      <c r="AK261" s="1"/>
      <c r="AL261" s="1">
        <f>IFERROR(__xludf.DUMMYFUNCTION("IF(
  TRIM(AD261)="""",
  0,
  COUNTA(
    SPLIT(
      REGEXREPLACE(AD261,""\s*,\s*"","",""),
      "",""
    )
  )
)"),7.0)</f>
        <v>7</v>
      </c>
    </row>
    <row r="262">
      <c r="A262" s="1" t="s">
        <v>452</v>
      </c>
      <c r="B262" s="1" t="s">
        <v>452</v>
      </c>
      <c r="C262" s="1" t="s">
        <v>453</v>
      </c>
      <c r="D262" s="1" t="s">
        <v>454</v>
      </c>
      <c r="E262" s="4">
        <v>213000.0</v>
      </c>
      <c r="F262" s="4">
        <v>202.0</v>
      </c>
      <c r="G262" s="4">
        <v>174.0</v>
      </c>
      <c r="H262" s="7" t="s">
        <v>4313</v>
      </c>
      <c r="I262" s="1" t="s">
        <v>456</v>
      </c>
      <c r="J262" s="1"/>
      <c r="K262" s="9">
        <v>45802.666041666664</v>
      </c>
      <c r="L262" s="4">
        <v>1.748188746E9</v>
      </c>
      <c r="M262" s="1" t="s">
        <v>47</v>
      </c>
      <c r="N262" s="1" t="s">
        <v>47</v>
      </c>
      <c r="O262" s="1" t="s">
        <v>47</v>
      </c>
      <c r="P262" s="1" t="s">
        <v>47</v>
      </c>
      <c r="Q262" s="1" t="s">
        <v>47</v>
      </c>
      <c r="R262" s="1" t="s">
        <v>48</v>
      </c>
      <c r="S262" s="1" t="s">
        <v>457</v>
      </c>
      <c r="T262" s="7" t="s">
        <v>4316</v>
      </c>
      <c r="U262" s="7" t="s">
        <v>4319</v>
      </c>
      <c r="V262" s="1" t="s">
        <v>454</v>
      </c>
      <c r="W262" s="7" t="s">
        <v>4320</v>
      </c>
      <c r="X262" s="7" t="s">
        <v>466</v>
      </c>
      <c r="Y262" s="1"/>
      <c r="Z262" s="4">
        <v>142700.0</v>
      </c>
      <c r="AA262" s="4">
        <v>743.0</v>
      </c>
      <c r="AB262" s="4">
        <v>23300.0</v>
      </c>
      <c r="AC262" s="4">
        <v>2200000.0</v>
      </c>
      <c r="AD262" s="1" t="s">
        <v>468</v>
      </c>
      <c r="AE262" s="1" t="s">
        <v>468</v>
      </c>
      <c r="AF262" s="1"/>
      <c r="AG262" s="1"/>
      <c r="AH262" s="1"/>
      <c r="AI262" s="1"/>
      <c r="AJ262" s="1"/>
      <c r="AK262" s="1"/>
      <c r="AL262" s="1">
        <f>IFERROR(__xludf.DUMMYFUNCTION("IF(
  TRIM(AD262)="""",
  0,
  COUNTA(
    SPLIT(
      REGEXREPLACE(AD262,""\s*,\s*"","",""),
      "",""
    )
  )
)"),7.0)</f>
        <v>7</v>
      </c>
    </row>
    <row r="263">
      <c r="A263" s="1" t="s">
        <v>677</v>
      </c>
      <c r="B263" s="1" t="s">
        <v>677</v>
      </c>
      <c r="C263" s="1" t="s">
        <v>678</v>
      </c>
      <c r="D263" s="1" t="s">
        <v>679</v>
      </c>
      <c r="E263" s="4">
        <v>131200.0</v>
      </c>
      <c r="F263" s="4">
        <v>518.0</v>
      </c>
      <c r="G263" s="4">
        <v>468.0</v>
      </c>
      <c r="H263" s="7" t="s">
        <v>4325</v>
      </c>
      <c r="I263" s="1" t="s">
        <v>681</v>
      </c>
      <c r="J263" s="1"/>
      <c r="K263" s="9">
        <v>45170.9375</v>
      </c>
      <c r="L263" s="4">
        <v>1.6936074E9</v>
      </c>
      <c r="M263" s="1" t="s">
        <v>47</v>
      </c>
      <c r="N263" s="1" t="s">
        <v>47</v>
      </c>
      <c r="O263" s="1" t="s">
        <v>47</v>
      </c>
      <c r="P263" s="1" t="s">
        <v>47</v>
      </c>
      <c r="Q263" s="1" t="s">
        <v>47</v>
      </c>
      <c r="R263" s="1" t="s">
        <v>682</v>
      </c>
      <c r="S263" s="1" t="s">
        <v>683</v>
      </c>
      <c r="T263" s="7" t="s">
        <v>4327</v>
      </c>
      <c r="U263" s="7" t="s">
        <v>4330</v>
      </c>
      <c r="V263" s="1" t="s">
        <v>679</v>
      </c>
      <c r="W263" s="7" t="s">
        <v>4331</v>
      </c>
      <c r="X263" s="7" t="s">
        <v>689</v>
      </c>
      <c r="Y263" s="1"/>
      <c r="Z263" s="4">
        <v>100600.0</v>
      </c>
      <c r="AA263" s="4">
        <v>3093.0</v>
      </c>
      <c r="AB263" s="4">
        <v>36200.0</v>
      </c>
      <c r="AC263" s="4">
        <v>2000000.0</v>
      </c>
      <c r="AD263" s="1" t="s">
        <v>690</v>
      </c>
      <c r="AE263" s="1" t="s">
        <v>690</v>
      </c>
      <c r="AF263" s="1"/>
      <c r="AG263" s="1"/>
      <c r="AH263" s="1"/>
      <c r="AI263" s="1"/>
      <c r="AJ263" s="1"/>
      <c r="AK263" s="1"/>
      <c r="AL263" s="1">
        <f>IFERROR(__xludf.DUMMYFUNCTION("IF(
  TRIM(AD263)="""",
  0,
  COUNTA(
    SPLIT(
      REGEXREPLACE(AD263,""\s*,\s*"","",""),
      "",""
    )
  )
)"),7.0)</f>
        <v>7</v>
      </c>
    </row>
    <row r="264">
      <c r="A264" s="1" t="s">
        <v>4333</v>
      </c>
      <c r="B264" s="1" t="s">
        <v>4333</v>
      </c>
      <c r="C264" s="1" t="s">
        <v>765</v>
      </c>
      <c r="D264" s="1" t="s">
        <v>766</v>
      </c>
      <c r="E264" s="4">
        <v>160800.0</v>
      </c>
      <c r="F264" s="4">
        <v>21300.0</v>
      </c>
      <c r="G264" s="4">
        <v>456.0</v>
      </c>
      <c r="H264" s="7" t="s">
        <v>4334</v>
      </c>
      <c r="I264" s="1" t="s">
        <v>4336</v>
      </c>
      <c r="J264" s="1" t="s">
        <v>4337</v>
      </c>
      <c r="K264" s="9">
        <v>45006.86188657407</v>
      </c>
      <c r="L264" s="4">
        <v>1.679431267E9</v>
      </c>
      <c r="M264" s="1" t="s">
        <v>47</v>
      </c>
      <c r="N264" s="1" t="s">
        <v>47</v>
      </c>
      <c r="O264" s="1" t="s">
        <v>47</v>
      </c>
      <c r="P264" s="1" t="s">
        <v>47</v>
      </c>
      <c r="Q264" s="1" t="s">
        <v>47</v>
      </c>
      <c r="R264" s="1" t="s">
        <v>771</v>
      </c>
      <c r="S264" s="1" t="s">
        <v>772</v>
      </c>
      <c r="T264" s="7" t="s">
        <v>773</v>
      </c>
      <c r="U264" s="7" t="s">
        <v>2435</v>
      </c>
      <c r="V264" s="1" t="s">
        <v>779</v>
      </c>
      <c r="W264" s="7" t="s">
        <v>4338</v>
      </c>
      <c r="X264" s="7" t="s">
        <v>4339</v>
      </c>
      <c r="Y264" s="1"/>
      <c r="Z264" s="4">
        <v>90400.0</v>
      </c>
      <c r="AA264" s="4">
        <v>8198.0</v>
      </c>
      <c r="AB264" s="4">
        <v>22700.0</v>
      </c>
      <c r="AC264" s="4">
        <v>3300000.0</v>
      </c>
      <c r="AD264" s="1" t="s">
        <v>4341</v>
      </c>
      <c r="AE264" s="1" t="s">
        <v>4341</v>
      </c>
      <c r="AF264" s="1"/>
      <c r="AG264" s="1"/>
      <c r="AH264" s="1"/>
      <c r="AI264" s="1"/>
      <c r="AJ264" s="1"/>
      <c r="AK264" s="1"/>
      <c r="AL264" s="1">
        <f>IFERROR(__xludf.DUMMYFUNCTION("IF(
  TRIM(AD264)="""",
  0,
  COUNTA(
    SPLIT(
      REGEXREPLACE(AD264,""\s*,\s*"","",""),
      "",""
    )
  )
)"),7.0)</f>
        <v>7</v>
      </c>
    </row>
    <row r="265">
      <c r="A265" s="1" t="s">
        <v>818</v>
      </c>
      <c r="B265" s="1" t="s">
        <v>818</v>
      </c>
      <c r="C265" s="1" t="s">
        <v>819</v>
      </c>
      <c r="D265" s="1" t="s">
        <v>820</v>
      </c>
      <c r="E265" s="4">
        <v>135300.0</v>
      </c>
      <c r="F265" s="4">
        <v>31900.0</v>
      </c>
      <c r="G265" s="4">
        <v>264.0</v>
      </c>
      <c r="H265" s="7" t="s">
        <v>3377</v>
      </c>
      <c r="I265" s="1" t="s">
        <v>823</v>
      </c>
      <c r="J265" s="1"/>
      <c r="K265" s="9">
        <v>45690.96873842592</v>
      </c>
      <c r="L265" s="4">
        <v>1.738538099E9</v>
      </c>
      <c r="M265" s="1" t="s">
        <v>47</v>
      </c>
      <c r="N265" s="1" t="s">
        <v>47</v>
      </c>
      <c r="O265" s="1" t="s">
        <v>47</v>
      </c>
      <c r="P265" s="1" t="s">
        <v>47</v>
      </c>
      <c r="Q265" s="1" t="s">
        <v>47</v>
      </c>
      <c r="R265" s="1" t="s">
        <v>48</v>
      </c>
      <c r="S265" s="1" t="s">
        <v>824</v>
      </c>
      <c r="T265" s="7" t="s">
        <v>4345</v>
      </c>
      <c r="U265" s="7" t="s">
        <v>3383</v>
      </c>
      <c r="V265" s="1" t="s">
        <v>820</v>
      </c>
      <c r="W265" s="7" t="s">
        <v>4346</v>
      </c>
      <c r="X265" s="7" t="s">
        <v>830</v>
      </c>
      <c r="Y265" s="1"/>
      <c r="Z265" s="4">
        <v>79700.0</v>
      </c>
      <c r="AA265" s="4">
        <v>1421.0</v>
      </c>
      <c r="AB265" s="4">
        <v>7720.0</v>
      </c>
      <c r="AC265" s="4">
        <v>814400.0</v>
      </c>
      <c r="AD265" s="1" t="s">
        <v>831</v>
      </c>
      <c r="AE265" s="1" t="s">
        <v>832</v>
      </c>
      <c r="AF265" s="1"/>
      <c r="AG265" s="1"/>
      <c r="AH265" s="1"/>
      <c r="AI265" s="1"/>
      <c r="AJ265" s="1"/>
      <c r="AK265" s="1"/>
      <c r="AL265" s="1">
        <f>IFERROR(__xludf.DUMMYFUNCTION("IF(
  TRIM(AD265)="""",
  0,
  COUNTA(
    SPLIT(
      REGEXREPLACE(AD265,""\s*,\s*"","",""),
      "",""
    )
  )
)"),7.0)</f>
        <v>7</v>
      </c>
    </row>
    <row r="266">
      <c r="A266" s="1" t="s">
        <v>859</v>
      </c>
      <c r="B266" s="1" t="s">
        <v>859</v>
      </c>
      <c r="C266" s="1" t="s">
        <v>860</v>
      </c>
      <c r="D266" s="1" t="s">
        <v>4348</v>
      </c>
      <c r="E266" s="4">
        <v>22400.0</v>
      </c>
      <c r="F266" s="4">
        <v>174.0</v>
      </c>
      <c r="G266" s="4">
        <v>143.0</v>
      </c>
      <c r="H266" s="7" t="s">
        <v>4349</v>
      </c>
      <c r="I266" s="1" t="s">
        <v>864</v>
      </c>
      <c r="J266" s="1"/>
      <c r="K266" s="9">
        <v>45862.05966435185</v>
      </c>
      <c r="L266" s="4">
        <v>1.753320355E9</v>
      </c>
      <c r="M266" s="1" t="s">
        <v>47</v>
      </c>
      <c r="N266" s="1" t="s">
        <v>47</v>
      </c>
      <c r="O266" s="1" t="s">
        <v>47</v>
      </c>
      <c r="P266" s="1" t="s">
        <v>47</v>
      </c>
      <c r="Q266" s="1" t="s">
        <v>47</v>
      </c>
      <c r="R266" s="1" t="s">
        <v>48</v>
      </c>
      <c r="S266" s="1" t="s">
        <v>865</v>
      </c>
      <c r="T266" s="7" t="s">
        <v>4355</v>
      </c>
      <c r="U266" s="7" t="s">
        <v>4359</v>
      </c>
      <c r="V266" s="1" t="s">
        <v>4348</v>
      </c>
      <c r="W266" s="7" t="s">
        <v>4361</v>
      </c>
      <c r="X266" s="7" t="s">
        <v>877</v>
      </c>
      <c r="Y266" s="1"/>
      <c r="Z266" s="4">
        <v>74300.0</v>
      </c>
      <c r="AA266" s="4">
        <v>715.0</v>
      </c>
      <c r="AB266" s="4">
        <v>11700.0</v>
      </c>
      <c r="AC266" s="4">
        <v>928500.0</v>
      </c>
      <c r="AD266" s="1" t="s">
        <v>878</v>
      </c>
      <c r="AE266" s="1" t="s">
        <v>878</v>
      </c>
      <c r="AF266" s="1"/>
      <c r="AG266" s="1"/>
      <c r="AH266" s="1"/>
      <c r="AI266" s="1"/>
      <c r="AJ266" s="1"/>
      <c r="AK266" s="1"/>
      <c r="AL266" s="1">
        <f>IFERROR(__xludf.DUMMYFUNCTION("IF(
  TRIM(AD266)="""",
  0,
  COUNTA(
    SPLIT(
      REGEXREPLACE(AD266,""\s*,\s*"","",""),
      "",""
    )
  )
)"),7.0)</f>
        <v>7</v>
      </c>
    </row>
    <row r="267">
      <c r="A267" s="1" t="s">
        <v>976</v>
      </c>
      <c r="B267" s="1" t="s">
        <v>976</v>
      </c>
      <c r="C267" s="1" t="s">
        <v>169</v>
      </c>
      <c r="D267" s="1" t="s">
        <v>56</v>
      </c>
      <c r="E267" s="4">
        <v>996800.0</v>
      </c>
      <c r="F267" s="4">
        <v>396.0</v>
      </c>
      <c r="G267" s="4">
        <v>1474.0</v>
      </c>
      <c r="H267" s="7" t="s">
        <v>2264</v>
      </c>
      <c r="I267" s="1" t="s">
        <v>977</v>
      </c>
      <c r="J267" s="1"/>
      <c r="K267" s="9">
        <v>45076.61806712963</v>
      </c>
      <c r="L267" s="4">
        <v>1.685458201E9</v>
      </c>
      <c r="M267" s="1" t="s">
        <v>47</v>
      </c>
      <c r="N267" s="1" t="s">
        <v>47</v>
      </c>
      <c r="O267" s="1" t="s">
        <v>47</v>
      </c>
      <c r="P267" s="1" t="s">
        <v>47</v>
      </c>
      <c r="Q267" s="1" t="s">
        <v>47</v>
      </c>
      <c r="R267" s="1" t="s">
        <v>48</v>
      </c>
      <c r="S267" s="1" t="s">
        <v>978</v>
      </c>
      <c r="T267" s="7" t="s">
        <v>4365</v>
      </c>
      <c r="U267" s="7" t="s">
        <v>2934</v>
      </c>
      <c r="V267" s="1" t="s">
        <v>56</v>
      </c>
      <c r="W267" s="7" t="s">
        <v>4368</v>
      </c>
      <c r="X267" s="7" t="s">
        <v>984</v>
      </c>
      <c r="Y267" s="1"/>
      <c r="Z267" s="4">
        <v>68500.0</v>
      </c>
      <c r="AA267" s="4">
        <v>1806.0</v>
      </c>
      <c r="AB267" s="4">
        <v>6700.0</v>
      </c>
      <c r="AC267" s="4">
        <v>501300.0</v>
      </c>
      <c r="AD267" s="1" t="s">
        <v>985</v>
      </c>
      <c r="AE267" s="1" t="s">
        <v>985</v>
      </c>
      <c r="AF267" s="1"/>
      <c r="AG267" s="1"/>
      <c r="AH267" s="1"/>
      <c r="AI267" s="1"/>
      <c r="AJ267" s="1"/>
      <c r="AK267" s="1"/>
      <c r="AL267" s="1">
        <f>IFERROR(__xludf.DUMMYFUNCTION("IF(
  TRIM(AD267)="""",
  0,
  COUNTA(
    SPLIT(
      REGEXREPLACE(AD267,""\s*,\s*"","",""),
      "",""
    )
  )
)"),7.0)</f>
        <v>7</v>
      </c>
    </row>
    <row r="268">
      <c r="A268" s="1" t="s">
        <v>4370</v>
      </c>
      <c r="B268" s="1" t="s">
        <v>4370</v>
      </c>
      <c r="C268" s="1" t="s">
        <v>899</v>
      </c>
      <c r="D268" s="1" t="s">
        <v>900</v>
      </c>
      <c r="E268" s="4">
        <v>104000.0</v>
      </c>
      <c r="F268" s="4">
        <v>1666.0</v>
      </c>
      <c r="G268" s="4">
        <v>76.0</v>
      </c>
      <c r="H268" s="7" t="s">
        <v>4371</v>
      </c>
      <c r="I268" s="1" t="s">
        <v>4372</v>
      </c>
      <c r="J268" s="1"/>
      <c r="K268" s="9">
        <v>45037.97487268518</v>
      </c>
      <c r="L268" s="4">
        <v>1.682119429E9</v>
      </c>
      <c r="M268" s="1" t="s">
        <v>47</v>
      </c>
      <c r="N268" s="1" t="s">
        <v>47</v>
      </c>
      <c r="O268" s="1" t="s">
        <v>47</v>
      </c>
      <c r="P268" s="1" t="s">
        <v>47</v>
      </c>
      <c r="Q268" s="1" t="s">
        <v>47</v>
      </c>
      <c r="R268" s="1" t="s">
        <v>2321</v>
      </c>
      <c r="S268" s="1" t="s">
        <v>4373</v>
      </c>
      <c r="T268" s="7" t="s">
        <v>4374</v>
      </c>
      <c r="U268" s="7" t="s">
        <v>2324</v>
      </c>
      <c r="V268" s="1" t="s">
        <v>2328</v>
      </c>
      <c r="W268" s="7" t="s">
        <v>4376</v>
      </c>
      <c r="X268" s="7" t="s">
        <v>4378</v>
      </c>
      <c r="Y268" s="1"/>
      <c r="Z268" s="4">
        <v>59900.0</v>
      </c>
      <c r="AA268" s="4">
        <v>2118.0</v>
      </c>
      <c r="AB268" s="4">
        <v>6077.0</v>
      </c>
      <c r="AC268" s="4">
        <v>591700.0</v>
      </c>
      <c r="AD268" s="1" t="s">
        <v>4379</v>
      </c>
      <c r="AE268" s="1" t="s">
        <v>4379</v>
      </c>
      <c r="AF268" s="1"/>
      <c r="AG268" s="1"/>
      <c r="AH268" s="1" t="s">
        <v>918</v>
      </c>
      <c r="AI268" s="1"/>
      <c r="AJ268" s="1"/>
      <c r="AK268" s="1"/>
      <c r="AL268" s="1">
        <f>IFERROR(__xludf.DUMMYFUNCTION("IF(
  TRIM(AD268)="""",
  0,
  COUNTA(
    SPLIT(
      REGEXREPLACE(AD268,""\s*,\s*"","",""),
      "",""
    )
  )
)"),7.0)</f>
        <v>7</v>
      </c>
    </row>
    <row r="269">
      <c r="A269" s="1" t="s">
        <v>2043</v>
      </c>
      <c r="B269" s="1" t="s">
        <v>2043</v>
      </c>
      <c r="C269" s="1" t="s">
        <v>123</v>
      </c>
      <c r="D269" s="1" t="s">
        <v>124</v>
      </c>
      <c r="E269" s="4">
        <v>254700.0</v>
      </c>
      <c r="F269" s="4">
        <v>364.0</v>
      </c>
      <c r="G269" s="4">
        <v>684.0</v>
      </c>
      <c r="H269" s="7" t="s">
        <v>3205</v>
      </c>
      <c r="I269" s="1" t="s">
        <v>2045</v>
      </c>
      <c r="J269" s="1"/>
      <c r="K269" s="9">
        <v>45805.59361111111</v>
      </c>
      <c r="L269" s="4">
        <v>1.748441688E9</v>
      </c>
      <c r="M269" s="1" t="s">
        <v>47</v>
      </c>
      <c r="N269" s="1" t="s">
        <v>47</v>
      </c>
      <c r="O269" s="1" t="s">
        <v>47</v>
      </c>
      <c r="P269" s="1" t="s">
        <v>47</v>
      </c>
      <c r="Q269" s="1" t="s">
        <v>47</v>
      </c>
      <c r="R269" s="1" t="s">
        <v>48</v>
      </c>
      <c r="S269" s="1" t="s">
        <v>2046</v>
      </c>
      <c r="T269" s="7" t="s">
        <v>4380</v>
      </c>
      <c r="U269" s="7" t="s">
        <v>3208</v>
      </c>
      <c r="V269" s="1" t="s">
        <v>124</v>
      </c>
      <c r="W269" s="7" t="s">
        <v>4383</v>
      </c>
      <c r="X269" s="7" t="s">
        <v>2056</v>
      </c>
      <c r="Y269" s="1"/>
      <c r="Z269" s="4">
        <v>17700.0</v>
      </c>
      <c r="AA269" s="4">
        <v>397.0</v>
      </c>
      <c r="AB269" s="4">
        <v>4919.0</v>
      </c>
      <c r="AC269" s="4">
        <v>167900.0</v>
      </c>
      <c r="AD269" s="1" t="s">
        <v>2057</v>
      </c>
      <c r="AE269" s="1" t="s">
        <v>2057</v>
      </c>
      <c r="AF269" s="1"/>
      <c r="AG269" s="1"/>
      <c r="AH269" s="1"/>
      <c r="AI269" s="1"/>
      <c r="AJ269" s="1"/>
      <c r="AK269" s="1"/>
      <c r="AL269" s="1">
        <f>IFERROR(__xludf.DUMMYFUNCTION("IF(
  TRIM(AD269)="""",
  0,
  COUNTA(
    SPLIT(
      REGEXREPLACE(AD269,""\s*,\s*"","",""),
      "",""
    )
  )
)"),7.0)</f>
        <v>7</v>
      </c>
    </row>
    <row r="270">
      <c r="A270" s="1" t="s">
        <v>2626</v>
      </c>
      <c r="B270" s="1" t="s">
        <v>2626</v>
      </c>
      <c r="C270" s="1" t="s">
        <v>2627</v>
      </c>
      <c r="D270" s="1" t="s">
        <v>2627</v>
      </c>
      <c r="E270" s="4">
        <v>6187.0</v>
      </c>
      <c r="F270" s="4">
        <v>10.0</v>
      </c>
      <c r="G270" s="4">
        <v>144.0</v>
      </c>
      <c r="H270" s="7" t="s">
        <v>4388</v>
      </c>
      <c r="I270" s="1" t="s">
        <v>2631</v>
      </c>
      <c r="J270" s="1"/>
      <c r="K270" s="9">
        <v>45210.64579861111</v>
      </c>
      <c r="L270" s="4">
        <v>1.697038197E9</v>
      </c>
      <c r="M270" s="1" t="s">
        <v>47</v>
      </c>
      <c r="N270" s="1" t="s">
        <v>47</v>
      </c>
      <c r="O270" s="1" t="s">
        <v>47</v>
      </c>
      <c r="P270" s="1" t="s">
        <v>47</v>
      </c>
      <c r="Q270" s="1" t="s">
        <v>47</v>
      </c>
      <c r="R270" s="1" t="s">
        <v>48</v>
      </c>
      <c r="S270" s="1" t="s">
        <v>2633</v>
      </c>
      <c r="T270" s="7" t="s">
        <v>4393</v>
      </c>
      <c r="U270" s="7" t="s">
        <v>4397</v>
      </c>
      <c r="V270" s="1" t="s">
        <v>2627</v>
      </c>
      <c r="W270" s="7" t="s">
        <v>4400</v>
      </c>
      <c r="X270" s="7" t="s">
        <v>2641</v>
      </c>
      <c r="Y270" s="1"/>
      <c r="Z270" s="4">
        <v>10100.0</v>
      </c>
      <c r="AA270" s="4">
        <v>181.0</v>
      </c>
      <c r="AB270" s="4">
        <v>3798.0</v>
      </c>
      <c r="AC270" s="4">
        <v>237100.0</v>
      </c>
      <c r="AD270" s="1" t="s">
        <v>2642</v>
      </c>
      <c r="AE270" s="1" t="s">
        <v>2642</v>
      </c>
      <c r="AF270" s="1"/>
      <c r="AG270" s="1"/>
      <c r="AH270" s="1"/>
      <c r="AI270" s="1"/>
      <c r="AJ270" s="1"/>
      <c r="AK270" s="1"/>
      <c r="AL270" s="1">
        <f>IFERROR(__xludf.DUMMYFUNCTION("IF(
  TRIM(AD270)="""",
  0,
  COUNTA(
    SPLIT(
      REGEXREPLACE(AD270,""\s*,\s*"","",""),
      "",""
    )
  )
)"),7.0)</f>
        <v>7</v>
      </c>
    </row>
    <row r="271">
      <c r="A271" s="1" t="s">
        <v>2732</v>
      </c>
      <c r="B271" s="1" t="s">
        <v>2732</v>
      </c>
      <c r="C271" s="1" t="s">
        <v>2431</v>
      </c>
      <c r="D271" s="1" t="s">
        <v>2432</v>
      </c>
      <c r="E271" s="4">
        <v>374100.0</v>
      </c>
      <c r="F271" s="4">
        <v>580.0</v>
      </c>
      <c r="G271" s="4">
        <v>525.0</v>
      </c>
      <c r="H271" s="7" t="s">
        <v>4410</v>
      </c>
      <c r="I271" s="1" t="s">
        <v>2733</v>
      </c>
      <c r="J271" s="1"/>
      <c r="K271" s="9">
        <v>45364.96163194445</v>
      </c>
      <c r="L271" s="4">
        <v>1.710371085E9</v>
      </c>
      <c r="M271" s="1" t="s">
        <v>47</v>
      </c>
      <c r="N271" s="1" t="s">
        <v>47</v>
      </c>
      <c r="O271" s="1" t="s">
        <v>47</v>
      </c>
      <c r="P271" s="1" t="s">
        <v>47</v>
      </c>
      <c r="Q271" s="1" t="s">
        <v>47</v>
      </c>
      <c r="R271" s="1" t="s">
        <v>1460</v>
      </c>
      <c r="S271" s="1" t="s">
        <v>1461</v>
      </c>
      <c r="T271" s="7" t="s">
        <v>1462</v>
      </c>
      <c r="U271" s="7" t="s">
        <v>1464</v>
      </c>
      <c r="V271" s="1" t="s">
        <v>1468</v>
      </c>
      <c r="W271" s="7" t="s">
        <v>4413</v>
      </c>
      <c r="X271" s="7" t="s">
        <v>2742</v>
      </c>
      <c r="Y271" s="1"/>
      <c r="Z271" s="4">
        <v>9119.0</v>
      </c>
      <c r="AA271" s="4">
        <v>142.0</v>
      </c>
      <c r="AB271" s="4">
        <v>1706.0</v>
      </c>
      <c r="AC271" s="4">
        <v>139900.0</v>
      </c>
      <c r="AD271" s="1" t="s">
        <v>2743</v>
      </c>
      <c r="AE271" s="1" t="s">
        <v>2743</v>
      </c>
      <c r="AF271" s="1"/>
      <c r="AG271" s="1"/>
      <c r="AH271" s="1"/>
      <c r="AI271" s="1"/>
      <c r="AJ271" s="1"/>
      <c r="AK271" s="1"/>
      <c r="AL271" s="1">
        <f>IFERROR(__xludf.DUMMYFUNCTION("IF(
  TRIM(AD271)="""",
  0,
  COUNTA(
    SPLIT(
      REGEXREPLACE(AD271,""\s*,\s*"","",""),
      "",""
    )
  )
)"),7.0)</f>
        <v>7</v>
      </c>
    </row>
    <row r="272">
      <c r="A272" s="1" t="s">
        <v>4423</v>
      </c>
      <c r="B272" s="1" t="s">
        <v>4423</v>
      </c>
      <c r="C272" s="1" t="s">
        <v>296</v>
      </c>
      <c r="D272" s="1" t="s">
        <v>297</v>
      </c>
      <c r="E272" s="4">
        <v>81500.0</v>
      </c>
      <c r="F272" s="4">
        <v>1728.0</v>
      </c>
      <c r="G272" s="4">
        <v>33.0</v>
      </c>
      <c r="H272" s="7" t="s">
        <v>2982</v>
      </c>
      <c r="I272" s="1" t="s">
        <v>4424</v>
      </c>
      <c r="J272" s="1"/>
      <c r="K272" s="9">
        <v>45531.93876157407</v>
      </c>
      <c r="L272" s="4">
        <v>1.724797909E9</v>
      </c>
      <c r="M272" s="1" t="s">
        <v>47</v>
      </c>
      <c r="N272" s="1" t="s">
        <v>47</v>
      </c>
      <c r="O272" s="1" t="s">
        <v>47</v>
      </c>
      <c r="P272" s="1" t="s">
        <v>47</v>
      </c>
      <c r="Q272" s="1" t="s">
        <v>47</v>
      </c>
      <c r="R272" s="1" t="s">
        <v>48</v>
      </c>
      <c r="S272" s="1" t="s">
        <v>4425</v>
      </c>
      <c r="T272" s="7" t="s">
        <v>4426</v>
      </c>
      <c r="U272" s="7" t="s">
        <v>4430</v>
      </c>
      <c r="V272" s="1" t="s">
        <v>297</v>
      </c>
      <c r="W272" s="7" t="s">
        <v>4431</v>
      </c>
      <c r="X272" s="7" t="s">
        <v>4433</v>
      </c>
      <c r="Y272" s="1"/>
      <c r="Z272" s="4">
        <v>9002.0</v>
      </c>
      <c r="AA272" s="4">
        <v>379.0</v>
      </c>
      <c r="AB272" s="4">
        <v>1515.0</v>
      </c>
      <c r="AC272" s="4">
        <v>98700.0</v>
      </c>
      <c r="AD272" s="1" t="s">
        <v>4435</v>
      </c>
      <c r="AE272" s="1" t="s">
        <v>4435</v>
      </c>
      <c r="AF272" s="1"/>
      <c r="AG272" s="1"/>
      <c r="AH272" s="1"/>
      <c r="AI272" s="1"/>
      <c r="AJ272" s="1"/>
      <c r="AK272" s="1"/>
      <c r="AL272" s="1">
        <f>IFERROR(__xludf.DUMMYFUNCTION("IF(
  TRIM(AD272)="""",
  0,
  COUNTA(
    SPLIT(
      REGEXREPLACE(AD272,""\s*,\s*"","",""),
      "",""
    )
  )
)"),7.0)</f>
        <v>7</v>
      </c>
    </row>
    <row r="273">
      <c r="A273" s="1" t="s">
        <v>2874</v>
      </c>
      <c r="B273" s="1" t="s">
        <v>2874</v>
      </c>
      <c r="C273" s="1" t="s">
        <v>123</v>
      </c>
      <c r="D273" s="1" t="s">
        <v>124</v>
      </c>
      <c r="E273" s="4">
        <v>254700.0</v>
      </c>
      <c r="F273" s="4">
        <v>364.0</v>
      </c>
      <c r="G273" s="4">
        <v>684.0</v>
      </c>
      <c r="H273" s="7" t="s">
        <v>3652</v>
      </c>
      <c r="I273" s="1" t="s">
        <v>2878</v>
      </c>
      <c r="J273" s="1"/>
      <c r="K273" s="9">
        <v>45664.54350694444</v>
      </c>
      <c r="L273" s="4">
        <v>1.736254959E9</v>
      </c>
      <c r="M273" s="1" t="s">
        <v>47</v>
      </c>
      <c r="N273" s="1" t="s">
        <v>47</v>
      </c>
      <c r="O273" s="1" t="s">
        <v>47</v>
      </c>
      <c r="P273" s="1" t="s">
        <v>47</v>
      </c>
      <c r="Q273" s="1" t="s">
        <v>47</v>
      </c>
      <c r="R273" s="1" t="s">
        <v>48</v>
      </c>
      <c r="S273" s="1" t="s">
        <v>2879</v>
      </c>
      <c r="T273" s="7" t="s">
        <v>4436</v>
      </c>
      <c r="U273" s="7" t="s">
        <v>3557</v>
      </c>
      <c r="V273" s="1" t="s">
        <v>124</v>
      </c>
      <c r="W273" s="7" t="s">
        <v>4438</v>
      </c>
      <c r="X273" s="7" t="s">
        <v>2886</v>
      </c>
      <c r="Y273" s="1"/>
      <c r="Z273" s="4">
        <v>8213.0</v>
      </c>
      <c r="AA273" s="4">
        <v>333.0</v>
      </c>
      <c r="AB273" s="4">
        <v>777.0</v>
      </c>
      <c r="AC273" s="4">
        <v>91700.0</v>
      </c>
      <c r="AD273" s="1" t="s">
        <v>2892</v>
      </c>
      <c r="AE273" s="1" t="s">
        <v>2892</v>
      </c>
      <c r="AF273" s="1"/>
      <c r="AG273" s="1"/>
      <c r="AH273" s="1"/>
      <c r="AI273" s="1"/>
      <c r="AJ273" s="1"/>
      <c r="AK273" s="1"/>
      <c r="AL273" s="1">
        <f>IFERROR(__xludf.DUMMYFUNCTION("IF(
  TRIM(AD273)="""",
  0,
  COUNTA(
    SPLIT(
      REGEXREPLACE(AD273,""\s*,\s*"","",""),
      "",""
    )
  )
)"),7.0)</f>
        <v>7</v>
      </c>
    </row>
    <row r="274">
      <c r="A274" s="1" t="s">
        <v>4441</v>
      </c>
      <c r="B274" s="1" t="s">
        <v>4441</v>
      </c>
      <c r="C274" s="1" t="s">
        <v>276</v>
      </c>
      <c r="D274" s="1" t="s">
        <v>277</v>
      </c>
      <c r="E274" s="4">
        <v>345000.0</v>
      </c>
      <c r="F274" s="4">
        <v>344.0</v>
      </c>
      <c r="G274" s="4">
        <v>493.0</v>
      </c>
      <c r="H274" s="7" t="s">
        <v>3359</v>
      </c>
      <c r="I274" s="1" t="s">
        <v>4442</v>
      </c>
      <c r="J274" s="1" t="s">
        <v>4443</v>
      </c>
      <c r="K274" s="9">
        <v>45563.011921296296</v>
      </c>
      <c r="L274" s="4">
        <v>1.72748263E9</v>
      </c>
      <c r="M274" s="1" t="s">
        <v>47</v>
      </c>
      <c r="N274" s="1" t="s">
        <v>47</v>
      </c>
      <c r="O274" s="1" t="s">
        <v>47</v>
      </c>
      <c r="P274" s="1" t="s">
        <v>47</v>
      </c>
      <c r="Q274" s="1" t="s">
        <v>47</v>
      </c>
      <c r="R274" s="1" t="s">
        <v>48</v>
      </c>
      <c r="S274" s="1" t="s">
        <v>4444</v>
      </c>
      <c r="T274" s="7" t="s">
        <v>4445</v>
      </c>
      <c r="U274" s="7" t="s">
        <v>3057</v>
      </c>
      <c r="V274" s="1" t="s">
        <v>277</v>
      </c>
      <c r="W274" s="7" t="s">
        <v>4448</v>
      </c>
      <c r="X274" s="7" t="s">
        <v>4449</v>
      </c>
      <c r="Y274" s="1"/>
      <c r="Z274" s="4">
        <v>3000.0</v>
      </c>
      <c r="AA274" s="4">
        <v>75.0</v>
      </c>
      <c r="AB274" s="4">
        <v>305.0</v>
      </c>
      <c r="AC274" s="4">
        <v>36800.0</v>
      </c>
      <c r="AD274" s="1" t="s">
        <v>4450</v>
      </c>
      <c r="AE274" s="1" t="s">
        <v>4450</v>
      </c>
      <c r="AF274" s="1"/>
      <c r="AG274" s="1"/>
      <c r="AH274" s="1"/>
      <c r="AI274" s="1"/>
      <c r="AJ274" s="1"/>
      <c r="AK274" s="1"/>
      <c r="AL274" s="1">
        <f>IFERROR(__xludf.DUMMYFUNCTION("IF(
  TRIM(AD274)="""",
  0,
  COUNTA(
    SPLIT(
      REGEXREPLACE(AD274,""\s*,\s*"","",""),
      "",""
    )
  )
)"),7.0)</f>
        <v>7</v>
      </c>
    </row>
    <row r="275">
      <c r="A275" s="1" t="s">
        <v>4451</v>
      </c>
      <c r="B275" s="1" t="s">
        <v>4451</v>
      </c>
      <c r="C275" s="1" t="s">
        <v>4452</v>
      </c>
      <c r="D275" s="1" t="s">
        <v>4453</v>
      </c>
      <c r="E275" s="4">
        <v>2010.0</v>
      </c>
      <c r="F275" s="4">
        <v>7772.0</v>
      </c>
      <c r="G275" s="4">
        <v>415.0</v>
      </c>
      <c r="H275" s="7" t="s">
        <v>4454</v>
      </c>
      <c r="I275" s="1" t="s">
        <v>4459</v>
      </c>
      <c r="J275" s="1" t="s">
        <v>4460</v>
      </c>
      <c r="K275" s="9">
        <v>45876.99434027778</v>
      </c>
      <c r="L275" s="4">
        <v>1.754610711E9</v>
      </c>
      <c r="M275" s="1" t="s">
        <v>47</v>
      </c>
      <c r="N275" s="1" t="s">
        <v>47</v>
      </c>
      <c r="O275" s="1" t="s">
        <v>47</v>
      </c>
      <c r="P275" s="1" t="s">
        <v>47</v>
      </c>
      <c r="Q275" s="1" t="s">
        <v>47</v>
      </c>
      <c r="R275" s="1" t="s">
        <v>48</v>
      </c>
      <c r="S275" s="1" t="s">
        <v>4461</v>
      </c>
      <c r="T275" s="7" t="s">
        <v>4462</v>
      </c>
      <c r="U275" s="7" t="s">
        <v>4464</v>
      </c>
      <c r="V275" s="1" t="s">
        <v>4453</v>
      </c>
      <c r="W275" s="7" t="s">
        <v>4467</v>
      </c>
      <c r="X275" s="7" t="s">
        <v>4472</v>
      </c>
      <c r="Y275" s="1"/>
      <c r="Z275" s="4">
        <v>1307.0</v>
      </c>
      <c r="AA275" s="4">
        <v>58.0</v>
      </c>
      <c r="AB275" s="4">
        <v>459.0</v>
      </c>
      <c r="AC275" s="4">
        <v>50800.0</v>
      </c>
      <c r="AD275" s="1" t="s">
        <v>4474</v>
      </c>
      <c r="AE275" s="1" t="s">
        <v>4474</v>
      </c>
      <c r="AF275" s="1"/>
      <c r="AG275" s="1"/>
      <c r="AH275" s="1"/>
      <c r="AI275" s="1"/>
      <c r="AJ275" s="1"/>
      <c r="AK275" s="1"/>
      <c r="AL275" s="1">
        <f>IFERROR(__xludf.DUMMYFUNCTION("IF(
  TRIM(AD275)="""",
  0,
  COUNTA(
    SPLIT(
      REGEXREPLACE(AD275,""\s*,\s*"","",""),
      "",""
    )
  )
)"),7.0)</f>
        <v>7</v>
      </c>
    </row>
    <row r="276">
      <c r="A276" s="1" t="s">
        <v>4311</v>
      </c>
      <c r="B276" s="1" t="s">
        <v>4311</v>
      </c>
      <c r="C276" s="1" t="s">
        <v>239</v>
      </c>
      <c r="D276" s="1" t="s">
        <v>239</v>
      </c>
      <c r="E276" s="4">
        <v>29300.0</v>
      </c>
      <c r="F276" s="4">
        <v>135.0</v>
      </c>
      <c r="G276" s="4">
        <v>74.0</v>
      </c>
      <c r="H276" s="7" t="s">
        <v>4047</v>
      </c>
      <c r="I276" s="1" t="s">
        <v>4312</v>
      </c>
      <c r="J276" s="1"/>
      <c r="K276" s="9">
        <v>45112.649189814816</v>
      </c>
      <c r="L276" s="4">
        <v>1.68857129E9</v>
      </c>
      <c r="M276" s="1" t="s">
        <v>47</v>
      </c>
      <c r="N276" s="1" t="s">
        <v>47</v>
      </c>
      <c r="O276" s="1" t="s">
        <v>47</v>
      </c>
      <c r="P276" s="1" t="s">
        <v>47</v>
      </c>
      <c r="Q276" s="1" t="s">
        <v>47</v>
      </c>
      <c r="R276" s="1" t="s">
        <v>48</v>
      </c>
      <c r="S276" s="1" t="s">
        <v>4314</v>
      </c>
      <c r="T276" s="7" t="s">
        <v>4475</v>
      </c>
      <c r="U276" s="7" t="s">
        <v>4482</v>
      </c>
      <c r="V276" s="1" t="s">
        <v>239</v>
      </c>
      <c r="W276" s="7" t="s">
        <v>4486</v>
      </c>
      <c r="X276" s="7" t="s">
        <v>4321</v>
      </c>
      <c r="Y276" s="1"/>
      <c r="Z276" s="4">
        <v>649.0</v>
      </c>
      <c r="AA276" s="4">
        <v>26.0</v>
      </c>
      <c r="AB276" s="4">
        <v>118.0</v>
      </c>
      <c r="AC276" s="4">
        <v>11200.0</v>
      </c>
      <c r="AD276" s="1" t="s">
        <v>4322</v>
      </c>
      <c r="AE276" s="1" t="s">
        <v>4323</v>
      </c>
      <c r="AF276" s="1"/>
      <c r="AG276" s="1"/>
      <c r="AH276" s="1"/>
      <c r="AI276" s="1"/>
      <c r="AJ276" s="1"/>
      <c r="AK276" s="1"/>
      <c r="AL276" s="1">
        <f>IFERROR(__xludf.DUMMYFUNCTION("IF(
  TRIM(AD276)="""",
  0,
  COUNTA(
    SPLIT(
      REGEXREPLACE(AD276,""\s*,\s*"","",""),
      "",""
    )
  )
)"),7.0)</f>
        <v>7</v>
      </c>
    </row>
    <row r="277">
      <c r="A277" s="1" t="s">
        <v>4490</v>
      </c>
      <c r="B277" s="1" t="s">
        <v>4490</v>
      </c>
      <c r="C277" s="1" t="s">
        <v>4491</v>
      </c>
      <c r="D277" s="1" t="s">
        <v>4491</v>
      </c>
      <c r="E277" s="4">
        <v>2331.0</v>
      </c>
      <c r="F277" s="4">
        <v>5773.0</v>
      </c>
      <c r="G277" s="4">
        <v>86.0</v>
      </c>
      <c r="H277" s="7" t="s">
        <v>4493</v>
      </c>
      <c r="I277" s="1" t="s">
        <v>4498</v>
      </c>
      <c r="J277" s="1" t="s">
        <v>4499</v>
      </c>
      <c r="K277" s="9">
        <v>45178.10548611111</v>
      </c>
      <c r="L277" s="4">
        <v>1.694226714E9</v>
      </c>
      <c r="M277" s="1" t="s">
        <v>47</v>
      </c>
      <c r="N277" s="1" t="s">
        <v>47</v>
      </c>
      <c r="O277" s="1" t="s">
        <v>47</v>
      </c>
      <c r="P277" s="1" t="s">
        <v>47</v>
      </c>
      <c r="Q277" s="1" t="s">
        <v>47</v>
      </c>
      <c r="R277" s="1" t="s">
        <v>2791</v>
      </c>
      <c r="S277" s="1" t="s">
        <v>2792</v>
      </c>
      <c r="T277" s="7" t="s">
        <v>2793</v>
      </c>
      <c r="U277" s="7" t="s">
        <v>2794</v>
      </c>
      <c r="V277" s="1" t="s">
        <v>2796</v>
      </c>
      <c r="W277" s="7" t="s">
        <v>4503</v>
      </c>
      <c r="X277" s="7" t="s">
        <v>4507</v>
      </c>
      <c r="Y277" s="1"/>
      <c r="Z277" s="4">
        <v>561.0</v>
      </c>
      <c r="AA277" s="4">
        <v>11.0</v>
      </c>
      <c r="AB277" s="4">
        <v>121.0</v>
      </c>
      <c r="AC277" s="4">
        <v>16500.0</v>
      </c>
      <c r="AD277" s="1" t="s">
        <v>4508</v>
      </c>
      <c r="AE277" s="1" t="s">
        <v>4508</v>
      </c>
      <c r="AF277" s="1"/>
      <c r="AG277" s="1"/>
      <c r="AH277" s="1"/>
      <c r="AI277" s="1"/>
      <c r="AJ277" s="1"/>
      <c r="AK277" s="1"/>
      <c r="AL277" s="1">
        <f>IFERROR(__xludf.DUMMYFUNCTION("IF(
  TRIM(AD277)="""",
  0,
  COUNTA(
    SPLIT(
      REGEXREPLACE(AD277,""\s*,\s*"","",""),
      "",""
    )
  )
)"),7.0)</f>
        <v>7</v>
      </c>
    </row>
    <row r="278">
      <c r="A278" s="1" t="s">
        <v>4401</v>
      </c>
      <c r="B278" s="1" t="s">
        <v>4401</v>
      </c>
      <c r="C278" s="1" t="s">
        <v>4402</v>
      </c>
      <c r="D278" s="1" t="s">
        <v>4403</v>
      </c>
      <c r="E278" s="4">
        <v>2316.0</v>
      </c>
      <c r="F278" s="4">
        <v>88.0</v>
      </c>
      <c r="G278" s="4">
        <v>70.0</v>
      </c>
      <c r="H278" s="7" t="s">
        <v>4509</v>
      </c>
      <c r="I278" s="1" t="s">
        <v>4405</v>
      </c>
      <c r="J278" s="1"/>
      <c r="K278" s="9">
        <v>45716.998761574076</v>
      </c>
      <c r="L278" s="4">
        <v>1.740787093E9</v>
      </c>
      <c r="M278" s="1" t="s">
        <v>47</v>
      </c>
      <c r="N278" s="1" t="s">
        <v>47</v>
      </c>
      <c r="O278" s="1" t="s">
        <v>47</v>
      </c>
      <c r="P278" s="1" t="s">
        <v>47</v>
      </c>
      <c r="Q278" s="1" t="s">
        <v>47</v>
      </c>
      <c r="R278" s="1" t="s">
        <v>4406</v>
      </c>
      <c r="S278" s="1" t="s">
        <v>4407</v>
      </c>
      <c r="T278" s="7" t="s">
        <v>4408</v>
      </c>
      <c r="U278" s="7" t="s">
        <v>4409</v>
      </c>
      <c r="V278" s="1" t="s">
        <v>4411</v>
      </c>
      <c r="W278" s="7" t="s">
        <v>4514</v>
      </c>
      <c r="X278" s="7" t="s">
        <v>4414</v>
      </c>
      <c r="Y278" s="1"/>
      <c r="Z278" s="4">
        <v>494.0</v>
      </c>
      <c r="AA278" s="4">
        <v>16.0</v>
      </c>
      <c r="AB278" s="4">
        <v>64.0</v>
      </c>
      <c r="AC278" s="4">
        <v>10800.0</v>
      </c>
      <c r="AD278" s="1" t="s">
        <v>4415</v>
      </c>
      <c r="AE278" s="1" t="s">
        <v>4415</v>
      </c>
      <c r="AF278" s="1"/>
      <c r="AG278" s="1"/>
      <c r="AH278" s="1" t="s">
        <v>2014</v>
      </c>
      <c r="AI278" s="1"/>
      <c r="AJ278" s="1"/>
      <c r="AK278" s="1"/>
      <c r="AL278" s="1">
        <f>IFERROR(__xludf.DUMMYFUNCTION("IF(
  TRIM(AD278)="""",
  0,
  COUNTA(
    SPLIT(
      REGEXREPLACE(AD278,""\s*,\s*"","",""),
      "",""
    )
  )
)"),7.0)</f>
        <v>7</v>
      </c>
    </row>
    <row r="279">
      <c r="A279" s="1" t="s">
        <v>4416</v>
      </c>
      <c r="B279" s="1" t="s">
        <v>4416</v>
      </c>
      <c r="C279" s="1" t="s">
        <v>920</v>
      </c>
      <c r="D279" s="1" t="s">
        <v>921</v>
      </c>
      <c r="E279" s="4">
        <v>299500.0</v>
      </c>
      <c r="F279" s="4">
        <v>1919.0</v>
      </c>
      <c r="G279" s="4">
        <v>1418.0</v>
      </c>
      <c r="H279" s="7" t="s">
        <v>1561</v>
      </c>
      <c r="I279" s="1" t="s">
        <v>4417</v>
      </c>
      <c r="J279" s="1"/>
      <c r="K279" s="9">
        <v>45531.96009259259</v>
      </c>
      <c r="L279" s="4">
        <v>1.724799752E9</v>
      </c>
      <c r="M279" s="1" t="s">
        <v>47</v>
      </c>
      <c r="N279" s="1" t="s">
        <v>47</v>
      </c>
      <c r="O279" s="1" t="s">
        <v>47</v>
      </c>
      <c r="P279" s="1" t="s">
        <v>47</v>
      </c>
      <c r="Q279" s="1" t="s">
        <v>47</v>
      </c>
      <c r="R279" s="1" t="s">
        <v>4418</v>
      </c>
      <c r="S279" s="1" t="s">
        <v>4419</v>
      </c>
      <c r="T279" s="7" t="s">
        <v>4517</v>
      </c>
      <c r="U279" s="7" t="s">
        <v>4518</v>
      </c>
      <c r="V279" s="1" t="s">
        <v>4421</v>
      </c>
      <c r="W279" s="7" t="s">
        <v>4519</v>
      </c>
      <c r="X279" s="7" t="s">
        <v>4427</v>
      </c>
      <c r="Y279" s="1"/>
      <c r="Z279" s="4">
        <v>479.0</v>
      </c>
      <c r="AA279" s="4">
        <v>15.0</v>
      </c>
      <c r="AB279" s="4">
        <v>310.0</v>
      </c>
      <c r="AC279" s="4">
        <v>16400.0</v>
      </c>
      <c r="AD279" s="1" t="s">
        <v>4428</v>
      </c>
      <c r="AE279" s="1" t="s">
        <v>4428</v>
      </c>
      <c r="AF279" s="1"/>
      <c r="AG279" s="1"/>
      <c r="AH279" s="1"/>
      <c r="AI279" s="1"/>
      <c r="AJ279" s="1"/>
      <c r="AK279" s="1"/>
      <c r="AL279" s="1">
        <f>IFERROR(__xludf.DUMMYFUNCTION("IF(
  TRIM(AD279)="""",
  0,
  COUNTA(
    SPLIT(
      REGEXREPLACE(AD279,""\s*,\s*"","",""),
      "",""
    )
  )
)"),7.0)</f>
        <v>7</v>
      </c>
    </row>
    <row r="280">
      <c r="A280" s="1" t="s">
        <v>4528</v>
      </c>
      <c r="B280" s="1" t="s">
        <v>4528</v>
      </c>
      <c r="C280" s="1" t="s">
        <v>4529</v>
      </c>
      <c r="D280" s="1" t="s">
        <v>4529</v>
      </c>
      <c r="E280" s="4">
        <v>23100.0</v>
      </c>
      <c r="F280" s="4">
        <v>2183.0</v>
      </c>
      <c r="G280" s="4">
        <v>220.0</v>
      </c>
      <c r="H280" s="7" t="s">
        <v>4530</v>
      </c>
      <c r="I280" s="1" t="s">
        <v>4532</v>
      </c>
      <c r="J280" s="1" t="s">
        <v>4533</v>
      </c>
      <c r="K280" s="9">
        <v>45784.65185185185</v>
      </c>
      <c r="L280" s="4">
        <v>1.74663232E9</v>
      </c>
      <c r="M280" s="1" t="s">
        <v>47</v>
      </c>
      <c r="N280" s="1" t="s">
        <v>47</v>
      </c>
      <c r="O280" s="1" t="s">
        <v>47</v>
      </c>
      <c r="P280" s="1" t="s">
        <v>47</v>
      </c>
      <c r="Q280" s="1" t="s">
        <v>47</v>
      </c>
      <c r="R280" s="1" t="s">
        <v>204</v>
      </c>
      <c r="S280" s="1" t="s">
        <v>2520</v>
      </c>
      <c r="T280" s="7" t="s">
        <v>4534</v>
      </c>
      <c r="U280" s="7" t="s">
        <v>2526</v>
      </c>
      <c r="V280" s="1" t="s">
        <v>2530</v>
      </c>
      <c r="W280" s="7" t="s">
        <v>4539</v>
      </c>
      <c r="X280" s="7" t="s">
        <v>4541</v>
      </c>
      <c r="Y280" s="1"/>
      <c r="Z280" s="4">
        <v>261.0</v>
      </c>
      <c r="AA280" s="4">
        <v>18.0</v>
      </c>
      <c r="AB280" s="4">
        <v>134.0</v>
      </c>
      <c r="AC280" s="4">
        <v>6938.0</v>
      </c>
      <c r="AD280" s="1" t="s">
        <v>4542</v>
      </c>
      <c r="AE280" s="1" t="s">
        <v>4544</v>
      </c>
      <c r="AF280" s="1"/>
      <c r="AG280" s="1"/>
      <c r="AH280" s="1"/>
      <c r="AI280" s="1"/>
      <c r="AJ280" s="1"/>
      <c r="AK280" s="1"/>
      <c r="AL280" s="1">
        <f>IFERROR(__xludf.DUMMYFUNCTION("IF(
  TRIM(AD280)="""",
  0,
  COUNTA(
    SPLIT(
      REGEXREPLACE(AD280,""\s*,\s*"","",""),
      "",""
    )
  )
)"),7.0)</f>
        <v>7</v>
      </c>
    </row>
    <row r="281">
      <c r="A281" s="1" t="s">
        <v>4545</v>
      </c>
      <c r="B281" s="1" t="s">
        <v>4545</v>
      </c>
      <c r="C281" s="1" t="s">
        <v>4546</v>
      </c>
      <c r="D281" s="1" t="s">
        <v>4547</v>
      </c>
      <c r="E281" s="4">
        <v>464800.0</v>
      </c>
      <c r="F281" s="4">
        <v>31800.0</v>
      </c>
      <c r="G281" s="4">
        <v>3515.0</v>
      </c>
      <c r="H281" s="7" t="s">
        <v>4548</v>
      </c>
      <c r="I281" s="1" t="s">
        <v>4549</v>
      </c>
      <c r="J281" s="1"/>
      <c r="K281" s="9">
        <v>45124.52196759259</v>
      </c>
      <c r="L281" s="4">
        <v>1.689597098E9</v>
      </c>
      <c r="M281" s="1" t="s">
        <v>47</v>
      </c>
      <c r="N281" s="1" t="s">
        <v>47</v>
      </c>
      <c r="O281" s="1" t="s">
        <v>47</v>
      </c>
      <c r="P281" s="1" t="s">
        <v>47</v>
      </c>
      <c r="Q281" s="1" t="s">
        <v>47</v>
      </c>
      <c r="R281" s="1" t="s">
        <v>771</v>
      </c>
      <c r="S281" s="1" t="s">
        <v>772</v>
      </c>
      <c r="T281" s="7" t="s">
        <v>773</v>
      </c>
      <c r="U281" s="7" t="s">
        <v>778</v>
      </c>
      <c r="V281" s="1" t="s">
        <v>779</v>
      </c>
      <c r="W281" s="7" t="s">
        <v>4550</v>
      </c>
      <c r="X281" s="7" t="s">
        <v>4555</v>
      </c>
      <c r="Y281" s="1"/>
      <c r="Z281" s="4">
        <v>174.0</v>
      </c>
      <c r="AA281" s="4">
        <v>3.0</v>
      </c>
      <c r="AB281" s="4">
        <v>12.0</v>
      </c>
      <c r="AC281" s="4">
        <v>7921.0</v>
      </c>
      <c r="AD281" s="1" t="s">
        <v>4560</v>
      </c>
      <c r="AE281" s="1" t="s">
        <v>4560</v>
      </c>
      <c r="AF281" s="1"/>
      <c r="AG281" s="1"/>
      <c r="AH281" s="1"/>
      <c r="AI281" s="1"/>
      <c r="AJ281" s="1"/>
      <c r="AK281" s="1"/>
      <c r="AL281" s="1">
        <f>IFERROR(__xludf.DUMMYFUNCTION("IF(
  TRIM(AD281)="""",
  0,
  COUNTA(
    SPLIT(
      REGEXREPLACE(AD281,""\s*,\s*"","",""),
      "",""
    )
  )
)"),7.0)</f>
        <v>7</v>
      </c>
    </row>
    <row r="282">
      <c r="A282" s="1" t="s">
        <v>532</v>
      </c>
      <c r="B282" s="1" t="s">
        <v>532</v>
      </c>
      <c r="C282" s="1" t="s">
        <v>276</v>
      </c>
      <c r="D282" s="1" t="s">
        <v>277</v>
      </c>
      <c r="E282" s="4">
        <v>345000.0</v>
      </c>
      <c r="F282" s="4">
        <v>344.0</v>
      </c>
      <c r="G282" s="4">
        <v>493.0</v>
      </c>
      <c r="H282" s="7" t="s">
        <v>3050</v>
      </c>
      <c r="I282" s="1" t="s">
        <v>534</v>
      </c>
      <c r="J282" s="1" t="s">
        <v>535</v>
      </c>
      <c r="K282" s="9">
        <v>45736.03658564815</v>
      </c>
      <c r="L282" s="4">
        <v>1.742431961E9</v>
      </c>
      <c r="M282" s="1" t="s">
        <v>47</v>
      </c>
      <c r="N282" s="1" t="s">
        <v>47</v>
      </c>
      <c r="O282" s="1" t="s">
        <v>47</v>
      </c>
      <c r="P282" s="1" t="s">
        <v>47</v>
      </c>
      <c r="Q282" s="1" t="s">
        <v>47</v>
      </c>
      <c r="R282" s="1" t="s">
        <v>48</v>
      </c>
      <c r="S282" s="1" t="s">
        <v>536</v>
      </c>
      <c r="T282" s="7" t="s">
        <v>4561</v>
      </c>
      <c r="U282" s="7" t="s">
        <v>3057</v>
      </c>
      <c r="V282" s="1" t="s">
        <v>277</v>
      </c>
      <c r="W282" s="7" t="s">
        <v>4564</v>
      </c>
      <c r="X282" s="7" t="s">
        <v>543</v>
      </c>
      <c r="Y282" s="1"/>
      <c r="Z282" s="4">
        <v>132200.0</v>
      </c>
      <c r="AA282" s="4">
        <v>1691.0</v>
      </c>
      <c r="AB282" s="4">
        <v>31100.0</v>
      </c>
      <c r="AC282" s="4">
        <v>1900000.0</v>
      </c>
      <c r="AD282" s="1" t="s">
        <v>544</v>
      </c>
      <c r="AE282" s="1" t="s">
        <v>544</v>
      </c>
      <c r="AF282" s="1"/>
      <c r="AG282" s="1"/>
      <c r="AH282" s="1"/>
      <c r="AI282" s="1"/>
      <c r="AJ282" s="1"/>
      <c r="AK282" s="1"/>
      <c r="AL282" s="1">
        <f>IFERROR(__xludf.DUMMYFUNCTION("IF(
  TRIM(AD282)="""",
  0,
  COUNTA(
    SPLIT(
      REGEXREPLACE(AD282,""\s*,\s*"","",""),
      "",""
    )
  )
)"),8.0)</f>
        <v>8</v>
      </c>
    </row>
    <row r="283">
      <c r="A283" s="1" t="s">
        <v>1164</v>
      </c>
      <c r="B283" s="1" t="s">
        <v>1164</v>
      </c>
      <c r="C283" s="1" t="s">
        <v>716</v>
      </c>
      <c r="D283" s="1" t="s">
        <v>717</v>
      </c>
      <c r="E283" s="4">
        <v>92700.0</v>
      </c>
      <c r="F283" s="4">
        <v>2574.0</v>
      </c>
      <c r="G283" s="4">
        <v>121.0</v>
      </c>
      <c r="H283" s="7" t="s">
        <v>3015</v>
      </c>
      <c r="I283" s="1" t="s">
        <v>1169</v>
      </c>
      <c r="J283" s="1" t="s">
        <v>1170</v>
      </c>
      <c r="K283" s="9">
        <v>45264.75895833333</v>
      </c>
      <c r="L283" s="4">
        <v>1.701713574E9</v>
      </c>
      <c r="M283" s="1" t="s">
        <v>47</v>
      </c>
      <c r="N283" s="1" t="s">
        <v>47</v>
      </c>
      <c r="O283" s="1" t="s">
        <v>47</v>
      </c>
      <c r="P283" s="1" t="s">
        <v>47</v>
      </c>
      <c r="Q283" s="1" t="s">
        <v>47</v>
      </c>
      <c r="R283" s="1" t="s">
        <v>48</v>
      </c>
      <c r="S283" s="1" t="s">
        <v>1171</v>
      </c>
      <c r="T283" s="7" t="s">
        <v>4571</v>
      </c>
      <c r="U283" s="7" t="s">
        <v>2510</v>
      </c>
      <c r="V283" s="1" t="s">
        <v>717</v>
      </c>
      <c r="W283" s="1"/>
      <c r="X283" s="7" t="s">
        <v>1174</v>
      </c>
      <c r="Y283" s="1"/>
      <c r="Z283" s="4">
        <v>49900.0</v>
      </c>
      <c r="AA283" s="4">
        <v>437.0</v>
      </c>
      <c r="AB283" s="4">
        <v>4675.0</v>
      </c>
      <c r="AC283" s="4">
        <v>778800.0</v>
      </c>
      <c r="AD283" s="1" t="s">
        <v>1175</v>
      </c>
      <c r="AE283" s="1" t="s">
        <v>1176</v>
      </c>
      <c r="AF283" s="1"/>
      <c r="AG283" s="1"/>
      <c r="AH283" s="1"/>
      <c r="AI283" s="1"/>
      <c r="AJ283" s="1"/>
      <c r="AK283" s="1"/>
      <c r="AL283" s="1">
        <f>IFERROR(__xludf.DUMMYFUNCTION("IF(
  TRIM(AD283)="""",
  0,
  COUNTA(
    SPLIT(
      REGEXREPLACE(AD283,""\s*,\s*"","",""),
      "",""
    )
  )
)"),8.0)</f>
        <v>8</v>
      </c>
    </row>
    <row r="284">
      <c r="A284" s="1" t="s">
        <v>4575</v>
      </c>
      <c r="B284" s="1" t="s">
        <v>4575</v>
      </c>
      <c r="C284" s="1" t="s">
        <v>497</v>
      </c>
      <c r="D284" s="1" t="s">
        <v>497</v>
      </c>
      <c r="E284" s="4">
        <v>210400.0</v>
      </c>
      <c r="F284" s="4">
        <v>1017.0</v>
      </c>
      <c r="G284" s="4">
        <v>461.0</v>
      </c>
      <c r="H284" s="7" t="s">
        <v>725</v>
      </c>
      <c r="I284" s="1" t="s">
        <v>4576</v>
      </c>
      <c r="J284" s="1"/>
      <c r="K284" s="9">
        <v>44404.63386574074</v>
      </c>
      <c r="L284" s="4">
        <v>1.627398766E9</v>
      </c>
      <c r="M284" s="1" t="s">
        <v>47</v>
      </c>
      <c r="N284" s="1" t="s">
        <v>47</v>
      </c>
      <c r="O284" s="1" t="s">
        <v>47</v>
      </c>
      <c r="P284" s="1" t="s">
        <v>47</v>
      </c>
      <c r="Q284" s="1" t="s">
        <v>47</v>
      </c>
      <c r="R284" s="1" t="s">
        <v>4577</v>
      </c>
      <c r="S284" s="1" t="s">
        <v>4578</v>
      </c>
      <c r="T284" s="7" t="s">
        <v>4579</v>
      </c>
      <c r="U284" s="7" t="s">
        <v>4580</v>
      </c>
      <c r="V284" s="1" t="s">
        <v>4582</v>
      </c>
      <c r="W284" s="7" t="s">
        <v>4583</v>
      </c>
      <c r="X284" s="7" t="s">
        <v>4585</v>
      </c>
      <c r="Y284" s="1"/>
      <c r="Z284" s="4">
        <v>25200.0</v>
      </c>
      <c r="AA284" s="4">
        <v>451.0</v>
      </c>
      <c r="AB284" s="4">
        <v>2038.0</v>
      </c>
      <c r="AC284" s="4">
        <v>292000.0</v>
      </c>
      <c r="AD284" s="1" t="s">
        <v>4586</v>
      </c>
      <c r="AE284" s="1" t="s">
        <v>4586</v>
      </c>
      <c r="AF284" s="1"/>
      <c r="AG284" s="1"/>
      <c r="AH284" s="1" t="s">
        <v>85</v>
      </c>
      <c r="AI284" s="1"/>
      <c r="AJ284" s="1"/>
      <c r="AK284" s="1"/>
      <c r="AL284" s="1">
        <f>IFERROR(__xludf.DUMMYFUNCTION("IF(
  TRIM(AD284)="""",
  0,
  COUNTA(
    SPLIT(
      REGEXREPLACE(AD284,""\s*,\s*"","",""),
      "",""
    )
  )
)"),8.0)</f>
        <v>8</v>
      </c>
    </row>
    <row r="285">
      <c r="A285" s="1" t="s">
        <v>4587</v>
      </c>
      <c r="B285" s="1" t="s">
        <v>4587</v>
      </c>
      <c r="C285" s="1" t="s">
        <v>4588</v>
      </c>
      <c r="D285" s="1" t="s">
        <v>4589</v>
      </c>
      <c r="E285" s="4">
        <v>11100.0</v>
      </c>
      <c r="F285" s="4">
        <v>6042.0</v>
      </c>
      <c r="G285" s="4">
        <v>157.0</v>
      </c>
      <c r="H285" s="7" t="s">
        <v>4590</v>
      </c>
      <c r="I285" s="1" t="s">
        <v>4591</v>
      </c>
      <c r="J285" s="1"/>
      <c r="K285" s="9">
        <v>45761.86452546297</v>
      </c>
      <c r="L285" s="4">
        <v>1.744663495E9</v>
      </c>
      <c r="M285" s="1" t="s">
        <v>47</v>
      </c>
      <c r="N285" s="1" t="s">
        <v>47</v>
      </c>
      <c r="O285" s="1" t="s">
        <v>47</v>
      </c>
      <c r="P285" s="1" t="s">
        <v>47</v>
      </c>
      <c r="Q285" s="1" t="s">
        <v>47</v>
      </c>
      <c r="R285" s="1" t="s">
        <v>48</v>
      </c>
      <c r="S285" s="1" t="s">
        <v>4592</v>
      </c>
      <c r="T285" s="7" t="s">
        <v>4593</v>
      </c>
      <c r="U285" s="7" t="s">
        <v>4595</v>
      </c>
      <c r="V285" s="1" t="s">
        <v>4589</v>
      </c>
      <c r="W285" s="7" t="s">
        <v>4597</v>
      </c>
      <c r="X285" s="7" t="s">
        <v>4599</v>
      </c>
      <c r="Y285" s="1"/>
      <c r="Z285" s="4">
        <v>5044.0</v>
      </c>
      <c r="AA285" s="4">
        <v>268.0</v>
      </c>
      <c r="AB285" s="4">
        <v>1425.0</v>
      </c>
      <c r="AC285" s="4">
        <v>67000.0</v>
      </c>
      <c r="AD285" s="1" t="s">
        <v>4600</v>
      </c>
      <c r="AE285" s="1" t="s">
        <v>4600</v>
      </c>
      <c r="AF285" s="1"/>
      <c r="AG285" s="1"/>
      <c r="AH285" s="1"/>
      <c r="AI285" s="1"/>
      <c r="AJ285" s="1"/>
      <c r="AK285" s="1"/>
      <c r="AL285" s="1">
        <f>IFERROR(__xludf.DUMMYFUNCTION("IF(
  TRIM(AD285)="""",
  0,
  COUNTA(
    SPLIT(
      REGEXREPLACE(AD285,""\s*,\s*"","",""),
      "",""
    )
  )
)"),8.0)</f>
        <v>8</v>
      </c>
    </row>
    <row r="286">
      <c r="A286" s="1" t="s">
        <v>4601</v>
      </c>
      <c r="B286" s="1" t="s">
        <v>4601</v>
      </c>
      <c r="C286" s="1" t="s">
        <v>4602</v>
      </c>
      <c r="D286" s="1" t="s">
        <v>4603</v>
      </c>
      <c r="E286" s="4">
        <v>167200.0</v>
      </c>
      <c r="F286" s="4">
        <v>23900.0</v>
      </c>
      <c r="G286" s="4">
        <v>686.0</v>
      </c>
      <c r="H286" s="7" t="s">
        <v>4604</v>
      </c>
      <c r="I286" s="1" t="s">
        <v>4606</v>
      </c>
      <c r="J286" s="1" t="s">
        <v>4607</v>
      </c>
      <c r="K286" s="9">
        <v>45797.03944444445</v>
      </c>
      <c r="L286" s="4">
        <v>1.747702608E9</v>
      </c>
      <c r="M286" s="1" t="s">
        <v>47</v>
      </c>
      <c r="N286" s="1" t="s">
        <v>47</v>
      </c>
      <c r="O286" s="1" t="s">
        <v>47</v>
      </c>
      <c r="P286" s="1" t="s">
        <v>47</v>
      </c>
      <c r="Q286" s="1" t="s">
        <v>47</v>
      </c>
      <c r="R286" s="1" t="s">
        <v>48</v>
      </c>
      <c r="S286" s="1" t="s">
        <v>4608</v>
      </c>
      <c r="T286" s="7" t="s">
        <v>4609</v>
      </c>
      <c r="U286" s="7" t="s">
        <v>4611</v>
      </c>
      <c r="V286" s="1" t="s">
        <v>4603</v>
      </c>
      <c r="W286" s="7" t="s">
        <v>4613</v>
      </c>
      <c r="X286" s="7" t="s">
        <v>4615</v>
      </c>
      <c r="Y286" s="1"/>
      <c r="Z286" s="4">
        <v>4947.0</v>
      </c>
      <c r="AA286" s="4">
        <v>118.0</v>
      </c>
      <c r="AB286" s="4">
        <v>587.0</v>
      </c>
      <c r="AC286" s="4">
        <v>42800.0</v>
      </c>
      <c r="AD286" s="1" t="s">
        <v>4616</v>
      </c>
      <c r="AE286" s="1" t="s">
        <v>4616</v>
      </c>
      <c r="AF286" s="1"/>
      <c r="AG286" s="1"/>
      <c r="AH286" s="1"/>
      <c r="AI286" s="1"/>
      <c r="AJ286" s="1"/>
      <c r="AK286" s="1"/>
      <c r="AL286" s="1">
        <f>IFERROR(__xludf.DUMMYFUNCTION("IF(
  TRIM(AD286)="""",
  0,
  COUNTA(
    SPLIT(
      REGEXREPLACE(AD286,""\s*,\s*"","",""),
      "",""
    )
  )
)"),8.0)</f>
        <v>8</v>
      </c>
    </row>
    <row r="287">
      <c r="A287" s="1" t="s">
        <v>3183</v>
      </c>
      <c r="B287" s="1" t="s">
        <v>3183</v>
      </c>
      <c r="C287" s="1" t="s">
        <v>497</v>
      </c>
      <c r="D287" s="1" t="s">
        <v>497</v>
      </c>
      <c r="E287" s="4">
        <v>210400.0</v>
      </c>
      <c r="F287" s="4">
        <v>1017.0</v>
      </c>
      <c r="G287" s="4">
        <v>461.0</v>
      </c>
      <c r="H287" s="7" t="s">
        <v>725</v>
      </c>
      <c r="I287" s="1" t="s">
        <v>3184</v>
      </c>
      <c r="J287" s="1" t="s">
        <v>3185</v>
      </c>
      <c r="K287" s="9">
        <v>45178.58429398148</v>
      </c>
      <c r="L287" s="4">
        <v>1.694268083E9</v>
      </c>
      <c r="M287" s="1" t="s">
        <v>47</v>
      </c>
      <c r="N287" s="1" t="s">
        <v>47</v>
      </c>
      <c r="O287" s="1" t="s">
        <v>47</v>
      </c>
      <c r="P287" s="1" t="s">
        <v>47</v>
      </c>
      <c r="Q287" s="1" t="s">
        <v>47</v>
      </c>
      <c r="R287" s="1" t="s">
        <v>3186</v>
      </c>
      <c r="S287" s="1" t="s">
        <v>3187</v>
      </c>
      <c r="T287" s="7" t="s">
        <v>3189</v>
      </c>
      <c r="U287" s="7" t="s">
        <v>4618</v>
      </c>
      <c r="V287" s="1" t="s">
        <v>3191</v>
      </c>
      <c r="W287" s="7" t="s">
        <v>4620</v>
      </c>
      <c r="X287" s="7" t="s">
        <v>3194</v>
      </c>
      <c r="Y287" s="1"/>
      <c r="Z287" s="4">
        <v>4793.0</v>
      </c>
      <c r="AA287" s="4">
        <v>76.0</v>
      </c>
      <c r="AB287" s="4">
        <v>438.0</v>
      </c>
      <c r="AC287" s="4">
        <v>58600.0</v>
      </c>
      <c r="AD287" s="1" t="s">
        <v>3195</v>
      </c>
      <c r="AE287" s="1" t="s">
        <v>3195</v>
      </c>
      <c r="AF287" s="1"/>
      <c r="AG287" s="1"/>
      <c r="AH287" s="1"/>
      <c r="AI287" s="1"/>
      <c r="AJ287" s="1"/>
      <c r="AK287" s="1"/>
      <c r="AL287" s="1">
        <f>IFERROR(__xludf.DUMMYFUNCTION("IF(
  TRIM(AD287)="""",
  0,
  COUNTA(
    SPLIT(
      REGEXREPLACE(AD287,""\s*,\s*"","",""),
      "",""
    )
  )
)"),8.0)</f>
        <v>8</v>
      </c>
    </row>
    <row r="288">
      <c r="A288" s="1" t="s">
        <v>4621</v>
      </c>
      <c r="B288" s="1" t="s">
        <v>4621</v>
      </c>
      <c r="C288" s="1" t="s">
        <v>497</v>
      </c>
      <c r="D288" s="1" t="s">
        <v>497</v>
      </c>
      <c r="E288" s="4">
        <v>210400.0</v>
      </c>
      <c r="F288" s="4">
        <v>1017.0</v>
      </c>
      <c r="G288" s="4">
        <v>461.0</v>
      </c>
      <c r="H288" s="7" t="s">
        <v>725</v>
      </c>
      <c r="I288" s="1" t="s">
        <v>4622</v>
      </c>
      <c r="J288" s="1" t="s">
        <v>4623</v>
      </c>
      <c r="K288" s="9">
        <v>45106.643587962964</v>
      </c>
      <c r="L288" s="4">
        <v>1.688052406E9</v>
      </c>
      <c r="M288" s="1" t="s">
        <v>47</v>
      </c>
      <c r="N288" s="1" t="s">
        <v>47</v>
      </c>
      <c r="O288" s="1" t="s">
        <v>47</v>
      </c>
      <c r="P288" s="1" t="s">
        <v>47</v>
      </c>
      <c r="Q288" s="1" t="s">
        <v>47</v>
      </c>
      <c r="R288" s="1" t="s">
        <v>4624</v>
      </c>
      <c r="S288" s="1" t="s">
        <v>4625</v>
      </c>
      <c r="T288" s="7" t="s">
        <v>4627</v>
      </c>
      <c r="U288" s="7" t="s">
        <v>4628</v>
      </c>
      <c r="V288" s="1" t="s">
        <v>4629</v>
      </c>
      <c r="W288" s="7" t="s">
        <v>4630</v>
      </c>
      <c r="X288" s="7" t="s">
        <v>4633</v>
      </c>
      <c r="Y288" s="1"/>
      <c r="Z288" s="4">
        <v>3255.0</v>
      </c>
      <c r="AA288" s="4">
        <v>113.0</v>
      </c>
      <c r="AB288" s="4">
        <v>332.0</v>
      </c>
      <c r="AC288" s="4">
        <v>50800.0</v>
      </c>
      <c r="AD288" s="1" t="s">
        <v>4634</v>
      </c>
      <c r="AE288" s="1" t="s">
        <v>4634</v>
      </c>
      <c r="AF288" s="1"/>
      <c r="AG288" s="1"/>
      <c r="AH288" s="1"/>
      <c r="AI288" s="1"/>
      <c r="AJ288" s="1"/>
      <c r="AK288" s="1"/>
      <c r="AL288" s="1">
        <f>IFERROR(__xludf.DUMMYFUNCTION("IF(
  TRIM(AD288)="""",
  0,
  COUNTA(
    SPLIT(
      REGEXREPLACE(AD288,""\s*,\s*"","",""),
      "",""
    )
  )
)"),8.0)</f>
        <v>8</v>
      </c>
    </row>
    <row r="289">
      <c r="A289" s="1" t="s">
        <v>4635</v>
      </c>
      <c r="B289" s="1" t="s">
        <v>4635</v>
      </c>
      <c r="C289" s="1" t="s">
        <v>4636</v>
      </c>
      <c r="D289" s="1" t="s">
        <v>4637</v>
      </c>
      <c r="E289" s="4">
        <v>1424.0</v>
      </c>
      <c r="F289" s="4">
        <v>3298.0</v>
      </c>
      <c r="G289" s="4">
        <v>63.0</v>
      </c>
      <c r="H289" s="7" t="s">
        <v>4638</v>
      </c>
      <c r="I289" s="1" t="s">
        <v>4643</v>
      </c>
      <c r="J289" s="1" t="s">
        <v>4644</v>
      </c>
      <c r="K289" s="9">
        <v>45662.10269675926</v>
      </c>
      <c r="L289" s="4">
        <v>1.736044073E9</v>
      </c>
      <c r="M289" s="1" t="s">
        <v>47</v>
      </c>
      <c r="N289" s="1" t="s">
        <v>47</v>
      </c>
      <c r="O289" s="1" t="s">
        <v>47</v>
      </c>
      <c r="P289" s="1" t="s">
        <v>47</v>
      </c>
      <c r="Q289" s="1" t="s">
        <v>47</v>
      </c>
      <c r="R289" s="1" t="s">
        <v>4645</v>
      </c>
      <c r="S289" s="1" t="s">
        <v>4646</v>
      </c>
      <c r="T289" s="7" t="s">
        <v>4647</v>
      </c>
      <c r="U289" s="7" t="s">
        <v>4653</v>
      </c>
      <c r="V289" s="1" t="s">
        <v>4637</v>
      </c>
      <c r="W289" s="7" t="s">
        <v>4656</v>
      </c>
      <c r="X289" s="7" t="s">
        <v>4658</v>
      </c>
      <c r="Y289" s="1"/>
      <c r="Z289" s="4">
        <v>2741.0</v>
      </c>
      <c r="AA289" s="4">
        <v>90.0</v>
      </c>
      <c r="AB289" s="4">
        <v>714.0</v>
      </c>
      <c r="AC289" s="4">
        <v>68800.0</v>
      </c>
      <c r="AD289" s="1" t="s">
        <v>4664</v>
      </c>
      <c r="AE289" s="1" t="s">
        <v>4664</v>
      </c>
      <c r="AF289" s="1"/>
      <c r="AG289" s="1"/>
      <c r="AH289" s="1"/>
      <c r="AI289" s="1"/>
      <c r="AJ289" s="1"/>
      <c r="AK289" s="1"/>
      <c r="AL289" s="1">
        <f>IFERROR(__xludf.DUMMYFUNCTION("IF(
  TRIM(AD289)="""",
  0,
  COUNTA(
    SPLIT(
      REGEXREPLACE(AD289,""\s*,\s*"","",""),
      "",""
    )
  )
)"),8.0)</f>
        <v>8</v>
      </c>
    </row>
    <row r="290">
      <c r="A290" s="1" t="s">
        <v>4478</v>
      </c>
      <c r="B290" s="1" t="s">
        <v>4478</v>
      </c>
      <c r="C290" s="1" t="s">
        <v>4479</v>
      </c>
      <c r="D290" s="1" t="s">
        <v>4480</v>
      </c>
      <c r="E290" s="4">
        <v>10000.0</v>
      </c>
      <c r="F290" s="4">
        <v>4583.0</v>
      </c>
      <c r="G290" s="4">
        <v>88.0</v>
      </c>
      <c r="H290" s="7" t="s">
        <v>4665</v>
      </c>
      <c r="I290" s="1" t="s">
        <v>4483</v>
      </c>
      <c r="J290" s="1"/>
      <c r="K290" s="9">
        <v>45670.522824074076</v>
      </c>
      <c r="L290" s="4">
        <v>1.736771572E9</v>
      </c>
      <c r="M290" s="1" t="s">
        <v>47</v>
      </c>
      <c r="N290" s="1" t="s">
        <v>47</v>
      </c>
      <c r="O290" s="1" t="s">
        <v>47</v>
      </c>
      <c r="P290" s="1" t="s">
        <v>47</v>
      </c>
      <c r="Q290" s="1" t="s">
        <v>47</v>
      </c>
      <c r="R290" s="1" t="s">
        <v>48</v>
      </c>
      <c r="S290" s="1" t="s">
        <v>4484</v>
      </c>
      <c r="T290" s="7" t="s">
        <v>4669</v>
      </c>
      <c r="U290" s="7" t="s">
        <v>4671</v>
      </c>
      <c r="V290" s="1" t="s">
        <v>4480</v>
      </c>
      <c r="W290" s="1"/>
      <c r="X290" s="7" t="s">
        <v>4488</v>
      </c>
      <c r="Y290" s="1"/>
      <c r="Z290" s="4">
        <v>390.0</v>
      </c>
      <c r="AA290" s="4">
        <v>8.0</v>
      </c>
      <c r="AB290" s="4">
        <v>294.0</v>
      </c>
      <c r="AC290" s="4">
        <v>14300.0</v>
      </c>
      <c r="AD290" s="1" t="s">
        <v>4489</v>
      </c>
      <c r="AE290" s="1" t="s">
        <v>4489</v>
      </c>
      <c r="AF290" s="1"/>
      <c r="AG290" s="1"/>
      <c r="AH290" s="1"/>
      <c r="AI290" s="1"/>
      <c r="AJ290" s="1"/>
      <c r="AK290" s="1"/>
      <c r="AL290" s="1">
        <f>IFERROR(__xludf.DUMMYFUNCTION("IF(
  TRIM(AD290)="""",
  0,
  COUNTA(
    SPLIT(
      REGEXREPLACE(AD290,""\s*,\s*"","",""),
      "",""
    )
  )
)"),8.0)</f>
        <v>8</v>
      </c>
    </row>
    <row r="291">
      <c r="A291" s="1" t="s">
        <v>4492</v>
      </c>
      <c r="B291" s="1" t="s">
        <v>4492</v>
      </c>
      <c r="C291" s="1" t="s">
        <v>4494</v>
      </c>
      <c r="D291" s="1" t="s">
        <v>4674</v>
      </c>
      <c r="E291" s="4">
        <v>3951.0</v>
      </c>
      <c r="F291" s="4">
        <v>560.0</v>
      </c>
      <c r="G291" s="4">
        <v>183.0</v>
      </c>
      <c r="H291" s="7" t="s">
        <v>4675</v>
      </c>
      <c r="I291" s="1" t="s">
        <v>4497</v>
      </c>
      <c r="J291" s="1"/>
      <c r="K291" s="9">
        <v>45446.44210648148</v>
      </c>
      <c r="L291" s="4">
        <v>1.717410998E9</v>
      </c>
      <c r="M291" s="1" t="s">
        <v>47</v>
      </c>
      <c r="N291" s="1" t="s">
        <v>47</v>
      </c>
      <c r="O291" s="1" t="s">
        <v>47</v>
      </c>
      <c r="P291" s="1" t="s">
        <v>47</v>
      </c>
      <c r="Q291" s="1" t="s">
        <v>47</v>
      </c>
      <c r="R291" s="1" t="s">
        <v>4500</v>
      </c>
      <c r="S291" s="1" t="s">
        <v>4501</v>
      </c>
      <c r="T291" s="7" t="s">
        <v>4502</v>
      </c>
      <c r="U291" s="7" t="s">
        <v>4504</v>
      </c>
      <c r="V291" s="1" t="s">
        <v>4505</v>
      </c>
      <c r="W291" s="7" t="s">
        <v>4679</v>
      </c>
      <c r="X291" s="7" t="s">
        <v>4510</v>
      </c>
      <c r="Y291" s="1"/>
      <c r="Z291" s="4">
        <v>344.0</v>
      </c>
      <c r="AA291" s="4">
        <v>29.0</v>
      </c>
      <c r="AB291" s="4">
        <v>167.0</v>
      </c>
      <c r="AC291" s="4">
        <v>38600.0</v>
      </c>
      <c r="AD291" s="1" t="s">
        <v>4511</v>
      </c>
      <c r="AE291" s="1" t="s">
        <v>4511</v>
      </c>
      <c r="AF291" s="1"/>
      <c r="AG291" s="1"/>
      <c r="AH291" s="1" t="s">
        <v>97</v>
      </c>
      <c r="AI291" s="1"/>
      <c r="AJ291" s="1"/>
      <c r="AK291" s="1"/>
      <c r="AL291" s="1">
        <f>IFERROR(__xludf.DUMMYFUNCTION("IF(
  TRIM(AD291)="""",
  0,
  COUNTA(
    SPLIT(
      REGEXREPLACE(AD291,""\s*,\s*"","",""),
      "",""
    )
  )
)"),8.0)</f>
        <v>8</v>
      </c>
    </row>
    <row r="292">
      <c r="A292" s="1" t="s">
        <v>4520</v>
      </c>
      <c r="B292" s="1" t="s">
        <v>4520</v>
      </c>
      <c r="C292" s="1" t="s">
        <v>4521</v>
      </c>
      <c r="D292" s="1" t="s">
        <v>4522</v>
      </c>
      <c r="E292" s="4">
        <v>2974.0</v>
      </c>
      <c r="F292" s="4">
        <v>1090.0</v>
      </c>
      <c r="G292" s="4">
        <v>40.0</v>
      </c>
      <c r="H292" s="7" t="s">
        <v>4681</v>
      </c>
      <c r="I292" s="1" t="s">
        <v>4524</v>
      </c>
      <c r="J292" s="1" t="s">
        <v>4525</v>
      </c>
      <c r="K292" s="9">
        <v>45258.64763888889</v>
      </c>
      <c r="L292" s="4">
        <v>1.701185556E9</v>
      </c>
      <c r="M292" s="1" t="s">
        <v>47</v>
      </c>
      <c r="N292" s="1" t="s">
        <v>47</v>
      </c>
      <c r="O292" s="1" t="s">
        <v>47</v>
      </c>
      <c r="P292" s="1" t="s">
        <v>47</v>
      </c>
      <c r="Q292" s="1" t="s">
        <v>47</v>
      </c>
      <c r="R292" s="1" t="s">
        <v>48</v>
      </c>
      <c r="S292" s="1" t="s">
        <v>4526</v>
      </c>
      <c r="T292" s="7" t="s">
        <v>4686</v>
      </c>
      <c r="U292" s="7" t="s">
        <v>4693</v>
      </c>
      <c r="V292" s="1" t="s">
        <v>4522</v>
      </c>
      <c r="W292" s="1"/>
      <c r="X292" s="7" t="s">
        <v>4535</v>
      </c>
      <c r="Y292" s="1"/>
      <c r="Z292" s="4">
        <v>313.0</v>
      </c>
      <c r="AA292" s="4">
        <v>1.0</v>
      </c>
      <c r="AB292" s="4">
        <v>168.0</v>
      </c>
      <c r="AC292" s="4">
        <v>8597.0</v>
      </c>
      <c r="AD292" s="1" t="s">
        <v>4536</v>
      </c>
      <c r="AE292" s="1" t="s">
        <v>4537</v>
      </c>
      <c r="AF292" s="1"/>
      <c r="AG292" s="1"/>
      <c r="AH292" s="1"/>
      <c r="AI292" s="1"/>
      <c r="AJ292" s="1"/>
      <c r="AK292" s="1"/>
      <c r="AL292" s="1">
        <f>IFERROR(__xludf.DUMMYFUNCTION("IF(
  TRIM(AD292)="""",
  0,
  COUNTA(
    SPLIT(
      REGEXREPLACE(AD292,""\s*,\s*"","",""),
      "",""
    )
  )
)"),8.0)</f>
        <v>8</v>
      </c>
    </row>
    <row r="293">
      <c r="A293" s="1" t="s">
        <v>4639</v>
      </c>
      <c r="B293" s="1" t="s">
        <v>4639</v>
      </c>
      <c r="C293" s="1" t="s">
        <v>4640</v>
      </c>
      <c r="D293" s="1" t="s">
        <v>4641</v>
      </c>
      <c r="E293" s="4">
        <v>10300.0</v>
      </c>
      <c r="F293" s="4">
        <v>1376.0</v>
      </c>
      <c r="G293" s="4">
        <v>884.0</v>
      </c>
      <c r="H293" s="7" t="s">
        <v>4696</v>
      </c>
      <c r="I293" s="1" t="s">
        <v>4648</v>
      </c>
      <c r="J293" s="1"/>
      <c r="K293" s="9">
        <v>45544.98253472222</v>
      </c>
      <c r="L293" s="4">
        <v>1.725924891E9</v>
      </c>
      <c r="M293" s="1" t="s">
        <v>47</v>
      </c>
      <c r="N293" s="1" t="s">
        <v>47</v>
      </c>
      <c r="O293" s="1" t="s">
        <v>47</v>
      </c>
      <c r="P293" s="1" t="s">
        <v>47</v>
      </c>
      <c r="Q293" s="1" t="s">
        <v>47</v>
      </c>
      <c r="R293" s="1" t="s">
        <v>4649</v>
      </c>
      <c r="S293" s="1" t="s">
        <v>4650</v>
      </c>
      <c r="T293" s="7" t="s">
        <v>4699</v>
      </c>
      <c r="U293" s="7" t="s">
        <v>4701</v>
      </c>
      <c r="V293" s="1" t="s">
        <v>4654</v>
      </c>
      <c r="W293" s="7" t="s">
        <v>4702</v>
      </c>
      <c r="X293" s="7" t="s">
        <v>4657</v>
      </c>
      <c r="Y293" s="1"/>
      <c r="Z293" s="4">
        <v>191.0</v>
      </c>
      <c r="AA293" s="4">
        <v>23.0</v>
      </c>
      <c r="AB293" s="4">
        <v>129.0</v>
      </c>
      <c r="AC293" s="4">
        <v>6577.0</v>
      </c>
      <c r="AD293" s="1" t="s">
        <v>4659</v>
      </c>
      <c r="AE293" s="1" t="s">
        <v>4659</v>
      </c>
      <c r="AF293" s="1"/>
      <c r="AG293" s="1"/>
      <c r="AH293" s="1" t="s">
        <v>2014</v>
      </c>
      <c r="AI293" s="1"/>
      <c r="AJ293" s="1"/>
      <c r="AK293" s="1"/>
      <c r="AL293" s="1">
        <f>IFERROR(__xludf.DUMMYFUNCTION("IF(
  TRIM(AD293)="""",
  0,
  COUNTA(
    SPLIT(
      REGEXREPLACE(AD293,""\s*,\s*"","",""),
      "",""
    )
  )
)"),8.0)</f>
        <v>8</v>
      </c>
    </row>
    <row r="294">
      <c r="A294" s="1" t="s">
        <v>4708</v>
      </c>
      <c r="B294" s="1" t="s">
        <v>4708</v>
      </c>
      <c r="C294" s="1" t="s">
        <v>3937</v>
      </c>
      <c r="D294" s="1" t="s">
        <v>3938</v>
      </c>
      <c r="E294" s="4">
        <v>5265.0</v>
      </c>
      <c r="F294" s="4">
        <v>1522.0</v>
      </c>
      <c r="G294" s="4">
        <v>258.0</v>
      </c>
      <c r="H294" s="7" t="s">
        <v>3939</v>
      </c>
      <c r="I294" s="1" t="s">
        <v>4709</v>
      </c>
      <c r="J294" s="1" t="s">
        <v>4710</v>
      </c>
      <c r="K294" s="9">
        <v>45841.63978009259</v>
      </c>
      <c r="L294" s="4">
        <v>1.751556077E9</v>
      </c>
      <c r="M294" s="1" t="s">
        <v>47</v>
      </c>
      <c r="N294" s="1" t="s">
        <v>47</v>
      </c>
      <c r="O294" s="1" t="s">
        <v>47</v>
      </c>
      <c r="P294" s="1" t="s">
        <v>47</v>
      </c>
      <c r="Q294" s="1" t="s">
        <v>47</v>
      </c>
      <c r="R294" s="1" t="s">
        <v>4711</v>
      </c>
      <c r="S294" s="1" t="s">
        <v>4712</v>
      </c>
      <c r="T294" s="7" t="s">
        <v>4713</v>
      </c>
      <c r="U294" s="7" t="s">
        <v>4714</v>
      </c>
      <c r="V294" s="1" t="s">
        <v>4716</v>
      </c>
      <c r="W294" s="7" t="s">
        <v>4717</v>
      </c>
      <c r="X294" s="7" t="s">
        <v>4719</v>
      </c>
      <c r="Y294" s="1"/>
      <c r="Z294" s="4">
        <v>45.0</v>
      </c>
      <c r="AA294" s="4">
        <v>0.0</v>
      </c>
      <c r="AB294" s="4">
        <v>1.0</v>
      </c>
      <c r="AC294" s="4">
        <v>727.0</v>
      </c>
      <c r="AD294" s="1" t="s">
        <v>4722</v>
      </c>
      <c r="AE294" s="1" t="s">
        <v>4723</v>
      </c>
      <c r="AF294" s="1"/>
      <c r="AG294" s="1"/>
      <c r="AH294" s="1" t="s">
        <v>97</v>
      </c>
      <c r="AI294" s="1"/>
      <c r="AJ294" s="1"/>
      <c r="AK294" s="1"/>
      <c r="AL294" s="1">
        <f>IFERROR(__xludf.DUMMYFUNCTION("IF(
  TRIM(AD294)="""",
  0,
  COUNTA(
    SPLIT(
      REGEXREPLACE(AD294,""\s*,\s*"","",""),
      "",""
    )
  )
)"),8.0)</f>
        <v>8</v>
      </c>
    </row>
    <row r="295">
      <c r="A295" s="1" t="s">
        <v>4724</v>
      </c>
      <c r="B295" s="1" t="s">
        <v>4724</v>
      </c>
      <c r="C295" s="1" t="s">
        <v>4726</v>
      </c>
      <c r="D295" s="1" t="s">
        <v>4727</v>
      </c>
      <c r="E295" s="4">
        <v>26900.0</v>
      </c>
      <c r="F295" s="4">
        <v>24700.0</v>
      </c>
      <c r="G295" s="4">
        <v>69.0</v>
      </c>
      <c r="H295" s="7" t="s">
        <v>4728</v>
      </c>
      <c r="I295" s="1" t="s">
        <v>4729</v>
      </c>
      <c r="J295" s="1"/>
      <c r="K295" s="9">
        <v>45733.7078587963</v>
      </c>
      <c r="L295" s="4">
        <v>1.742230759E9</v>
      </c>
      <c r="M295" s="1" t="s">
        <v>47</v>
      </c>
      <c r="N295" s="1" t="s">
        <v>47</v>
      </c>
      <c r="O295" s="1" t="s">
        <v>47</v>
      </c>
      <c r="P295" s="1" t="s">
        <v>47</v>
      </c>
      <c r="Q295" s="1" t="s">
        <v>47</v>
      </c>
      <c r="R295" s="1" t="s">
        <v>4731</v>
      </c>
      <c r="S295" s="1" t="s">
        <v>4732</v>
      </c>
      <c r="T295" s="1"/>
      <c r="U295" s="7" t="s">
        <v>4733</v>
      </c>
      <c r="V295" s="1" t="s">
        <v>4734</v>
      </c>
      <c r="W295" s="7" t="s">
        <v>4735</v>
      </c>
      <c r="X295" s="7" t="s">
        <v>4738</v>
      </c>
      <c r="Y295" s="1"/>
      <c r="Z295" s="4">
        <v>305800.0</v>
      </c>
      <c r="AA295" s="4">
        <v>4928.0</v>
      </c>
      <c r="AB295" s="4">
        <v>41000.0</v>
      </c>
      <c r="AC295" s="4">
        <v>3200000.0</v>
      </c>
      <c r="AD295" s="1" t="s">
        <v>4739</v>
      </c>
      <c r="AE295" s="1" t="s">
        <v>4740</v>
      </c>
      <c r="AF295" s="1"/>
      <c r="AG295" s="1"/>
      <c r="AH295" s="1"/>
      <c r="AI295" s="1"/>
      <c r="AJ295" s="1"/>
      <c r="AK295" s="1"/>
      <c r="AL295" s="1">
        <f>IFERROR(__xludf.DUMMYFUNCTION("IF(
  TRIM(AD295)="""",
  0,
  COUNTA(
    SPLIT(
      REGEXREPLACE(AD295,""\s*,\s*"","",""),
      "",""
    )
  )
)"),9.0)</f>
        <v>9</v>
      </c>
    </row>
    <row r="296">
      <c r="A296" s="1" t="s">
        <v>485</v>
      </c>
      <c r="B296" s="1" t="s">
        <v>485</v>
      </c>
      <c r="C296" s="1" t="s">
        <v>486</v>
      </c>
      <c r="D296" s="1" t="s">
        <v>487</v>
      </c>
      <c r="E296" s="4">
        <v>2157.0</v>
      </c>
      <c r="F296" s="4">
        <v>5322.0</v>
      </c>
      <c r="G296" s="4">
        <v>181.0</v>
      </c>
      <c r="H296" s="7" t="s">
        <v>4741</v>
      </c>
      <c r="I296" s="1" t="s">
        <v>490</v>
      </c>
      <c r="J296" s="1"/>
      <c r="K296" s="9">
        <v>45586.87688657407</v>
      </c>
      <c r="L296" s="4">
        <v>1.729544563E9</v>
      </c>
      <c r="M296" s="1" t="s">
        <v>47</v>
      </c>
      <c r="N296" s="1" t="s">
        <v>47</v>
      </c>
      <c r="O296" s="1" t="s">
        <v>47</v>
      </c>
      <c r="P296" s="1" t="s">
        <v>47</v>
      </c>
      <c r="Q296" s="1" t="s">
        <v>47</v>
      </c>
      <c r="R296" s="1" t="s">
        <v>48</v>
      </c>
      <c r="S296" s="1" t="s">
        <v>491</v>
      </c>
      <c r="T296" s="7" t="s">
        <v>4743</v>
      </c>
      <c r="U296" s="7" t="s">
        <v>4750</v>
      </c>
      <c r="V296" s="1" t="s">
        <v>487</v>
      </c>
      <c r="W296" s="7" t="s">
        <v>4752</v>
      </c>
      <c r="X296" s="7" t="s">
        <v>498</v>
      </c>
      <c r="Y296" s="1"/>
      <c r="Z296" s="4">
        <v>142000.0</v>
      </c>
      <c r="AA296" s="4">
        <v>10600.0</v>
      </c>
      <c r="AB296" s="4">
        <v>16900.0</v>
      </c>
      <c r="AC296" s="4">
        <v>1800000.0</v>
      </c>
      <c r="AD296" s="1" t="s">
        <v>500</v>
      </c>
      <c r="AE296" s="1" t="s">
        <v>500</v>
      </c>
      <c r="AF296" s="1"/>
      <c r="AG296" s="1"/>
      <c r="AH296" s="1"/>
      <c r="AI296" s="1"/>
      <c r="AJ296" s="1"/>
      <c r="AK296" s="1"/>
      <c r="AL296" s="1">
        <f>IFERROR(__xludf.DUMMYFUNCTION("IF(
  TRIM(AD296)="""",
  0,
  COUNTA(
    SPLIT(
      REGEXREPLACE(AD296,""\s*,\s*"","",""),
      "",""
    )
  )
)"),9.0)</f>
        <v>9</v>
      </c>
    </row>
    <row r="297">
      <c r="A297" s="1" t="s">
        <v>4754</v>
      </c>
      <c r="B297" s="1" t="s">
        <v>4754</v>
      </c>
      <c r="C297" s="1" t="s">
        <v>4755</v>
      </c>
      <c r="D297" s="1" t="s">
        <v>4756</v>
      </c>
      <c r="E297" s="4">
        <v>752200.0</v>
      </c>
      <c r="F297" s="4">
        <v>14400.0</v>
      </c>
      <c r="G297" s="4">
        <v>1217.0</v>
      </c>
      <c r="H297" s="7" t="s">
        <v>4757</v>
      </c>
      <c r="I297" s="1" t="s">
        <v>4764</v>
      </c>
      <c r="J297" s="1" t="s">
        <v>4765</v>
      </c>
      <c r="K297" s="9">
        <v>45547.54282407407</v>
      </c>
      <c r="L297" s="4">
        <v>1.7261461E9</v>
      </c>
      <c r="M297" s="1" t="s">
        <v>47</v>
      </c>
      <c r="N297" s="1" t="s">
        <v>47</v>
      </c>
      <c r="O297" s="1" t="s">
        <v>47</v>
      </c>
      <c r="P297" s="1" t="s">
        <v>47</v>
      </c>
      <c r="Q297" s="1" t="s">
        <v>47</v>
      </c>
      <c r="R297" s="1" t="s">
        <v>4766</v>
      </c>
      <c r="S297" s="1" t="s">
        <v>4767</v>
      </c>
      <c r="T297" s="7" t="s">
        <v>4768</v>
      </c>
      <c r="U297" s="7" t="s">
        <v>4772</v>
      </c>
      <c r="V297" s="1" t="s">
        <v>251</v>
      </c>
      <c r="W297" s="7" t="s">
        <v>4774</v>
      </c>
      <c r="X297" s="7" t="s">
        <v>4776</v>
      </c>
      <c r="Y297" s="1"/>
      <c r="Z297" s="4">
        <v>125600.0</v>
      </c>
      <c r="AA297" s="4">
        <v>2786.0</v>
      </c>
      <c r="AB297" s="4">
        <v>27200.0</v>
      </c>
      <c r="AC297" s="4">
        <v>5100000.0</v>
      </c>
      <c r="AD297" s="1" t="s">
        <v>4777</v>
      </c>
      <c r="AE297" s="1" t="s">
        <v>4777</v>
      </c>
      <c r="AF297" s="1"/>
      <c r="AG297" s="1"/>
      <c r="AH297" s="1"/>
      <c r="AI297" s="1"/>
      <c r="AJ297" s="1"/>
      <c r="AK297" s="1"/>
      <c r="AL297" s="1">
        <f>IFERROR(__xludf.DUMMYFUNCTION("IF(
  TRIM(AD297)="""",
  0,
  COUNTA(
    SPLIT(
      REGEXREPLACE(AD297,""\s*,\s*"","",""),
      "",""
    )
  )
)"),9.0)</f>
        <v>9</v>
      </c>
    </row>
    <row r="298">
      <c r="A298" s="1" t="s">
        <v>614</v>
      </c>
      <c r="B298" s="1" t="s">
        <v>614</v>
      </c>
      <c r="C298" s="1" t="s">
        <v>615</v>
      </c>
      <c r="D298" s="1" t="s">
        <v>616</v>
      </c>
      <c r="E298" s="4">
        <v>14100.0</v>
      </c>
      <c r="F298" s="4">
        <v>12600.0</v>
      </c>
      <c r="G298" s="4">
        <v>408.0</v>
      </c>
      <c r="H298" s="7" t="s">
        <v>4779</v>
      </c>
      <c r="I298" s="1" t="s">
        <v>618</v>
      </c>
      <c r="J298" s="1"/>
      <c r="K298" s="9">
        <v>45572.97381944444</v>
      </c>
      <c r="L298" s="4">
        <v>1.728343338E9</v>
      </c>
      <c r="M298" s="1" t="s">
        <v>47</v>
      </c>
      <c r="N298" s="1" t="s">
        <v>47</v>
      </c>
      <c r="O298" s="1" t="s">
        <v>47</v>
      </c>
      <c r="P298" s="1" t="s">
        <v>47</v>
      </c>
      <c r="Q298" s="1" t="s">
        <v>47</v>
      </c>
      <c r="R298" s="1" t="s">
        <v>48</v>
      </c>
      <c r="S298" s="1" t="s">
        <v>619</v>
      </c>
      <c r="T298" s="7" t="s">
        <v>4781</v>
      </c>
      <c r="U298" s="7" t="s">
        <v>4784</v>
      </c>
      <c r="V298" s="1" t="s">
        <v>616</v>
      </c>
      <c r="W298" s="7" t="s">
        <v>4785</v>
      </c>
      <c r="X298" s="7" t="s">
        <v>627</v>
      </c>
      <c r="Y298" s="1"/>
      <c r="Z298" s="4">
        <v>108200.0</v>
      </c>
      <c r="AA298" s="4">
        <v>2488.0</v>
      </c>
      <c r="AB298" s="4">
        <v>26100.0</v>
      </c>
      <c r="AC298" s="4">
        <v>1300000.0</v>
      </c>
      <c r="AD298" s="1" t="s">
        <v>628</v>
      </c>
      <c r="AE298" s="1" t="s">
        <v>628</v>
      </c>
      <c r="AF298" s="1"/>
      <c r="AG298" s="1"/>
      <c r="AH298" s="1"/>
      <c r="AI298" s="1"/>
      <c r="AJ298" s="1"/>
      <c r="AK298" s="1"/>
      <c r="AL298" s="1">
        <f>IFERROR(__xludf.DUMMYFUNCTION("IF(
  TRIM(AD298)="""",
  0,
  COUNTA(
    SPLIT(
      REGEXREPLACE(AD298,""\s*,\s*"","",""),
      "",""
    )
  )
)"),9.0)</f>
        <v>9</v>
      </c>
    </row>
    <row r="299">
      <c r="A299" s="1" t="s">
        <v>764</v>
      </c>
      <c r="B299" s="1" t="s">
        <v>764</v>
      </c>
      <c r="C299" s="1" t="s">
        <v>765</v>
      </c>
      <c r="D299" s="1" t="s">
        <v>766</v>
      </c>
      <c r="E299" s="4">
        <v>160800.0</v>
      </c>
      <c r="F299" s="4">
        <v>21300.0</v>
      </c>
      <c r="G299" s="4">
        <v>456.0</v>
      </c>
      <c r="H299" s="7" t="s">
        <v>4334</v>
      </c>
      <c r="I299" s="1" t="s">
        <v>769</v>
      </c>
      <c r="J299" s="1" t="s">
        <v>770</v>
      </c>
      <c r="K299" s="9">
        <v>44967.7716087963</v>
      </c>
      <c r="L299" s="4">
        <v>1.676053867E9</v>
      </c>
      <c r="M299" s="1" t="s">
        <v>47</v>
      </c>
      <c r="N299" s="1" t="s">
        <v>47</v>
      </c>
      <c r="O299" s="1" t="s">
        <v>47</v>
      </c>
      <c r="P299" s="1" t="s">
        <v>47</v>
      </c>
      <c r="Q299" s="1" t="s">
        <v>47</v>
      </c>
      <c r="R299" s="1" t="s">
        <v>771</v>
      </c>
      <c r="S299" s="1" t="s">
        <v>772</v>
      </c>
      <c r="T299" s="7" t="s">
        <v>773</v>
      </c>
      <c r="U299" s="7" t="s">
        <v>2435</v>
      </c>
      <c r="V299" s="1" t="s">
        <v>779</v>
      </c>
      <c r="W299" s="7" t="s">
        <v>4788</v>
      </c>
      <c r="X299" s="7" t="s">
        <v>785</v>
      </c>
      <c r="Y299" s="1"/>
      <c r="Z299" s="4">
        <v>84100.0</v>
      </c>
      <c r="AA299" s="4">
        <v>4277.0</v>
      </c>
      <c r="AB299" s="4">
        <v>9776.0</v>
      </c>
      <c r="AC299" s="4">
        <v>2100000.0</v>
      </c>
      <c r="AD299" s="1" t="s">
        <v>786</v>
      </c>
      <c r="AE299" s="1" t="s">
        <v>786</v>
      </c>
      <c r="AF299" s="1"/>
      <c r="AG299" s="1"/>
      <c r="AH299" s="1" t="s">
        <v>121</v>
      </c>
      <c r="AI299" s="1"/>
      <c r="AJ299" s="1"/>
      <c r="AK299" s="1"/>
      <c r="AL299" s="1">
        <f>IFERROR(__xludf.DUMMYFUNCTION("IF(
  TRIM(AD299)="""",
  0,
  COUNTA(
    SPLIT(
      REGEXREPLACE(AD299,""\s*,\s*"","",""),
      "",""
    )
  )
)"),9.0)</f>
        <v>9</v>
      </c>
    </row>
    <row r="300">
      <c r="A300" s="1" t="s">
        <v>4796</v>
      </c>
      <c r="B300" s="1" t="s">
        <v>4796</v>
      </c>
      <c r="C300" s="1" t="s">
        <v>4797</v>
      </c>
      <c r="D300" s="1" t="s">
        <v>4798</v>
      </c>
      <c r="E300" s="4">
        <v>124800.0</v>
      </c>
      <c r="F300" s="4">
        <v>5.0</v>
      </c>
      <c r="G300" s="4">
        <v>573.0</v>
      </c>
      <c r="H300" s="7" t="s">
        <v>4799</v>
      </c>
      <c r="I300" s="1" t="s">
        <v>4802</v>
      </c>
      <c r="J300" s="1" t="s">
        <v>4803</v>
      </c>
      <c r="K300" s="9">
        <v>44967.55347222222</v>
      </c>
      <c r="L300" s="4">
        <v>1.67603502E9</v>
      </c>
      <c r="M300" s="1" t="s">
        <v>47</v>
      </c>
      <c r="N300" s="1" t="s">
        <v>47</v>
      </c>
      <c r="O300" s="1" t="s">
        <v>47</v>
      </c>
      <c r="P300" s="1" t="s">
        <v>47</v>
      </c>
      <c r="Q300" s="1" t="s">
        <v>47</v>
      </c>
      <c r="R300" s="1" t="s">
        <v>48</v>
      </c>
      <c r="S300" s="1" t="s">
        <v>4804</v>
      </c>
      <c r="T300" s="7" t="s">
        <v>4805</v>
      </c>
      <c r="U300" s="7" t="s">
        <v>4812</v>
      </c>
      <c r="V300" s="1" t="s">
        <v>4798</v>
      </c>
      <c r="W300" s="7" t="s">
        <v>4817</v>
      </c>
      <c r="X300" s="7" t="s">
        <v>4819</v>
      </c>
      <c r="Y300" s="1"/>
      <c r="Z300" s="4">
        <v>36300.0</v>
      </c>
      <c r="AA300" s="4">
        <v>214.0</v>
      </c>
      <c r="AB300" s="4">
        <v>4365.0</v>
      </c>
      <c r="AC300" s="4">
        <v>435000.0</v>
      </c>
      <c r="AD300" s="1" t="s">
        <v>4820</v>
      </c>
      <c r="AE300" s="1" t="s">
        <v>4820</v>
      </c>
      <c r="AF300" s="1"/>
      <c r="AG300" s="1"/>
      <c r="AH300" s="1"/>
      <c r="AI300" s="1"/>
      <c r="AJ300" s="1"/>
      <c r="AK300" s="1"/>
      <c r="AL300" s="1">
        <f>IFERROR(__xludf.DUMMYFUNCTION("IF(
  TRIM(AD300)="""",
  0,
  COUNTA(
    SPLIT(
      REGEXREPLACE(AD300,""\s*,\s*"","",""),
      "",""
    )
  )
)"),9.0)</f>
        <v>9</v>
      </c>
    </row>
    <row r="301">
      <c r="A301" s="1" t="s">
        <v>1549</v>
      </c>
      <c r="B301" s="1" t="s">
        <v>1549</v>
      </c>
      <c r="C301" s="1" t="s">
        <v>276</v>
      </c>
      <c r="D301" s="1" t="s">
        <v>277</v>
      </c>
      <c r="E301" s="4">
        <v>345000.0</v>
      </c>
      <c r="F301" s="4">
        <v>344.0</v>
      </c>
      <c r="G301" s="4">
        <v>493.0</v>
      </c>
      <c r="H301" s="7" t="s">
        <v>3050</v>
      </c>
      <c r="I301" s="1" t="s">
        <v>1550</v>
      </c>
      <c r="J301" s="1" t="s">
        <v>1551</v>
      </c>
      <c r="K301" s="9">
        <v>45878.89195601852</v>
      </c>
      <c r="L301" s="4">
        <v>1.754774665E9</v>
      </c>
      <c r="M301" s="1" t="s">
        <v>47</v>
      </c>
      <c r="N301" s="1" t="s">
        <v>47</v>
      </c>
      <c r="O301" s="1" t="s">
        <v>47</v>
      </c>
      <c r="P301" s="1" t="s">
        <v>47</v>
      </c>
      <c r="Q301" s="1" t="s">
        <v>47</v>
      </c>
      <c r="R301" s="1" t="s">
        <v>48</v>
      </c>
      <c r="S301" s="1" t="s">
        <v>1552</v>
      </c>
      <c r="T301" s="7" t="s">
        <v>4823</v>
      </c>
      <c r="U301" s="7" t="s">
        <v>3057</v>
      </c>
      <c r="V301" s="1" t="s">
        <v>277</v>
      </c>
      <c r="W301" s="7" t="s">
        <v>4829</v>
      </c>
      <c r="X301" s="7" t="s">
        <v>1557</v>
      </c>
      <c r="Y301" s="1"/>
      <c r="Z301" s="4">
        <v>32300.0</v>
      </c>
      <c r="AA301" s="4">
        <v>634.0</v>
      </c>
      <c r="AB301" s="4">
        <v>6769.0</v>
      </c>
      <c r="AC301" s="4">
        <v>502900.0</v>
      </c>
      <c r="AD301" s="1" t="s">
        <v>1559</v>
      </c>
      <c r="AE301" s="1" t="s">
        <v>1559</v>
      </c>
      <c r="AF301" s="1"/>
      <c r="AG301" s="1"/>
      <c r="AH301" s="1" t="s">
        <v>103</v>
      </c>
      <c r="AI301" s="1"/>
      <c r="AJ301" s="1"/>
      <c r="AK301" s="1"/>
      <c r="AL301" s="1">
        <f>IFERROR(__xludf.DUMMYFUNCTION("IF(
  TRIM(AD301)="""",
  0,
  COUNTA(
    SPLIT(
      REGEXREPLACE(AD301,""\s*,\s*"","",""),
      "",""
    )
  )
)"),9.0)</f>
        <v>9</v>
      </c>
    </row>
    <row r="302">
      <c r="A302" s="1" t="s">
        <v>1717</v>
      </c>
      <c r="B302" s="1" t="s">
        <v>1717</v>
      </c>
      <c r="C302" s="1" t="s">
        <v>819</v>
      </c>
      <c r="D302" s="1" t="s">
        <v>820</v>
      </c>
      <c r="E302" s="4">
        <v>135300.0</v>
      </c>
      <c r="F302" s="4">
        <v>31900.0</v>
      </c>
      <c r="G302" s="4">
        <v>264.0</v>
      </c>
      <c r="H302" s="7" t="s">
        <v>4838</v>
      </c>
      <c r="I302" s="1" t="s">
        <v>1718</v>
      </c>
      <c r="J302" s="1"/>
      <c r="K302" s="9">
        <v>45819.65269675926</v>
      </c>
      <c r="L302" s="4">
        <v>1.749656393E9</v>
      </c>
      <c r="M302" s="1" t="s">
        <v>47</v>
      </c>
      <c r="N302" s="1" t="s">
        <v>47</v>
      </c>
      <c r="O302" s="1" t="s">
        <v>47</v>
      </c>
      <c r="P302" s="1" t="s">
        <v>47</v>
      </c>
      <c r="Q302" s="1" t="s">
        <v>47</v>
      </c>
      <c r="R302" s="1" t="s">
        <v>48</v>
      </c>
      <c r="S302" s="1" t="s">
        <v>1719</v>
      </c>
      <c r="T302" s="7" t="s">
        <v>4839</v>
      </c>
      <c r="U302" s="7" t="s">
        <v>3383</v>
      </c>
      <c r="V302" s="1" t="s">
        <v>820</v>
      </c>
      <c r="W302" s="7" t="s">
        <v>4842</v>
      </c>
      <c r="X302" s="7" t="s">
        <v>1724</v>
      </c>
      <c r="Y302" s="1"/>
      <c r="Z302" s="4">
        <v>24500.0</v>
      </c>
      <c r="AA302" s="4">
        <v>661.0</v>
      </c>
      <c r="AB302" s="4">
        <v>2619.0</v>
      </c>
      <c r="AC302" s="4">
        <v>202400.0</v>
      </c>
      <c r="AD302" s="1" t="s">
        <v>1726</v>
      </c>
      <c r="AE302" s="1" t="s">
        <v>1726</v>
      </c>
      <c r="AF302" s="1"/>
      <c r="AG302" s="1"/>
      <c r="AH302" s="1"/>
      <c r="AI302" s="1"/>
      <c r="AJ302" s="1"/>
      <c r="AK302" s="1"/>
      <c r="AL302" s="1">
        <f>IFERROR(__xludf.DUMMYFUNCTION("IF(
  TRIM(AD302)="""",
  0,
  COUNTA(
    SPLIT(
      REGEXREPLACE(AD302,""\s*,\s*"","",""),
      "",""
    )
  )
)"),9.0)</f>
        <v>9</v>
      </c>
    </row>
    <row r="303">
      <c r="A303" s="1" t="s">
        <v>1786</v>
      </c>
      <c r="B303" s="1" t="s">
        <v>1786</v>
      </c>
      <c r="C303" s="1" t="s">
        <v>276</v>
      </c>
      <c r="D303" s="1" t="s">
        <v>277</v>
      </c>
      <c r="E303" s="4">
        <v>345000.0</v>
      </c>
      <c r="F303" s="4">
        <v>344.0</v>
      </c>
      <c r="G303" s="4">
        <v>493.0</v>
      </c>
      <c r="H303" s="7" t="s">
        <v>3050</v>
      </c>
      <c r="I303" s="1" t="s">
        <v>1788</v>
      </c>
      <c r="J303" s="1" t="s">
        <v>1789</v>
      </c>
      <c r="K303" s="9">
        <v>45811.0459837963</v>
      </c>
      <c r="L303" s="4">
        <v>1.748912773E9</v>
      </c>
      <c r="M303" s="1" t="s">
        <v>47</v>
      </c>
      <c r="N303" s="1" t="s">
        <v>47</v>
      </c>
      <c r="O303" s="1" t="s">
        <v>47</v>
      </c>
      <c r="P303" s="1" t="s">
        <v>47</v>
      </c>
      <c r="Q303" s="1" t="s">
        <v>47</v>
      </c>
      <c r="R303" s="1" t="s">
        <v>48</v>
      </c>
      <c r="S303" s="1" t="s">
        <v>1790</v>
      </c>
      <c r="T303" s="7" t="s">
        <v>4843</v>
      </c>
      <c r="U303" s="7" t="s">
        <v>3325</v>
      </c>
      <c r="V303" s="1" t="s">
        <v>277</v>
      </c>
      <c r="W303" s="7" t="s">
        <v>4844</v>
      </c>
      <c r="X303" s="7" t="s">
        <v>1796</v>
      </c>
      <c r="Y303" s="1"/>
      <c r="Z303" s="4">
        <v>22600.0</v>
      </c>
      <c r="AA303" s="4">
        <v>456.0</v>
      </c>
      <c r="AB303" s="4">
        <v>5308.0</v>
      </c>
      <c r="AC303" s="4">
        <v>281400.0</v>
      </c>
      <c r="AD303" s="1" t="s">
        <v>1801</v>
      </c>
      <c r="AE303" s="1" t="s">
        <v>1801</v>
      </c>
      <c r="AF303" s="1"/>
      <c r="AG303" s="1"/>
      <c r="AH303" s="1" t="s">
        <v>836</v>
      </c>
      <c r="AI303" s="1"/>
      <c r="AJ303" s="1"/>
      <c r="AK303" s="1"/>
      <c r="AL303" s="1">
        <f>IFERROR(__xludf.DUMMYFUNCTION("IF(
  TRIM(AD303)="""",
  0,
  COUNTA(
    SPLIT(
      REGEXREPLACE(AD303,""\s*,\s*"","",""),
      "",""
    )
  )
)"),9.0)</f>
        <v>9</v>
      </c>
    </row>
    <row r="304">
      <c r="A304" s="1" t="s">
        <v>4845</v>
      </c>
      <c r="B304" s="1" t="s">
        <v>4845</v>
      </c>
      <c r="C304" s="1" t="s">
        <v>893</v>
      </c>
      <c r="D304" s="1" t="s">
        <v>894</v>
      </c>
      <c r="E304" s="4">
        <v>71800.0</v>
      </c>
      <c r="F304" s="4">
        <v>22400.0</v>
      </c>
      <c r="G304" s="4">
        <v>693.0</v>
      </c>
      <c r="H304" s="7" t="s">
        <v>4846</v>
      </c>
      <c r="I304" s="1" t="s">
        <v>4847</v>
      </c>
      <c r="J304" s="1" t="s">
        <v>4848</v>
      </c>
      <c r="K304" s="9">
        <v>45630.526875</v>
      </c>
      <c r="L304" s="4">
        <v>1.733315922E9</v>
      </c>
      <c r="M304" s="1" t="s">
        <v>47</v>
      </c>
      <c r="N304" s="1" t="s">
        <v>47</v>
      </c>
      <c r="O304" s="1" t="s">
        <v>47</v>
      </c>
      <c r="P304" s="1" t="s">
        <v>47</v>
      </c>
      <c r="Q304" s="1" t="s">
        <v>47</v>
      </c>
      <c r="R304" s="1" t="s">
        <v>48</v>
      </c>
      <c r="S304" s="1" t="s">
        <v>4849</v>
      </c>
      <c r="T304" s="7" t="s">
        <v>4850</v>
      </c>
      <c r="U304" s="7" t="s">
        <v>4851</v>
      </c>
      <c r="V304" s="1" t="s">
        <v>894</v>
      </c>
      <c r="W304" s="7" t="s">
        <v>4852</v>
      </c>
      <c r="X304" s="7" t="s">
        <v>4853</v>
      </c>
      <c r="Y304" s="1"/>
      <c r="Z304" s="4">
        <v>21500.0</v>
      </c>
      <c r="AA304" s="4">
        <v>879.0</v>
      </c>
      <c r="AB304" s="4">
        <v>5949.0</v>
      </c>
      <c r="AC304" s="4">
        <v>415400.0</v>
      </c>
      <c r="AD304" s="1" t="s">
        <v>4854</v>
      </c>
      <c r="AE304" s="1" t="s">
        <v>4855</v>
      </c>
      <c r="AF304" s="1"/>
      <c r="AG304" s="1"/>
      <c r="AH304" s="1"/>
      <c r="AI304" s="1"/>
      <c r="AJ304" s="1"/>
      <c r="AK304" s="1"/>
      <c r="AL304" s="1">
        <f>IFERROR(__xludf.DUMMYFUNCTION("IF(
  TRIM(AD304)="""",
  0,
  COUNTA(
    SPLIT(
      REGEXREPLACE(AD304,""\s*,\s*"","",""),
      "",""
    )
  )
)"),9.0)</f>
        <v>9</v>
      </c>
    </row>
    <row r="305">
      <c r="A305" s="1" t="s">
        <v>2072</v>
      </c>
      <c r="B305" s="1" t="s">
        <v>2072</v>
      </c>
      <c r="C305" s="1" t="s">
        <v>2073</v>
      </c>
      <c r="D305" s="1" t="s">
        <v>2074</v>
      </c>
      <c r="E305" s="4">
        <v>1859.0</v>
      </c>
      <c r="F305" s="4">
        <v>412.0</v>
      </c>
      <c r="G305" s="4">
        <v>24.0</v>
      </c>
      <c r="H305" s="7" t="s">
        <v>4856</v>
      </c>
      <c r="I305" s="1" t="s">
        <v>2076</v>
      </c>
      <c r="J305" s="1"/>
      <c r="K305" s="9">
        <v>45504.735555555555</v>
      </c>
      <c r="L305" s="4">
        <v>1.722447552E9</v>
      </c>
      <c r="M305" s="1" t="s">
        <v>47</v>
      </c>
      <c r="N305" s="1" t="s">
        <v>47</v>
      </c>
      <c r="O305" s="1" t="s">
        <v>47</v>
      </c>
      <c r="P305" s="1" t="s">
        <v>47</v>
      </c>
      <c r="Q305" s="1" t="s">
        <v>47</v>
      </c>
      <c r="R305" s="1" t="s">
        <v>2077</v>
      </c>
      <c r="S305" s="1" t="s">
        <v>2078</v>
      </c>
      <c r="T305" s="7" t="s">
        <v>4857</v>
      </c>
      <c r="U305" s="7" t="s">
        <v>4858</v>
      </c>
      <c r="V305" s="1" t="s">
        <v>2085</v>
      </c>
      <c r="W305" s="7" t="s">
        <v>4859</v>
      </c>
      <c r="X305" s="7" t="s">
        <v>2088</v>
      </c>
      <c r="Y305" s="1"/>
      <c r="Z305" s="4">
        <v>16700.0</v>
      </c>
      <c r="AA305" s="4">
        <v>884.0</v>
      </c>
      <c r="AB305" s="4">
        <v>2433.0</v>
      </c>
      <c r="AC305" s="4">
        <v>336200.0</v>
      </c>
      <c r="AD305" s="1" t="s">
        <v>2089</v>
      </c>
      <c r="AE305" s="1" t="s">
        <v>2089</v>
      </c>
      <c r="AF305" s="1"/>
      <c r="AG305" s="1"/>
      <c r="AH305" s="1" t="s">
        <v>2014</v>
      </c>
      <c r="AI305" s="1"/>
      <c r="AJ305" s="1"/>
      <c r="AK305" s="1"/>
      <c r="AL305" s="1">
        <f>IFERROR(__xludf.DUMMYFUNCTION("IF(
  TRIM(AD305)="""",
  0,
  COUNTA(
    SPLIT(
      REGEXREPLACE(AD305,""\s*,\s*"","",""),
      "",""
    )
  )
)"),9.0)</f>
        <v>9</v>
      </c>
    </row>
    <row r="306">
      <c r="A306" s="1" t="s">
        <v>2102</v>
      </c>
      <c r="B306" s="1" t="s">
        <v>2102</v>
      </c>
      <c r="C306" s="1" t="s">
        <v>276</v>
      </c>
      <c r="D306" s="1" t="s">
        <v>277</v>
      </c>
      <c r="E306" s="4">
        <v>345000.0</v>
      </c>
      <c r="F306" s="4">
        <v>344.0</v>
      </c>
      <c r="G306" s="4">
        <v>493.0</v>
      </c>
      <c r="H306" s="7" t="s">
        <v>3050</v>
      </c>
      <c r="I306" s="1" t="s">
        <v>1848</v>
      </c>
      <c r="J306" s="1" t="s">
        <v>2103</v>
      </c>
      <c r="K306" s="9">
        <v>45728.042129629626</v>
      </c>
      <c r="L306" s="4">
        <v>1.74174124E9</v>
      </c>
      <c r="M306" s="1" t="s">
        <v>47</v>
      </c>
      <c r="N306" s="1" t="s">
        <v>47</v>
      </c>
      <c r="O306" s="1" t="s">
        <v>47</v>
      </c>
      <c r="P306" s="1" t="s">
        <v>47</v>
      </c>
      <c r="Q306" s="1" t="s">
        <v>47</v>
      </c>
      <c r="R306" s="1" t="s">
        <v>48</v>
      </c>
      <c r="S306" s="1" t="s">
        <v>2104</v>
      </c>
      <c r="T306" s="7" t="s">
        <v>4860</v>
      </c>
      <c r="U306" s="7" t="s">
        <v>3325</v>
      </c>
      <c r="V306" s="1" t="s">
        <v>277</v>
      </c>
      <c r="W306" s="7" t="s">
        <v>4861</v>
      </c>
      <c r="X306" s="7" t="s">
        <v>2109</v>
      </c>
      <c r="Y306" s="1"/>
      <c r="Z306" s="4">
        <v>16400.0</v>
      </c>
      <c r="AA306" s="4">
        <v>436.0</v>
      </c>
      <c r="AB306" s="4">
        <v>1783.0</v>
      </c>
      <c r="AC306" s="4">
        <v>148900.0</v>
      </c>
      <c r="AD306" s="1" t="s">
        <v>1859</v>
      </c>
      <c r="AE306" s="1" t="s">
        <v>1859</v>
      </c>
      <c r="AF306" s="1"/>
      <c r="AG306" s="1"/>
      <c r="AH306" s="1" t="s">
        <v>836</v>
      </c>
      <c r="AI306" s="1"/>
      <c r="AJ306" s="1"/>
      <c r="AK306" s="1"/>
      <c r="AL306" s="1">
        <f>IFERROR(__xludf.DUMMYFUNCTION("IF(
  TRIM(AD306)="""",
  0,
  COUNTA(
    SPLIT(
      REGEXREPLACE(AD306,""\s*,\s*"","",""),
      "",""
    )
  )
)"),9.0)</f>
        <v>9</v>
      </c>
    </row>
    <row r="307">
      <c r="A307" s="1" t="s">
        <v>4862</v>
      </c>
      <c r="B307" s="1" t="s">
        <v>4862</v>
      </c>
      <c r="C307" s="1" t="s">
        <v>819</v>
      </c>
      <c r="D307" s="1" t="s">
        <v>820</v>
      </c>
      <c r="E307" s="4">
        <v>135300.0</v>
      </c>
      <c r="F307" s="4">
        <v>31900.0</v>
      </c>
      <c r="G307" s="4">
        <v>264.0</v>
      </c>
      <c r="H307" s="7" t="s">
        <v>4838</v>
      </c>
      <c r="I307" s="1" t="s">
        <v>4863</v>
      </c>
      <c r="J307" s="1"/>
      <c r="K307" s="9">
        <v>45788.98054398148</v>
      </c>
      <c r="L307" s="4">
        <v>1.747006319E9</v>
      </c>
      <c r="M307" s="1" t="s">
        <v>47</v>
      </c>
      <c r="N307" s="1" t="s">
        <v>47</v>
      </c>
      <c r="O307" s="1" t="s">
        <v>47</v>
      </c>
      <c r="P307" s="1" t="s">
        <v>47</v>
      </c>
      <c r="Q307" s="1" t="s">
        <v>47</v>
      </c>
      <c r="R307" s="1" t="s">
        <v>48</v>
      </c>
      <c r="S307" s="1" t="s">
        <v>4864</v>
      </c>
      <c r="T307" s="7" t="s">
        <v>4865</v>
      </c>
      <c r="U307" s="7" t="s">
        <v>3383</v>
      </c>
      <c r="V307" s="1" t="s">
        <v>820</v>
      </c>
      <c r="W307" s="7" t="s">
        <v>4866</v>
      </c>
      <c r="X307" s="7" t="s">
        <v>4867</v>
      </c>
      <c r="Y307" s="1"/>
      <c r="Z307" s="4">
        <v>6195.0</v>
      </c>
      <c r="AA307" s="4">
        <v>150.0</v>
      </c>
      <c r="AB307" s="4">
        <v>1829.0</v>
      </c>
      <c r="AC307" s="4">
        <v>132300.0</v>
      </c>
      <c r="AD307" s="1" t="s">
        <v>4868</v>
      </c>
      <c r="AE307" s="1" t="s">
        <v>4868</v>
      </c>
      <c r="AF307" s="1"/>
      <c r="AG307" s="1"/>
      <c r="AH307" s="1"/>
      <c r="AI307" s="1"/>
      <c r="AJ307" s="1"/>
      <c r="AK307" s="1"/>
      <c r="AL307" s="1">
        <f>IFERROR(__xludf.DUMMYFUNCTION("IF(
  TRIM(AD307)="""",
  0,
  COUNTA(
    SPLIT(
      REGEXREPLACE(AD307,""\s*,\s*"","",""),
      "",""
    )
  )
)"),9.0)</f>
        <v>9</v>
      </c>
    </row>
    <row r="308">
      <c r="A308" s="1" t="s">
        <v>3221</v>
      </c>
      <c r="B308" s="1" t="s">
        <v>3221</v>
      </c>
      <c r="C308" s="1" t="s">
        <v>3222</v>
      </c>
      <c r="D308" s="1" t="s">
        <v>3223</v>
      </c>
      <c r="E308" s="4">
        <v>11800.0</v>
      </c>
      <c r="F308" s="4">
        <v>12400.0</v>
      </c>
      <c r="G308" s="4">
        <v>526.0</v>
      </c>
      <c r="H308" s="7" t="s">
        <v>4869</v>
      </c>
      <c r="I308" s="1" t="s">
        <v>3225</v>
      </c>
      <c r="J308" s="1"/>
      <c r="K308" s="9">
        <v>45767.94519675926</v>
      </c>
      <c r="L308" s="4">
        <v>1.745188865E9</v>
      </c>
      <c r="M308" s="1" t="s">
        <v>47</v>
      </c>
      <c r="N308" s="1" t="s">
        <v>47</v>
      </c>
      <c r="O308" s="1" t="s">
        <v>47</v>
      </c>
      <c r="P308" s="1" t="s">
        <v>47</v>
      </c>
      <c r="Q308" s="1" t="s">
        <v>47</v>
      </c>
      <c r="R308" s="1" t="s">
        <v>3226</v>
      </c>
      <c r="S308" s="1" t="s">
        <v>3227</v>
      </c>
      <c r="T308" s="7" t="s">
        <v>3228</v>
      </c>
      <c r="U308" s="7" t="s">
        <v>3230</v>
      </c>
      <c r="V308" s="1" t="s">
        <v>3231</v>
      </c>
      <c r="W308" s="7" t="s">
        <v>4870</v>
      </c>
      <c r="X308" s="7" t="s">
        <v>3233</v>
      </c>
      <c r="Y308" s="1"/>
      <c r="Z308" s="4">
        <v>4690.0</v>
      </c>
      <c r="AA308" s="4">
        <v>150.0</v>
      </c>
      <c r="AB308" s="4">
        <v>759.0</v>
      </c>
      <c r="AC308" s="4">
        <v>64600.0</v>
      </c>
      <c r="AD308" s="1" t="s">
        <v>3235</v>
      </c>
      <c r="AE308" s="1" t="s">
        <v>3235</v>
      </c>
      <c r="AF308" s="1"/>
      <c r="AG308" s="1"/>
      <c r="AH308" s="1"/>
      <c r="AI308" s="1"/>
      <c r="AJ308" s="1"/>
      <c r="AK308" s="1"/>
      <c r="AL308" s="1">
        <f>IFERROR(__xludf.DUMMYFUNCTION("IF(
  TRIM(AD308)="""",
  0,
  COUNTA(
    SPLIT(
      REGEXREPLACE(AD308,""\s*,\s*"","",""),
      "",""
    )
  )
)"),9.0)</f>
        <v>9</v>
      </c>
    </row>
    <row r="309">
      <c r="A309" s="1" t="s">
        <v>3242</v>
      </c>
      <c r="B309" s="1" t="s">
        <v>3242</v>
      </c>
      <c r="C309" s="1" t="s">
        <v>276</v>
      </c>
      <c r="D309" s="1" t="s">
        <v>277</v>
      </c>
      <c r="E309" s="4">
        <v>345000.0</v>
      </c>
      <c r="F309" s="4">
        <v>344.0</v>
      </c>
      <c r="G309" s="4">
        <v>493.0</v>
      </c>
      <c r="H309" s="7" t="s">
        <v>3359</v>
      </c>
      <c r="I309" s="1" t="s">
        <v>3243</v>
      </c>
      <c r="J309" s="1" t="s">
        <v>3244</v>
      </c>
      <c r="K309" s="9">
        <v>45660.03790509259</v>
      </c>
      <c r="L309" s="4">
        <v>1.735865675E9</v>
      </c>
      <c r="M309" s="1" t="s">
        <v>47</v>
      </c>
      <c r="N309" s="1" t="s">
        <v>47</v>
      </c>
      <c r="O309" s="1" t="s">
        <v>47</v>
      </c>
      <c r="P309" s="1" t="s">
        <v>47</v>
      </c>
      <c r="Q309" s="1" t="s">
        <v>47</v>
      </c>
      <c r="R309" s="1" t="s">
        <v>48</v>
      </c>
      <c r="S309" s="1" t="s">
        <v>3245</v>
      </c>
      <c r="T309" s="7" t="s">
        <v>4871</v>
      </c>
      <c r="U309" s="7" t="s">
        <v>3325</v>
      </c>
      <c r="V309" s="1" t="s">
        <v>277</v>
      </c>
      <c r="W309" s="7" t="s">
        <v>4872</v>
      </c>
      <c r="X309" s="7" t="s">
        <v>3250</v>
      </c>
      <c r="Y309" s="1"/>
      <c r="Z309" s="4">
        <v>4586.0</v>
      </c>
      <c r="AA309" s="4">
        <v>83.0</v>
      </c>
      <c r="AB309" s="4">
        <v>791.0</v>
      </c>
      <c r="AC309" s="4">
        <v>67800.0</v>
      </c>
      <c r="AD309" s="1" t="s">
        <v>3252</v>
      </c>
      <c r="AE309" s="1" t="s">
        <v>3252</v>
      </c>
      <c r="AF309" s="1"/>
      <c r="AG309" s="1"/>
      <c r="AH309" s="1"/>
      <c r="AI309" s="1"/>
      <c r="AJ309" s="1"/>
      <c r="AK309" s="1"/>
      <c r="AL309" s="1">
        <f>IFERROR(__xludf.DUMMYFUNCTION("IF(
  TRIM(AD309)="""",
  0,
  COUNTA(
    SPLIT(
      REGEXREPLACE(AD309,""\s*,\s*"","",""),
      "",""
    )
  )
)"),9.0)</f>
        <v>9</v>
      </c>
    </row>
    <row r="310">
      <c r="A310" s="1" t="s">
        <v>3426</v>
      </c>
      <c r="B310" s="1" t="s">
        <v>3426</v>
      </c>
      <c r="C310" s="1" t="s">
        <v>107</v>
      </c>
      <c r="D310" s="1" t="s">
        <v>108</v>
      </c>
      <c r="E310" s="4">
        <v>1300000.0</v>
      </c>
      <c r="F310" s="4">
        <v>93.0</v>
      </c>
      <c r="G310" s="4">
        <v>1734.0</v>
      </c>
      <c r="H310" s="7" t="s">
        <v>412</v>
      </c>
      <c r="I310" s="1" t="s">
        <v>3428</v>
      </c>
      <c r="J310" s="1"/>
      <c r="K310" s="9">
        <v>44712.99024305555</v>
      </c>
      <c r="L310" s="4">
        <v>1.654040757E9</v>
      </c>
      <c r="M310" s="1" t="s">
        <v>47</v>
      </c>
      <c r="N310" s="1" t="s">
        <v>47</v>
      </c>
      <c r="O310" s="1" t="s">
        <v>47</v>
      </c>
      <c r="P310" s="1" t="s">
        <v>47</v>
      </c>
      <c r="Q310" s="1" t="s">
        <v>47</v>
      </c>
      <c r="R310" s="1" t="s">
        <v>48</v>
      </c>
      <c r="S310" s="1" t="s">
        <v>3429</v>
      </c>
      <c r="T310" s="7" t="s">
        <v>4873</v>
      </c>
      <c r="U310" s="7" t="s">
        <v>117</v>
      </c>
      <c r="V310" s="1" t="s">
        <v>108</v>
      </c>
      <c r="W310" s="7" t="s">
        <v>4874</v>
      </c>
      <c r="X310" s="7" t="s">
        <v>3437</v>
      </c>
      <c r="Y310" s="1"/>
      <c r="Z310" s="4">
        <v>3539.0</v>
      </c>
      <c r="AA310" s="4">
        <v>65.0</v>
      </c>
      <c r="AB310" s="4">
        <v>646.0</v>
      </c>
      <c r="AC310" s="4">
        <v>60100.0</v>
      </c>
      <c r="AD310" s="1" t="s">
        <v>3438</v>
      </c>
      <c r="AE310" s="1" t="s">
        <v>3438</v>
      </c>
      <c r="AF310" s="1"/>
      <c r="AG310" s="1"/>
      <c r="AH310" s="1"/>
      <c r="AI310" s="1"/>
      <c r="AJ310" s="1"/>
      <c r="AK310" s="1"/>
      <c r="AL310" s="1">
        <f>IFERROR(__xludf.DUMMYFUNCTION("IF(
  TRIM(AD310)="""",
  0,
  COUNTA(
    SPLIT(
      REGEXREPLACE(AD310,""\s*,\s*"","",""),
      "",""
    )
  )
)"),9.0)</f>
        <v>9</v>
      </c>
    </row>
    <row r="311">
      <c r="A311" s="1" t="s">
        <v>4875</v>
      </c>
      <c r="B311" s="1" t="s">
        <v>4875</v>
      </c>
      <c r="C311" s="1" t="s">
        <v>4129</v>
      </c>
      <c r="D311" s="1" t="s">
        <v>4130</v>
      </c>
      <c r="E311" s="4">
        <v>4656.0</v>
      </c>
      <c r="F311" s="4">
        <v>179.0</v>
      </c>
      <c r="G311" s="4">
        <v>63.0</v>
      </c>
      <c r="H311" s="7" t="s">
        <v>4131</v>
      </c>
      <c r="I311" s="1" t="s">
        <v>4876</v>
      </c>
      <c r="J311" s="1"/>
      <c r="K311" s="9">
        <v>45783.64543981481</v>
      </c>
      <c r="L311" s="4">
        <v>1.746545366E9</v>
      </c>
      <c r="M311" s="1" t="s">
        <v>47</v>
      </c>
      <c r="N311" s="1" t="s">
        <v>47</v>
      </c>
      <c r="O311" s="1" t="s">
        <v>47</v>
      </c>
      <c r="P311" s="1" t="s">
        <v>47</v>
      </c>
      <c r="Q311" s="1" t="s">
        <v>47</v>
      </c>
      <c r="R311" s="1" t="s">
        <v>48</v>
      </c>
      <c r="S311" s="1" t="s">
        <v>4877</v>
      </c>
      <c r="T311" s="7" t="s">
        <v>4878</v>
      </c>
      <c r="U311" s="7" t="s">
        <v>4136</v>
      </c>
      <c r="V311" s="1" t="s">
        <v>4130</v>
      </c>
      <c r="W311" s="7" t="s">
        <v>4879</v>
      </c>
      <c r="X311" s="7" t="s">
        <v>4880</v>
      </c>
      <c r="Y311" s="1"/>
      <c r="Z311" s="4">
        <v>1936.0</v>
      </c>
      <c r="AA311" s="4">
        <v>48.0</v>
      </c>
      <c r="AB311" s="4">
        <v>472.0</v>
      </c>
      <c r="AC311" s="4">
        <v>43200.0</v>
      </c>
      <c r="AD311" s="1" t="s">
        <v>4881</v>
      </c>
      <c r="AE311" s="1" t="s">
        <v>4881</v>
      </c>
      <c r="AF311" s="1"/>
      <c r="AG311" s="1"/>
      <c r="AH311" s="1"/>
      <c r="AI311" s="1"/>
      <c r="AJ311" s="1"/>
      <c r="AK311" s="1"/>
      <c r="AL311" s="1">
        <f>IFERROR(__xludf.DUMMYFUNCTION("IF(
  TRIM(AD311)="""",
  0,
  COUNTA(
    SPLIT(
      REGEXREPLACE(AD311,""\s*,\s*"","",""),
      "",""
    )
  )
)"),9.0)</f>
        <v>9</v>
      </c>
    </row>
    <row r="312">
      <c r="A312" s="1" t="s">
        <v>4041</v>
      </c>
      <c r="B312" s="1" t="s">
        <v>4041</v>
      </c>
      <c r="C312" s="1" t="s">
        <v>276</v>
      </c>
      <c r="D312" s="1" t="s">
        <v>277</v>
      </c>
      <c r="E312" s="4">
        <v>345000.0</v>
      </c>
      <c r="F312" s="4">
        <v>344.0</v>
      </c>
      <c r="G312" s="4">
        <v>493.0</v>
      </c>
      <c r="H312" s="7" t="s">
        <v>3050</v>
      </c>
      <c r="I312" s="1" t="s">
        <v>1848</v>
      </c>
      <c r="J312" s="1" t="s">
        <v>4042</v>
      </c>
      <c r="K312" s="9">
        <v>45679.127337962964</v>
      </c>
      <c r="L312" s="4">
        <v>1.737515002E9</v>
      </c>
      <c r="M312" s="1" t="s">
        <v>47</v>
      </c>
      <c r="N312" s="1" t="s">
        <v>47</v>
      </c>
      <c r="O312" s="1" t="s">
        <v>47</v>
      </c>
      <c r="P312" s="1" t="s">
        <v>47</v>
      </c>
      <c r="Q312" s="1" t="s">
        <v>47</v>
      </c>
      <c r="R312" s="1" t="s">
        <v>48</v>
      </c>
      <c r="S312" s="1" t="s">
        <v>4043</v>
      </c>
      <c r="T312" s="7" t="s">
        <v>4882</v>
      </c>
      <c r="U312" s="7" t="s">
        <v>3057</v>
      </c>
      <c r="V312" s="1" t="s">
        <v>277</v>
      </c>
      <c r="W312" s="7" t="s">
        <v>4883</v>
      </c>
      <c r="X312" s="7" t="s">
        <v>4048</v>
      </c>
      <c r="Y312" s="1"/>
      <c r="Z312" s="4">
        <v>1704.0</v>
      </c>
      <c r="AA312" s="4">
        <v>25.0</v>
      </c>
      <c r="AB312" s="4">
        <v>164.0</v>
      </c>
      <c r="AC312" s="4">
        <v>23900.0</v>
      </c>
      <c r="AD312" s="1" t="s">
        <v>1859</v>
      </c>
      <c r="AE312" s="1" t="s">
        <v>1859</v>
      </c>
      <c r="AF312" s="1"/>
      <c r="AG312" s="1"/>
      <c r="AH312" s="1"/>
      <c r="AI312" s="1"/>
      <c r="AJ312" s="1"/>
      <c r="AK312" s="1"/>
      <c r="AL312" s="1">
        <f>IFERROR(__xludf.DUMMYFUNCTION("IF(
  TRIM(AD312)="""",
  0,
  COUNTA(
    SPLIT(
      REGEXREPLACE(AD312,""\s*,\s*"","",""),
      "",""
    )
  )
)"),9.0)</f>
        <v>9</v>
      </c>
    </row>
    <row r="313">
      <c r="A313" s="1" t="s">
        <v>4351</v>
      </c>
      <c r="B313" s="1" t="s">
        <v>4351</v>
      </c>
      <c r="C313" s="1" t="s">
        <v>4352</v>
      </c>
      <c r="D313" s="1" t="s">
        <v>4353</v>
      </c>
      <c r="E313" s="4">
        <v>461.0</v>
      </c>
      <c r="F313" s="4">
        <v>1.0</v>
      </c>
      <c r="G313" s="4">
        <v>16.0</v>
      </c>
      <c r="H313" s="7" t="s">
        <v>4884</v>
      </c>
      <c r="I313" s="1" t="s">
        <v>4356</v>
      </c>
      <c r="J313" s="1"/>
      <c r="K313" s="9">
        <v>45134.6187037037</v>
      </c>
      <c r="L313" s="4">
        <v>1.690469456E9</v>
      </c>
      <c r="M313" s="1" t="s">
        <v>47</v>
      </c>
      <c r="N313" s="1" t="s">
        <v>47</v>
      </c>
      <c r="O313" s="1" t="s">
        <v>47</v>
      </c>
      <c r="P313" s="1" t="s">
        <v>47</v>
      </c>
      <c r="Q313" s="1" t="s">
        <v>47</v>
      </c>
      <c r="R313" s="1" t="s">
        <v>48</v>
      </c>
      <c r="S313" s="1" t="s">
        <v>4357</v>
      </c>
      <c r="T313" s="7" t="s">
        <v>4885</v>
      </c>
      <c r="U313" s="7" t="s">
        <v>4886</v>
      </c>
      <c r="V313" s="1" t="s">
        <v>4353</v>
      </c>
      <c r="W313" s="7" t="s">
        <v>4887</v>
      </c>
      <c r="X313" s="7" t="s">
        <v>4363</v>
      </c>
      <c r="Y313" s="1"/>
      <c r="Z313" s="4">
        <v>545.0</v>
      </c>
      <c r="AA313" s="4">
        <v>47.0</v>
      </c>
      <c r="AB313" s="4">
        <v>428.0</v>
      </c>
      <c r="AC313" s="4">
        <v>63600.0</v>
      </c>
      <c r="AD313" s="1" t="s">
        <v>4364</v>
      </c>
      <c r="AE313" s="1" t="s">
        <v>4364</v>
      </c>
      <c r="AF313" s="1"/>
      <c r="AG313" s="1"/>
      <c r="AH313" s="1"/>
      <c r="AI313" s="1"/>
      <c r="AJ313" s="1"/>
      <c r="AK313" s="1"/>
      <c r="AL313" s="1">
        <f>IFERROR(__xludf.DUMMYFUNCTION("IF(
  TRIM(AD313)="""",
  0,
  COUNTA(
    SPLIT(
      REGEXREPLACE(AD313,""\s*,\s*"","",""),
      "",""
    )
  )
)"),9.0)</f>
        <v>9</v>
      </c>
    </row>
    <row r="314">
      <c r="A314" s="1" t="s">
        <v>4888</v>
      </c>
      <c r="B314" s="1" t="s">
        <v>4888</v>
      </c>
      <c r="C314" s="1" t="s">
        <v>1179</v>
      </c>
      <c r="D314" s="1" t="s">
        <v>1180</v>
      </c>
      <c r="E314" s="4">
        <v>47900.0</v>
      </c>
      <c r="F314" s="4">
        <v>18700.0</v>
      </c>
      <c r="G314" s="4">
        <v>453.0</v>
      </c>
      <c r="H314" s="7" t="s">
        <v>4889</v>
      </c>
      <c r="I314" s="1" t="s">
        <v>4890</v>
      </c>
      <c r="J314" s="1"/>
      <c r="K314" s="9">
        <v>45238.62945601852</v>
      </c>
      <c r="L314" s="4">
        <v>1.699455985E9</v>
      </c>
      <c r="M314" s="1" t="s">
        <v>47</v>
      </c>
      <c r="N314" s="1" t="s">
        <v>47</v>
      </c>
      <c r="O314" s="1" t="s">
        <v>47</v>
      </c>
      <c r="P314" s="1" t="s">
        <v>47</v>
      </c>
      <c r="Q314" s="1" t="s">
        <v>47</v>
      </c>
      <c r="R314" s="1" t="s">
        <v>48</v>
      </c>
      <c r="S314" s="1" t="s">
        <v>4891</v>
      </c>
      <c r="T314" s="7" t="s">
        <v>4892</v>
      </c>
      <c r="U314" s="7" t="s">
        <v>4893</v>
      </c>
      <c r="V314" s="1" t="s">
        <v>1180</v>
      </c>
      <c r="W314" s="7" t="s">
        <v>4894</v>
      </c>
      <c r="X314" s="7" t="s">
        <v>4895</v>
      </c>
      <c r="Y314" s="1"/>
      <c r="Z314" s="4">
        <v>103.0</v>
      </c>
      <c r="AA314" s="4">
        <v>4.0</v>
      </c>
      <c r="AB314" s="4">
        <v>29.0</v>
      </c>
      <c r="AC314" s="4">
        <v>2645.0</v>
      </c>
      <c r="AD314" s="1" t="s">
        <v>4896</v>
      </c>
      <c r="AE314" s="1" t="s">
        <v>4897</v>
      </c>
      <c r="AF314" s="1"/>
      <c r="AG314" s="1"/>
      <c r="AH314" s="1"/>
      <c r="AI314" s="1"/>
      <c r="AJ314" s="1"/>
      <c r="AK314" s="1"/>
      <c r="AL314" s="1">
        <f>IFERROR(__xludf.DUMMYFUNCTION("IF(
  TRIM(AD314)="""",
  0,
  COUNTA(
    SPLIT(
      REGEXREPLACE(AD314,""\s*,\s*"","",""),
      "",""
    )
  )
)"),9.0)</f>
        <v>9</v>
      </c>
    </row>
    <row r="315">
      <c r="A315" s="1" t="s">
        <v>4898</v>
      </c>
      <c r="B315" s="1" t="s">
        <v>4898</v>
      </c>
      <c r="C315" s="1" t="s">
        <v>4899</v>
      </c>
      <c r="D315" s="1" t="s">
        <v>4900</v>
      </c>
      <c r="E315" s="4">
        <v>124400.0</v>
      </c>
      <c r="F315" s="4">
        <v>1622.0</v>
      </c>
      <c r="G315" s="4">
        <v>933.0</v>
      </c>
      <c r="H315" s="7" t="s">
        <v>4901</v>
      </c>
      <c r="I315" s="1" t="s">
        <v>4902</v>
      </c>
      <c r="J315" s="1" t="s">
        <v>4903</v>
      </c>
      <c r="K315" s="9">
        <v>44810.52313657408</v>
      </c>
      <c r="L315" s="4">
        <v>1.662467599E9</v>
      </c>
      <c r="M315" s="1" t="s">
        <v>47</v>
      </c>
      <c r="N315" s="1" t="s">
        <v>47</v>
      </c>
      <c r="O315" s="1" t="s">
        <v>47</v>
      </c>
      <c r="P315" s="1" t="s">
        <v>47</v>
      </c>
      <c r="Q315" s="1" t="s">
        <v>47</v>
      </c>
      <c r="R315" s="1" t="s">
        <v>48</v>
      </c>
      <c r="S315" s="1" t="s">
        <v>4904</v>
      </c>
      <c r="T315" s="7" t="s">
        <v>4905</v>
      </c>
      <c r="U315" s="7" t="s">
        <v>4906</v>
      </c>
      <c r="V315" s="1" t="s">
        <v>4900</v>
      </c>
      <c r="W315" s="7" t="s">
        <v>4907</v>
      </c>
      <c r="X315" s="7" t="s">
        <v>4908</v>
      </c>
      <c r="Y315" s="1"/>
      <c r="Z315" s="4">
        <v>1100000.0</v>
      </c>
      <c r="AA315" s="4">
        <v>3177.0</v>
      </c>
      <c r="AB315" s="4">
        <v>3844.0</v>
      </c>
      <c r="AC315" s="4">
        <v>1.07E7</v>
      </c>
      <c r="AD315" s="1" t="s">
        <v>4909</v>
      </c>
      <c r="AE315" s="1" t="s">
        <v>4909</v>
      </c>
      <c r="AF315" s="1"/>
      <c r="AG315" s="1"/>
      <c r="AH315" s="1"/>
      <c r="AI315" s="1"/>
      <c r="AJ315" s="1"/>
      <c r="AK315" s="1"/>
      <c r="AL315" s="1">
        <f>IFERROR(__xludf.DUMMYFUNCTION("IF(
  TRIM(AD315)="""",
  0,
  COUNTA(
    SPLIT(
      REGEXREPLACE(AD315,""\s*,\s*"","",""),
      "",""
    )
  )
)"),10.0)</f>
        <v>10</v>
      </c>
    </row>
    <row r="316">
      <c r="A316" s="1" t="s">
        <v>4910</v>
      </c>
      <c r="B316" s="1" t="s">
        <v>4910</v>
      </c>
      <c r="C316" s="1" t="s">
        <v>4911</v>
      </c>
      <c r="D316" s="1" t="s">
        <v>4912</v>
      </c>
      <c r="E316" s="4">
        <v>273100.0</v>
      </c>
      <c r="F316" s="4">
        <v>13700.0</v>
      </c>
      <c r="G316" s="4">
        <v>396.0</v>
      </c>
      <c r="H316" s="7" t="s">
        <v>4913</v>
      </c>
      <c r="I316" s="1" t="s">
        <v>4914</v>
      </c>
      <c r="J316" s="1" t="s">
        <v>4915</v>
      </c>
      <c r="K316" s="9">
        <v>44714.67435185185</v>
      </c>
      <c r="L316" s="4">
        <v>1.654186264E9</v>
      </c>
      <c r="M316" s="1" t="s">
        <v>47</v>
      </c>
      <c r="N316" s="1" t="s">
        <v>47</v>
      </c>
      <c r="O316" s="1" t="s">
        <v>47</v>
      </c>
      <c r="P316" s="1" t="s">
        <v>47</v>
      </c>
      <c r="Q316" s="1" t="s">
        <v>47</v>
      </c>
      <c r="R316" s="1" t="s">
        <v>4916</v>
      </c>
      <c r="S316" s="1" t="s">
        <v>4917</v>
      </c>
      <c r="T316" s="7" t="s">
        <v>4918</v>
      </c>
      <c r="U316" s="7" t="s">
        <v>4919</v>
      </c>
      <c r="V316" s="1" t="s">
        <v>4920</v>
      </c>
      <c r="W316" s="7" t="s">
        <v>4921</v>
      </c>
      <c r="X316" s="7" t="s">
        <v>4922</v>
      </c>
      <c r="Y316" s="1"/>
      <c r="Z316" s="4">
        <v>218600.0</v>
      </c>
      <c r="AA316" s="4">
        <v>1428.0</v>
      </c>
      <c r="AB316" s="4">
        <v>10500.0</v>
      </c>
      <c r="AC316" s="4">
        <v>1800000.0</v>
      </c>
      <c r="AD316" s="1" t="s">
        <v>4923</v>
      </c>
      <c r="AE316" s="1" t="s">
        <v>4923</v>
      </c>
      <c r="AF316" s="1"/>
      <c r="AG316" s="1"/>
      <c r="AH316" s="1" t="s">
        <v>121</v>
      </c>
      <c r="AI316" s="1"/>
      <c r="AJ316" s="1"/>
      <c r="AK316" s="1"/>
      <c r="AL316" s="1">
        <f>IFERROR(__xludf.DUMMYFUNCTION("IF(
  TRIM(AD316)="""",
  0,
  COUNTA(
    SPLIT(
      REGEXREPLACE(AD316,""\s*,\s*"","",""),
      "",""
    )
  )
)"),10.0)</f>
        <v>10</v>
      </c>
    </row>
    <row r="317">
      <c r="A317" s="1" t="s">
        <v>691</v>
      </c>
      <c r="B317" s="1" t="s">
        <v>691</v>
      </c>
      <c r="C317" s="1" t="s">
        <v>276</v>
      </c>
      <c r="D317" s="1" t="s">
        <v>277</v>
      </c>
      <c r="E317" s="4">
        <v>345000.0</v>
      </c>
      <c r="F317" s="4">
        <v>344.0</v>
      </c>
      <c r="G317" s="4">
        <v>493.0</v>
      </c>
      <c r="H317" s="7" t="s">
        <v>3050</v>
      </c>
      <c r="I317" s="1" t="s">
        <v>692</v>
      </c>
      <c r="J317" s="1" t="s">
        <v>693</v>
      </c>
      <c r="K317" s="9">
        <v>45697.02311342592</v>
      </c>
      <c r="L317" s="4">
        <v>1.739061197E9</v>
      </c>
      <c r="M317" s="1" t="s">
        <v>47</v>
      </c>
      <c r="N317" s="1" t="s">
        <v>47</v>
      </c>
      <c r="O317" s="1" t="s">
        <v>47</v>
      </c>
      <c r="P317" s="1" t="s">
        <v>47</v>
      </c>
      <c r="Q317" s="1" t="s">
        <v>47</v>
      </c>
      <c r="R317" s="1" t="s">
        <v>48</v>
      </c>
      <c r="S317" s="1" t="s">
        <v>694</v>
      </c>
      <c r="T317" s="7" t="s">
        <v>4924</v>
      </c>
      <c r="U317" s="7" t="s">
        <v>3057</v>
      </c>
      <c r="V317" s="1" t="s">
        <v>277</v>
      </c>
      <c r="W317" s="7" t="s">
        <v>4925</v>
      </c>
      <c r="X317" s="7" t="s">
        <v>699</v>
      </c>
      <c r="Y317" s="1"/>
      <c r="Z317" s="4">
        <v>99800.0</v>
      </c>
      <c r="AA317" s="4">
        <v>3978.0</v>
      </c>
      <c r="AB317" s="4">
        <v>19000.0</v>
      </c>
      <c r="AC317" s="4">
        <v>1100000.0</v>
      </c>
      <c r="AD317" s="1" t="s">
        <v>702</v>
      </c>
      <c r="AE317" s="1" t="s">
        <v>702</v>
      </c>
      <c r="AF317" s="1"/>
      <c r="AG317" s="1"/>
      <c r="AH317" s="1"/>
      <c r="AI317" s="1"/>
      <c r="AJ317" s="1"/>
      <c r="AK317" s="1"/>
      <c r="AL317" s="1">
        <f>IFERROR(__xludf.DUMMYFUNCTION("IF(
  TRIM(AD317)="""",
  0,
  COUNTA(
    SPLIT(
      REGEXREPLACE(AD317,""\s*,\s*"","",""),
      "",""
    )
  )
)"),10.0)</f>
        <v>10</v>
      </c>
    </row>
    <row r="318">
      <c r="A318" s="1" t="s">
        <v>1383</v>
      </c>
      <c r="B318" s="1" t="s">
        <v>1383</v>
      </c>
      <c r="C318" s="1" t="s">
        <v>123</v>
      </c>
      <c r="D318" s="1" t="s">
        <v>124</v>
      </c>
      <c r="E318" s="4">
        <v>254700.0</v>
      </c>
      <c r="F318" s="4">
        <v>364.0</v>
      </c>
      <c r="G318" s="4">
        <v>684.0</v>
      </c>
      <c r="H318" s="7" t="s">
        <v>3652</v>
      </c>
      <c r="I318" s="1" t="s">
        <v>1384</v>
      </c>
      <c r="J318" s="1"/>
      <c r="K318" s="9">
        <v>45751.5409375</v>
      </c>
      <c r="L318" s="4">
        <v>1.743771537E9</v>
      </c>
      <c r="M318" s="1" t="s">
        <v>47</v>
      </c>
      <c r="N318" s="1" t="s">
        <v>47</v>
      </c>
      <c r="O318" s="1" t="s">
        <v>47</v>
      </c>
      <c r="P318" s="1" t="s">
        <v>47</v>
      </c>
      <c r="Q318" s="1" t="s">
        <v>47</v>
      </c>
      <c r="R318" s="1" t="s">
        <v>48</v>
      </c>
      <c r="S318" s="1" t="s">
        <v>1385</v>
      </c>
      <c r="T318" s="7" t="s">
        <v>4926</v>
      </c>
      <c r="U318" s="7" t="s">
        <v>3208</v>
      </c>
      <c r="V318" s="1" t="s">
        <v>124</v>
      </c>
      <c r="W318" s="7" t="s">
        <v>4927</v>
      </c>
      <c r="X318" s="7" t="s">
        <v>1393</v>
      </c>
      <c r="Y318" s="1"/>
      <c r="Z318" s="4">
        <v>37000.0</v>
      </c>
      <c r="AA318" s="4">
        <v>566.0</v>
      </c>
      <c r="AB318" s="4">
        <v>2573.0</v>
      </c>
      <c r="AC318" s="4">
        <v>462400.0</v>
      </c>
      <c r="AD318" s="1" t="s">
        <v>1394</v>
      </c>
      <c r="AE318" s="1" t="s">
        <v>1394</v>
      </c>
      <c r="AF318" s="1"/>
      <c r="AG318" s="1"/>
      <c r="AH318" s="1" t="s">
        <v>300</v>
      </c>
      <c r="AI318" s="1"/>
      <c r="AJ318" s="1"/>
      <c r="AK318" s="1"/>
      <c r="AL318" s="1">
        <f>IFERROR(__xludf.DUMMYFUNCTION("IF(
  TRIM(AD318)="""",
  0,
  COUNTA(
    SPLIT(
      REGEXREPLACE(AD318,""\s*,\s*"","",""),
      "",""
    )
  )
)"),10.0)</f>
        <v>10</v>
      </c>
    </row>
    <row r="319">
      <c r="A319" s="1" t="s">
        <v>1705</v>
      </c>
      <c r="B319" s="1" t="s">
        <v>1705</v>
      </c>
      <c r="C319" s="1" t="s">
        <v>123</v>
      </c>
      <c r="D319" s="1" t="s">
        <v>124</v>
      </c>
      <c r="E319" s="4">
        <v>254700.0</v>
      </c>
      <c r="F319" s="4">
        <v>364.0</v>
      </c>
      <c r="G319" s="4">
        <v>684.0</v>
      </c>
      <c r="H319" s="7" t="s">
        <v>3652</v>
      </c>
      <c r="I319" s="1" t="s">
        <v>1706</v>
      </c>
      <c r="J319" s="1"/>
      <c r="K319" s="9">
        <v>45770.60706018518</v>
      </c>
      <c r="L319" s="4">
        <v>1.74541885E9</v>
      </c>
      <c r="M319" s="1" t="s">
        <v>47</v>
      </c>
      <c r="N319" s="1" t="s">
        <v>47</v>
      </c>
      <c r="O319" s="1" t="s">
        <v>47</v>
      </c>
      <c r="P319" s="1" t="s">
        <v>47</v>
      </c>
      <c r="Q319" s="1" t="s">
        <v>47</v>
      </c>
      <c r="R319" s="1" t="s">
        <v>48</v>
      </c>
      <c r="S319" s="1" t="s">
        <v>1707</v>
      </c>
      <c r="T319" s="7" t="s">
        <v>4928</v>
      </c>
      <c r="U319" s="7" t="s">
        <v>3557</v>
      </c>
      <c r="V319" s="1" t="s">
        <v>124</v>
      </c>
      <c r="W319" s="7" t="s">
        <v>4929</v>
      </c>
      <c r="X319" s="7" t="s">
        <v>1714</v>
      </c>
      <c r="Y319" s="1"/>
      <c r="Z319" s="4">
        <v>24700.0</v>
      </c>
      <c r="AA319" s="4">
        <v>900.0</v>
      </c>
      <c r="AB319" s="4">
        <v>2177.0</v>
      </c>
      <c r="AC319" s="4">
        <v>384500.0</v>
      </c>
      <c r="AD319" s="1" t="s">
        <v>1394</v>
      </c>
      <c r="AE319" s="1" t="s">
        <v>1394</v>
      </c>
      <c r="AF319" s="1"/>
      <c r="AG319" s="1"/>
      <c r="AH319" s="1"/>
      <c r="AI319" s="1"/>
      <c r="AJ319" s="1"/>
      <c r="AK319" s="1"/>
      <c r="AL319" s="1">
        <f>IFERROR(__xludf.DUMMYFUNCTION("IF(
  TRIM(AD319)="""",
  0,
  COUNTA(
    SPLIT(
      REGEXREPLACE(AD319,""\s*,\s*"","",""),
      "",""
    )
  )
)"),10.0)</f>
        <v>10</v>
      </c>
    </row>
    <row r="320">
      <c r="A320" s="1" t="s">
        <v>1814</v>
      </c>
      <c r="B320" s="1" t="s">
        <v>1814</v>
      </c>
      <c r="C320" s="1" t="s">
        <v>276</v>
      </c>
      <c r="D320" s="1" t="s">
        <v>277</v>
      </c>
      <c r="E320" s="4">
        <v>345000.0</v>
      </c>
      <c r="F320" s="4">
        <v>344.0</v>
      </c>
      <c r="G320" s="4">
        <v>493.0</v>
      </c>
      <c r="H320" s="7" t="s">
        <v>3050</v>
      </c>
      <c r="I320" s="1" t="s">
        <v>1816</v>
      </c>
      <c r="J320" s="1" t="s">
        <v>1817</v>
      </c>
      <c r="K320" s="9">
        <v>45713.029814814814</v>
      </c>
      <c r="L320" s="4">
        <v>1.740444176E9</v>
      </c>
      <c r="M320" s="1" t="s">
        <v>47</v>
      </c>
      <c r="N320" s="1" t="s">
        <v>47</v>
      </c>
      <c r="O320" s="1" t="s">
        <v>47</v>
      </c>
      <c r="P320" s="1" t="s">
        <v>47</v>
      </c>
      <c r="Q320" s="1" t="s">
        <v>47</v>
      </c>
      <c r="R320" s="1" t="s">
        <v>48</v>
      </c>
      <c r="S320" s="1" t="s">
        <v>1818</v>
      </c>
      <c r="T320" s="7" t="s">
        <v>4930</v>
      </c>
      <c r="U320" s="7" t="s">
        <v>3325</v>
      </c>
      <c r="V320" s="1" t="s">
        <v>277</v>
      </c>
      <c r="W320" s="7" t="s">
        <v>4931</v>
      </c>
      <c r="X320" s="7" t="s">
        <v>1827</v>
      </c>
      <c r="Y320" s="1"/>
      <c r="Z320" s="4">
        <v>21400.0</v>
      </c>
      <c r="AA320" s="4">
        <v>835.0</v>
      </c>
      <c r="AB320" s="4">
        <v>4431.0</v>
      </c>
      <c r="AC320" s="4">
        <v>221200.0</v>
      </c>
      <c r="AD320" s="1" t="s">
        <v>1829</v>
      </c>
      <c r="AE320" s="1" t="s">
        <v>1829</v>
      </c>
      <c r="AF320" s="1"/>
      <c r="AG320" s="1"/>
      <c r="AH320" s="1" t="s">
        <v>836</v>
      </c>
      <c r="AI320" s="1"/>
      <c r="AJ320" s="1"/>
      <c r="AK320" s="1"/>
      <c r="AL320" s="1">
        <f>IFERROR(__xludf.DUMMYFUNCTION("IF(
  TRIM(AD320)="""",
  0,
  COUNTA(
    SPLIT(
      REGEXREPLACE(AD320,""\s*,\s*"","",""),
      "",""
    )
  )
)"),10.0)</f>
        <v>10</v>
      </c>
    </row>
    <row r="321">
      <c r="A321" s="1" t="s">
        <v>1830</v>
      </c>
      <c r="B321" s="1" t="s">
        <v>1830</v>
      </c>
      <c r="C321" s="1" t="s">
        <v>276</v>
      </c>
      <c r="D321" s="1" t="s">
        <v>277</v>
      </c>
      <c r="E321" s="4">
        <v>345000.0</v>
      </c>
      <c r="F321" s="4">
        <v>344.0</v>
      </c>
      <c r="G321" s="4">
        <v>493.0</v>
      </c>
      <c r="H321" s="7" t="s">
        <v>3359</v>
      </c>
      <c r="I321" s="1" t="s">
        <v>1831</v>
      </c>
      <c r="J321" s="1" t="s">
        <v>1832</v>
      </c>
      <c r="K321" s="9">
        <v>45835.01636574074</v>
      </c>
      <c r="L321" s="4">
        <v>1.750983814E9</v>
      </c>
      <c r="M321" s="1" t="s">
        <v>47</v>
      </c>
      <c r="N321" s="1" t="s">
        <v>47</v>
      </c>
      <c r="O321" s="1" t="s">
        <v>47</v>
      </c>
      <c r="P321" s="1" t="s">
        <v>47</v>
      </c>
      <c r="Q321" s="1" t="s">
        <v>47</v>
      </c>
      <c r="R321" s="1" t="s">
        <v>48</v>
      </c>
      <c r="S321" s="1" t="s">
        <v>1833</v>
      </c>
      <c r="T321" s="7" t="s">
        <v>4932</v>
      </c>
      <c r="U321" s="7" t="s">
        <v>3325</v>
      </c>
      <c r="V321" s="1" t="s">
        <v>277</v>
      </c>
      <c r="W321" s="7" t="s">
        <v>4933</v>
      </c>
      <c r="X321" s="7" t="s">
        <v>1844</v>
      </c>
      <c r="Y321" s="1"/>
      <c r="Z321" s="4">
        <v>21000.0</v>
      </c>
      <c r="AA321" s="4">
        <v>240.0</v>
      </c>
      <c r="AB321" s="4">
        <v>6181.0</v>
      </c>
      <c r="AC321" s="4">
        <v>254300.0</v>
      </c>
      <c r="AD321" s="1" t="s">
        <v>1845</v>
      </c>
      <c r="AE321" s="1" t="s">
        <v>1845</v>
      </c>
      <c r="AF321" s="1"/>
      <c r="AG321" s="1"/>
      <c r="AH321" s="1" t="s">
        <v>144</v>
      </c>
      <c r="AI321" s="1"/>
      <c r="AJ321" s="1"/>
      <c r="AK321" s="1"/>
      <c r="AL321" s="1">
        <f>IFERROR(__xludf.DUMMYFUNCTION("IF(
  TRIM(AD321)="""",
  0,
  COUNTA(
    SPLIT(
      REGEXREPLACE(AD321,""\s*,\s*"","",""),
      "",""
    )
  )
)"),10.0)</f>
        <v>10</v>
      </c>
    </row>
    <row r="322">
      <c r="A322" s="1" t="s">
        <v>2179</v>
      </c>
      <c r="B322" s="1" t="s">
        <v>2179</v>
      </c>
      <c r="C322" s="1" t="s">
        <v>276</v>
      </c>
      <c r="D322" s="1" t="s">
        <v>277</v>
      </c>
      <c r="E322" s="4">
        <v>345000.0</v>
      </c>
      <c r="F322" s="4">
        <v>344.0</v>
      </c>
      <c r="G322" s="4">
        <v>493.0</v>
      </c>
      <c r="H322" s="7" t="s">
        <v>3359</v>
      </c>
      <c r="I322" s="1" t="s">
        <v>2180</v>
      </c>
      <c r="J322" s="1" t="s">
        <v>2181</v>
      </c>
      <c r="K322" s="9">
        <v>45408.01195601852</v>
      </c>
      <c r="L322" s="4">
        <v>1.714090633E9</v>
      </c>
      <c r="M322" s="1" t="s">
        <v>47</v>
      </c>
      <c r="N322" s="1" t="s">
        <v>47</v>
      </c>
      <c r="O322" s="1" t="s">
        <v>47</v>
      </c>
      <c r="P322" s="1" t="s">
        <v>47</v>
      </c>
      <c r="Q322" s="1" t="s">
        <v>47</v>
      </c>
      <c r="R322" s="1" t="s">
        <v>48</v>
      </c>
      <c r="S322" s="1" t="s">
        <v>2182</v>
      </c>
      <c r="T322" s="7" t="s">
        <v>4934</v>
      </c>
      <c r="U322" s="7" t="s">
        <v>3057</v>
      </c>
      <c r="V322" s="1" t="s">
        <v>277</v>
      </c>
      <c r="W322" s="7" t="s">
        <v>4935</v>
      </c>
      <c r="X322" s="7" t="s">
        <v>2189</v>
      </c>
      <c r="Y322" s="1"/>
      <c r="Z322" s="4">
        <v>15000.0</v>
      </c>
      <c r="AA322" s="4">
        <v>757.0</v>
      </c>
      <c r="AB322" s="4">
        <v>3637.0</v>
      </c>
      <c r="AC322" s="4">
        <v>386600.0</v>
      </c>
      <c r="AD322" s="1" t="s">
        <v>2191</v>
      </c>
      <c r="AE322" s="1" t="s">
        <v>2192</v>
      </c>
      <c r="AF322" s="1"/>
      <c r="AG322" s="1"/>
      <c r="AH322" s="1"/>
      <c r="AI322" s="1"/>
      <c r="AJ322" s="1"/>
      <c r="AK322" s="1"/>
      <c r="AL322" s="1">
        <f>IFERROR(__xludf.DUMMYFUNCTION("IF(
  TRIM(AD322)="""",
  0,
  COUNTA(
    SPLIT(
      REGEXREPLACE(AD322,""\s*,\s*"","",""),
      "",""
    )
  )
)"),10.0)</f>
        <v>10</v>
      </c>
    </row>
    <row r="323">
      <c r="A323" s="1" t="s">
        <v>4936</v>
      </c>
      <c r="B323" s="1" t="s">
        <v>4936</v>
      </c>
      <c r="C323" s="1" t="s">
        <v>4937</v>
      </c>
      <c r="D323" s="1" t="s">
        <v>4937</v>
      </c>
      <c r="E323" s="4">
        <v>1254.0</v>
      </c>
      <c r="F323" s="4">
        <v>18.0</v>
      </c>
      <c r="G323" s="4">
        <v>35.0</v>
      </c>
      <c r="H323" s="7" t="s">
        <v>4938</v>
      </c>
      <c r="I323" s="1" t="s">
        <v>4939</v>
      </c>
      <c r="J323" s="1"/>
      <c r="K323" s="9">
        <v>45431.99107638889</v>
      </c>
      <c r="L323" s="4">
        <v>1.716162429E9</v>
      </c>
      <c r="M323" s="1" t="s">
        <v>47</v>
      </c>
      <c r="N323" s="1" t="s">
        <v>47</v>
      </c>
      <c r="O323" s="1" t="s">
        <v>1898</v>
      </c>
      <c r="P323" s="1" t="s">
        <v>47</v>
      </c>
      <c r="Q323" s="1" t="s">
        <v>47</v>
      </c>
      <c r="R323" s="1" t="s">
        <v>204</v>
      </c>
      <c r="S323" s="1" t="s">
        <v>4940</v>
      </c>
      <c r="T323" s="7" t="s">
        <v>4941</v>
      </c>
      <c r="U323" s="7" t="s">
        <v>4942</v>
      </c>
      <c r="V323" s="1" t="s">
        <v>4937</v>
      </c>
      <c r="W323" s="7" t="s">
        <v>4943</v>
      </c>
      <c r="X323" s="7" t="s">
        <v>4944</v>
      </c>
      <c r="Y323" s="1"/>
      <c r="Z323" s="4">
        <v>15000.0</v>
      </c>
      <c r="AA323" s="4">
        <v>189.0</v>
      </c>
      <c r="AB323" s="4">
        <v>1092.0</v>
      </c>
      <c r="AC323" s="4">
        <v>196100.0</v>
      </c>
      <c r="AD323" s="1" t="s">
        <v>4945</v>
      </c>
      <c r="AE323" s="1" t="s">
        <v>4945</v>
      </c>
      <c r="AF323" s="1"/>
      <c r="AG323" s="1"/>
      <c r="AH323" s="1"/>
      <c r="AI323" s="1"/>
      <c r="AJ323" s="1"/>
      <c r="AK323" s="1"/>
      <c r="AL323" s="1">
        <f>IFERROR(__xludf.DUMMYFUNCTION("IF(
  TRIM(AD323)="""",
  0,
  COUNTA(
    SPLIT(
      REGEXREPLACE(AD323,""\s*,\s*"","",""),
      "",""
    )
  )
)"),10.0)</f>
        <v>10</v>
      </c>
    </row>
    <row r="324">
      <c r="A324" s="1" t="s">
        <v>2293</v>
      </c>
      <c r="B324" s="1" t="s">
        <v>2293</v>
      </c>
      <c r="C324" s="1" t="s">
        <v>123</v>
      </c>
      <c r="D324" s="1" t="s">
        <v>124</v>
      </c>
      <c r="E324" s="4">
        <v>254700.0</v>
      </c>
      <c r="F324" s="4">
        <v>364.0</v>
      </c>
      <c r="G324" s="4">
        <v>684.0</v>
      </c>
      <c r="H324" s="7" t="s">
        <v>3652</v>
      </c>
      <c r="I324" s="1" t="s">
        <v>2294</v>
      </c>
      <c r="J324" s="1"/>
      <c r="K324" s="9">
        <v>45604.51929398148</v>
      </c>
      <c r="L324" s="4">
        <v>1.731068867E9</v>
      </c>
      <c r="M324" s="1" t="s">
        <v>47</v>
      </c>
      <c r="N324" s="1" t="s">
        <v>47</v>
      </c>
      <c r="O324" s="1" t="s">
        <v>47</v>
      </c>
      <c r="P324" s="1" t="s">
        <v>47</v>
      </c>
      <c r="Q324" s="1" t="s">
        <v>47</v>
      </c>
      <c r="R324" s="1" t="s">
        <v>48</v>
      </c>
      <c r="S324" s="1" t="s">
        <v>2296</v>
      </c>
      <c r="T324" s="7" t="s">
        <v>4946</v>
      </c>
      <c r="U324" s="7" t="s">
        <v>3208</v>
      </c>
      <c r="V324" s="1" t="s">
        <v>124</v>
      </c>
      <c r="W324" s="7" t="s">
        <v>4947</v>
      </c>
      <c r="X324" s="7" t="s">
        <v>2304</v>
      </c>
      <c r="Y324" s="1"/>
      <c r="Z324" s="4">
        <v>13700.0</v>
      </c>
      <c r="AA324" s="4">
        <v>373.0</v>
      </c>
      <c r="AB324" s="4">
        <v>2769.0</v>
      </c>
      <c r="AC324" s="4">
        <v>163100.0</v>
      </c>
      <c r="AD324" s="1" t="s">
        <v>2305</v>
      </c>
      <c r="AE324" s="1" t="s">
        <v>2306</v>
      </c>
      <c r="AF324" s="1"/>
      <c r="AG324" s="1"/>
      <c r="AH324" s="1"/>
      <c r="AI324" s="1"/>
      <c r="AJ324" s="1"/>
      <c r="AK324" s="1"/>
      <c r="AL324" s="1">
        <f>IFERROR(__xludf.DUMMYFUNCTION("IF(
  TRIM(AD324)="""",
  0,
  COUNTA(
    SPLIT(
      REGEXREPLACE(AD324,""\s*,\s*"","",""),
      "",""
    )
  )
)"),10.0)</f>
        <v>10</v>
      </c>
    </row>
    <row r="325">
      <c r="A325" s="1" t="s">
        <v>2484</v>
      </c>
      <c r="B325" s="1" t="s">
        <v>2484</v>
      </c>
      <c r="C325" s="1" t="s">
        <v>123</v>
      </c>
      <c r="D325" s="1" t="s">
        <v>124</v>
      </c>
      <c r="E325" s="4">
        <v>254700.0</v>
      </c>
      <c r="F325" s="4">
        <v>364.0</v>
      </c>
      <c r="G325" s="4">
        <v>684.0</v>
      </c>
      <c r="H325" s="7" t="s">
        <v>3652</v>
      </c>
      <c r="I325" s="1" t="s">
        <v>2486</v>
      </c>
      <c r="J325" s="1"/>
      <c r="K325" s="9">
        <v>45803.547685185185</v>
      </c>
      <c r="L325" s="4">
        <v>1.74826492E9</v>
      </c>
      <c r="M325" s="1" t="s">
        <v>47</v>
      </c>
      <c r="N325" s="1" t="s">
        <v>47</v>
      </c>
      <c r="O325" s="1" t="s">
        <v>47</v>
      </c>
      <c r="P325" s="1" t="s">
        <v>47</v>
      </c>
      <c r="Q325" s="1" t="s">
        <v>47</v>
      </c>
      <c r="R325" s="1" t="s">
        <v>48</v>
      </c>
      <c r="S325" s="1" t="s">
        <v>2487</v>
      </c>
      <c r="T325" s="7" t="s">
        <v>4948</v>
      </c>
      <c r="U325" s="7" t="s">
        <v>3208</v>
      </c>
      <c r="V325" s="1" t="s">
        <v>124</v>
      </c>
      <c r="W325" s="7" t="s">
        <v>4949</v>
      </c>
      <c r="X325" s="7" t="s">
        <v>2492</v>
      </c>
      <c r="Y325" s="1"/>
      <c r="Z325" s="4">
        <v>11900.0</v>
      </c>
      <c r="AA325" s="4">
        <v>491.0</v>
      </c>
      <c r="AB325" s="4">
        <v>1705.0</v>
      </c>
      <c r="AC325" s="4">
        <v>100300.0</v>
      </c>
      <c r="AD325" s="1" t="s">
        <v>1394</v>
      </c>
      <c r="AE325" s="1" t="s">
        <v>1394</v>
      </c>
      <c r="AF325" s="1"/>
      <c r="AG325" s="1"/>
      <c r="AH325" s="1" t="s">
        <v>300</v>
      </c>
      <c r="AI325" s="1"/>
      <c r="AJ325" s="1"/>
      <c r="AK325" s="1"/>
      <c r="AL325" s="1">
        <f>IFERROR(__xludf.DUMMYFUNCTION("IF(
  TRIM(AD325)="""",
  0,
  COUNTA(
    SPLIT(
      REGEXREPLACE(AD325,""\s*,\s*"","",""),
      "",""
    )
  )
)"),10.0)</f>
        <v>10</v>
      </c>
    </row>
    <row r="326">
      <c r="A326" s="1" t="s">
        <v>2720</v>
      </c>
      <c r="B326" s="1" t="s">
        <v>2720</v>
      </c>
      <c r="C326" s="1" t="s">
        <v>123</v>
      </c>
      <c r="D326" s="1" t="s">
        <v>124</v>
      </c>
      <c r="E326" s="4">
        <v>254700.0</v>
      </c>
      <c r="F326" s="4">
        <v>364.0</v>
      </c>
      <c r="G326" s="4">
        <v>684.0</v>
      </c>
      <c r="H326" s="7" t="s">
        <v>3652</v>
      </c>
      <c r="I326" s="1" t="s">
        <v>2721</v>
      </c>
      <c r="J326" s="1"/>
      <c r="K326" s="9">
        <v>45810.545011574075</v>
      </c>
      <c r="L326" s="4">
        <v>1.748869489E9</v>
      </c>
      <c r="M326" s="1" t="s">
        <v>47</v>
      </c>
      <c r="N326" s="1" t="s">
        <v>47</v>
      </c>
      <c r="O326" s="1" t="s">
        <v>47</v>
      </c>
      <c r="P326" s="1" t="s">
        <v>47</v>
      </c>
      <c r="Q326" s="1" t="s">
        <v>47</v>
      </c>
      <c r="R326" s="1" t="s">
        <v>48</v>
      </c>
      <c r="S326" s="1" t="s">
        <v>2722</v>
      </c>
      <c r="T326" s="7" t="s">
        <v>4950</v>
      </c>
      <c r="U326" s="7" t="s">
        <v>3208</v>
      </c>
      <c r="V326" s="1" t="s">
        <v>124</v>
      </c>
      <c r="W326" s="7" t="s">
        <v>4951</v>
      </c>
      <c r="X326" s="7" t="s">
        <v>2731</v>
      </c>
      <c r="Y326" s="1"/>
      <c r="Z326" s="4">
        <v>9369.0</v>
      </c>
      <c r="AA326" s="4">
        <v>161.0</v>
      </c>
      <c r="AB326" s="4">
        <v>1211.0</v>
      </c>
      <c r="AC326" s="4">
        <v>87800.0</v>
      </c>
      <c r="AD326" s="1" t="s">
        <v>1394</v>
      </c>
      <c r="AE326" s="1" t="s">
        <v>1394</v>
      </c>
      <c r="AF326" s="1"/>
      <c r="AG326" s="1"/>
      <c r="AH326" s="1"/>
      <c r="AI326" s="1"/>
      <c r="AJ326" s="1"/>
      <c r="AK326" s="1"/>
      <c r="AL326" s="1">
        <f>IFERROR(__xludf.DUMMYFUNCTION("IF(
  TRIM(AD326)="""",
  0,
  COUNTA(
    SPLIT(
      REGEXREPLACE(AD326,""\s*,\s*"","",""),
      "",""
    )
  )
)"),10.0)</f>
        <v>10</v>
      </c>
    </row>
    <row r="327">
      <c r="A327" s="1" t="s">
        <v>2799</v>
      </c>
      <c r="B327" s="1" t="s">
        <v>2799</v>
      </c>
      <c r="C327" s="1" t="s">
        <v>276</v>
      </c>
      <c r="D327" s="1" t="s">
        <v>277</v>
      </c>
      <c r="E327" s="4">
        <v>345000.0</v>
      </c>
      <c r="F327" s="4">
        <v>344.0</v>
      </c>
      <c r="G327" s="4">
        <v>493.0</v>
      </c>
      <c r="H327" s="7" t="s">
        <v>3050</v>
      </c>
      <c r="I327" s="1" t="s">
        <v>2800</v>
      </c>
      <c r="J327" s="1"/>
      <c r="K327" s="9">
        <v>45434.98625</v>
      </c>
      <c r="L327" s="4">
        <v>1.716421212E9</v>
      </c>
      <c r="M327" s="1" t="s">
        <v>47</v>
      </c>
      <c r="N327" s="1" t="s">
        <v>47</v>
      </c>
      <c r="O327" s="1" t="s">
        <v>47</v>
      </c>
      <c r="P327" s="1" t="s">
        <v>47</v>
      </c>
      <c r="Q327" s="1" t="s">
        <v>47</v>
      </c>
      <c r="R327" s="1" t="s">
        <v>48</v>
      </c>
      <c r="S327" s="1" t="s">
        <v>2801</v>
      </c>
      <c r="T327" s="7" t="s">
        <v>4952</v>
      </c>
      <c r="U327" s="7" t="s">
        <v>3057</v>
      </c>
      <c r="V327" s="1" t="s">
        <v>277</v>
      </c>
      <c r="W327" s="7" t="s">
        <v>4953</v>
      </c>
      <c r="X327" s="7" t="s">
        <v>2817</v>
      </c>
      <c r="Y327" s="1"/>
      <c r="Z327" s="4">
        <v>8659.0</v>
      </c>
      <c r="AA327" s="4">
        <v>221.0</v>
      </c>
      <c r="AB327" s="4">
        <v>1530.0</v>
      </c>
      <c r="AC327" s="4">
        <v>128200.0</v>
      </c>
      <c r="AD327" s="1" t="s">
        <v>2818</v>
      </c>
      <c r="AE327" s="1" t="s">
        <v>2818</v>
      </c>
      <c r="AF327" s="1"/>
      <c r="AG327" s="1"/>
      <c r="AH327" s="1"/>
      <c r="AI327" s="1"/>
      <c r="AJ327" s="1"/>
      <c r="AK327" s="1"/>
      <c r="AL327" s="1">
        <f>IFERROR(__xludf.DUMMYFUNCTION("IF(
  TRIM(AD327)="""",
  0,
  COUNTA(
    SPLIT(
      REGEXREPLACE(AD327,""\s*,\s*"","",""),
      "",""
    )
  )
)"),10.0)</f>
        <v>10</v>
      </c>
    </row>
    <row r="328">
      <c r="A328" s="1" t="s">
        <v>2819</v>
      </c>
      <c r="B328" s="1" t="s">
        <v>2819</v>
      </c>
      <c r="C328" s="1" t="s">
        <v>2820</v>
      </c>
      <c r="D328" s="1" t="s">
        <v>2820</v>
      </c>
      <c r="E328" s="4">
        <v>22600.0</v>
      </c>
      <c r="F328" s="4">
        <v>8648.0</v>
      </c>
      <c r="G328" s="4">
        <v>250.0</v>
      </c>
      <c r="H328" s="7" t="s">
        <v>4954</v>
      </c>
      <c r="I328" s="1" t="s">
        <v>2823</v>
      </c>
      <c r="J328" s="1"/>
      <c r="K328" s="9">
        <v>45786.98982638889</v>
      </c>
      <c r="L328" s="4">
        <v>1.746834321E9</v>
      </c>
      <c r="M328" s="1" t="s">
        <v>47</v>
      </c>
      <c r="N328" s="1" t="s">
        <v>47</v>
      </c>
      <c r="O328" s="1" t="s">
        <v>47</v>
      </c>
      <c r="P328" s="1" t="s">
        <v>47</v>
      </c>
      <c r="Q328" s="1" t="s">
        <v>47</v>
      </c>
      <c r="R328" s="1" t="s">
        <v>48</v>
      </c>
      <c r="S328" s="1" t="s">
        <v>2824</v>
      </c>
      <c r="T328" s="7" t="s">
        <v>4955</v>
      </c>
      <c r="U328" s="7" t="s">
        <v>4956</v>
      </c>
      <c r="V328" s="1" t="s">
        <v>2820</v>
      </c>
      <c r="W328" s="7" t="s">
        <v>4957</v>
      </c>
      <c r="X328" s="7" t="s">
        <v>2837</v>
      </c>
      <c r="Y328" s="1"/>
      <c r="Z328" s="4">
        <v>8621.0</v>
      </c>
      <c r="AA328" s="4">
        <v>558.0</v>
      </c>
      <c r="AB328" s="4">
        <v>1739.0</v>
      </c>
      <c r="AC328" s="4">
        <v>146400.0</v>
      </c>
      <c r="AD328" s="1" t="s">
        <v>2841</v>
      </c>
      <c r="AE328" s="1" t="s">
        <v>2841</v>
      </c>
      <c r="AF328" s="1"/>
      <c r="AG328" s="1"/>
      <c r="AH328" s="1"/>
      <c r="AI328" s="1"/>
      <c r="AJ328" s="1"/>
      <c r="AK328" s="1"/>
      <c r="AL328" s="1">
        <f>IFERROR(__xludf.DUMMYFUNCTION("IF(
  TRIM(AD328)="""",
  0,
  COUNTA(
    SPLIT(
      REGEXREPLACE(AD328,""\s*,\s*"","",""),
      "",""
    )
  )
)"),10.0)</f>
        <v>10</v>
      </c>
    </row>
    <row r="329">
      <c r="A329" s="1" t="s">
        <v>3067</v>
      </c>
      <c r="B329" s="1" t="s">
        <v>3067</v>
      </c>
      <c r="C329" s="1" t="s">
        <v>409</v>
      </c>
      <c r="D329" s="1" t="s">
        <v>410</v>
      </c>
      <c r="E329" s="4">
        <v>200400.0</v>
      </c>
      <c r="F329" s="4">
        <v>752.0</v>
      </c>
      <c r="G329" s="4">
        <v>150.0</v>
      </c>
      <c r="H329" s="7" t="s">
        <v>3333</v>
      </c>
      <c r="I329" s="1" t="s">
        <v>3068</v>
      </c>
      <c r="J329" s="1" t="s">
        <v>3069</v>
      </c>
      <c r="K329" s="9">
        <v>45813.01121527778</v>
      </c>
      <c r="L329" s="4">
        <v>1.749082569E9</v>
      </c>
      <c r="M329" s="1" t="s">
        <v>47</v>
      </c>
      <c r="N329" s="1" t="s">
        <v>47</v>
      </c>
      <c r="O329" s="1" t="s">
        <v>47</v>
      </c>
      <c r="P329" s="1" t="s">
        <v>47</v>
      </c>
      <c r="Q329" s="1" t="s">
        <v>47</v>
      </c>
      <c r="R329" s="1" t="s">
        <v>48</v>
      </c>
      <c r="S329" s="1" t="s">
        <v>3070</v>
      </c>
      <c r="T329" s="7" t="s">
        <v>4958</v>
      </c>
      <c r="U329" s="7" t="s">
        <v>3630</v>
      </c>
      <c r="V329" s="1" t="s">
        <v>410</v>
      </c>
      <c r="W329" s="7" t="s">
        <v>4959</v>
      </c>
      <c r="X329" s="7" t="s">
        <v>3081</v>
      </c>
      <c r="Y329" s="1"/>
      <c r="Z329" s="4">
        <v>6250.0</v>
      </c>
      <c r="AA329" s="4">
        <v>213.0</v>
      </c>
      <c r="AB329" s="4">
        <v>2194.0</v>
      </c>
      <c r="AC329" s="4">
        <v>97900.0</v>
      </c>
      <c r="AD329" s="1" t="s">
        <v>3083</v>
      </c>
      <c r="AE329" s="1" t="s">
        <v>3083</v>
      </c>
      <c r="AF329" s="1"/>
      <c r="AG329" s="1"/>
      <c r="AH329" s="1"/>
      <c r="AI329" s="1"/>
      <c r="AJ329" s="1"/>
      <c r="AK329" s="1"/>
      <c r="AL329" s="1">
        <f>IFERROR(__xludf.DUMMYFUNCTION("IF(
  TRIM(AD329)="""",
  0,
  COUNTA(
    SPLIT(
      REGEXREPLACE(AD329,""\s*,\s*"","",""),
      "",""
    )
  )
)"),10.0)</f>
        <v>10</v>
      </c>
    </row>
    <row r="330">
      <c r="A330" s="1" t="s">
        <v>4960</v>
      </c>
      <c r="B330" s="1" t="s">
        <v>4960</v>
      </c>
      <c r="C330" s="1" t="s">
        <v>69</v>
      </c>
      <c r="D330" s="1" t="s">
        <v>70</v>
      </c>
      <c r="E330" s="4">
        <v>176100.0</v>
      </c>
      <c r="F330" s="4">
        <v>889.0</v>
      </c>
      <c r="G330" s="4">
        <v>777.0</v>
      </c>
      <c r="H330" s="7" t="s">
        <v>330</v>
      </c>
      <c r="I330" s="1" t="s">
        <v>4961</v>
      </c>
      <c r="J330" s="1"/>
      <c r="K330" s="9">
        <v>45012.601273148146</v>
      </c>
      <c r="L330" s="4">
        <v>1.67992715E9</v>
      </c>
      <c r="M330" s="1" t="s">
        <v>47</v>
      </c>
      <c r="N330" s="1" t="s">
        <v>47</v>
      </c>
      <c r="O330" s="1" t="s">
        <v>47</v>
      </c>
      <c r="P330" s="1" t="s">
        <v>47</v>
      </c>
      <c r="Q330" s="1" t="s">
        <v>47</v>
      </c>
      <c r="R330" s="1" t="s">
        <v>48</v>
      </c>
      <c r="S330" s="1" t="s">
        <v>4962</v>
      </c>
      <c r="T330" s="7" t="s">
        <v>4963</v>
      </c>
      <c r="U330" s="7" t="s">
        <v>355</v>
      </c>
      <c r="V330" s="1" t="s">
        <v>70</v>
      </c>
      <c r="W330" s="7" t="s">
        <v>4964</v>
      </c>
      <c r="X330" s="7" t="s">
        <v>4965</v>
      </c>
      <c r="Y330" s="1"/>
      <c r="Z330" s="4">
        <v>4491.0</v>
      </c>
      <c r="AA330" s="4">
        <v>89.0</v>
      </c>
      <c r="AB330" s="4">
        <v>528.0</v>
      </c>
      <c r="AC330" s="4">
        <v>59100.0</v>
      </c>
      <c r="AD330" s="1" t="s">
        <v>4966</v>
      </c>
      <c r="AE330" s="1" t="s">
        <v>4966</v>
      </c>
      <c r="AF330" s="1"/>
      <c r="AG330" s="1"/>
      <c r="AH330" s="1"/>
      <c r="AI330" s="1"/>
      <c r="AJ330" s="1"/>
      <c r="AK330" s="1"/>
      <c r="AL330" s="1">
        <f>IFERROR(__xludf.DUMMYFUNCTION("IF(
  TRIM(AD330)="""",
  0,
  COUNTA(
    SPLIT(
      REGEXREPLACE(AD330,""\s*,\s*"","",""),
      "",""
    )
  )
)"),10.0)</f>
        <v>10</v>
      </c>
    </row>
    <row r="331">
      <c r="A331" s="1" t="s">
        <v>3340</v>
      </c>
      <c r="B331" s="1" t="s">
        <v>3340</v>
      </c>
      <c r="C331" s="1" t="s">
        <v>678</v>
      </c>
      <c r="D331" s="1" t="s">
        <v>679</v>
      </c>
      <c r="E331" s="4">
        <v>131200.0</v>
      </c>
      <c r="F331" s="4">
        <v>518.0</v>
      </c>
      <c r="G331" s="4">
        <v>468.0</v>
      </c>
      <c r="H331" s="7" t="s">
        <v>4967</v>
      </c>
      <c r="I331" s="1" t="s">
        <v>3342</v>
      </c>
      <c r="J331" s="1"/>
      <c r="K331" s="9">
        <v>45171.635416666664</v>
      </c>
      <c r="L331" s="4">
        <v>1.6936677E9</v>
      </c>
      <c r="M331" s="1" t="s">
        <v>47</v>
      </c>
      <c r="N331" s="1" t="s">
        <v>47</v>
      </c>
      <c r="O331" s="1" t="s">
        <v>47</v>
      </c>
      <c r="P331" s="1" t="s">
        <v>47</v>
      </c>
      <c r="Q331" s="1" t="s">
        <v>47</v>
      </c>
      <c r="R331" s="1" t="s">
        <v>682</v>
      </c>
      <c r="S331" s="1" t="s">
        <v>3343</v>
      </c>
      <c r="T331" s="7" t="s">
        <v>4968</v>
      </c>
      <c r="U331" s="7" t="s">
        <v>4969</v>
      </c>
      <c r="V331" s="1" t="s">
        <v>679</v>
      </c>
      <c r="W331" s="7" t="s">
        <v>4970</v>
      </c>
      <c r="X331" s="7" t="s">
        <v>3349</v>
      </c>
      <c r="Y331" s="1"/>
      <c r="Z331" s="4">
        <v>3851.0</v>
      </c>
      <c r="AA331" s="4">
        <v>100.0</v>
      </c>
      <c r="AB331" s="4">
        <v>2138.0</v>
      </c>
      <c r="AC331" s="4">
        <v>66100.0</v>
      </c>
      <c r="AD331" s="1" t="s">
        <v>3350</v>
      </c>
      <c r="AE331" s="1" t="s">
        <v>3350</v>
      </c>
      <c r="AF331" s="1"/>
      <c r="AG331" s="1"/>
      <c r="AH331" s="1" t="s">
        <v>121</v>
      </c>
      <c r="AI331" s="1"/>
      <c r="AJ331" s="1"/>
      <c r="AK331" s="1"/>
      <c r="AL331" s="1">
        <f>IFERROR(__xludf.DUMMYFUNCTION("IF(
  TRIM(AD331)="""",
  0,
  COUNTA(
    SPLIT(
      REGEXREPLACE(AD331,""\s*,\s*"","",""),
      "",""
    )
  )
)"),10.0)</f>
        <v>10</v>
      </c>
    </row>
    <row r="332">
      <c r="A332" s="1" t="s">
        <v>3488</v>
      </c>
      <c r="B332" s="1" t="s">
        <v>3488</v>
      </c>
      <c r="C332" s="1" t="s">
        <v>920</v>
      </c>
      <c r="D332" s="1" t="s">
        <v>921</v>
      </c>
      <c r="E332" s="4">
        <v>299500.0</v>
      </c>
      <c r="F332" s="4">
        <v>1919.0</v>
      </c>
      <c r="G332" s="4">
        <v>1418.0</v>
      </c>
      <c r="H332" s="7" t="s">
        <v>1280</v>
      </c>
      <c r="I332" s="1" t="s">
        <v>3489</v>
      </c>
      <c r="J332" s="1"/>
      <c r="K332" s="9">
        <v>45316.839780092596</v>
      </c>
      <c r="L332" s="4">
        <v>1.706213357E9</v>
      </c>
      <c r="M332" s="1" t="s">
        <v>47</v>
      </c>
      <c r="N332" s="1" t="s">
        <v>47</v>
      </c>
      <c r="O332" s="1" t="s">
        <v>47</v>
      </c>
      <c r="P332" s="1" t="s">
        <v>47</v>
      </c>
      <c r="Q332" s="1" t="s">
        <v>47</v>
      </c>
      <c r="R332" s="1" t="s">
        <v>48</v>
      </c>
      <c r="S332" s="1" t="s">
        <v>3490</v>
      </c>
      <c r="T332" s="7" t="s">
        <v>4971</v>
      </c>
      <c r="U332" s="7" t="s">
        <v>1331</v>
      </c>
      <c r="V332" s="1" t="s">
        <v>921</v>
      </c>
      <c r="W332" s="7" t="s">
        <v>4972</v>
      </c>
      <c r="X332" s="7" t="s">
        <v>3501</v>
      </c>
      <c r="Y332" s="1"/>
      <c r="Z332" s="4">
        <v>3212.0</v>
      </c>
      <c r="AA332" s="4">
        <v>85.0</v>
      </c>
      <c r="AB332" s="4">
        <v>1292.0</v>
      </c>
      <c r="AC332" s="4">
        <v>88500.0</v>
      </c>
      <c r="AD332" s="1" t="s">
        <v>3503</v>
      </c>
      <c r="AE332" s="1" t="s">
        <v>3503</v>
      </c>
      <c r="AF332" s="1"/>
      <c r="AG332" s="1"/>
      <c r="AH332" s="1" t="s">
        <v>2014</v>
      </c>
      <c r="AI332" s="1"/>
      <c r="AJ332" s="1"/>
      <c r="AK332" s="1"/>
      <c r="AL332" s="1">
        <f>IFERROR(__xludf.DUMMYFUNCTION("IF(
  TRIM(AD332)="""",
  0,
  COUNTA(
    SPLIT(
      REGEXREPLACE(AD332,""\s*,\s*"","",""),
      "",""
    )
  )
)"),10.0)</f>
        <v>10</v>
      </c>
    </row>
    <row r="333">
      <c r="A333" s="1" t="s">
        <v>3691</v>
      </c>
      <c r="B333" s="1" t="s">
        <v>3691</v>
      </c>
      <c r="C333" s="1" t="s">
        <v>123</v>
      </c>
      <c r="D333" s="1" t="s">
        <v>124</v>
      </c>
      <c r="E333" s="4">
        <v>254700.0</v>
      </c>
      <c r="F333" s="4">
        <v>364.0</v>
      </c>
      <c r="G333" s="4">
        <v>684.0</v>
      </c>
      <c r="H333" s="7" t="s">
        <v>3652</v>
      </c>
      <c r="I333" s="1" t="s">
        <v>3692</v>
      </c>
      <c r="J333" s="1"/>
      <c r="K333" s="9">
        <v>45782.63533564815</v>
      </c>
      <c r="L333" s="4">
        <v>1.746458093E9</v>
      </c>
      <c r="M333" s="1" t="s">
        <v>47</v>
      </c>
      <c r="N333" s="1" t="s">
        <v>47</v>
      </c>
      <c r="O333" s="1" t="s">
        <v>47</v>
      </c>
      <c r="P333" s="1" t="s">
        <v>47</v>
      </c>
      <c r="Q333" s="1" t="s">
        <v>47</v>
      </c>
      <c r="R333" s="1" t="s">
        <v>48</v>
      </c>
      <c r="S333" s="1" t="s">
        <v>3693</v>
      </c>
      <c r="T333" s="7" t="s">
        <v>4973</v>
      </c>
      <c r="U333" s="7" t="s">
        <v>3208</v>
      </c>
      <c r="V333" s="1" t="s">
        <v>124</v>
      </c>
      <c r="W333" s="7" t="s">
        <v>4974</v>
      </c>
      <c r="X333" s="7" t="s">
        <v>3702</v>
      </c>
      <c r="Y333" s="1"/>
      <c r="Z333" s="4">
        <v>2708.0</v>
      </c>
      <c r="AA333" s="4">
        <v>205.0</v>
      </c>
      <c r="AB333" s="4">
        <v>325.0</v>
      </c>
      <c r="AC333" s="4">
        <v>26600.0</v>
      </c>
      <c r="AD333" s="1" t="s">
        <v>1394</v>
      </c>
      <c r="AE333" s="1" t="s">
        <v>1394</v>
      </c>
      <c r="AF333" s="1"/>
      <c r="AG333" s="1"/>
      <c r="AH333" s="1"/>
      <c r="AI333" s="1"/>
      <c r="AJ333" s="1"/>
      <c r="AK333" s="1"/>
      <c r="AL333" s="1">
        <f>IFERROR(__xludf.DUMMYFUNCTION("IF(
  TRIM(AD333)="""",
  0,
  COUNTA(
    SPLIT(
      REGEXREPLACE(AD333,""\s*,\s*"","",""),
      "",""
    )
  )
)"),10.0)</f>
        <v>10</v>
      </c>
    </row>
    <row r="334">
      <c r="A334" s="1" t="s">
        <v>4975</v>
      </c>
      <c r="B334" s="1" t="s">
        <v>4975</v>
      </c>
      <c r="C334" s="1" t="s">
        <v>4976</v>
      </c>
      <c r="D334" s="1" t="s">
        <v>4976</v>
      </c>
      <c r="E334" s="4">
        <v>20400.0</v>
      </c>
      <c r="F334" s="4">
        <v>1062.0</v>
      </c>
      <c r="G334" s="4">
        <v>408.0</v>
      </c>
      <c r="H334" s="7" t="s">
        <v>4977</v>
      </c>
      <c r="I334" s="1" t="s">
        <v>4978</v>
      </c>
      <c r="J334" s="1"/>
      <c r="K334" s="9">
        <v>45811.01258101852</v>
      </c>
      <c r="L334" s="4">
        <v>1.748909887E9</v>
      </c>
      <c r="M334" s="1" t="s">
        <v>47</v>
      </c>
      <c r="N334" s="1" t="s">
        <v>47</v>
      </c>
      <c r="O334" s="1" t="s">
        <v>47</v>
      </c>
      <c r="P334" s="1" t="s">
        <v>47</v>
      </c>
      <c r="Q334" s="1" t="s">
        <v>47</v>
      </c>
      <c r="R334" s="1" t="s">
        <v>48</v>
      </c>
      <c r="S334" s="1" t="s">
        <v>4979</v>
      </c>
      <c r="T334" s="7" t="s">
        <v>4980</v>
      </c>
      <c r="U334" s="7" t="s">
        <v>4981</v>
      </c>
      <c r="V334" s="1" t="s">
        <v>4976</v>
      </c>
      <c r="W334" s="7" t="s">
        <v>4982</v>
      </c>
      <c r="X334" s="7" t="s">
        <v>4983</v>
      </c>
      <c r="Y334" s="1"/>
      <c r="Z334" s="4">
        <v>1107.0</v>
      </c>
      <c r="AA334" s="4">
        <v>42.0</v>
      </c>
      <c r="AB334" s="4">
        <v>349.0</v>
      </c>
      <c r="AC334" s="4">
        <v>43300.0</v>
      </c>
      <c r="AD334" s="1" t="s">
        <v>4984</v>
      </c>
      <c r="AE334" s="1" t="s">
        <v>4984</v>
      </c>
      <c r="AF334" s="1"/>
      <c r="AG334" s="1"/>
      <c r="AH334" s="1" t="s">
        <v>918</v>
      </c>
      <c r="AI334" s="1"/>
      <c r="AJ334" s="1"/>
      <c r="AK334" s="1"/>
      <c r="AL334" s="1">
        <f>IFERROR(__xludf.DUMMYFUNCTION("IF(
  TRIM(AD334)="""",
  0,
  COUNTA(
    SPLIT(
      REGEXREPLACE(AD334,""\s*,\s*"","",""),
      "",""
    )
  )
)"),10.0)</f>
        <v>10</v>
      </c>
    </row>
    <row r="335">
      <c r="A335" s="1" t="s">
        <v>4985</v>
      </c>
      <c r="B335" s="1" t="s">
        <v>4985</v>
      </c>
      <c r="C335" s="1" t="s">
        <v>4986</v>
      </c>
      <c r="D335" s="1" t="s">
        <v>4986</v>
      </c>
      <c r="E335" s="4">
        <v>2015.0</v>
      </c>
      <c r="F335" s="4">
        <v>701.0</v>
      </c>
      <c r="G335" s="4">
        <v>135.0</v>
      </c>
      <c r="H335" s="7" t="s">
        <v>4987</v>
      </c>
      <c r="I335" s="1" t="s">
        <v>4988</v>
      </c>
      <c r="J335" s="1"/>
      <c r="K335" s="9">
        <v>45605.94329861111</v>
      </c>
      <c r="L335" s="4">
        <v>1.731191901E9</v>
      </c>
      <c r="M335" s="1" t="s">
        <v>47</v>
      </c>
      <c r="N335" s="1" t="s">
        <v>47</v>
      </c>
      <c r="O335" s="1" t="s">
        <v>47</v>
      </c>
      <c r="P335" s="1" t="s">
        <v>47</v>
      </c>
      <c r="Q335" s="1" t="s">
        <v>47</v>
      </c>
      <c r="R335" s="1" t="s">
        <v>48</v>
      </c>
      <c r="S335" s="1" t="s">
        <v>4989</v>
      </c>
      <c r="T335" s="7" t="s">
        <v>4990</v>
      </c>
      <c r="U335" s="7" t="s">
        <v>4991</v>
      </c>
      <c r="V335" s="1" t="s">
        <v>4986</v>
      </c>
      <c r="W335" s="7" t="s">
        <v>4992</v>
      </c>
      <c r="X335" s="7" t="s">
        <v>4993</v>
      </c>
      <c r="Y335" s="1"/>
      <c r="Z335" s="4">
        <v>125.0</v>
      </c>
      <c r="AA335" s="4">
        <v>18.0</v>
      </c>
      <c r="AB335" s="4">
        <v>59.0</v>
      </c>
      <c r="AC335" s="4">
        <v>18900.0</v>
      </c>
      <c r="AD335" s="1" t="s">
        <v>4994</v>
      </c>
      <c r="AE335" s="1" t="s">
        <v>4994</v>
      </c>
      <c r="AF335" s="1"/>
      <c r="AG335" s="1"/>
      <c r="AH335" s="1" t="s">
        <v>85</v>
      </c>
      <c r="AI335" s="1"/>
      <c r="AJ335" s="1"/>
      <c r="AK335" s="1"/>
      <c r="AL335" s="1">
        <f>IFERROR(__xludf.DUMMYFUNCTION("IF(
  TRIM(AD335)="""",
  0,
  COUNTA(
    SPLIT(
      REGEXREPLACE(AD335,""\s*,\s*"","",""),
      "",""
    )
  )
)"),10.0)</f>
        <v>10</v>
      </c>
    </row>
    <row r="336">
      <c r="A336" s="1" t="s">
        <v>4995</v>
      </c>
      <c r="B336" s="1" t="s">
        <v>4995</v>
      </c>
      <c r="C336" s="1" t="s">
        <v>276</v>
      </c>
      <c r="D336" s="1" t="s">
        <v>277</v>
      </c>
      <c r="E336" s="4">
        <v>345000.0</v>
      </c>
      <c r="F336" s="4">
        <v>344.0</v>
      </c>
      <c r="G336" s="4">
        <v>493.0</v>
      </c>
      <c r="H336" s="7" t="s">
        <v>3359</v>
      </c>
      <c r="I336" s="1" t="s">
        <v>4996</v>
      </c>
      <c r="J336" s="1" t="s">
        <v>4997</v>
      </c>
      <c r="K336" s="9">
        <v>45615.018125</v>
      </c>
      <c r="L336" s="4">
        <v>1.731975966E9</v>
      </c>
      <c r="M336" s="1" t="s">
        <v>47</v>
      </c>
      <c r="N336" s="1" t="s">
        <v>47</v>
      </c>
      <c r="O336" s="1" t="s">
        <v>47</v>
      </c>
      <c r="P336" s="1" t="s">
        <v>47</v>
      </c>
      <c r="Q336" s="1" t="s">
        <v>47</v>
      </c>
      <c r="R336" s="1" t="s">
        <v>48</v>
      </c>
      <c r="S336" s="1" t="s">
        <v>4998</v>
      </c>
      <c r="T336" s="7" t="s">
        <v>4999</v>
      </c>
      <c r="U336" s="7" t="s">
        <v>3325</v>
      </c>
      <c r="V336" s="1" t="s">
        <v>277</v>
      </c>
      <c r="W336" s="7" t="s">
        <v>5000</v>
      </c>
      <c r="X336" s="7" t="s">
        <v>5001</v>
      </c>
      <c r="Y336" s="1"/>
      <c r="Z336" s="4">
        <v>70800.0</v>
      </c>
      <c r="AA336" s="4">
        <v>1755.0</v>
      </c>
      <c r="AB336" s="4">
        <v>15400.0</v>
      </c>
      <c r="AC336" s="4">
        <v>1600000.0</v>
      </c>
      <c r="AD336" s="1" t="s">
        <v>5002</v>
      </c>
      <c r="AE336" s="1" t="s">
        <v>5003</v>
      </c>
      <c r="AF336" s="1"/>
      <c r="AG336" s="1"/>
      <c r="AH336" s="1"/>
      <c r="AI336" s="1"/>
      <c r="AJ336" s="1"/>
      <c r="AK336" s="1"/>
      <c r="AL336" s="1">
        <f>IFERROR(__xludf.DUMMYFUNCTION("IF(
  TRIM(AD336)="""",
  0,
  COUNTA(
    SPLIT(
      REGEXREPLACE(AD336,""\s*,\s*"","",""),
      "",""
    )
  )
)"),11.0)</f>
        <v>11</v>
      </c>
    </row>
    <row r="337">
      <c r="A337" s="1" t="s">
        <v>1252</v>
      </c>
      <c r="B337" s="1" t="s">
        <v>1252</v>
      </c>
      <c r="C337" s="1" t="s">
        <v>1253</v>
      </c>
      <c r="D337" s="1" t="s">
        <v>1254</v>
      </c>
      <c r="E337" s="4">
        <v>11700.0</v>
      </c>
      <c r="F337" s="4">
        <v>37700.0</v>
      </c>
      <c r="G337" s="4">
        <v>377.0</v>
      </c>
      <c r="H337" s="7" t="s">
        <v>5004</v>
      </c>
      <c r="I337" s="1" t="s">
        <v>1257</v>
      </c>
      <c r="J337" s="1" t="s">
        <v>1258</v>
      </c>
      <c r="K337" s="9">
        <v>44838.84150462963</v>
      </c>
      <c r="L337" s="4">
        <v>1.664914306E9</v>
      </c>
      <c r="M337" s="1" t="s">
        <v>47</v>
      </c>
      <c r="N337" s="1" t="s">
        <v>47</v>
      </c>
      <c r="O337" s="1" t="s">
        <v>47</v>
      </c>
      <c r="P337" s="1" t="s">
        <v>47</v>
      </c>
      <c r="Q337" s="1" t="s">
        <v>47</v>
      </c>
      <c r="R337" s="1" t="s">
        <v>1259</v>
      </c>
      <c r="S337" s="1" t="s">
        <v>1260</v>
      </c>
      <c r="T337" s="7" t="s">
        <v>1261</v>
      </c>
      <c r="U337" s="7" t="s">
        <v>5005</v>
      </c>
      <c r="V337" s="1" t="s">
        <v>1264</v>
      </c>
      <c r="W337" s="7" t="s">
        <v>5006</v>
      </c>
      <c r="X337" s="7" t="s">
        <v>1267</v>
      </c>
      <c r="Y337" s="1"/>
      <c r="Z337" s="4">
        <v>45300.0</v>
      </c>
      <c r="AA337" s="4">
        <v>2272.0</v>
      </c>
      <c r="AB337" s="4">
        <v>14800.0</v>
      </c>
      <c r="AC337" s="4">
        <v>948700.0</v>
      </c>
      <c r="AD337" s="1" t="s">
        <v>1268</v>
      </c>
      <c r="AE337" s="1" t="s">
        <v>1269</v>
      </c>
      <c r="AF337" s="1"/>
      <c r="AG337" s="1"/>
      <c r="AH337" s="1" t="s">
        <v>918</v>
      </c>
      <c r="AI337" s="1"/>
      <c r="AJ337" s="1"/>
      <c r="AK337" s="1"/>
      <c r="AL337" s="1">
        <f>IFERROR(__xludf.DUMMYFUNCTION("IF(
  TRIM(AD337)="""",
  0,
  COUNTA(
    SPLIT(
      REGEXREPLACE(AD337,""\s*,\s*"","",""),
      "",""
    )
  )
)"),11.0)</f>
        <v>11</v>
      </c>
    </row>
    <row r="338">
      <c r="A338" s="1" t="s">
        <v>5007</v>
      </c>
      <c r="B338" s="1" t="s">
        <v>5007</v>
      </c>
      <c r="C338" s="1" t="s">
        <v>123</v>
      </c>
      <c r="D338" s="1" t="s">
        <v>124</v>
      </c>
      <c r="E338" s="4">
        <v>254700.0</v>
      </c>
      <c r="F338" s="4">
        <v>364.0</v>
      </c>
      <c r="G338" s="4">
        <v>684.0</v>
      </c>
      <c r="H338" s="7" t="s">
        <v>3205</v>
      </c>
      <c r="I338" s="1" t="s">
        <v>5008</v>
      </c>
      <c r="J338" s="1" t="s">
        <v>5009</v>
      </c>
      <c r="K338" s="9">
        <v>45155.543078703704</v>
      </c>
      <c r="L338" s="4">
        <v>1.692277322E9</v>
      </c>
      <c r="M338" s="1" t="s">
        <v>47</v>
      </c>
      <c r="N338" s="1" t="s">
        <v>47</v>
      </c>
      <c r="O338" s="1" t="s">
        <v>47</v>
      </c>
      <c r="P338" s="1" t="s">
        <v>47</v>
      </c>
      <c r="Q338" s="1" t="s">
        <v>47</v>
      </c>
      <c r="R338" s="1" t="s">
        <v>48</v>
      </c>
      <c r="S338" s="1" t="s">
        <v>5010</v>
      </c>
      <c r="T338" s="7" t="s">
        <v>5011</v>
      </c>
      <c r="U338" s="7" t="s">
        <v>3208</v>
      </c>
      <c r="V338" s="1" t="s">
        <v>124</v>
      </c>
      <c r="W338" s="7" t="s">
        <v>5012</v>
      </c>
      <c r="X338" s="7" t="s">
        <v>5013</v>
      </c>
      <c r="Y338" s="1"/>
      <c r="Z338" s="4">
        <v>41100.0</v>
      </c>
      <c r="AA338" s="4">
        <v>1228.0</v>
      </c>
      <c r="AB338" s="4">
        <v>11700.0</v>
      </c>
      <c r="AC338" s="4">
        <v>468100.0</v>
      </c>
      <c r="AD338" s="1" t="s">
        <v>5014</v>
      </c>
      <c r="AE338" s="1" t="s">
        <v>5014</v>
      </c>
      <c r="AF338" s="1"/>
      <c r="AG338" s="1"/>
      <c r="AH338" s="1"/>
      <c r="AI338" s="1"/>
      <c r="AJ338" s="1"/>
      <c r="AK338" s="1"/>
      <c r="AL338" s="1">
        <f>IFERROR(__xludf.DUMMYFUNCTION("IF(
  TRIM(AD338)="""",
  0,
  COUNTA(
    SPLIT(
      REGEXREPLACE(AD338,""\s*,\s*"","",""),
      "",""
    )
  )
)"),11.0)</f>
        <v>11</v>
      </c>
    </row>
    <row r="339">
      <c r="A339" s="1" t="s">
        <v>1802</v>
      </c>
      <c r="B339" s="1" t="s">
        <v>1802</v>
      </c>
      <c r="C339" s="1" t="s">
        <v>169</v>
      </c>
      <c r="D339" s="1" t="s">
        <v>56</v>
      </c>
      <c r="E339" s="4">
        <v>996800.0</v>
      </c>
      <c r="F339" s="4">
        <v>396.0</v>
      </c>
      <c r="G339" s="4">
        <v>1474.0</v>
      </c>
      <c r="H339" s="7" t="s">
        <v>2264</v>
      </c>
      <c r="I339" s="1" t="s">
        <v>1803</v>
      </c>
      <c r="J339" s="1"/>
      <c r="K339" s="9">
        <v>45117.86071759259</v>
      </c>
      <c r="L339" s="4">
        <v>1.689021566E9</v>
      </c>
      <c r="M339" s="1" t="s">
        <v>47</v>
      </c>
      <c r="N339" s="1" t="s">
        <v>47</v>
      </c>
      <c r="O339" s="1" t="s">
        <v>47</v>
      </c>
      <c r="P339" s="1" t="s">
        <v>47</v>
      </c>
      <c r="Q339" s="1" t="s">
        <v>47</v>
      </c>
      <c r="R339" s="1" t="s">
        <v>48</v>
      </c>
      <c r="S339" s="1" t="s">
        <v>1804</v>
      </c>
      <c r="T339" s="7" t="s">
        <v>5015</v>
      </c>
      <c r="U339" s="7" t="s">
        <v>2934</v>
      </c>
      <c r="V339" s="1" t="s">
        <v>56</v>
      </c>
      <c r="W339" s="7" t="s">
        <v>5016</v>
      </c>
      <c r="X339" s="7" t="s">
        <v>1812</v>
      </c>
      <c r="Y339" s="1"/>
      <c r="Z339" s="4">
        <v>22200.0</v>
      </c>
      <c r="AA339" s="4">
        <v>179.0</v>
      </c>
      <c r="AB339" s="4">
        <v>1087.0</v>
      </c>
      <c r="AC339" s="4">
        <v>203800.0</v>
      </c>
      <c r="AD339" s="1" t="s">
        <v>1813</v>
      </c>
      <c r="AE339" s="1" t="s">
        <v>1813</v>
      </c>
      <c r="AF339" s="1"/>
      <c r="AG339" s="1"/>
      <c r="AH339" s="1"/>
      <c r="AI339" s="1"/>
      <c r="AJ339" s="1"/>
      <c r="AK339" s="1"/>
      <c r="AL339" s="1">
        <f>IFERROR(__xludf.DUMMYFUNCTION("IF(
  TRIM(AD339)="""",
  0,
  COUNTA(
    SPLIT(
      REGEXREPLACE(AD339,""\s*,\s*"","",""),
      "",""
    )
  )
)"),11.0)</f>
        <v>11</v>
      </c>
    </row>
    <row r="340">
      <c r="A340" s="1" t="s">
        <v>1895</v>
      </c>
      <c r="B340" s="1" t="s">
        <v>1895</v>
      </c>
      <c r="C340" s="1" t="s">
        <v>169</v>
      </c>
      <c r="D340" s="1" t="s">
        <v>56</v>
      </c>
      <c r="E340" s="4">
        <v>996800.0</v>
      </c>
      <c r="F340" s="4">
        <v>396.0</v>
      </c>
      <c r="G340" s="4">
        <v>1474.0</v>
      </c>
      <c r="H340" s="7" t="s">
        <v>2264</v>
      </c>
      <c r="I340" s="1" t="s">
        <v>1897</v>
      </c>
      <c r="J340" s="1"/>
      <c r="K340" s="9">
        <v>45251.59875</v>
      </c>
      <c r="L340" s="4">
        <v>1.700576532E9</v>
      </c>
      <c r="M340" s="1" t="s">
        <v>47</v>
      </c>
      <c r="N340" s="1" t="s">
        <v>47</v>
      </c>
      <c r="O340" s="1" t="s">
        <v>47</v>
      </c>
      <c r="P340" s="1" t="s">
        <v>47</v>
      </c>
      <c r="Q340" s="1" t="s">
        <v>47</v>
      </c>
      <c r="R340" s="1" t="s">
        <v>48</v>
      </c>
      <c r="S340" s="1" t="s">
        <v>1899</v>
      </c>
      <c r="T340" s="7" t="s">
        <v>5017</v>
      </c>
      <c r="U340" s="7" t="s">
        <v>2934</v>
      </c>
      <c r="V340" s="1" t="s">
        <v>56</v>
      </c>
      <c r="W340" s="7" t="s">
        <v>5018</v>
      </c>
      <c r="X340" s="7" t="s">
        <v>1906</v>
      </c>
      <c r="Y340" s="1"/>
      <c r="Z340" s="4">
        <v>20000.0</v>
      </c>
      <c r="AA340" s="4">
        <v>299.0</v>
      </c>
      <c r="AB340" s="4">
        <v>1202.0</v>
      </c>
      <c r="AC340" s="4">
        <v>169500.0</v>
      </c>
      <c r="AD340" s="1" t="s">
        <v>1813</v>
      </c>
      <c r="AE340" s="1" t="s">
        <v>1813</v>
      </c>
      <c r="AF340" s="1"/>
      <c r="AG340" s="1"/>
      <c r="AH340" s="1"/>
      <c r="AI340" s="1"/>
      <c r="AJ340" s="1"/>
      <c r="AK340" s="1"/>
      <c r="AL340" s="1">
        <f>IFERROR(__xludf.DUMMYFUNCTION("IF(
  TRIM(AD340)="""",
  0,
  COUNTA(
    SPLIT(
      REGEXREPLACE(AD340,""\s*,\s*"","",""),
      "",""
    )
  )
)"),11.0)</f>
        <v>11</v>
      </c>
    </row>
    <row r="341">
      <c r="A341" s="1" t="s">
        <v>2258</v>
      </c>
      <c r="B341" s="1" t="s">
        <v>2258</v>
      </c>
      <c r="C341" s="1" t="s">
        <v>123</v>
      </c>
      <c r="D341" s="1" t="s">
        <v>124</v>
      </c>
      <c r="E341" s="4">
        <v>254700.0</v>
      </c>
      <c r="F341" s="4">
        <v>364.0</v>
      </c>
      <c r="G341" s="4">
        <v>684.0</v>
      </c>
      <c r="H341" s="7" t="s">
        <v>3205</v>
      </c>
      <c r="I341" s="1" t="s">
        <v>2260</v>
      </c>
      <c r="J341" s="1"/>
      <c r="K341" s="9">
        <v>45434.570023148146</v>
      </c>
      <c r="L341" s="4">
        <v>1.71638525E9</v>
      </c>
      <c r="M341" s="1" t="s">
        <v>47</v>
      </c>
      <c r="N341" s="1" t="s">
        <v>47</v>
      </c>
      <c r="O341" s="1" t="s">
        <v>47</v>
      </c>
      <c r="P341" s="1" t="s">
        <v>47</v>
      </c>
      <c r="Q341" s="1" t="s">
        <v>47</v>
      </c>
      <c r="R341" s="1" t="s">
        <v>48</v>
      </c>
      <c r="S341" s="1" t="s">
        <v>2261</v>
      </c>
      <c r="T341" s="7" t="s">
        <v>5019</v>
      </c>
      <c r="U341" s="7" t="s">
        <v>3208</v>
      </c>
      <c r="V341" s="1" t="s">
        <v>124</v>
      </c>
      <c r="W341" s="7" t="s">
        <v>5020</v>
      </c>
      <c r="X341" s="7" t="s">
        <v>2268</v>
      </c>
      <c r="Y341" s="1"/>
      <c r="Z341" s="4">
        <v>14600.0</v>
      </c>
      <c r="AA341" s="4">
        <v>452.0</v>
      </c>
      <c r="AB341" s="4">
        <v>1539.0</v>
      </c>
      <c r="AC341" s="4">
        <v>130600.0</v>
      </c>
      <c r="AD341" s="1" t="s">
        <v>2271</v>
      </c>
      <c r="AE341" s="1" t="s">
        <v>2271</v>
      </c>
      <c r="AF341" s="1"/>
      <c r="AG341" s="1"/>
      <c r="AH341" s="1"/>
      <c r="AI341" s="1"/>
      <c r="AJ341" s="1"/>
      <c r="AK341" s="1"/>
      <c r="AL341" s="1">
        <f>IFERROR(__xludf.DUMMYFUNCTION("IF(
  TRIM(AD341)="""",
  0,
  COUNTA(
    SPLIT(
      REGEXREPLACE(AD341,""\s*,\s*"","",""),
      "",""
    )
  )
)"),11.0)</f>
        <v>11</v>
      </c>
    </row>
    <row r="342">
      <c r="A342" s="1" t="s">
        <v>3720</v>
      </c>
      <c r="B342" s="1" t="s">
        <v>3720</v>
      </c>
      <c r="C342" s="1" t="s">
        <v>3721</v>
      </c>
      <c r="D342" s="1" t="s">
        <v>3722</v>
      </c>
      <c r="E342" s="4">
        <v>457.0</v>
      </c>
      <c r="F342" s="4">
        <v>2666.0</v>
      </c>
      <c r="G342" s="4">
        <v>368.0</v>
      </c>
      <c r="H342" s="7" t="s">
        <v>5021</v>
      </c>
      <c r="I342" s="1" t="s">
        <v>3726</v>
      </c>
      <c r="J342" s="1"/>
      <c r="K342" s="9">
        <v>45420.511145833334</v>
      </c>
      <c r="L342" s="4">
        <v>1.715170563E9</v>
      </c>
      <c r="M342" s="1" t="s">
        <v>47</v>
      </c>
      <c r="N342" s="1" t="s">
        <v>47</v>
      </c>
      <c r="O342" s="1" t="s">
        <v>47</v>
      </c>
      <c r="P342" s="1" t="s">
        <v>47</v>
      </c>
      <c r="Q342" s="1" t="s">
        <v>47</v>
      </c>
      <c r="R342" s="1" t="s">
        <v>2791</v>
      </c>
      <c r="S342" s="1" t="s">
        <v>3727</v>
      </c>
      <c r="T342" s="1"/>
      <c r="U342" s="7" t="s">
        <v>5022</v>
      </c>
      <c r="V342" s="1" t="s">
        <v>3730</v>
      </c>
      <c r="W342" s="7" t="s">
        <v>5023</v>
      </c>
      <c r="X342" s="7" t="s">
        <v>3741</v>
      </c>
      <c r="Y342" s="1"/>
      <c r="Z342" s="4">
        <v>2565.0</v>
      </c>
      <c r="AA342" s="4">
        <v>158.0</v>
      </c>
      <c r="AB342" s="4">
        <v>851.0</v>
      </c>
      <c r="AC342" s="4">
        <v>197800.0</v>
      </c>
      <c r="AD342" s="1" t="s">
        <v>3742</v>
      </c>
      <c r="AE342" s="1" t="s">
        <v>3742</v>
      </c>
      <c r="AF342" s="1"/>
      <c r="AG342" s="1"/>
      <c r="AH342" s="1"/>
      <c r="AI342" s="1"/>
      <c r="AJ342" s="1"/>
      <c r="AK342" s="1"/>
      <c r="AL342" s="1">
        <f>IFERROR(__xludf.DUMMYFUNCTION("IF(
  TRIM(AD342)="""",
  0,
  COUNTA(
    SPLIT(
      REGEXREPLACE(AD342,""\s*,\s*"","",""),
      "",""
    )
  )
)"),11.0)</f>
        <v>11</v>
      </c>
    </row>
    <row r="343">
      <c r="A343" s="1" t="s">
        <v>4789</v>
      </c>
      <c r="B343" s="1" t="s">
        <v>4789</v>
      </c>
      <c r="C343" s="1" t="s">
        <v>3937</v>
      </c>
      <c r="D343" s="1" t="s">
        <v>3938</v>
      </c>
      <c r="E343" s="4">
        <v>5265.0</v>
      </c>
      <c r="F343" s="4">
        <v>1522.0</v>
      </c>
      <c r="G343" s="4">
        <v>258.0</v>
      </c>
      <c r="H343" s="7" t="s">
        <v>3939</v>
      </c>
      <c r="I343" s="1" t="s">
        <v>4790</v>
      </c>
      <c r="J343" s="1" t="s">
        <v>4791</v>
      </c>
      <c r="K343" s="9">
        <v>45864.72494212963</v>
      </c>
      <c r="L343" s="4">
        <v>1.753550635E9</v>
      </c>
      <c r="M343" s="1" t="s">
        <v>47</v>
      </c>
      <c r="N343" s="1" t="s">
        <v>47</v>
      </c>
      <c r="O343" s="1" t="s">
        <v>47</v>
      </c>
      <c r="P343" s="1" t="s">
        <v>47</v>
      </c>
      <c r="Q343" s="1" t="s">
        <v>47</v>
      </c>
      <c r="R343" s="1" t="s">
        <v>4792</v>
      </c>
      <c r="S343" s="1" t="s">
        <v>4793</v>
      </c>
      <c r="T343" s="7" t="s">
        <v>4794</v>
      </c>
      <c r="U343" s="7" t="s">
        <v>4795</v>
      </c>
      <c r="V343" s="1" t="s">
        <v>4800</v>
      </c>
      <c r="W343" s="7" t="s">
        <v>5024</v>
      </c>
      <c r="X343" s="7" t="s">
        <v>4806</v>
      </c>
      <c r="Y343" s="1"/>
      <c r="Z343" s="4">
        <v>43.0</v>
      </c>
      <c r="AA343" s="4">
        <v>1.0</v>
      </c>
      <c r="AB343" s="4">
        <v>3.0</v>
      </c>
      <c r="AC343" s="4">
        <v>514.0</v>
      </c>
      <c r="AD343" s="1" t="s">
        <v>4807</v>
      </c>
      <c r="AE343" s="1" t="s">
        <v>4807</v>
      </c>
      <c r="AF343" s="1"/>
      <c r="AG343" s="1"/>
      <c r="AH343" s="1" t="s">
        <v>97</v>
      </c>
      <c r="AI343" s="1"/>
      <c r="AJ343" s="1"/>
      <c r="AK343" s="1"/>
      <c r="AL343" s="1">
        <f>IFERROR(__xludf.DUMMYFUNCTION("IF(
  TRIM(AD343)="""",
  0,
  COUNTA(
    SPLIT(
      REGEXREPLACE(AD343,""\s*,\s*"","",""),
      "",""
    )
  )
)"),11.0)</f>
        <v>11</v>
      </c>
    </row>
    <row r="344">
      <c r="A344" s="1" t="s">
        <v>898</v>
      </c>
      <c r="B344" s="1" t="s">
        <v>898</v>
      </c>
      <c r="C344" s="1" t="s">
        <v>899</v>
      </c>
      <c r="D344" s="1" t="s">
        <v>900</v>
      </c>
      <c r="E344" s="4">
        <v>104000.0</v>
      </c>
      <c r="F344" s="4">
        <v>1666.0</v>
      </c>
      <c r="G344" s="4">
        <v>76.0</v>
      </c>
      <c r="H344" s="7" t="s">
        <v>5025</v>
      </c>
      <c r="I344" s="1" t="s">
        <v>906</v>
      </c>
      <c r="J344" s="1" t="s">
        <v>907</v>
      </c>
      <c r="K344" s="9">
        <v>45119.99613425926</v>
      </c>
      <c r="L344" s="4">
        <v>1.689206066E9</v>
      </c>
      <c r="M344" s="1" t="s">
        <v>47</v>
      </c>
      <c r="N344" s="1" t="s">
        <v>47</v>
      </c>
      <c r="O344" s="1" t="s">
        <v>47</v>
      </c>
      <c r="P344" s="1" t="s">
        <v>47</v>
      </c>
      <c r="Q344" s="1" t="s">
        <v>47</v>
      </c>
      <c r="R344" s="1" t="s">
        <v>908</v>
      </c>
      <c r="S344" s="1" t="s">
        <v>909</v>
      </c>
      <c r="T344" s="7" t="s">
        <v>910</v>
      </c>
      <c r="U344" s="7" t="s">
        <v>2417</v>
      </c>
      <c r="V344" s="1" t="s">
        <v>912</v>
      </c>
      <c r="W344" s="7" t="s">
        <v>5026</v>
      </c>
      <c r="X344" s="7" t="s">
        <v>916</v>
      </c>
      <c r="Y344" s="1"/>
      <c r="Z344" s="4">
        <v>70700.0</v>
      </c>
      <c r="AA344" s="4">
        <v>2008.0</v>
      </c>
      <c r="AB344" s="4">
        <v>11100.0</v>
      </c>
      <c r="AC344" s="4">
        <v>784600.0</v>
      </c>
      <c r="AD344" s="1" t="s">
        <v>917</v>
      </c>
      <c r="AE344" s="1" t="s">
        <v>917</v>
      </c>
      <c r="AF344" s="1"/>
      <c r="AG344" s="1"/>
      <c r="AH344" s="1"/>
      <c r="AI344" s="1"/>
      <c r="AJ344" s="1"/>
      <c r="AK344" s="1"/>
      <c r="AL344" s="1">
        <f>IFERROR(__xludf.DUMMYFUNCTION("IF(
  TRIM(AD344)="""",
  0,
  COUNTA(
    SPLIT(
      REGEXREPLACE(AD344,""\s*,\s*"","",""),
      "",""
    )
  )
)"),12.0)</f>
        <v>12</v>
      </c>
    </row>
    <row r="345">
      <c r="A345" s="1" t="s">
        <v>5027</v>
      </c>
      <c r="B345" s="1" t="s">
        <v>5027</v>
      </c>
      <c r="C345" s="1" t="s">
        <v>5028</v>
      </c>
      <c r="D345" s="1" t="s">
        <v>5029</v>
      </c>
      <c r="E345" s="4">
        <v>6354.0</v>
      </c>
      <c r="F345" s="4">
        <v>441.0</v>
      </c>
      <c r="G345" s="4">
        <v>7.0</v>
      </c>
      <c r="H345" s="7" t="s">
        <v>5030</v>
      </c>
      <c r="I345" s="1" t="s">
        <v>5031</v>
      </c>
      <c r="J345" s="1" t="s">
        <v>5032</v>
      </c>
      <c r="K345" s="9">
        <v>44859.83425925926</v>
      </c>
      <c r="L345" s="4">
        <v>1.66672808E9</v>
      </c>
      <c r="M345" s="1" t="s">
        <v>47</v>
      </c>
      <c r="N345" s="1" t="s">
        <v>47</v>
      </c>
      <c r="O345" s="1" t="s">
        <v>47</v>
      </c>
      <c r="P345" s="1" t="s">
        <v>47</v>
      </c>
      <c r="Q345" s="1" t="s">
        <v>47</v>
      </c>
      <c r="R345" s="1" t="s">
        <v>5033</v>
      </c>
      <c r="S345" s="1" t="s">
        <v>5034</v>
      </c>
      <c r="T345" s="7" t="s">
        <v>5035</v>
      </c>
      <c r="U345" s="7" t="s">
        <v>5036</v>
      </c>
      <c r="V345" s="1" t="s">
        <v>2796</v>
      </c>
      <c r="W345" s="7" t="s">
        <v>5037</v>
      </c>
      <c r="X345" s="7" t="s">
        <v>5038</v>
      </c>
      <c r="Y345" s="1"/>
      <c r="Z345" s="4">
        <v>44600.0</v>
      </c>
      <c r="AA345" s="4">
        <v>360.0</v>
      </c>
      <c r="AB345" s="4">
        <v>8027.0</v>
      </c>
      <c r="AC345" s="4">
        <v>881900.0</v>
      </c>
      <c r="AD345" s="1" t="s">
        <v>5039</v>
      </c>
      <c r="AE345" s="1" t="s">
        <v>5039</v>
      </c>
      <c r="AF345" s="1"/>
      <c r="AG345" s="1"/>
      <c r="AH345" s="1"/>
      <c r="AI345" s="1"/>
      <c r="AJ345" s="1"/>
      <c r="AK345" s="1"/>
      <c r="AL345" s="1">
        <f>IFERROR(__xludf.DUMMYFUNCTION("IF(
  TRIM(AD345)="""",
  0,
  COUNTA(
    SPLIT(
      REGEXREPLACE(AD345,""\s*,\s*"","",""),
      "",""
    )
  )
)"),12.0)</f>
        <v>12</v>
      </c>
    </row>
    <row r="346">
      <c r="A346" s="1" t="s">
        <v>1503</v>
      </c>
      <c r="B346" s="1" t="s">
        <v>1503</v>
      </c>
      <c r="C346" s="1" t="s">
        <v>1504</v>
      </c>
      <c r="D346" s="1" t="s">
        <v>1504</v>
      </c>
      <c r="E346" s="4">
        <v>19100.0</v>
      </c>
      <c r="F346" s="4">
        <v>638.0</v>
      </c>
      <c r="G346" s="4">
        <v>158.0</v>
      </c>
      <c r="H346" s="7" t="s">
        <v>5040</v>
      </c>
      <c r="I346" s="1" t="s">
        <v>1506</v>
      </c>
      <c r="J346" s="1" t="s">
        <v>1507</v>
      </c>
      <c r="K346" s="9">
        <v>45624.63358796296</v>
      </c>
      <c r="L346" s="4">
        <v>1.732806742E9</v>
      </c>
      <c r="M346" s="1" t="s">
        <v>47</v>
      </c>
      <c r="N346" s="1" t="s">
        <v>47</v>
      </c>
      <c r="O346" s="1" t="s">
        <v>47</v>
      </c>
      <c r="P346" s="1" t="s">
        <v>47</v>
      </c>
      <c r="Q346" s="1" t="s">
        <v>47</v>
      </c>
      <c r="R346" s="1" t="s">
        <v>48</v>
      </c>
      <c r="S346" s="1" t="s">
        <v>1508</v>
      </c>
      <c r="T346" s="7" t="s">
        <v>5041</v>
      </c>
      <c r="U346" s="7" t="s">
        <v>5042</v>
      </c>
      <c r="V346" s="1" t="s">
        <v>1504</v>
      </c>
      <c r="W346" s="7" t="s">
        <v>5043</v>
      </c>
      <c r="X346" s="7" t="s">
        <v>1518</v>
      </c>
      <c r="Y346" s="1"/>
      <c r="Z346" s="4">
        <v>33700.0</v>
      </c>
      <c r="AA346" s="4">
        <v>2360.0</v>
      </c>
      <c r="AB346" s="4">
        <v>11500.0</v>
      </c>
      <c r="AC346" s="4">
        <v>939600.0</v>
      </c>
      <c r="AD346" s="1" t="s">
        <v>1520</v>
      </c>
      <c r="AE346" s="1" t="s">
        <v>1520</v>
      </c>
      <c r="AF346" s="1"/>
      <c r="AG346" s="1"/>
      <c r="AH346" s="1"/>
      <c r="AI346" s="1"/>
      <c r="AJ346" s="1"/>
      <c r="AK346" s="1"/>
      <c r="AL346" s="1">
        <f>IFERROR(__xludf.DUMMYFUNCTION("IF(
  TRIM(AD346)="""",
  0,
  COUNTA(
    SPLIT(
      REGEXREPLACE(AD346,""\s*,\s*"","",""),
      "",""
    )
  )
)"),12.0)</f>
        <v>12</v>
      </c>
    </row>
    <row r="347">
      <c r="A347" s="1" t="s">
        <v>3825</v>
      </c>
      <c r="B347" s="1" t="s">
        <v>3825</v>
      </c>
      <c r="C347" s="1" t="s">
        <v>3713</v>
      </c>
      <c r="D347" s="1" t="s">
        <v>3714</v>
      </c>
      <c r="E347" s="4">
        <v>1783.0</v>
      </c>
      <c r="F347" s="4">
        <v>7082.0</v>
      </c>
      <c r="G347" s="4">
        <v>93.0</v>
      </c>
      <c r="H347" s="7" t="s">
        <v>3715</v>
      </c>
      <c r="I347" s="1" t="s">
        <v>3830</v>
      </c>
      <c r="J347" s="1" t="s">
        <v>3831</v>
      </c>
      <c r="K347" s="9">
        <v>45845.84614583333</v>
      </c>
      <c r="L347" s="4">
        <v>1.751919507E9</v>
      </c>
      <c r="M347" s="1" t="s">
        <v>47</v>
      </c>
      <c r="N347" s="1" t="s">
        <v>47</v>
      </c>
      <c r="O347" s="1" t="s">
        <v>47</v>
      </c>
      <c r="P347" s="1" t="s">
        <v>47</v>
      </c>
      <c r="Q347" s="1" t="s">
        <v>47</v>
      </c>
      <c r="R347" s="1" t="s">
        <v>48</v>
      </c>
      <c r="S347" s="1" t="s">
        <v>3832</v>
      </c>
      <c r="T347" s="7" t="s">
        <v>5044</v>
      </c>
      <c r="U347" s="7" t="s">
        <v>3724</v>
      </c>
      <c r="V347" s="1" t="s">
        <v>3714</v>
      </c>
      <c r="W347" s="7" t="s">
        <v>5045</v>
      </c>
      <c r="X347" s="7" t="s">
        <v>3847</v>
      </c>
      <c r="Y347" s="1"/>
      <c r="Z347" s="4">
        <v>2229.0</v>
      </c>
      <c r="AA347" s="4">
        <v>241.0</v>
      </c>
      <c r="AB347" s="4">
        <v>96.0</v>
      </c>
      <c r="AC347" s="4">
        <v>24700.0</v>
      </c>
      <c r="AD347" s="1" t="s">
        <v>3849</v>
      </c>
      <c r="AE347" s="1" t="s">
        <v>3849</v>
      </c>
      <c r="AF347" s="1"/>
      <c r="AG347" s="1"/>
      <c r="AH347" s="1"/>
      <c r="AI347" s="1"/>
      <c r="AJ347" s="1"/>
      <c r="AK347" s="1"/>
      <c r="AL347" s="1">
        <f>IFERROR(__xludf.DUMMYFUNCTION("IF(
  TRIM(AD347)="""",
  0,
  COUNTA(
    SPLIT(
      REGEXREPLACE(AD347,""\s*,\s*"","",""),
      "",""
    )
  )
)"),12.0)</f>
        <v>12</v>
      </c>
    </row>
    <row r="348">
      <c r="A348" s="1" t="s">
        <v>362</v>
      </c>
      <c r="B348" s="1" t="s">
        <v>362</v>
      </c>
      <c r="C348" s="1" t="s">
        <v>169</v>
      </c>
      <c r="D348" s="1" t="s">
        <v>56</v>
      </c>
      <c r="E348" s="4">
        <v>996800.0</v>
      </c>
      <c r="F348" s="4">
        <v>396.0</v>
      </c>
      <c r="G348" s="4">
        <v>1474.0</v>
      </c>
      <c r="H348" s="7" t="s">
        <v>2264</v>
      </c>
      <c r="I348" s="1" t="s">
        <v>363</v>
      </c>
      <c r="J348" s="1"/>
      <c r="K348" s="9">
        <v>45106.85915509259</v>
      </c>
      <c r="L348" s="4">
        <v>1.688071031E9</v>
      </c>
      <c r="M348" s="1" t="s">
        <v>47</v>
      </c>
      <c r="N348" s="1" t="s">
        <v>47</v>
      </c>
      <c r="O348" s="1" t="s">
        <v>47</v>
      </c>
      <c r="P348" s="1" t="s">
        <v>47</v>
      </c>
      <c r="Q348" s="1" t="s">
        <v>47</v>
      </c>
      <c r="R348" s="1" t="s">
        <v>364</v>
      </c>
      <c r="S348" s="1" t="s">
        <v>365</v>
      </c>
      <c r="T348" s="7" t="s">
        <v>366</v>
      </c>
      <c r="U348" s="7" t="s">
        <v>5046</v>
      </c>
      <c r="V348" s="1" t="s">
        <v>369</v>
      </c>
      <c r="W348" s="7" t="s">
        <v>5047</v>
      </c>
      <c r="X348" s="7" t="s">
        <v>375</v>
      </c>
      <c r="Y348" s="1"/>
      <c r="Z348" s="4">
        <v>194100.0</v>
      </c>
      <c r="AA348" s="4">
        <v>3560.0</v>
      </c>
      <c r="AB348" s="4">
        <v>15900.0</v>
      </c>
      <c r="AC348" s="4">
        <v>3600000.0</v>
      </c>
      <c r="AD348" s="1" t="s">
        <v>376</v>
      </c>
      <c r="AE348" s="1" t="s">
        <v>376</v>
      </c>
      <c r="AF348" s="1"/>
      <c r="AG348" s="1"/>
      <c r="AH348" s="1"/>
      <c r="AI348" s="1"/>
      <c r="AJ348" s="1"/>
      <c r="AK348" s="1"/>
      <c r="AL348" s="1">
        <f>IFERROR(__xludf.DUMMYFUNCTION("IF(
  TRIM(AD348)="""",
  0,
  COUNTA(
    SPLIT(
      REGEXREPLACE(AD348,""\s*,\s*"","",""),
      "",""
    )
  )
)"),13.0)</f>
        <v>13</v>
      </c>
    </row>
    <row r="349">
      <c r="A349" s="1" t="s">
        <v>5048</v>
      </c>
      <c r="B349" s="1" t="s">
        <v>5048</v>
      </c>
      <c r="C349" s="1" t="s">
        <v>819</v>
      </c>
      <c r="D349" s="1" t="s">
        <v>820</v>
      </c>
      <c r="E349" s="4">
        <v>135300.0</v>
      </c>
      <c r="F349" s="4">
        <v>31900.0</v>
      </c>
      <c r="G349" s="4">
        <v>264.0</v>
      </c>
      <c r="H349" s="7" t="s">
        <v>4838</v>
      </c>
      <c r="I349" s="1" t="s">
        <v>5049</v>
      </c>
      <c r="J349" s="1" t="s">
        <v>5050</v>
      </c>
      <c r="K349" s="9">
        <v>45117.02768518519</v>
      </c>
      <c r="L349" s="4">
        <v>1.688949592E9</v>
      </c>
      <c r="M349" s="1" t="s">
        <v>47</v>
      </c>
      <c r="N349" s="1" t="s">
        <v>47</v>
      </c>
      <c r="O349" s="1" t="s">
        <v>47</v>
      </c>
      <c r="P349" s="1" t="s">
        <v>47</v>
      </c>
      <c r="Q349" s="1" t="s">
        <v>47</v>
      </c>
      <c r="R349" s="1" t="s">
        <v>204</v>
      </c>
      <c r="S349" s="1" t="s">
        <v>5051</v>
      </c>
      <c r="T349" s="7" t="s">
        <v>5052</v>
      </c>
      <c r="U349" s="7" t="s">
        <v>5053</v>
      </c>
      <c r="V349" s="1"/>
      <c r="W349" s="7" t="s">
        <v>5054</v>
      </c>
      <c r="X349" s="7" t="s">
        <v>5055</v>
      </c>
      <c r="Y349" s="1"/>
      <c r="Z349" s="4">
        <v>33900.0</v>
      </c>
      <c r="AA349" s="4">
        <v>532.0</v>
      </c>
      <c r="AB349" s="4">
        <v>2945.0</v>
      </c>
      <c r="AC349" s="4">
        <v>285500.0</v>
      </c>
      <c r="AD349" s="1" t="s">
        <v>5056</v>
      </c>
      <c r="AE349" s="1" t="s">
        <v>5056</v>
      </c>
      <c r="AF349" s="1"/>
      <c r="AG349" s="1"/>
      <c r="AH349" s="1" t="s">
        <v>85</v>
      </c>
      <c r="AI349" s="1"/>
      <c r="AJ349" s="1"/>
      <c r="AK349" s="1"/>
      <c r="AL349" s="1">
        <f>IFERROR(__xludf.DUMMYFUNCTION("IF(
  TRIM(AD349)="""",
  0,
  COUNTA(
    SPLIT(
      REGEXREPLACE(AD349,""\s*,\s*"","",""),
      "",""
    )
  )
)"),13.0)</f>
        <v>13</v>
      </c>
    </row>
    <row r="350">
      <c r="A350" s="1" t="s">
        <v>122</v>
      </c>
      <c r="B350" s="1" t="s">
        <v>122</v>
      </c>
      <c r="C350" s="1" t="s">
        <v>123</v>
      </c>
      <c r="D350" s="1" t="s">
        <v>124</v>
      </c>
      <c r="E350" s="4">
        <v>254700.0</v>
      </c>
      <c r="F350" s="4">
        <v>364.0</v>
      </c>
      <c r="G350" s="4">
        <v>684.0</v>
      </c>
      <c r="H350" s="7" t="s">
        <v>3652</v>
      </c>
      <c r="I350" s="1" t="s">
        <v>128</v>
      </c>
      <c r="J350" s="1" t="s">
        <v>129</v>
      </c>
      <c r="K350" s="9">
        <v>45339.67197916667</v>
      </c>
      <c r="L350" s="4">
        <v>1.708186059E9</v>
      </c>
      <c r="M350" s="1" t="s">
        <v>47</v>
      </c>
      <c r="N350" s="1" t="s">
        <v>47</v>
      </c>
      <c r="O350" s="1" t="s">
        <v>47</v>
      </c>
      <c r="P350" s="1" t="s">
        <v>47</v>
      </c>
      <c r="Q350" s="1" t="s">
        <v>47</v>
      </c>
      <c r="R350" s="1" t="s">
        <v>132</v>
      </c>
      <c r="S350" s="1" t="s">
        <v>133</v>
      </c>
      <c r="T350" s="7" t="s">
        <v>134</v>
      </c>
      <c r="U350" s="7" t="s">
        <v>5057</v>
      </c>
      <c r="V350" s="1" t="s">
        <v>138</v>
      </c>
      <c r="W350" s="7" t="s">
        <v>5058</v>
      </c>
      <c r="X350" s="7" t="s">
        <v>142</v>
      </c>
      <c r="Y350" s="1"/>
      <c r="Z350" s="4">
        <v>649800.0</v>
      </c>
      <c r="AA350" s="4">
        <v>9898.0</v>
      </c>
      <c r="AB350" s="4">
        <v>35300.0</v>
      </c>
      <c r="AC350" s="4">
        <v>7700000.0</v>
      </c>
      <c r="AD350" s="1" t="s">
        <v>143</v>
      </c>
      <c r="AE350" s="1" t="s">
        <v>143</v>
      </c>
      <c r="AF350" s="1"/>
      <c r="AG350" s="1"/>
      <c r="AH350" s="1"/>
      <c r="AI350" s="1"/>
      <c r="AJ350" s="1"/>
      <c r="AK350" s="1"/>
      <c r="AL350" s="1">
        <f>IFERROR(__xludf.DUMMYFUNCTION("IF(
  TRIM(AD350)="""",
  0,
  COUNTA(
    SPLIT(
      REGEXREPLACE(AD350,""\s*,\s*"","",""),
      "",""
    )
  )
)"),14.0)</f>
        <v>14</v>
      </c>
    </row>
    <row r="351">
      <c r="A351" s="1" t="s">
        <v>1473</v>
      </c>
      <c r="B351" s="1" t="s">
        <v>1473</v>
      </c>
      <c r="C351" s="1" t="s">
        <v>409</v>
      </c>
      <c r="D351" s="1" t="s">
        <v>410</v>
      </c>
      <c r="E351" s="4">
        <v>200400.0</v>
      </c>
      <c r="F351" s="4">
        <v>752.0</v>
      </c>
      <c r="G351" s="4">
        <v>150.0</v>
      </c>
      <c r="H351" s="7" t="s">
        <v>3333</v>
      </c>
      <c r="I351" s="1" t="s">
        <v>1474</v>
      </c>
      <c r="J351" s="1" t="s">
        <v>1475</v>
      </c>
      <c r="K351" s="9">
        <v>45783.001539351855</v>
      </c>
      <c r="L351" s="4">
        <v>1.746489733E9</v>
      </c>
      <c r="M351" s="1" t="s">
        <v>47</v>
      </c>
      <c r="N351" s="1" t="s">
        <v>47</v>
      </c>
      <c r="O351" s="1" t="s">
        <v>47</v>
      </c>
      <c r="P351" s="1" t="s">
        <v>47</v>
      </c>
      <c r="Q351" s="1" t="s">
        <v>47</v>
      </c>
      <c r="R351" s="1" t="s">
        <v>48</v>
      </c>
      <c r="S351" s="1" t="s">
        <v>1476</v>
      </c>
      <c r="T351" s="7" t="s">
        <v>5059</v>
      </c>
      <c r="U351" s="7" t="s">
        <v>3630</v>
      </c>
      <c r="V351" s="1" t="s">
        <v>410</v>
      </c>
      <c r="W351" s="7" t="s">
        <v>5060</v>
      </c>
      <c r="X351" s="7" t="s">
        <v>1487</v>
      </c>
      <c r="Y351" s="1"/>
      <c r="Z351" s="4">
        <v>34200.0</v>
      </c>
      <c r="AA351" s="4">
        <v>1993.0</v>
      </c>
      <c r="AB351" s="4">
        <v>13900.0</v>
      </c>
      <c r="AC351" s="4">
        <v>496800.0</v>
      </c>
      <c r="AD351" s="1" t="s">
        <v>1489</v>
      </c>
      <c r="AE351" s="1" t="s">
        <v>1489</v>
      </c>
      <c r="AF351" s="1"/>
      <c r="AG351" s="1"/>
      <c r="AH351" s="1"/>
      <c r="AI351" s="1"/>
      <c r="AJ351" s="1"/>
      <c r="AK351" s="1"/>
      <c r="AL351" s="1">
        <f>IFERROR(__xludf.DUMMYFUNCTION("IF(
  TRIM(AD351)="""",
  0,
  COUNTA(
    SPLIT(
      REGEXREPLACE(AD351,""\s*,\s*"","",""),
      "",""
    )
  )
)"),14.0)</f>
        <v>14</v>
      </c>
    </row>
    <row r="352">
      <c r="A352" s="1" t="s">
        <v>5061</v>
      </c>
      <c r="B352" s="1" t="s">
        <v>5061</v>
      </c>
      <c r="C352" s="1" t="s">
        <v>5062</v>
      </c>
      <c r="D352" s="1" t="s">
        <v>5062</v>
      </c>
      <c r="E352" s="4">
        <v>548.0</v>
      </c>
      <c r="F352" s="4">
        <v>274.0</v>
      </c>
      <c r="G352" s="4">
        <v>21.0</v>
      </c>
      <c r="H352" s="7" t="s">
        <v>5063</v>
      </c>
      <c r="I352" s="1" t="s">
        <v>5064</v>
      </c>
      <c r="J352" s="1"/>
      <c r="K352" s="9">
        <v>45680.848912037036</v>
      </c>
      <c r="L352" s="4">
        <v>1.737663746E9</v>
      </c>
      <c r="M352" s="1" t="s">
        <v>47</v>
      </c>
      <c r="N352" s="1" t="s">
        <v>47</v>
      </c>
      <c r="O352" s="1" t="s">
        <v>47</v>
      </c>
      <c r="P352" s="1" t="s">
        <v>47</v>
      </c>
      <c r="Q352" s="1" t="s">
        <v>47</v>
      </c>
      <c r="R352" s="1" t="s">
        <v>48</v>
      </c>
      <c r="S352" s="1" t="s">
        <v>5065</v>
      </c>
      <c r="T352" s="7" t="s">
        <v>5066</v>
      </c>
      <c r="U352" s="7" t="s">
        <v>5067</v>
      </c>
      <c r="V352" s="1" t="s">
        <v>5062</v>
      </c>
      <c r="W352" s="7" t="s">
        <v>5068</v>
      </c>
      <c r="X352" s="7" t="s">
        <v>5069</v>
      </c>
      <c r="Y352" s="1"/>
      <c r="Z352" s="4">
        <v>195.0</v>
      </c>
      <c r="AA352" s="4">
        <v>3.0</v>
      </c>
      <c r="AB352" s="4">
        <v>59.0</v>
      </c>
      <c r="AC352" s="4">
        <v>7780.0</v>
      </c>
      <c r="AD352" s="1" t="s">
        <v>5070</v>
      </c>
      <c r="AE352" s="1" t="s">
        <v>5070</v>
      </c>
      <c r="AF352" s="1"/>
      <c r="AG352" s="1"/>
      <c r="AH352" s="1"/>
      <c r="AI352" s="1"/>
      <c r="AJ352" s="1"/>
      <c r="AK352" s="1"/>
      <c r="AL352" s="1">
        <f>IFERROR(__xludf.DUMMYFUNCTION("IF(
  TRIM(AD352)="""",
  0,
  COUNTA(
    SPLIT(
      REGEXREPLACE(AD352,""\s*,\s*"","",""),
      "",""
    )
  )
)"),14.0)</f>
        <v>14</v>
      </c>
    </row>
    <row r="353">
      <c r="A353" s="1" t="s">
        <v>408</v>
      </c>
      <c r="B353" s="1" t="s">
        <v>408</v>
      </c>
      <c r="C353" s="1" t="s">
        <v>409</v>
      </c>
      <c r="D353" s="1" t="s">
        <v>410</v>
      </c>
      <c r="E353" s="4">
        <v>200400.0</v>
      </c>
      <c r="F353" s="4">
        <v>752.0</v>
      </c>
      <c r="G353" s="4">
        <v>150.0</v>
      </c>
      <c r="H353" s="7" t="s">
        <v>3333</v>
      </c>
      <c r="I353" s="1" t="s">
        <v>413</v>
      </c>
      <c r="J353" s="1" t="s">
        <v>414</v>
      </c>
      <c r="K353" s="9">
        <v>45830.54032407407</v>
      </c>
      <c r="L353" s="4">
        <v>1.750597084E9</v>
      </c>
      <c r="M353" s="1" t="s">
        <v>47</v>
      </c>
      <c r="N353" s="1" t="s">
        <v>47</v>
      </c>
      <c r="O353" s="1" t="s">
        <v>47</v>
      </c>
      <c r="P353" s="1" t="s">
        <v>47</v>
      </c>
      <c r="Q353" s="1" t="s">
        <v>47</v>
      </c>
      <c r="R353" s="1" t="s">
        <v>48</v>
      </c>
      <c r="S353" s="1" t="s">
        <v>415</v>
      </c>
      <c r="T353" s="7" t="s">
        <v>5071</v>
      </c>
      <c r="U353" s="7" t="s">
        <v>5072</v>
      </c>
      <c r="V353" s="1" t="s">
        <v>410</v>
      </c>
      <c r="W353" s="7" t="s">
        <v>5073</v>
      </c>
      <c r="X353" s="7" t="s">
        <v>422</v>
      </c>
      <c r="Y353" s="1"/>
      <c r="Z353" s="4">
        <v>164400.0</v>
      </c>
      <c r="AA353" s="4">
        <v>2534.0</v>
      </c>
      <c r="AB353" s="4">
        <v>81000.0</v>
      </c>
      <c r="AC353" s="4">
        <v>3600000.0</v>
      </c>
      <c r="AD353" s="1" t="s">
        <v>423</v>
      </c>
      <c r="AE353" s="1" t="s">
        <v>423</v>
      </c>
      <c r="AF353" s="1"/>
      <c r="AG353" s="1"/>
      <c r="AH353" s="1" t="s">
        <v>144</v>
      </c>
      <c r="AI353" s="1"/>
      <c r="AJ353" s="1"/>
      <c r="AK353" s="1"/>
      <c r="AL353" s="1">
        <f>IFERROR(__xludf.DUMMYFUNCTION("IF(
  TRIM(AD353)="""",
  0,
  COUNTA(
    SPLIT(
      REGEXREPLACE(AD353,""\s*,\s*"","",""),
      "",""
    )
  )
)"),15.0)</f>
        <v>15</v>
      </c>
    </row>
    <row r="354">
      <c r="A354" s="1" t="s">
        <v>5074</v>
      </c>
      <c r="B354" s="1" t="s">
        <v>5074</v>
      </c>
      <c r="C354" s="1" t="s">
        <v>5075</v>
      </c>
      <c r="D354" s="1" t="s">
        <v>5076</v>
      </c>
      <c r="E354" s="4">
        <v>837200.0</v>
      </c>
      <c r="F354" s="4">
        <v>20100.0</v>
      </c>
      <c r="G354" s="4">
        <v>2951.0</v>
      </c>
      <c r="H354" s="7" t="s">
        <v>5077</v>
      </c>
      <c r="I354" s="1" t="s">
        <v>5078</v>
      </c>
      <c r="J354" s="1"/>
      <c r="K354" s="9">
        <v>45119.797268518516</v>
      </c>
      <c r="L354" s="4">
        <v>1.689188884E9</v>
      </c>
      <c r="M354" s="1" t="s">
        <v>47</v>
      </c>
      <c r="N354" s="1" t="s">
        <v>47</v>
      </c>
      <c r="O354" s="1" t="s">
        <v>47</v>
      </c>
      <c r="P354" s="1" t="s">
        <v>47</v>
      </c>
      <c r="Q354" s="1" t="s">
        <v>47</v>
      </c>
      <c r="R354" s="1" t="s">
        <v>771</v>
      </c>
      <c r="S354" s="1" t="s">
        <v>772</v>
      </c>
      <c r="T354" s="7" t="s">
        <v>773</v>
      </c>
      <c r="U354" s="7" t="s">
        <v>2435</v>
      </c>
      <c r="V354" s="1" t="s">
        <v>779</v>
      </c>
      <c r="W354" s="7" t="s">
        <v>5079</v>
      </c>
      <c r="X354" s="7" t="s">
        <v>5080</v>
      </c>
      <c r="Y354" s="1"/>
      <c r="Z354" s="4">
        <v>7869.0</v>
      </c>
      <c r="AA354" s="4">
        <v>66.0</v>
      </c>
      <c r="AB354" s="4">
        <v>1104.0</v>
      </c>
      <c r="AC354" s="4">
        <v>224800.0</v>
      </c>
      <c r="AD354" s="1" t="s">
        <v>5081</v>
      </c>
      <c r="AE354" s="1" t="s">
        <v>5081</v>
      </c>
      <c r="AF354" s="1"/>
      <c r="AG354" s="1"/>
      <c r="AH354" s="1"/>
      <c r="AI354" s="1"/>
      <c r="AJ354" s="1"/>
      <c r="AK354" s="1"/>
      <c r="AL354" s="1">
        <f>IFERROR(__xludf.DUMMYFUNCTION("IF(
  TRIM(AD354)="""",
  0,
  COUNTA(
    SPLIT(
      REGEXREPLACE(AD354,""\s*,\s*"","",""),
      "",""
    )
  )
)"),15.0)</f>
        <v>15</v>
      </c>
    </row>
    <row r="355">
      <c r="A355" s="1" t="s">
        <v>5082</v>
      </c>
      <c r="B355" s="1" t="s">
        <v>5082</v>
      </c>
      <c r="C355" s="1" t="s">
        <v>5083</v>
      </c>
      <c r="D355" s="1" t="s">
        <v>5084</v>
      </c>
      <c r="E355" s="4">
        <v>5802.0</v>
      </c>
      <c r="F355" s="4">
        <v>26.0</v>
      </c>
      <c r="G355" s="4">
        <v>332.0</v>
      </c>
      <c r="H355" s="7" t="s">
        <v>5085</v>
      </c>
      <c r="I355" s="1" t="s">
        <v>5086</v>
      </c>
      <c r="J355" s="1"/>
      <c r="K355" s="9">
        <v>45359.49818287037</v>
      </c>
      <c r="L355" s="4">
        <v>1.709899043E9</v>
      </c>
      <c r="M355" s="1" t="s">
        <v>47</v>
      </c>
      <c r="N355" s="1" t="s">
        <v>47</v>
      </c>
      <c r="O355" s="1" t="s">
        <v>47</v>
      </c>
      <c r="P355" s="1" t="s">
        <v>47</v>
      </c>
      <c r="Q355" s="1" t="s">
        <v>47</v>
      </c>
      <c r="R355" s="1" t="s">
        <v>48</v>
      </c>
      <c r="S355" s="1" t="s">
        <v>5087</v>
      </c>
      <c r="T355" s="7" t="s">
        <v>5088</v>
      </c>
      <c r="U355" s="7" t="s">
        <v>5089</v>
      </c>
      <c r="V355" s="1" t="s">
        <v>5084</v>
      </c>
      <c r="W355" s="7" t="s">
        <v>5090</v>
      </c>
      <c r="X355" s="7" t="s">
        <v>5091</v>
      </c>
      <c r="Y355" s="1"/>
      <c r="Z355" s="4">
        <v>6312.0</v>
      </c>
      <c r="AA355" s="4">
        <v>455.0</v>
      </c>
      <c r="AB355" s="4">
        <v>1314.0</v>
      </c>
      <c r="AC355" s="4">
        <v>94200.0</v>
      </c>
      <c r="AD355" s="1" t="s">
        <v>5092</v>
      </c>
      <c r="AE355" s="1" t="s">
        <v>5092</v>
      </c>
      <c r="AF355" s="1"/>
      <c r="AG355" s="1"/>
      <c r="AH355" s="1"/>
      <c r="AI355" s="1"/>
      <c r="AJ355" s="1"/>
      <c r="AK355" s="1"/>
      <c r="AL355" s="1">
        <f>IFERROR(__xludf.DUMMYFUNCTION("IF(
  TRIM(AD355)="""",
  0,
  COUNTA(
    SPLIT(
      REGEXREPLACE(AD355,""\s*,\s*"","",""),
      "",""
    )
  )
)"),15.0)</f>
        <v>15</v>
      </c>
    </row>
    <row r="356">
      <c r="A356" s="1" t="s">
        <v>5093</v>
      </c>
      <c r="B356" s="1" t="s">
        <v>5093</v>
      </c>
      <c r="C356" s="1" t="s">
        <v>497</v>
      </c>
      <c r="D356" s="1" t="s">
        <v>497</v>
      </c>
      <c r="E356" s="4">
        <v>210400.0</v>
      </c>
      <c r="F356" s="4">
        <v>1017.0</v>
      </c>
      <c r="G356" s="4">
        <v>461.0</v>
      </c>
      <c r="H356" s="7" t="s">
        <v>499</v>
      </c>
      <c r="I356" s="1" t="s">
        <v>5094</v>
      </c>
      <c r="J356" s="1" t="s">
        <v>5095</v>
      </c>
      <c r="K356" s="9">
        <v>45309.556863425925</v>
      </c>
      <c r="L356" s="4">
        <v>1.705584113E9</v>
      </c>
      <c r="M356" s="1" t="s">
        <v>47</v>
      </c>
      <c r="N356" s="1" t="s">
        <v>47</v>
      </c>
      <c r="O356" s="1" t="s">
        <v>47</v>
      </c>
      <c r="P356" s="1" t="s">
        <v>47</v>
      </c>
      <c r="Q356" s="1" t="s">
        <v>47</v>
      </c>
      <c r="R356" s="1" t="s">
        <v>48</v>
      </c>
      <c r="S356" s="1" t="s">
        <v>5096</v>
      </c>
      <c r="T356" s="7" t="s">
        <v>5097</v>
      </c>
      <c r="U356" s="7" t="s">
        <v>514</v>
      </c>
      <c r="V356" s="1" t="s">
        <v>497</v>
      </c>
      <c r="W356" s="7" t="s">
        <v>5098</v>
      </c>
      <c r="X356" s="7" t="s">
        <v>5099</v>
      </c>
      <c r="Y356" s="1"/>
      <c r="Z356" s="4">
        <v>3242.0</v>
      </c>
      <c r="AA356" s="4">
        <v>144.0</v>
      </c>
      <c r="AB356" s="4">
        <v>432.0</v>
      </c>
      <c r="AC356" s="4">
        <v>62100.0</v>
      </c>
      <c r="AD356" s="1" t="s">
        <v>5100</v>
      </c>
      <c r="AE356" s="1" t="s">
        <v>5101</v>
      </c>
      <c r="AF356" s="1"/>
      <c r="AG356" s="1"/>
      <c r="AH356" s="1"/>
      <c r="AI356" s="1"/>
      <c r="AJ356" s="1"/>
      <c r="AK356" s="1"/>
      <c r="AL356" s="1">
        <f>IFERROR(__xludf.DUMMYFUNCTION("IF(
  TRIM(AD356)="""",
  0,
  COUNTA(
    SPLIT(
      REGEXREPLACE(AD356,""\s*,\s*"","",""),
      "",""
    )
  )
)"),15.0)</f>
        <v>15</v>
      </c>
    </row>
    <row r="357">
      <c r="A357" s="1" t="s">
        <v>5102</v>
      </c>
      <c r="B357" s="1" t="s">
        <v>5102</v>
      </c>
      <c r="C357" s="1" t="s">
        <v>5103</v>
      </c>
      <c r="D357" s="1" t="s">
        <v>5103</v>
      </c>
      <c r="E357" s="4">
        <v>15400.0</v>
      </c>
      <c r="F357" s="4">
        <v>8776.0</v>
      </c>
      <c r="G357" s="4">
        <v>990.0</v>
      </c>
      <c r="H357" s="7" t="s">
        <v>5104</v>
      </c>
      <c r="I357" s="1" t="s">
        <v>5105</v>
      </c>
      <c r="J357" s="1" t="s">
        <v>5106</v>
      </c>
      <c r="K357" s="9">
        <v>45878.54131944444</v>
      </c>
      <c r="L357" s="4">
        <v>1.75474437E9</v>
      </c>
      <c r="M357" s="1" t="s">
        <v>47</v>
      </c>
      <c r="N357" s="1" t="s">
        <v>47</v>
      </c>
      <c r="O357" s="1" t="s">
        <v>47</v>
      </c>
      <c r="P357" s="1" t="s">
        <v>47</v>
      </c>
      <c r="Q357" s="1" t="s">
        <v>47</v>
      </c>
      <c r="R357" s="1" t="s">
        <v>48</v>
      </c>
      <c r="S357" s="1" t="s">
        <v>5107</v>
      </c>
      <c r="T357" s="7" t="s">
        <v>5108</v>
      </c>
      <c r="U357" s="7" t="s">
        <v>5109</v>
      </c>
      <c r="V357" s="1" t="s">
        <v>5103</v>
      </c>
      <c r="W357" s="7" t="s">
        <v>5110</v>
      </c>
      <c r="X357" s="7" t="s">
        <v>5111</v>
      </c>
      <c r="Y357" s="1"/>
      <c r="Z357" s="4">
        <v>1459.0</v>
      </c>
      <c r="AA357" s="4">
        <v>93.0</v>
      </c>
      <c r="AB357" s="4">
        <v>917.0</v>
      </c>
      <c r="AC357" s="4">
        <v>41500.0</v>
      </c>
      <c r="AD357" s="1" t="s">
        <v>5112</v>
      </c>
      <c r="AE357" s="1" t="s">
        <v>5112</v>
      </c>
      <c r="AF357" s="1"/>
      <c r="AG357" s="1"/>
      <c r="AH357" s="1"/>
      <c r="AI357" s="1"/>
      <c r="AJ357" s="1"/>
      <c r="AK357" s="1"/>
      <c r="AL357" s="1">
        <f>IFERROR(__xludf.DUMMYFUNCTION("IF(
  TRIM(AD357)="""",
  0,
  COUNTA(
    SPLIT(
      REGEXREPLACE(AD357,""\s*,\s*"","",""),
      "",""
    )
  )
)"),15.0)</f>
        <v>15</v>
      </c>
    </row>
    <row r="358">
      <c r="A358" s="1" t="s">
        <v>4181</v>
      </c>
      <c r="B358" s="1" t="s">
        <v>4181</v>
      </c>
      <c r="C358" s="1" t="s">
        <v>2463</v>
      </c>
      <c r="D358" s="1" t="s">
        <v>2463</v>
      </c>
      <c r="E358" s="4">
        <v>18900.0</v>
      </c>
      <c r="F358" s="4">
        <v>526.0</v>
      </c>
      <c r="G358" s="4">
        <v>169.0</v>
      </c>
      <c r="H358" s="7" t="s">
        <v>5113</v>
      </c>
      <c r="I358" s="1" t="s">
        <v>4182</v>
      </c>
      <c r="J358" s="1" t="s">
        <v>4183</v>
      </c>
      <c r="K358" s="9">
        <v>45521.088784722226</v>
      </c>
      <c r="L358" s="4">
        <v>1.723860471E9</v>
      </c>
      <c r="M358" s="1" t="s">
        <v>47</v>
      </c>
      <c r="N358" s="1" t="s">
        <v>47</v>
      </c>
      <c r="O358" s="1" t="s">
        <v>47</v>
      </c>
      <c r="P358" s="1" t="s">
        <v>47</v>
      </c>
      <c r="Q358" s="1" t="s">
        <v>47</v>
      </c>
      <c r="R358" s="1" t="s">
        <v>48</v>
      </c>
      <c r="S358" s="1" t="s">
        <v>4184</v>
      </c>
      <c r="T358" s="7" t="s">
        <v>5114</v>
      </c>
      <c r="U358" s="7" t="s">
        <v>5115</v>
      </c>
      <c r="V358" s="1" t="s">
        <v>2463</v>
      </c>
      <c r="W358" s="7" t="s">
        <v>5116</v>
      </c>
      <c r="X358" s="7" t="s">
        <v>4193</v>
      </c>
      <c r="Y358" s="1"/>
      <c r="Z358" s="4">
        <v>989.0</v>
      </c>
      <c r="AA358" s="4">
        <v>12.0</v>
      </c>
      <c r="AB358" s="4">
        <v>106.0</v>
      </c>
      <c r="AC358" s="4">
        <v>27700.0</v>
      </c>
      <c r="AD358" s="1" t="s">
        <v>4195</v>
      </c>
      <c r="AE358" s="1" t="s">
        <v>4197</v>
      </c>
      <c r="AF358" s="1"/>
      <c r="AG358" s="1"/>
      <c r="AH358" s="1"/>
      <c r="AI358" s="1"/>
      <c r="AJ358" s="1"/>
      <c r="AK358" s="1"/>
      <c r="AL358" s="1">
        <f>IFERROR(__xludf.DUMMYFUNCTION("IF(
  TRIM(AD358)="""",
  0,
  COUNTA(
    SPLIT(
      REGEXREPLACE(AD358,""\s*,\s*"","",""),
      "",""
    )
  )
)"),15.0)</f>
        <v>15</v>
      </c>
    </row>
    <row r="359">
      <c r="A359" s="1" t="s">
        <v>5117</v>
      </c>
      <c r="B359" s="1" t="s">
        <v>5117</v>
      </c>
      <c r="C359" s="1" t="s">
        <v>5083</v>
      </c>
      <c r="D359" s="1" t="s">
        <v>5084</v>
      </c>
      <c r="E359" s="4">
        <v>5802.0</v>
      </c>
      <c r="F359" s="4">
        <v>26.0</v>
      </c>
      <c r="G359" s="4">
        <v>332.0</v>
      </c>
      <c r="H359" s="7" t="s">
        <v>5085</v>
      </c>
      <c r="I359" s="1" t="s">
        <v>5118</v>
      </c>
      <c r="J359" s="1"/>
      <c r="K359" s="9">
        <v>45350.50480324074</v>
      </c>
      <c r="L359" s="4">
        <v>1.709122015E9</v>
      </c>
      <c r="M359" s="1" t="s">
        <v>47</v>
      </c>
      <c r="N359" s="1" t="s">
        <v>47</v>
      </c>
      <c r="O359" s="1" t="s">
        <v>47</v>
      </c>
      <c r="P359" s="1" t="s">
        <v>47</v>
      </c>
      <c r="Q359" s="1" t="s">
        <v>47</v>
      </c>
      <c r="R359" s="1" t="s">
        <v>48</v>
      </c>
      <c r="S359" s="1" t="s">
        <v>5119</v>
      </c>
      <c r="T359" s="7" t="s">
        <v>5120</v>
      </c>
      <c r="U359" s="7" t="s">
        <v>5089</v>
      </c>
      <c r="V359" s="1" t="s">
        <v>5084</v>
      </c>
      <c r="W359" s="7" t="s">
        <v>5121</v>
      </c>
      <c r="X359" s="7" t="s">
        <v>5122</v>
      </c>
      <c r="Y359" s="1"/>
      <c r="Z359" s="4">
        <v>890.0</v>
      </c>
      <c r="AA359" s="4">
        <v>34.0</v>
      </c>
      <c r="AB359" s="4">
        <v>207.0</v>
      </c>
      <c r="AC359" s="4">
        <v>13400.0</v>
      </c>
      <c r="AD359" s="1" t="s">
        <v>5092</v>
      </c>
      <c r="AE359" s="1" t="s">
        <v>5092</v>
      </c>
      <c r="AF359" s="1"/>
      <c r="AG359" s="1"/>
      <c r="AH359" s="1"/>
      <c r="AI359" s="1"/>
      <c r="AJ359" s="1"/>
      <c r="AK359" s="1"/>
      <c r="AL359" s="1">
        <f>IFERROR(__xludf.DUMMYFUNCTION("IF(
  TRIM(AD359)="""",
  0,
  COUNTA(
    SPLIT(
      REGEXREPLACE(AD359,""\s*,\s*"","",""),
      "",""
    )
  )
)"),15.0)</f>
        <v>15</v>
      </c>
    </row>
    <row r="360">
      <c r="A360" s="1" t="s">
        <v>5123</v>
      </c>
      <c r="B360" s="1" t="s">
        <v>5123</v>
      </c>
      <c r="C360" s="1" t="s">
        <v>2463</v>
      </c>
      <c r="D360" s="1" t="s">
        <v>2463</v>
      </c>
      <c r="E360" s="4">
        <v>18900.0</v>
      </c>
      <c r="F360" s="4">
        <v>526.0</v>
      </c>
      <c r="G360" s="4">
        <v>169.0</v>
      </c>
      <c r="H360" s="7" t="s">
        <v>5113</v>
      </c>
      <c r="I360" s="1" t="s">
        <v>5124</v>
      </c>
      <c r="J360" s="1" t="s">
        <v>5125</v>
      </c>
      <c r="K360" s="9">
        <v>45521.697060185186</v>
      </c>
      <c r="L360" s="4">
        <v>1.723913026E9</v>
      </c>
      <c r="M360" s="1" t="s">
        <v>47</v>
      </c>
      <c r="N360" s="1" t="s">
        <v>47</v>
      </c>
      <c r="O360" s="1" t="s">
        <v>47</v>
      </c>
      <c r="P360" s="1" t="s">
        <v>47</v>
      </c>
      <c r="Q360" s="1" t="s">
        <v>47</v>
      </c>
      <c r="R360" s="1" t="s">
        <v>48</v>
      </c>
      <c r="S360" s="1" t="s">
        <v>5126</v>
      </c>
      <c r="T360" s="7" t="s">
        <v>5127</v>
      </c>
      <c r="U360" s="7" t="s">
        <v>5115</v>
      </c>
      <c r="V360" s="1" t="s">
        <v>2463</v>
      </c>
      <c r="W360" s="7" t="s">
        <v>5128</v>
      </c>
      <c r="X360" s="7" t="s">
        <v>5129</v>
      </c>
      <c r="Y360" s="1"/>
      <c r="Z360" s="4">
        <v>11100.0</v>
      </c>
      <c r="AA360" s="4">
        <v>220.0</v>
      </c>
      <c r="AB360" s="4">
        <v>2987.0</v>
      </c>
      <c r="AC360" s="4">
        <v>276600.0</v>
      </c>
      <c r="AD360" s="1" t="s">
        <v>5130</v>
      </c>
      <c r="AE360" s="1" t="s">
        <v>5131</v>
      </c>
      <c r="AF360" s="1"/>
      <c r="AG360" s="1"/>
      <c r="AH360" s="1"/>
      <c r="AI360" s="1"/>
      <c r="AJ360" s="1"/>
      <c r="AK360" s="1"/>
      <c r="AL360" s="1">
        <f>IFERROR(__xludf.DUMMYFUNCTION("IF(
  TRIM(AD360)="""",
  0,
  COUNTA(
    SPLIT(
      REGEXREPLACE(AD360,""\s*,\s*"","",""),
      "",""
    )
  )
)"),16.0)</f>
        <v>16</v>
      </c>
    </row>
    <row r="361">
      <c r="A361" s="1" t="s">
        <v>4660</v>
      </c>
      <c r="B361" s="1" t="s">
        <v>4660</v>
      </c>
      <c r="C361" s="1" t="s">
        <v>4661</v>
      </c>
      <c r="D361" s="1" t="s">
        <v>4662</v>
      </c>
      <c r="E361" s="4">
        <v>1758.0</v>
      </c>
      <c r="F361" s="4">
        <v>1353.0</v>
      </c>
      <c r="G361" s="4">
        <v>475.0</v>
      </c>
      <c r="H361" s="7" t="s">
        <v>5132</v>
      </c>
      <c r="I361" s="1" t="s">
        <v>4666</v>
      </c>
      <c r="J361" s="1"/>
      <c r="K361" s="9">
        <v>45302.705925925926</v>
      </c>
      <c r="L361" s="4">
        <v>1.704992192E9</v>
      </c>
      <c r="M361" s="1" t="s">
        <v>47</v>
      </c>
      <c r="N361" s="1" t="s">
        <v>47</v>
      </c>
      <c r="O361" s="1" t="s">
        <v>47</v>
      </c>
      <c r="P361" s="1" t="s">
        <v>47</v>
      </c>
      <c r="Q361" s="1" t="s">
        <v>47</v>
      </c>
      <c r="R361" s="1" t="s">
        <v>204</v>
      </c>
      <c r="S361" s="1" t="s">
        <v>4667</v>
      </c>
      <c r="T361" s="7" t="s">
        <v>5133</v>
      </c>
      <c r="U361" s="7" t="s">
        <v>5134</v>
      </c>
      <c r="V361" s="1" t="s">
        <v>4672</v>
      </c>
      <c r="W361" s="7" t="s">
        <v>5135</v>
      </c>
      <c r="X361" s="7" t="s">
        <v>4676</v>
      </c>
      <c r="Y361" s="1"/>
      <c r="Z361" s="4">
        <v>153.0</v>
      </c>
      <c r="AA361" s="4">
        <v>0.0</v>
      </c>
      <c r="AB361" s="4">
        <v>85.0</v>
      </c>
      <c r="AC361" s="4">
        <v>23500.0</v>
      </c>
      <c r="AD361" s="1" t="s">
        <v>4677</v>
      </c>
      <c r="AE361" s="1" t="s">
        <v>4677</v>
      </c>
      <c r="AF361" s="1"/>
      <c r="AG361" s="1"/>
      <c r="AH361" s="1"/>
      <c r="AI361" s="1"/>
      <c r="AJ361" s="1"/>
      <c r="AK361" s="1"/>
      <c r="AL361" s="1">
        <f>IFERROR(__xludf.DUMMYFUNCTION("IF(
  TRIM(AD361)="""",
  0,
  COUNTA(
    SPLIT(
      REGEXREPLACE(AD361,""\s*,\s*"","",""),
      "",""
    )
  )
)"),16.0)</f>
        <v>16</v>
      </c>
    </row>
    <row r="362">
      <c r="A362" s="1" t="s">
        <v>1983</v>
      </c>
      <c r="B362" s="1" t="s">
        <v>1983</v>
      </c>
      <c r="C362" s="1" t="s">
        <v>497</v>
      </c>
      <c r="D362" s="1" t="s">
        <v>497</v>
      </c>
      <c r="E362" s="4">
        <v>210400.0</v>
      </c>
      <c r="F362" s="4">
        <v>1017.0</v>
      </c>
      <c r="G362" s="4">
        <v>461.0</v>
      </c>
      <c r="H362" s="7" t="s">
        <v>499</v>
      </c>
      <c r="I362" s="1" t="s">
        <v>1986</v>
      </c>
      <c r="J362" s="1"/>
      <c r="K362" s="9">
        <v>45554.493101851855</v>
      </c>
      <c r="L362" s="4">
        <v>1.726746604E9</v>
      </c>
      <c r="M362" s="1" t="s">
        <v>47</v>
      </c>
      <c r="N362" s="1" t="s">
        <v>47</v>
      </c>
      <c r="O362" s="1" t="s">
        <v>47</v>
      </c>
      <c r="P362" s="1" t="s">
        <v>47</v>
      </c>
      <c r="Q362" s="1" t="s">
        <v>47</v>
      </c>
      <c r="R362" s="1" t="s">
        <v>48</v>
      </c>
      <c r="S362" s="1" t="s">
        <v>1987</v>
      </c>
      <c r="T362" s="7" t="s">
        <v>5136</v>
      </c>
      <c r="U362" s="7" t="s">
        <v>514</v>
      </c>
      <c r="V362" s="1" t="s">
        <v>497</v>
      </c>
      <c r="W362" s="7" t="s">
        <v>5137</v>
      </c>
      <c r="X362" s="7" t="s">
        <v>1996</v>
      </c>
      <c r="Y362" s="1"/>
      <c r="Z362" s="4">
        <v>18000.0</v>
      </c>
      <c r="AA362" s="4">
        <v>554.0</v>
      </c>
      <c r="AB362" s="4">
        <v>2302.0</v>
      </c>
      <c r="AC362" s="4">
        <v>217200.0</v>
      </c>
      <c r="AD362" s="1" t="s">
        <v>1997</v>
      </c>
      <c r="AE362" s="1" t="s">
        <v>1998</v>
      </c>
      <c r="AF362" s="1"/>
      <c r="AG362" s="1"/>
      <c r="AH362" s="1" t="s">
        <v>300</v>
      </c>
      <c r="AI362" s="1"/>
      <c r="AJ362" s="1"/>
      <c r="AK362" s="1"/>
      <c r="AL362" s="1">
        <f>IFERROR(__xludf.DUMMYFUNCTION("IF(
  TRIM(AD362)="""",
  0,
  COUNTA(
    SPLIT(
      REGEXREPLACE(AD362,""\s*,\s*"","",""),
      "",""
    )
  )
)"),17.0)</f>
        <v>17</v>
      </c>
    </row>
    <row r="363">
      <c r="A363" s="1" t="s">
        <v>552</v>
      </c>
      <c r="B363" s="1" t="s">
        <v>552</v>
      </c>
      <c r="C363" s="1" t="s">
        <v>553</v>
      </c>
      <c r="D363" s="1" t="s">
        <v>554</v>
      </c>
      <c r="E363" s="4">
        <v>98100.0</v>
      </c>
      <c r="F363" s="4">
        <v>577.0</v>
      </c>
      <c r="G363" s="4">
        <v>44.0</v>
      </c>
      <c r="H363" s="7" t="s">
        <v>5138</v>
      </c>
      <c r="I363" s="1" t="s">
        <v>557</v>
      </c>
      <c r="J363" s="1" t="s">
        <v>279</v>
      </c>
      <c r="K363" s="9">
        <v>45805.857511574075</v>
      </c>
      <c r="L363" s="4">
        <v>1.748464489E9</v>
      </c>
      <c r="M363" s="1" t="s">
        <v>47</v>
      </c>
      <c r="N363" s="1" t="s">
        <v>47</v>
      </c>
      <c r="O363" s="1" t="s">
        <v>47</v>
      </c>
      <c r="P363" s="1" t="s">
        <v>47</v>
      </c>
      <c r="Q363" s="1" t="s">
        <v>47</v>
      </c>
      <c r="R363" s="1" t="s">
        <v>48</v>
      </c>
      <c r="S363" s="1" t="s">
        <v>558</v>
      </c>
      <c r="T363" s="7" t="s">
        <v>5139</v>
      </c>
      <c r="U363" s="7" t="s">
        <v>5140</v>
      </c>
      <c r="V363" s="1" t="s">
        <v>554</v>
      </c>
      <c r="W363" s="7" t="s">
        <v>5141</v>
      </c>
      <c r="X363" s="7" t="s">
        <v>565</v>
      </c>
      <c r="Y363" s="1"/>
      <c r="Z363" s="4">
        <v>121100.0</v>
      </c>
      <c r="AA363" s="4">
        <v>1652.0</v>
      </c>
      <c r="AB363" s="4">
        <v>59000.0</v>
      </c>
      <c r="AC363" s="4">
        <v>3700000.0</v>
      </c>
      <c r="AD363" s="1" t="s">
        <v>567</v>
      </c>
      <c r="AE363" s="1" t="s">
        <v>567</v>
      </c>
      <c r="AF363" s="1"/>
      <c r="AG363" s="1"/>
      <c r="AH363" s="1"/>
      <c r="AI363" s="1"/>
      <c r="AJ363" s="1"/>
      <c r="AK363" s="1"/>
      <c r="AL363" s="1">
        <f>IFERROR(__xludf.DUMMYFUNCTION("IF(
  TRIM(AD363)="""",
  0,
  COUNTA(
    SPLIT(
      REGEXREPLACE(AD363,""\s*,\s*"","",""),
      "",""
    )
  )
)"),19.0)</f>
        <v>19</v>
      </c>
    </row>
    <row r="364">
      <c r="A364" s="1" t="s">
        <v>5142</v>
      </c>
      <c r="B364" s="1" t="s">
        <v>5142</v>
      </c>
      <c r="C364" s="1" t="s">
        <v>5143</v>
      </c>
      <c r="D364" s="1" t="s">
        <v>5144</v>
      </c>
      <c r="E364" s="4">
        <v>118700.0</v>
      </c>
      <c r="F364" s="4">
        <v>411.0</v>
      </c>
      <c r="G364" s="4">
        <v>449.0</v>
      </c>
      <c r="H364" s="7" t="s">
        <v>5145</v>
      </c>
      <c r="I364" s="1" t="s">
        <v>5146</v>
      </c>
      <c r="J364" s="1"/>
      <c r="K364" s="9">
        <v>45804.333333333336</v>
      </c>
      <c r="L364" s="4">
        <v>1.7483328E9</v>
      </c>
      <c r="M364" s="1" t="s">
        <v>47</v>
      </c>
      <c r="N364" s="1" t="s">
        <v>47</v>
      </c>
      <c r="O364" s="1" t="s">
        <v>47</v>
      </c>
      <c r="P364" s="1" t="s">
        <v>47</v>
      </c>
      <c r="Q364" s="1" t="s">
        <v>47</v>
      </c>
      <c r="R364" s="1" t="s">
        <v>5147</v>
      </c>
      <c r="S364" s="1" t="s">
        <v>5148</v>
      </c>
      <c r="T364" s="7" t="s">
        <v>5149</v>
      </c>
      <c r="U364" s="7" t="s">
        <v>5150</v>
      </c>
      <c r="V364" s="1" t="s">
        <v>5144</v>
      </c>
      <c r="W364" s="7" t="s">
        <v>5151</v>
      </c>
      <c r="X364" s="7" t="s">
        <v>5152</v>
      </c>
      <c r="Y364" s="1"/>
      <c r="Z364" s="4">
        <v>5830.0</v>
      </c>
      <c r="AA364" s="4">
        <v>87.0</v>
      </c>
      <c r="AB364" s="4">
        <v>1115.0</v>
      </c>
      <c r="AC364" s="4">
        <v>136700.0</v>
      </c>
      <c r="AD364" s="1" t="s">
        <v>5153</v>
      </c>
      <c r="AE364" s="1" t="s">
        <v>5153</v>
      </c>
      <c r="AF364" s="1"/>
      <c r="AG364" s="1"/>
      <c r="AH364" s="1"/>
      <c r="AI364" s="1"/>
      <c r="AJ364" s="1"/>
      <c r="AK364" s="1"/>
      <c r="AL364" s="1">
        <f>IFERROR(__xludf.DUMMYFUNCTION("IF(
  TRIM(AD364)="""",
  0,
  COUNTA(
    SPLIT(
      REGEXREPLACE(AD364,""\s*,\s*"","",""),
      "",""
    )
  )
)"),19.0)</f>
        <v>19</v>
      </c>
    </row>
    <row r="365">
      <c r="A365" s="1" t="s">
        <v>1665</v>
      </c>
      <c r="B365" s="1" t="s">
        <v>1665</v>
      </c>
      <c r="C365" s="1" t="s">
        <v>1666</v>
      </c>
      <c r="D365" s="1" t="s">
        <v>1667</v>
      </c>
      <c r="E365" s="4">
        <v>69700.0</v>
      </c>
      <c r="F365" s="4">
        <v>63.0</v>
      </c>
      <c r="G365" s="4">
        <v>263.0</v>
      </c>
      <c r="H365" s="7" t="s">
        <v>4349</v>
      </c>
      <c r="I365" s="1" t="s">
        <v>1670</v>
      </c>
      <c r="J365" s="1" t="s">
        <v>1671</v>
      </c>
      <c r="K365" s="9">
        <v>45359.62494212963</v>
      </c>
      <c r="L365" s="4">
        <v>1.709909995E9</v>
      </c>
      <c r="M365" s="1" t="s">
        <v>47</v>
      </c>
      <c r="N365" s="1" t="s">
        <v>47</v>
      </c>
      <c r="O365" s="1" t="s">
        <v>47</v>
      </c>
      <c r="P365" s="1" t="s">
        <v>47</v>
      </c>
      <c r="Q365" s="1" t="s">
        <v>47</v>
      </c>
      <c r="R365" s="1" t="s">
        <v>1672</v>
      </c>
      <c r="S365" s="1" t="s">
        <v>1673</v>
      </c>
      <c r="T365" s="7" t="s">
        <v>1674</v>
      </c>
      <c r="U365" s="7" t="s">
        <v>1675</v>
      </c>
      <c r="V365" s="1" t="s">
        <v>1676</v>
      </c>
      <c r="W365" s="7" t="s">
        <v>5154</v>
      </c>
      <c r="X365" s="7" t="s">
        <v>1683</v>
      </c>
      <c r="Y365" s="1"/>
      <c r="Z365" s="4">
        <v>25900.0</v>
      </c>
      <c r="AA365" s="4">
        <v>671.0</v>
      </c>
      <c r="AB365" s="4">
        <v>8424.0</v>
      </c>
      <c r="AC365" s="4">
        <v>512900.0</v>
      </c>
      <c r="AD365" s="1" t="s">
        <v>1684</v>
      </c>
      <c r="AE365" s="1" t="s">
        <v>1684</v>
      </c>
      <c r="AF365" s="1"/>
      <c r="AG365" s="1"/>
      <c r="AH365" s="1"/>
      <c r="AI365" s="1"/>
      <c r="AJ365" s="1"/>
      <c r="AK365" s="1"/>
      <c r="AL365" s="1">
        <f>IFERROR(__xludf.DUMMYFUNCTION("IF(
  TRIM(AD365)="""",
  0,
  COUNTA(
    SPLIT(
      REGEXREPLACE(AD365,""\s*,\s*"","",""),
      "",""
    )
  )
)"),20.0)</f>
        <v>20</v>
      </c>
    </row>
    <row r="366">
      <c r="A366" s="1" t="s">
        <v>732</v>
      </c>
      <c r="B366" s="1" t="s">
        <v>732</v>
      </c>
      <c r="C366" s="1" t="s">
        <v>123</v>
      </c>
      <c r="D366" s="1" t="s">
        <v>124</v>
      </c>
      <c r="E366" s="4">
        <v>254700.0</v>
      </c>
      <c r="F366" s="4">
        <v>364.0</v>
      </c>
      <c r="G366" s="4">
        <v>684.0</v>
      </c>
      <c r="H366" s="7" t="s">
        <v>3652</v>
      </c>
      <c r="I366" s="1" t="s">
        <v>733</v>
      </c>
      <c r="J366" s="1" t="s">
        <v>734</v>
      </c>
      <c r="K366" s="9">
        <v>45176.64258101852</v>
      </c>
      <c r="L366" s="4">
        <v>1.694100319E9</v>
      </c>
      <c r="M366" s="1" t="s">
        <v>47</v>
      </c>
      <c r="N366" s="1" t="s">
        <v>47</v>
      </c>
      <c r="O366" s="1" t="s">
        <v>47</v>
      </c>
      <c r="P366" s="1" t="s">
        <v>47</v>
      </c>
      <c r="Q366" s="1" t="s">
        <v>47</v>
      </c>
      <c r="R366" s="1" t="s">
        <v>48</v>
      </c>
      <c r="S366" s="1" t="s">
        <v>735</v>
      </c>
      <c r="T366" s="7" t="s">
        <v>5155</v>
      </c>
      <c r="U366" s="7" t="s">
        <v>3557</v>
      </c>
      <c r="V366" s="1" t="s">
        <v>124</v>
      </c>
      <c r="W366" s="7" t="s">
        <v>5156</v>
      </c>
      <c r="X366" s="7" t="s">
        <v>741</v>
      </c>
      <c r="Y366" s="1"/>
      <c r="Z366" s="4">
        <v>97200.0</v>
      </c>
      <c r="AA366" s="4">
        <v>1743.0</v>
      </c>
      <c r="AB366" s="4">
        <v>17900.0</v>
      </c>
      <c r="AC366" s="4">
        <v>1100000.0</v>
      </c>
      <c r="AD366" s="1" t="s">
        <v>743</v>
      </c>
      <c r="AE366" s="1" t="s">
        <v>744</v>
      </c>
      <c r="AF366" s="1"/>
      <c r="AG366" s="1"/>
      <c r="AH366" s="1"/>
      <c r="AI366" s="1"/>
      <c r="AJ366" s="1"/>
      <c r="AK366" s="1"/>
      <c r="AL366" s="1">
        <f>IFERROR(__xludf.DUMMYFUNCTION("IF(
  TRIM(AD366)="""",
  0,
  COUNTA(
    SPLIT(
      REGEXREPLACE(AD366,""\s*,\s*"","",""),
      "",""
    )
  )
)"),21.0)</f>
        <v>21</v>
      </c>
    </row>
    <row r="367">
      <c r="A367" s="1" t="s">
        <v>5157</v>
      </c>
      <c r="B367" s="1" t="s">
        <v>5157</v>
      </c>
      <c r="C367" s="1" t="s">
        <v>5158</v>
      </c>
      <c r="D367" s="1" t="s">
        <v>5159</v>
      </c>
      <c r="E367" s="4">
        <v>67600.0</v>
      </c>
      <c r="F367" s="4">
        <v>444.0</v>
      </c>
      <c r="G367" s="4">
        <v>235.0</v>
      </c>
      <c r="H367" s="7" t="s">
        <v>5160</v>
      </c>
      <c r="I367" s="1" t="s">
        <v>5161</v>
      </c>
      <c r="J367" s="1"/>
      <c r="K367" s="9">
        <v>45746.856574074074</v>
      </c>
      <c r="L367" s="4">
        <v>1.743366808E9</v>
      </c>
      <c r="M367" s="1" t="s">
        <v>47</v>
      </c>
      <c r="N367" s="1" t="s">
        <v>47</v>
      </c>
      <c r="O367" s="1" t="s">
        <v>47</v>
      </c>
      <c r="P367" s="1" t="s">
        <v>47</v>
      </c>
      <c r="Q367" s="1" t="s">
        <v>47</v>
      </c>
      <c r="R367" s="1" t="s">
        <v>4645</v>
      </c>
      <c r="S367" s="1" t="s">
        <v>5162</v>
      </c>
      <c r="T367" s="7" t="s">
        <v>5163</v>
      </c>
      <c r="U367" s="7" t="s">
        <v>5164</v>
      </c>
      <c r="V367" s="1" t="s">
        <v>5159</v>
      </c>
      <c r="W367" s="7" t="s">
        <v>5165</v>
      </c>
      <c r="X367" s="7" t="s">
        <v>5166</v>
      </c>
      <c r="Y367" s="1"/>
      <c r="Z367" s="4">
        <v>48600.0</v>
      </c>
      <c r="AA367" s="4">
        <v>2791.0</v>
      </c>
      <c r="AB367" s="4">
        <v>12900.0</v>
      </c>
      <c r="AC367" s="4">
        <v>1700000.0</v>
      </c>
      <c r="AD367" s="1" t="s">
        <v>5167</v>
      </c>
      <c r="AE367" s="1" t="s">
        <v>5167</v>
      </c>
      <c r="AF367" s="1"/>
      <c r="AG367" s="1"/>
      <c r="AH367" s="1"/>
      <c r="AI367" s="1"/>
      <c r="AJ367" s="1"/>
      <c r="AK367" s="1"/>
      <c r="AL367" s="1">
        <f>IFERROR(__xludf.DUMMYFUNCTION("IF(
  TRIM(AD367)="""",
  0,
  COUNTA(
    SPLIT(
      REGEXREPLACE(AD367,""\s*,\s*"","",""),
      "",""
    )
  )
)"),21.0)</f>
        <v>21</v>
      </c>
    </row>
    <row r="368">
      <c r="A368" s="1" t="s">
        <v>5168</v>
      </c>
      <c r="B368" s="1" t="s">
        <v>5168</v>
      </c>
      <c r="C368" s="1" t="s">
        <v>5169</v>
      </c>
      <c r="D368" s="1" t="s">
        <v>5170</v>
      </c>
      <c r="E368" s="4">
        <v>31600.0</v>
      </c>
      <c r="F368" s="4">
        <v>347.0</v>
      </c>
      <c r="G368" s="4">
        <v>519.0</v>
      </c>
      <c r="H368" s="7" t="s">
        <v>4349</v>
      </c>
      <c r="I368" s="1" t="s">
        <v>5171</v>
      </c>
      <c r="J368" s="1"/>
      <c r="K368" s="9">
        <v>45948.80217592593</v>
      </c>
      <c r="L368" s="4">
        <v>1.760814908E9</v>
      </c>
      <c r="M368" s="1" t="s">
        <v>47</v>
      </c>
      <c r="N368" s="1" t="s">
        <v>47</v>
      </c>
      <c r="O368" s="1" t="s">
        <v>47</v>
      </c>
      <c r="P368" s="1" t="s">
        <v>47</v>
      </c>
      <c r="Q368" s="1" t="s">
        <v>47</v>
      </c>
      <c r="R368" s="1" t="s">
        <v>942</v>
      </c>
      <c r="S368" s="1" t="s">
        <v>943</v>
      </c>
      <c r="T368" s="7" t="s">
        <v>944</v>
      </c>
      <c r="U368" s="7" t="s">
        <v>3942</v>
      </c>
      <c r="V368" s="1" t="s">
        <v>951</v>
      </c>
      <c r="W368" s="7" t="s">
        <v>5172</v>
      </c>
      <c r="X368" s="7" t="s">
        <v>5173</v>
      </c>
      <c r="Y368" s="1"/>
      <c r="Z368" s="4">
        <v>6179.0</v>
      </c>
      <c r="AA368" s="4">
        <v>77.0</v>
      </c>
      <c r="AB368" s="4">
        <v>1403.0</v>
      </c>
      <c r="AC368" s="4">
        <v>161000.0</v>
      </c>
      <c r="AD368" s="1" t="s">
        <v>5174</v>
      </c>
      <c r="AE368" s="1" t="s">
        <v>5174</v>
      </c>
      <c r="AF368" s="1"/>
      <c r="AG368" s="1"/>
      <c r="AH368" s="1"/>
      <c r="AI368" s="1"/>
      <c r="AJ368" s="1"/>
      <c r="AK368" s="1"/>
      <c r="AL368" s="1">
        <f>IFERROR(__xludf.DUMMYFUNCTION("IF(
  TRIM(AD368)="""",
  0,
  COUNTA(
    SPLIT(
      REGEXREPLACE(AD368,""\s*,\s*"","",""),
      "",""
    )
  )
)"),22.0)</f>
        <v>22</v>
      </c>
    </row>
    <row r="369">
      <c r="A369" s="1" t="s">
        <v>3632</v>
      </c>
      <c r="B369" s="1" t="s">
        <v>3632</v>
      </c>
      <c r="C369" s="1" t="s">
        <v>3633</v>
      </c>
      <c r="D369" s="1" t="s">
        <v>3634</v>
      </c>
      <c r="E369" s="4">
        <v>180900.0</v>
      </c>
      <c r="F369" s="4">
        <v>1786.0</v>
      </c>
      <c r="G369" s="4">
        <v>2843.0</v>
      </c>
      <c r="H369" s="7" t="s">
        <v>5175</v>
      </c>
      <c r="I369" s="1" t="s">
        <v>3641</v>
      </c>
      <c r="J369" s="1"/>
      <c r="K369" s="9">
        <v>45106.42369212963</v>
      </c>
      <c r="L369" s="4">
        <v>1.688033407E9</v>
      </c>
      <c r="M369" s="1" t="s">
        <v>47</v>
      </c>
      <c r="N369" s="1" t="s">
        <v>47</v>
      </c>
      <c r="O369" s="1" t="s">
        <v>47</v>
      </c>
      <c r="P369" s="1" t="s">
        <v>47</v>
      </c>
      <c r="Q369" s="1" t="s">
        <v>47</v>
      </c>
      <c r="R369" s="1" t="s">
        <v>48</v>
      </c>
      <c r="S369" s="1" t="s">
        <v>3644</v>
      </c>
      <c r="T369" s="7" t="s">
        <v>5176</v>
      </c>
      <c r="U369" s="7" t="s">
        <v>5177</v>
      </c>
      <c r="V369" s="1" t="s">
        <v>3634</v>
      </c>
      <c r="W369" s="7" t="s">
        <v>5178</v>
      </c>
      <c r="X369" s="7" t="s">
        <v>3656</v>
      </c>
      <c r="Y369" s="1"/>
      <c r="Z369" s="4">
        <v>2849.0</v>
      </c>
      <c r="AA369" s="4">
        <v>184.0</v>
      </c>
      <c r="AB369" s="4">
        <v>156.0</v>
      </c>
      <c r="AC369" s="4">
        <v>64800.0</v>
      </c>
      <c r="AD369" s="1" t="s">
        <v>3657</v>
      </c>
      <c r="AE369" s="1" t="s">
        <v>3658</v>
      </c>
      <c r="AF369" s="1"/>
      <c r="AG369" s="1"/>
      <c r="AH369" s="1"/>
      <c r="AI369" s="1"/>
      <c r="AJ369" s="1"/>
      <c r="AK369" s="1"/>
      <c r="AL369" s="1">
        <f>IFERROR(__xludf.DUMMYFUNCTION("IF(
  TRIM(AD369)="""",
  0,
  COUNTA(
    SPLIT(
      REGEXREPLACE(AD369,""\s*,\s*"","",""),
      "",""
    )
  )
)"),34.0)</f>
        <v>34</v>
      </c>
    </row>
    <row r="370">
      <c r="A370" s="1" t="s">
        <v>4085</v>
      </c>
      <c r="B370" s="1" t="s">
        <v>4085</v>
      </c>
      <c r="C370" s="1" t="s">
        <v>3661</v>
      </c>
      <c r="D370" s="1" t="s">
        <v>3662</v>
      </c>
      <c r="E370" s="4">
        <v>113200.0</v>
      </c>
      <c r="F370" s="4">
        <v>2257.0</v>
      </c>
      <c r="G370" s="4">
        <v>265.0</v>
      </c>
      <c r="H370" s="7" t="s">
        <v>5179</v>
      </c>
      <c r="I370" s="1" t="s">
        <v>4089</v>
      </c>
      <c r="J370" s="1"/>
      <c r="K370" s="9">
        <v>45033.60690972222</v>
      </c>
      <c r="L370" s="4">
        <v>1.681742037E9</v>
      </c>
      <c r="M370" s="1" t="s">
        <v>47</v>
      </c>
      <c r="N370" s="1" t="s">
        <v>47</v>
      </c>
      <c r="O370" s="1" t="s">
        <v>47</v>
      </c>
      <c r="P370" s="1" t="s">
        <v>47</v>
      </c>
      <c r="Q370" s="1" t="s">
        <v>47</v>
      </c>
      <c r="R370" s="1" t="s">
        <v>48</v>
      </c>
      <c r="S370" s="1" t="s">
        <v>4090</v>
      </c>
      <c r="T370" s="7" t="s">
        <v>5180</v>
      </c>
      <c r="U370" s="7" t="s">
        <v>5181</v>
      </c>
      <c r="V370" s="1" t="s">
        <v>3662</v>
      </c>
      <c r="W370" s="7" t="s">
        <v>5182</v>
      </c>
      <c r="X370" s="7" t="s">
        <v>4095</v>
      </c>
      <c r="Y370" s="1"/>
      <c r="Z370" s="4">
        <v>1443.0</v>
      </c>
      <c r="AA370" s="4">
        <v>20.0</v>
      </c>
      <c r="AB370" s="4">
        <v>682.0</v>
      </c>
      <c r="AC370" s="4">
        <v>30100.0</v>
      </c>
      <c r="AD370" s="1" t="s">
        <v>4096</v>
      </c>
      <c r="AE370" s="1" t="s">
        <v>4097</v>
      </c>
      <c r="AF370" s="1"/>
      <c r="AG370" s="1"/>
      <c r="AH370" s="1"/>
      <c r="AI370" s="1"/>
      <c r="AJ370" s="1"/>
      <c r="AK370" s="1"/>
      <c r="AL370" s="1">
        <f>IFERROR(__xludf.DUMMYFUNCTION("IF(
  TRIM(AD370)="""",
  0,
  COUNTA(
    SPLIT(
      REGEXREPLACE(AD370,""\s*,\s*"","",""),
      "",""
    )
  )
)"),73.0)</f>
        <v>73</v>
      </c>
    </row>
    <row r="371">
      <c r="AL371" s="1"/>
    </row>
    <row r="372">
      <c r="AL372" s="1"/>
    </row>
    <row r="373">
      <c r="AL373" s="1"/>
    </row>
    <row r="374">
      <c r="AL374" s="1"/>
    </row>
    <row r="375">
      <c r="AL375" s="1"/>
    </row>
    <row r="376">
      <c r="AL376" s="1"/>
    </row>
    <row r="377">
      <c r="AL377" s="1"/>
    </row>
    <row r="378">
      <c r="AL378" s="1"/>
    </row>
    <row r="379">
      <c r="AL379" s="1"/>
    </row>
    <row r="380">
      <c r="AL380" s="1"/>
    </row>
    <row r="381">
      <c r="AL381" s="1"/>
    </row>
    <row r="382">
      <c r="AL382" s="1"/>
    </row>
    <row r="383">
      <c r="AL383" s="1"/>
    </row>
    <row r="384">
      <c r="AL384" s="1"/>
    </row>
    <row r="385">
      <c r="AL385" s="1"/>
    </row>
    <row r="386">
      <c r="AL386" s="1"/>
    </row>
    <row r="387">
      <c r="AL387" s="1"/>
    </row>
    <row r="388">
      <c r="AL388" s="1"/>
    </row>
    <row r="389">
      <c r="AL389" s="1"/>
    </row>
    <row r="390">
      <c r="AL390" s="1"/>
    </row>
    <row r="391">
      <c r="AL391" s="1"/>
    </row>
    <row r="392">
      <c r="AL392" s="1"/>
    </row>
    <row r="393">
      <c r="AL393" s="1"/>
    </row>
    <row r="394">
      <c r="AL394" s="1"/>
    </row>
    <row r="395">
      <c r="AL395" s="1"/>
    </row>
    <row r="396">
      <c r="AL396" s="1"/>
    </row>
    <row r="397">
      <c r="AL397" s="1"/>
    </row>
    <row r="398">
      <c r="AL398" s="1"/>
    </row>
    <row r="399">
      <c r="AL399" s="1"/>
    </row>
    <row r="400">
      <c r="AL400" s="1"/>
    </row>
    <row r="401">
      <c r="AL401" s="1"/>
    </row>
    <row r="402">
      <c r="AL402" s="1"/>
    </row>
    <row r="403">
      <c r="AL403" s="1"/>
    </row>
    <row r="404">
      <c r="AL404" s="1"/>
    </row>
    <row r="405">
      <c r="AL405" s="1"/>
    </row>
    <row r="406">
      <c r="AL406" s="1"/>
    </row>
    <row r="407">
      <c r="AL407" s="1"/>
    </row>
    <row r="408">
      <c r="AL408" s="1"/>
    </row>
    <row r="409">
      <c r="AL409" s="1"/>
    </row>
    <row r="410">
      <c r="AL410" s="1"/>
    </row>
    <row r="411">
      <c r="AL411" s="1"/>
    </row>
    <row r="412">
      <c r="AL412" s="1"/>
    </row>
    <row r="413">
      <c r="AL413" s="1"/>
    </row>
    <row r="414">
      <c r="AL414" s="1"/>
    </row>
    <row r="415">
      <c r="AL415" s="1"/>
    </row>
    <row r="416">
      <c r="AL416" s="1"/>
    </row>
  </sheetData>
  <autoFilter ref="$A$1:$AL$370">
    <sortState ref="A1:AL370">
      <sortCondition ref="AL1:AL370"/>
    </sortState>
  </autoFilter>
  <hyperlinks>
    <hyperlink r:id="rId1" ref="H2"/>
    <hyperlink r:id="rId2" ref="T2"/>
    <hyperlink r:id="rId3" ref="U2"/>
    <hyperlink r:id="rId4" ref="W2"/>
    <hyperlink r:id="rId5" ref="X2"/>
    <hyperlink r:id="rId6" ref="H3"/>
    <hyperlink r:id="rId7" ref="U3"/>
    <hyperlink r:id="rId8" ref="W3"/>
    <hyperlink r:id="rId9" ref="X3"/>
    <hyperlink r:id="rId10" ref="H4"/>
    <hyperlink r:id="rId11" ref="T4"/>
    <hyperlink r:id="rId12" ref="U4"/>
    <hyperlink r:id="rId13" ref="W4"/>
    <hyperlink r:id="rId14" ref="X4"/>
    <hyperlink r:id="rId15" ref="H5"/>
    <hyperlink r:id="rId16" ref="T5"/>
    <hyperlink r:id="rId17" ref="U5"/>
    <hyperlink r:id="rId18" ref="W5"/>
    <hyperlink r:id="rId19" ref="X5"/>
    <hyperlink r:id="rId20" ref="H6"/>
    <hyperlink r:id="rId21" ref="T6"/>
    <hyperlink r:id="rId22" ref="U6"/>
    <hyperlink r:id="rId23" ref="W6"/>
    <hyperlink r:id="rId24" ref="X6"/>
    <hyperlink r:id="rId25" ref="H7"/>
    <hyperlink r:id="rId26" ref="T7"/>
    <hyperlink r:id="rId27" ref="U7"/>
    <hyperlink r:id="rId28" ref="W7"/>
    <hyperlink r:id="rId29" ref="X7"/>
    <hyperlink r:id="rId30" ref="H8"/>
    <hyperlink r:id="rId31" ref="T8"/>
    <hyperlink r:id="rId32" ref="U8"/>
    <hyperlink r:id="rId33" ref="W8"/>
    <hyperlink r:id="rId34" ref="X8"/>
    <hyperlink r:id="rId35" ref="H9"/>
    <hyperlink r:id="rId36" ref="T9"/>
    <hyperlink r:id="rId37" ref="U9"/>
    <hyperlink r:id="rId38" ref="W9"/>
    <hyperlink r:id="rId39" ref="X9"/>
    <hyperlink r:id="rId40" ref="H10"/>
    <hyperlink r:id="rId41" ref="T10"/>
    <hyperlink r:id="rId42" ref="U10"/>
    <hyperlink r:id="rId43" ref="W10"/>
    <hyperlink r:id="rId44" ref="X10"/>
    <hyperlink r:id="rId45" ref="H11"/>
    <hyperlink r:id="rId46" ref="T11"/>
    <hyperlink r:id="rId47" ref="U11"/>
    <hyperlink r:id="rId48" ref="W11"/>
    <hyperlink r:id="rId49" ref="X11"/>
    <hyperlink r:id="rId50" ref="H12"/>
    <hyperlink r:id="rId51" ref="U12"/>
    <hyperlink r:id="rId52" ref="W12"/>
    <hyperlink r:id="rId53" ref="X12"/>
    <hyperlink r:id="rId54" ref="H13"/>
    <hyperlink r:id="rId55" ref="T13"/>
    <hyperlink r:id="rId56" ref="U13"/>
    <hyperlink r:id="rId57" ref="W13"/>
    <hyperlink r:id="rId58" ref="X13"/>
    <hyperlink r:id="rId59" ref="H14"/>
    <hyperlink r:id="rId60" ref="T14"/>
    <hyperlink r:id="rId61" ref="U14"/>
    <hyperlink r:id="rId62" ref="W14"/>
    <hyperlink r:id="rId63" ref="X14"/>
    <hyperlink r:id="rId64" ref="H15"/>
    <hyperlink r:id="rId65" ref="T15"/>
    <hyperlink r:id="rId66" ref="U15"/>
    <hyperlink r:id="rId67" ref="W15"/>
    <hyperlink r:id="rId68" ref="X15"/>
    <hyperlink r:id="rId69" ref="H16"/>
    <hyperlink r:id="rId70" ref="T16"/>
    <hyperlink r:id="rId71" ref="U16"/>
    <hyperlink r:id="rId72" ref="W16"/>
    <hyperlink r:id="rId73" ref="X16"/>
    <hyperlink r:id="rId74" ref="H17"/>
    <hyperlink r:id="rId75" ref="T17"/>
    <hyperlink r:id="rId76" ref="U17"/>
    <hyperlink r:id="rId77" ref="W17"/>
    <hyperlink r:id="rId78" ref="X17"/>
    <hyperlink r:id="rId79" ref="H18"/>
    <hyperlink r:id="rId80" ref="T18"/>
    <hyperlink r:id="rId81" ref="U18"/>
    <hyperlink r:id="rId82" ref="W18"/>
    <hyperlink r:id="rId83" ref="X18"/>
    <hyperlink r:id="rId84" ref="H19"/>
    <hyperlink r:id="rId85" ref="T19"/>
    <hyperlink r:id="rId86" ref="U19"/>
    <hyperlink r:id="rId87" ref="W19"/>
    <hyperlink r:id="rId88" ref="X19"/>
    <hyperlink r:id="rId89" ref="H20"/>
    <hyperlink r:id="rId90" ref="T20"/>
    <hyperlink r:id="rId91" ref="U20"/>
    <hyperlink r:id="rId92" ref="W20"/>
    <hyperlink r:id="rId93" ref="X20"/>
    <hyperlink r:id="rId94" ref="H21"/>
    <hyperlink r:id="rId95" ref="T21"/>
    <hyperlink r:id="rId96" ref="U21"/>
    <hyperlink r:id="rId97" ref="X21"/>
    <hyperlink r:id="rId98" ref="H22"/>
    <hyperlink r:id="rId99" ref="T22"/>
    <hyperlink r:id="rId100" ref="U22"/>
    <hyperlink r:id="rId101" ref="W22"/>
    <hyperlink r:id="rId102" ref="X22"/>
    <hyperlink r:id="rId103" ref="H23"/>
    <hyperlink r:id="rId104" ref="T23"/>
    <hyperlink r:id="rId105" ref="U23"/>
    <hyperlink r:id="rId106" ref="X23"/>
    <hyperlink r:id="rId107" ref="H24"/>
    <hyperlink r:id="rId108" ref="T24"/>
    <hyperlink r:id="rId109" ref="U24"/>
    <hyperlink r:id="rId110" ref="W24"/>
    <hyperlink r:id="rId111" ref="X24"/>
    <hyperlink r:id="rId112" ref="H25"/>
    <hyperlink r:id="rId113" ref="T25"/>
    <hyperlink r:id="rId114" ref="U25"/>
    <hyperlink r:id="rId115" ref="W25"/>
    <hyperlink r:id="rId116" ref="X25"/>
    <hyperlink r:id="rId117" ref="H26"/>
    <hyperlink r:id="rId118" ref="T26"/>
    <hyperlink r:id="rId119" ref="U26"/>
    <hyperlink r:id="rId120" ref="W26"/>
    <hyperlink r:id="rId121" ref="X26"/>
    <hyperlink r:id="rId122" ref="H27"/>
    <hyperlink r:id="rId123" ref="T27"/>
    <hyperlink r:id="rId124" ref="U27"/>
    <hyperlink r:id="rId125" ref="W27"/>
    <hyperlink r:id="rId126" ref="X27"/>
    <hyperlink r:id="rId127" ref="H28"/>
    <hyperlink r:id="rId128" ref="T28"/>
    <hyperlink r:id="rId129" ref="U28"/>
    <hyperlink r:id="rId130" ref="W28"/>
    <hyperlink r:id="rId131" ref="X28"/>
    <hyperlink r:id="rId132" ref="H29"/>
    <hyperlink r:id="rId133" ref="T29"/>
    <hyperlink r:id="rId134" ref="U29"/>
    <hyperlink r:id="rId135" ref="W29"/>
    <hyperlink r:id="rId136" ref="X29"/>
    <hyperlink r:id="rId137" ref="H30"/>
    <hyperlink r:id="rId138" ref="T30"/>
    <hyperlink r:id="rId139" ref="U30"/>
    <hyperlink r:id="rId140" ref="W30"/>
    <hyperlink r:id="rId141" ref="X30"/>
    <hyperlink r:id="rId142" ref="H31"/>
    <hyperlink r:id="rId143" ref="T31"/>
    <hyperlink r:id="rId144" ref="U31"/>
    <hyperlink r:id="rId145" ref="W31"/>
    <hyperlink r:id="rId146" ref="X31"/>
    <hyperlink r:id="rId147" ref="H32"/>
    <hyperlink r:id="rId148" ref="T32"/>
    <hyperlink r:id="rId149" ref="U32"/>
    <hyperlink r:id="rId150" ref="W32"/>
    <hyperlink r:id="rId151" ref="X32"/>
    <hyperlink r:id="rId152" ref="H33"/>
    <hyperlink r:id="rId153" ref="T33"/>
    <hyperlink r:id="rId154" ref="U33"/>
    <hyperlink r:id="rId155" ref="W33"/>
    <hyperlink r:id="rId156" ref="X33"/>
    <hyperlink r:id="rId157" ref="H34"/>
    <hyperlink r:id="rId158" ref="T34"/>
    <hyperlink r:id="rId159" ref="U34"/>
    <hyperlink r:id="rId160" ref="W34"/>
    <hyperlink r:id="rId161" ref="X34"/>
    <hyperlink r:id="rId162" ref="H35"/>
    <hyperlink r:id="rId163" ref="T35"/>
    <hyperlink r:id="rId164" ref="U35"/>
    <hyperlink r:id="rId165" ref="W35"/>
    <hyperlink r:id="rId166" ref="X35"/>
    <hyperlink r:id="rId167" ref="H36"/>
    <hyperlink r:id="rId168" ref="T36"/>
    <hyperlink r:id="rId169" ref="U36"/>
    <hyperlink r:id="rId170" ref="W36"/>
    <hyperlink r:id="rId171" ref="X36"/>
    <hyperlink r:id="rId172" ref="H37"/>
    <hyperlink r:id="rId173" ref="T37"/>
    <hyperlink r:id="rId174" ref="U37"/>
    <hyperlink r:id="rId175" ref="W37"/>
    <hyperlink r:id="rId176" ref="X37"/>
    <hyperlink r:id="rId177" ref="H38"/>
    <hyperlink r:id="rId178" ref="T38"/>
    <hyperlink r:id="rId179" ref="U38"/>
    <hyperlink r:id="rId180" ref="W38"/>
    <hyperlink r:id="rId181" ref="X38"/>
    <hyperlink r:id="rId182" ref="H39"/>
    <hyperlink r:id="rId183" ref="T39"/>
    <hyperlink r:id="rId184" ref="U39"/>
    <hyperlink r:id="rId185" ref="W39"/>
    <hyperlink r:id="rId186" ref="X39"/>
    <hyperlink r:id="rId187" ref="H40"/>
    <hyperlink r:id="rId188" ref="T40"/>
    <hyperlink r:id="rId189" ref="U40"/>
    <hyperlink r:id="rId190" ref="W40"/>
    <hyperlink r:id="rId191" ref="X40"/>
    <hyperlink r:id="rId192" ref="H41"/>
    <hyperlink r:id="rId193" ref="T41"/>
    <hyperlink r:id="rId194" ref="U41"/>
    <hyperlink r:id="rId195" ref="W41"/>
    <hyperlink r:id="rId196" ref="X41"/>
    <hyperlink r:id="rId197" ref="H42"/>
    <hyperlink r:id="rId198" ref="T42"/>
    <hyperlink r:id="rId199" ref="U42"/>
    <hyperlink r:id="rId200" ref="W42"/>
    <hyperlink r:id="rId201" ref="X42"/>
    <hyperlink r:id="rId202" ref="H43"/>
    <hyperlink r:id="rId203" ref="T43"/>
    <hyperlink r:id="rId204" ref="U43"/>
    <hyperlink r:id="rId205" ref="W43"/>
    <hyperlink r:id="rId206" ref="X43"/>
    <hyperlink r:id="rId207" ref="H44"/>
    <hyperlink r:id="rId208" ref="T44"/>
    <hyperlink r:id="rId209" ref="U44"/>
    <hyperlink r:id="rId210" ref="W44"/>
    <hyperlink r:id="rId211" ref="X44"/>
    <hyperlink r:id="rId212" ref="H45"/>
    <hyperlink r:id="rId213" ref="T45"/>
    <hyperlink r:id="rId214" ref="U45"/>
    <hyperlink r:id="rId215" ref="W45"/>
    <hyperlink r:id="rId216" ref="X45"/>
    <hyperlink r:id="rId217" ref="H46"/>
    <hyperlink r:id="rId218" ref="T46"/>
    <hyperlink r:id="rId219" ref="U46"/>
    <hyperlink r:id="rId220" ref="W46"/>
    <hyperlink r:id="rId221" ref="X46"/>
    <hyperlink r:id="rId222" ref="H47"/>
    <hyperlink r:id="rId223" ref="T47"/>
    <hyperlink r:id="rId224" ref="U47"/>
    <hyperlink r:id="rId225" ref="W47"/>
    <hyperlink r:id="rId226" ref="X47"/>
    <hyperlink r:id="rId227" ref="H48"/>
    <hyperlink r:id="rId228" ref="U48"/>
    <hyperlink r:id="rId229" ref="W48"/>
    <hyperlink r:id="rId230" ref="X48"/>
    <hyperlink r:id="rId231" ref="H49"/>
    <hyperlink r:id="rId232" ref="T49"/>
    <hyperlink r:id="rId233" ref="U49"/>
    <hyperlink r:id="rId234" ref="W49"/>
    <hyperlink r:id="rId235" ref="X49"/>
    <hyperlink r:id="rId236" ref="H50"/>
    <hyperlink r:id="rId237" ref="T50"/>
    <hyperlink r:id="rId238" ref="U50"/>
    <hyperlink r:id="rId239" ref="W50"/>
    <hyperlink r:id="rId240" ref="X50"/>
    <hyperlink r:id="rId241" ref="H51"/>
    <hyperlink r:id="rId242" ref="T51"/>
    <hyperlink r:id="rId243" ref="U51"/>
    <hyperlink r:id="rId244" ref="W51"/>
    <hyperlink r:id="rId245" ref="X51"/>
    <hyperlink r:id="rId246" ref="H52"/>
    <hyperlink r:id="rId247" ref="T52"/>
    <hyperlink r:id="rId248" ref="U52"/>
    <hyperlink r:id="rId249" ref="W52"/>
    <hyperlink r:id="rId250" ref="X52"/>
    <hyperlink r:id="rId251" ref="H53"/>
    <hyperlink r:id="rId252" ref="T53"/>
    <hyperlink r:id="rId253" ref="U53"/>
    <hyperlink r:id="rId254" ref="W53"/>
    <hyperlink r:id="rId255" ref="X53"/>
    <hyperlink r:id="rId256" ref="H54"/>
    <hyperlink r:id="rId257" ref="T54"/>
    <hyperlink r:id="rId258" ref="U54"/>
    <hyperlink r:id="rId259" ref="W54"/>
    <hyperlink r:id="rId260" ref="X54"/>
    <hyperlink r:id="rId261" ref="H55"/>
    <hyperlink r:id="rId262" ref="T55"/>
    <hyperlink r:id="rId263" ref="U55"/>
    <hyperlink r:id="rId264" ref="W55"/>
    <hyperlink r:id="rId265" ref="X55"/>
    <hyperlink r:id="rId266" ref="H56"/>
    <hyperlink r:id="rId267" ref="T56"/>
    <hyperlink r:id="rId268" ref="U56"/>
    <hyperlink r:id="rId269" ref="W56"/>
    <hyperlink r:id="rId270" ref="X56"/>
    <hyperlink r:id="rId271" ref="H57"/>
    <hyperlink r:id="rId272" ref="T57"/>
    <hyperlink r:id="rId273" ref="U57"/>
    <hyperlink r:id="rId274" ref="W57"/>
    <hyperlink r:id="rId275" ref="X57"/>
    <hyperlink r:id="rId276" ref="H58"/>
    <hyperlink r:id="rId277" ref="T58"/>
    <hyperlink r:id="rId278" ref="U58"/>
    <hyperlink r:id="rId279" ref="W58"/>
    <hyperlink r:id="rId280" ref="X58"/>
    <hyperlink r:id="rId281" ref="H59"/>
    <hyperlink r:id="rId282" ref="T59"/>
    <hyperlink r:id="rId283" ref="U59"/>
    <hyperlink r:id="rId284" ref="W59"/>
    <hyperlink r:id="rId285" ref="X59"/>
    <hyperlink r:id="rId286" ref="H60"/>
    <hyperlink r:id="rId287" ref="T60"/>
    <hyperlink r:id="rId288" ref="U60"/>
    <hyperlink r:id="rId289" ref="W60"/>
    <hyperlink r:id="rId290" ref="X60"/>
    <hyperlink r:id="rId291" ref="H61"/>
    <hyperlink r:id="rId292" ref="T61"/>
    <hyperlink r:id="rId293" ref="U61"/>
    <hyperlink r:id="rId294" ref="W61"/>
    <hyperlink r:id="rId295" ref="X61"/>
    <hyperlink r:id="rId296" ref="H62"/>
    <hyperlink r:id="rId297" ref="T62"/>
    <hyperlink r:id="rId298" ref="U62"/>
    <hyperlink r:id="rId299" ref="W62"/>
    <hyperlink r:id="rId300" ref="X62"/>
    <hyperlink r:id="rId301" ref="H63"/>
    <hyperlink r:id="rId302" ref="T63"/>
    <hyperlink r:id="rId303" ref="U63"/>
    <hyperlink r:id="rId304" ref="W63"/>
    <hyperlink r:id="rId305" ref="X63"/>
    <hyperlink r:id="rId306" ref="H64"/>
    <hyperlink r:id="rId307" ref="T64"/>
    <hyperlink r:id="rId308" ref="U64"/>
    <hyperlink r:id="rId309" ref="W64"/>
    <hyperlink r:id="rId310" ref="X64"/>
    <hyperlink r:id="rId311" ref="H65"/>
    <hyperlink r:id="rId312" ref="T65"/>
    <hyperlink r:id="rId313" ref="U65"/>
    <hyperlink r:id="rId314" ref="W65"/>
    <hyperlink r:id="rId315" ref="X65"/>
    <hyperlink r:id="rId316" ref="H66"/>
    <hyperlink r:id="rId317" ref="T66"/>
    <hyperlink r:id="rId318" ref="U66"/>
    <hyperlink r:id="rId319" ref="W66"/>
    <hyperlink r:id="rId320" ref="X66"/>
    <hyperlink r:id="rId321" ref="H67"/>
    <hyperlink r:id="rId322" ref="T67"/>
    <hyperlink r:id="rId323" ref="U67"/>
    <hyperlink r:id="rId324" ref="W67"/>
    <hyperlink r:id="rId325" ref="X67"/>
    <hyperlink r:id="rId326" ref="H68"/>
    <hyperlink r:id="rId327" ref="T68"/>
    <hyperlink r:id="rId328" ref="U68"/>
    <hyperlink r:id="rId329" ref="W68"/>
    <hyperlink r:id="rId330" ref="X68"/>
    <hyperlink r:id="rId331" ref="H69"/>
    <hyperlink r:id="rId332" ref="T69"/>
    <hyperlink r:id="rId333" ref="U69"/>
    <hyperlink r:id="rId334" ref="W69"/>
    <hyperlink r:id="rId335" ref="X69"/>
    <hyperlink r:id="rId336" ref="H70"/>
    <hyperlink r:id="rId337" ref="T70"/>
    <hyperlink r:id="rId338" ref="U70"/>
    <hyperlink r:id="rId339" ref="W70"/>
    <hyperlink r:id="rId340" ref="X70"/>
    <hyperlink r:id="rId341" ref="H71"/>
    <hyperlink r:id="rId342" ref="T71"/>
    <hyperlink r:id="rId343" ref="U71"/>
    <hyperlink r:id="rId344" ref="W71"/>
    <hyperlink r:id="rId345" ref="X71"/>
    <hyperlink r:id="rId346" ref="H72"/>
    <hyperlink r:id="rId347" ref="T72"/>
    <hyperlink r:id="rId348" ref="U72"/>
    <hyperlink r:id="rId349" ref="W72"/>
    <hyperlink r:id="rId350" ref="X72"/>
    <hyperlink r:id="rId351" ref="H73"/>
    <hyperlink r:id="rId352" ref="T73"/>
    <hyperlink r:id="rId353" ref="U73"/>
    <hyperlink r:id="rId354" ref="W73"/>
    <hyperlink r:id="rId355" ref="X73"/>
    <hyperlink r:id="rId356" ref="H74"/>
    <hyperlink r:id="rId357" ref="T74"/>
    <hyperlink r:id="rId358" ref="U74"/>
    <hyperlink r:id="rId359" ref="W74"/>
    <hyperlink r:id="rId360" ref="X74"/>
    <hyperlink r:id="rId361" ref="H75"/>
    <hyperlink r:id="rId362" ref="T75"/>
    <hyperlink r:id="rId363" ref="U75"/>
    <hyperlink r:id="rId364" ref="W75"/>
    <hyperlink r:id="rId365" ref="X75"/>
    <hyperlink r:id="rId366" ref="H76"/>
    <hyperlink r:id="rId367" ref="T76"/>
    <hyperlink r:id="rId368" ref="U76"/>
    <hyperlink r:id="rId369" ref="W76"/>
    <hyperlink r:id="rId370" ref="X76"/>
    <hyperlink r:id="rId371" ref="H77"/>
    <hyperlink r:id="rId372" ref="T77"/>
    <hyperlink r:id="rId373" ref="U77"/>
    <hyperlink r:id="rId374" ref="W77"/>
    <hyperlink r:id="rId375" ref="X77"/>
    <hyperlink r:id="rId376" ref="H78"/>
    <hyperlink r:id="rId377" ref="T78"/>
    <hyperlink r:id="rId378" ref="U78"/>
    <hyperlink r:id="rId379" ref="W78"/>
    <hyperlink r:id="rId380" ref="X78"/>
    <hyperlink r:id="rId381" ref="H79"/>
    <hyperlink r:id="rId382" ref="T79"/>
    <hyperlink r:id="rId383" ref="U79"/>
    <hyperlink r:id="rId384" ref="W79"/>
    <hyperlink r:id="rId385" ref="X79"/>
    <hyperlink r:id="rId386" ref="H80"/>
    <hyperlink r:id="rId387" ref="T80"/>
    <hyperlink r:id="rId388" ref="U80"/>
    <hyperlink r:id="rId389" ref="W80"/>
    <hyperlink r:id="rId390" ref="X80"/>
    <hyperlink r:id="rId391" ref="H81"/>
    <hyperlink r:id="rId392" ref="T81"/>
    <hyperlink r:id="rId393" ref="U81"/>
    <hyperlink r:id="rId394" ref="W81"/>
    <hyperlink r:id="rId395" ref="X81"/>
    <hyperlink r:id="rId396" ref="H82"/>
    <hyperlink r:id="rId397" ref="T82"/>
    <hyperlink r:id="rId398" ref="U82"/>
    <hyperlink r:id="rId399" ref="W82"/>
    <hyperlink r:id="rId400" ref="X82"/>
    <hyperlink r:id="rId401" ref="H83"/>
    <hyperlink r:id="rId402" ref="T83"/>
    <hyperlink r:id="rId403" ref="U83"/>
    <hyperlink r:id="rId404" ref="W83"/>
    <hyperlink r:id="rId405" ref="X83"/>
    <hyperlink r:id="rId406" ref="H84"/>
    <hyperlink r:id="rId407" ref="T84"/>
    <hyperlink r:id="rId408" ref="U84"/>
    <hyperlink r:id="rId409" ref="W84"/>
    <hyperlink r:id="rId410" ref="X84"/>
    <hyperlink r:id="rId411" ref="H85"/>
    <hyperlink r:id="rId412" ref="T85"/>
    <hyperlink r:id="rId413" ref="U85"/>
    <hyperlink r:id="rId414" ref="W85"/>
    <hyperlink r:id="rId415" ref="X85"/>
    <hyperlink r:id="rId416" ref="H86"/>
    <hyperlink r:id="rId417" ref="T86"/>
    <hyperlink r:id="rId418" ref="U86"/>
    <hyperlink r:id="rId419" ref="W86"/>
    <hyperlink r:id="rId420" ref="X86"/>
    <hyperlink r:id="rId421" ref="H87"/>
    <hyperlink r:id="rId422" ref="T87"/>
    <hyperlink r:id="rId423" ref="U87"/>
    <hyperlink r:id="rId424" ref="W87"/>
    <hyperlink r:id="rId425" ref="X87"/>
    <hyperlink r:id="rId426" ref="H88"/>
    <hyperlink r:id="rId427" ref="T88"/>
    <hyperlink r:id="rId428" ref="U88"/>
    <hyperlink r:id="rId429" ref="W88"/>
    <hyperlink r:id="rId430" ref="X88"/>
    <hyperlink r:id="rId431" ref="H89"/>
    <hyperlink r:id="rId432" ref="T89"/>
    <hyperlink r:id="rId433" ref="U89"/>
    <hyperlink r:id="rId434" ref="W89"/>
    <hyperlink r:id="rId435" ref="X89"/>
    <hyperlink r:id="rId436" ref="H90"/>
    <hyperlink r:id="rId437" ref="T90"/>
    <hyperlink r:id="rId438" ref="U90"/>
    <hyperlink r:id="rId439" ref="W90"/>
    <hyperlink r:id="rId440" ref="X90"/>
    <hyperlink r:id="rId441" ref="H91"/>
    <hyperlink r:id="rId442" ref="T91"/>
    <hyperlink r:id="rId443" ref="U91"/>
    <hyperlink r:id="rId444" ref="W91"/>
    <hyperlink r:id="rId445" ref="X91"/>
    <hyperlink r:id="rId446" ref="H92"/>
    <hyperlink r:id="rId447" ref="T92"/>
    <hyperlink r:id="rId448" ref="U92"/>
    <hyperlink r:id="rId449" ref="W92"/>
    <hyperlink r:id="rId450" ref="X92"/>
    <hyperlink r:id="rId451" ref="H93"/>
    <hyperlink r:id="rId452" ref="T93"/>
    <hyperlink r:id="rId453" ref="U93"/>
    <hyperlink r:id="rId454" ref="W93"/>
    <hyperlink r:id="rId455" ref="X93"/>
    <hyperlink r:id="rId456" ref="H94"/>
    <hyperlink r:id="rId457" ref="T94"/>
    <hyperlink r:id="rId458" ref="U94"/>
    <hyperlink r:id="rId459" ref="W94"/>
    <hyperlink r:id="rId460" ref="X94"/>
    <hyperlink r:id="rId461" ref="H95"/>
    <hyperlink r:id="rId462" ref="T95"/>
    <hyperlink r:id="rId463" ref="U95"/>
    <hyperlink r:id="rId464" ref="W95"/>
    <hyperlink r:id="rId465" ref="X95"/>
    <hyperlink r:id="rId466" ref="H96"/>
    <hyperlink r:id="rId467" ref="T96"/>
    <hyperlink r:id="rId468" ref="U96"/>
    <hyperlink r:id="rId469" ref="W96"/>
    <hyperlink r:id="rId470" ref="X96"/>
    <hyperlink r:id="rId471" ref="H97"/>
    <hyperlink r:id="rId472" ref="T97"/>
    <hyperlink r:id="rId473" ref="U97"/>
    <hyperlink r:id="rId474" ref="W97"/>
    <hyperlink r:id="rId475" ref="X97"/>
    <hyperlink r:id="rId476" ref="H98"/>
    <hyperlink r:id="rId477" ref="T98"/>
    <hyperlink r:id="rId478" ref="U98"/>
    <hyperlink r:id="rId479" ref="W98"/>
    <hyperlink r:id="rId480" ref="X98"/>
    <hyperlink r:id="rId481" ref="H99"/>
    <hyperlink r:id="rId482" ref="T99"/>
    <hyperlink r:id="rId483" ref="U99"/>
    <hyperlink r:id="rId484" ref="W99"/>
    <hyperlink r:id="rId485" ref="X99"/>
    <hyperlink r:id="rId486" ref="H100"/>
    <hyperlink r:id="rId487" ref="T100"/>
    <hyperlink r:id="rId488" ref="U100"/>
    <hyperlink r:id="rId489" ref="W100"/>
    <hyperlink r:id="rId490" ref="X100"/>
    <hyperlink r:id="rId491" ref="H101"/>
    <hyperlink r:id="rId492" ref="T101"/>
    <hyperlink r:id="rId493" ref="U101"/>
    <hyperlink r:id="rId494" ref="W101"/>
    <hyperlink r:id="rId495" ref="X101"/>
    <hyperlink r:id="rId496" ref="H102"/>
    <hyperlink r:id="rId497" ref="T102"/>
    <hyperlink r:id="rId498" ref="U102"/>
    <hyperlink r:id="rId499" ref="W102"/>
    <hyperlink r:id="rId500" ref="X102"/>
    <hyperlink r:id="rId501" ref="H103"/>
    <hyperlink r:id="rId502" ref="T103"/>
    <hyperlink r:id="rId503" ref="U103"/>
    <hyperlink r:id="rId504" ref="W103"/>
    <hyperlink r:id="rId505" ref="X103"/>
    <hyperlink r:id="rId506" ref="H104"/>
    <hyperlink r:id="rId507" ref="T104"/>
    <hyperlink r:id="rId508" ref="U104"/>
    <hyperlink r:id="rId509" ref="W104"/>
    <hyperlink r:id="rId510" ref="X104"/>
    <hyperlink r:id="rId511" ref="H105"/>
    <hyperlink r:id="rId512" ref="T105"/>
    <hyperlink r:id="rId513" ref="U105"/>
    <hyperlink r:id="rId514" ref="W105"/>
    <hyperlink r:id="rId515" ref="X105"/>
    <hyperlink r:id="rId516" ref="H106"/>
    <hyperlink r:id="rId517" ref="T106"/>
    <hyperlink r:id="rId518" ref="U106"/>
    <hyperlink r:id="rId519" ref="W106"/>
    <hyperlink r:id="rId520" ref="X106"/>
    <hyperlink r:id="rId521" ref="H107"/>
    <hyperlink r:id="rId522" ref="T107"/>
    <hyperlink r:id="rId523" ref="U107"/>
    <hyperlink r:id="rId524" ref="W107"/>
    <hyperlink r:id="rId525" ref="X107"/>
    <hyperlink r:id="rId526" ref="H108"/>
    <hyperlink r:id="rId527" ref="T108"/>
    <hyperlink r:id="rId528" ref="U108"/>
    <hyperlink r:id="rId529" ref="W108"/>
    <hyperlink r:id="rId530" ref="X108"/>
    <hyperlink r:id="rId531" ref="H109"/>
    <hyperlink r:id="rId532" ref="T109"/>
    <hyperlink r:id="rId533" ref="U109"/>
    <hyperlink r:id="rId534" ref="W109"/>
    <hyperlink r:id="rId535" ref="X109"/>
    <hyperlink r:id="rId536" ref="H110"/>
    <hyperlink r:id="rId537" ref="T110"/>
    <hyperlink r:id="rId538" ref="U110"/>
    <hyperlink r:id="rId539" ref="W110"/>
    <hyperlink r:id="rId540" ref="X110"/>
    <hyperlink r:id="rId541" ref="H111"/>
    <hyperlink r:id="rId542" ref="T111"/>
    <hyperlink r:id="rId543" ref="U111"/>
    <hyperlink r:id="rId544" ref="W111"/>
    <hyperlink r:id="rId545" ref="X111"/>
    <hyperlink r:id="rId546" ref="H112"/>
    <hyperlink r:id="rId547" ref="T112"/>
    <hyperlink r:id="rId548" ref="U112"/>
    <hyperlink r:id="rId549" ref="W112"/>
    <hyperlink r:id="rId550" ref="X112"/>
    <hyperlink r:id="rId551" ref="H113"/>
    <hyperlink r:id="rId552" ref="T113"/>
    <hyperlink r:id="rId553" ref="U113"/>
    <hyperlink r:id="rId554" ref="W113"/>
    <hyperlink r:id="rId555" ref="X113"/>
    <hyperlink r:id="rId556" ref="H114"/>
    <hyperlink r:id="rId557" ref="T114"/>
    <hyperlink r:id="rId558" ref="U114"/>
    <hyperlink r:id="rId559" ref="W114"/>
    <hyperlink r:id="rId560" ref="X114"/>
    <hyperlink r:id="rId561" ref="H115"/>
    <hyperlink r:id="rId562" ref="T115"/>
    <hyperlink r:id="rId563" ref="U115"/>
    <hyperlink r:id="rId564" ref="W115"/>
    <hyperlink r:id="rId565" ref="X115"/>
    <hyperlink r:id="rId566" ref="H116"/>
    <hyperlink r:id="rId567" ref="T116"/>
    <hyperlink r:id="rId568" ref="U116"/>
    <hyperlink r:id="rId569" ref="W116"/>
    <hyperlink r:id="rId570" ref="X116"/>
    <hyperlink r:id="rId571" ref="H117"/>
    <hyperlink r:id="rId572" ref="T117"/>
    <hyperlink r:id="rId573" ref="U117"/>
    <hyperlink r:id="rId574" ref="W117"/>
    <hyperlink r:id="rId575" ref="X117"/>
    <hyperlink r:id="rId576" ref="H118"/>
    <hyperlink r:id="rId577" ref="T118"/>
    <hyperlink r:id="rId578" ref="U118"/>
    <hyperlink r:id="rId579" ref="W118"/>
    <hyperlink r:id="rId580" ref="X118"/>
    <hyperlink r:id="rId581" ref="H119"/>
    <hyperlink r:id="rId582" ref="T119"/>
    <hyperlink r:id="rId583" ref="U119"/>
    <hyperlink r:id="rId584" ref="W119"/>
    <hyperlink r:id="rId585" ref="X119"/>
    <hyperlink r:id="rId586" ref="H120"/>
    <hyperlink r:id="rId587" ref="T120"/>
    <hyperlink r:id="rId588" ref="U120"/>
    <hyperlink r:id="rId589" ref="W120"/>
    <hyperlink r:id="rId590" ref="X120"/>
    <hyperlink r:id="rId591" ref="H121"/>
    <hyperlink r:id="rId592" ref="T121"/>
    <hyperlink r:id="rId593" ref="U121"/>
    <hyperlink r:id="rId594" ref="W121"/>
    <hyperlink r:id="rId595" ref="X121"/>
    <hyperlink r:id="rId596" ref="H122"/>
    <hyperlink r:id="rId597" ref="T122"/>
    <hyperlink r:id="rId598" ref="U122"/>
    <hyperlink r:id="rId599" ref="W122"/>
    <hyperlink r:id="rId600" ref="X122"/>
    <hyperlink r:id="rId601" ref="H123"/>
    <hyperlink r:id="rId602" ref="T123"/>
    <hyperlink r:id="rId603" ref="U123"/>
    <hyperlink r:id="rId604" ref="W123"/>
    <hyperlink r:id="rId605" ref="X123"/>
    <hyperlink r:id="rId606" ref="H124"/>
    <hyperlink r:id="rId607" ref="T124"/>
    <hyperlink r:id="rId608" ref="U124"/>
    <hyperlink r:id="rId609" ref="W124"/>
    <hyperlink r:id="rId610" ref="X124"/>
    <hyperlink r:id="rId611" ref="H125"/>
    <hyperlink r:id="rId612" ref="T125"/>
    <hyperlink r:id="rId613" ref="U125"/>
    <hyperlink r:id="rId614" ref="W125"/>
    <hyperlink r:id="rId615" ref="X125"/>
    <hyperlink r:id="rId616" ref="H126"/>
    <hyperlink r:id="rId617" ref="T126"/>
    <hyperlink r:id="rId618" ref="U126"/>
    <hyperlink r:id="rId619" ref="X126"/>
    <hyperlink r:id="rId620" ref="H127"/>
    <hyperlink r:id="rId621" ref="T127"/>
    <hyperlink r:id="rId622" ref="U127"/>
    <hyperlink r:id="rId623" ref="X127"/>
    <hyperlink r:id="rId624" ref="H128"/>
    <hyperlink r:id="rId625" ref="T128"/>
    <hyperlink r:id="rId626" ref="U128"/>
    <hyperlink r:id="rId627" ref="X128"/>
    <hyperlink r:id="rId628" ref="H129"/>
    <hyperlink r:id="rId629" ref="T129"/>
    <hyperlink r:id="rId630" ref="U129"/>
    <hyperlink r:id="rId631" ref="W129"/>
    <hyperlink r:id="rId632" ref="X129"/>
    <hyperlink r:id="rId633" ref="H130"/>
    <hyperlink r:id="rId634" ref="T130"/>
    <hyperlink r:id="rId635" ref="U130"/>
    <hyperlink r:id="rId636" ref="W130"/>
    <hyperlink r:id="rId637" ref="X130"/>
    <hyperlink r:id="rId638" ref="H131"/>
    <hyperlink r:id="rId639" ref="T131"/>
    <hyperlink r:id="rId640" ref="U131"/>
    <hyperlink r:id="rId641" ref="X131"/>
    <hyperlink r:id="rId642" ref="H132"/>
    <hyperlink r:id="rId643" ref="T132"/>
    <hyperlink r:id="rId644" ref="U132"/>
    <hyperlink r:id="rId645" ref="W132"/>
    <hyperlink r:id="rId646" ref="X132"/>
    <hyperlink r:id="rId647" ref="H133"/>
    <hyperlink r:id="rId648" ref="T133"/>
    <hyperlink r:id="rId649" ref="U133"/>
    <hyperlink r:id="rId650" ref="W133"/>
    <hyperlink r:id="rId651" ref="X133"/>
    <hyperlink r:id="rId652" ref="H134"/>
    <hyperlink r:id="rId653" ref="T134"/>
    <hyperlink r:id="rId654" ref="U134"/>
    <hyperlink r:id="rId655" ref="X134"/>
    <hyperlink r:id="rId656" ref="H135"/>
    <hyperlink r:id="rId657" ref="T135"/>
    <hyperlink r:id="rId658" ref="U135"/>
    <hyperlink r:id="rId659" ref="W135"/>
    <hyperlink r:id="rId660" ref="X135"/>
    <hyperlink r:id="rId661" ref="H136"/>
    <hyperlink r:id="rId662" ref="T136"/>
    <hyperlink r:id="rId663" ref="U136"/>
    <hyperlink r:id="rId664" ref="W136"/>
    <hyperlink r:id="rId665" ref="X136"/>
    <hyperlink r:id="rId666" ref="H137"/>
    <hyperlink r:id="rId667" ref="T137"/>
    <hyperlink r:id="rId668" ref="U137"/>
    <hyperlink r:id="rId669" ref="W137"/>
    <hyperlink r:id="rId670" ref="X137"/>
    <hyperlink r:id="rId671" ref="H138"/>
    <hyperlink r:id="rId672" ref="T138"/>
    <hyperlink r:id="rId673" ref="U138"/>
    <hyperlink r:id="rId674" ref="W138"/>
    <hyperlink r:id="rId675" ref="X138"/>
    <hyperlink r:id="rId676" ref="H139"/>
    <hyperlink r:id="rId677" ref="T139"/>
    <hyperlink r:id="rId678" ref="U139"/>
    <hyperlink r:id="rId679" ref="W139"/>
    <hyperlink r:id="rId680" ref="X139"/>
    <hyperlink r:id="rId681" ref="H140"/>
    <hyperlink r:id="rId682" ref="T140"/>
    <hyperlink r:id="rId683" ref="U140"/>
    <hyperlink r:id="rId684" ref="W140"/>
    <hyperlink r:id="rId685" ref="X140"/>
    <hyperlink r:id="rId686" ref="H141"/>
    <hyperlink r:id="rId687" ref="T141"/>
    <hyperlink r:id="rId688" ref="U141"/>
    <hyperlink r:id="rId689" ref="W141"/>
    <hyperlink r:id="rId690" ref="X141"/>
    <hyperlink r:id="rId691" ref="H142"/>
    <hyperlink r:id="rId692" ref="T142"/>
    <hyperlink r:id="rId693" ref="U142"/>
    <hyperlink r:id="rId694" ref="W142"/>
    <hyperlink r:id="rId695" ref="X142"/>
    <hyperlink r:id="rId696" ref="H143"/>
    <hyperlink r:id="rId697" ref="T143"/>
    <hyperlink r:id="rId698" ref="U143"/>
    <hyperlink r:id="rId699" ref="W143"/>
    <hyperlink r:id="rId700" ref="X143"/>
    <hyperlink r:id="rId701" ref="H144"/>
    <hyperlink r:id="rId702" ref="T144"/>
    <hyperlink r:id="rId703" ref="U144"/>
    <hyperlink r:id="rId704" ref="W144"/>
    <hyperlink r:id="rId705" ref="X144"/>
    <hyperlink r:id="rId706" ref="H145"/>
    <hyperlink r:id="rId707" ref="T145"/>
    <hyperlink r:id="rId708" ref="U145"/>
    <hyperlink r:id="rId709" ref="W145"/>
    <hyperlink r:id="rId710" ref="X145"/>
    <hyperlink r:id="rId711" ref="H146"/>
    <hyperlink r:id="rId712" ref="T146"/>
    <hyperlink r:id="rId713" ref="U146"/>
    <hyperlink r:id="rId714" ref="W146"/>
    <hyperlink r:id="rId715" ref="X146"/>
    <hyperlink r:id="rId716" ref="H147"/>
    <hyperlink r:id="rId717" ref="T147"/>
    <hyperlink r:id="rId718" ref="U147"/>
    <hyperlink r:id="rId719" ref="W147"/>
    <hyperlink r:id="rId720" ref="X147"/>
    <hyperlink r:id="rId721" ref="H148"/>
    <hyperlink r:id="rId722" ref="T148"/>
    <hyperlink r:id="rId723" ref="U148"/>
    <hyperlink r:id="rId724" ref="W148"/>
    <hyperlink r:id="rId725" ref="X148"/>
    <hyperlink r:id="rId726" ref="H149"/>
    <hyperlink r:id="rId727" ref="T149"/>
    <hyperlink r:id="rId728" ref="U149"/>
    <hyperlink r:id="rId729" ref="W149"/>
    <hyperlink r:id="rId730" ref="X149"/>
    <hyperlink r:id="rId731" ref="H150"/>
    <hyperlink r:id="rId732" ref="T150"/>
    <hyperlink r:id="rId733" ref="U150"/>
    <hyperlink r:id="rId734" ref="W150"/>
    <hyperlink r:id="rId735" ref="X150"/>
    <hyperlink r:id="rId736" ref="H151"/>
    <hyperlink r:id="rId737" ref="U151"/>
    <hyperlink r:id="rId738" ref="W151"/>
    <hyperlink r:id="rId739" ref="X151"/>
    <hyperlink r:id="rId740" ref="H152"/>
    <hyperlink r:id="rId741" ref="T152"/>
    <hyperlink r:id="rId742" ref="U152"/>
    <hyperlink r:id="rId743" ref="W152"/>
    <hyperlink r:id="rId744" ref="X152"/>
    <hyperlink r:id="rId745" ref="H153"/>
    <hyperlink r:id="rId746" ref="T153"/>
    <hyperlink r:id="rId747" ref="U153"/>
    <hyperlink r:id="rId748" ref="W153"/>
    <hyperlink r:id="rId749" ref="X153"/>
    <hyperlink r:id="rId750" ref="H154"/>
    <hyperlink r:id="rId751" ref="T154"/>
    <hyperlink r:id="rId752" ref="U154"/>
    <hyperlink r:id="rId753" ref="W154"/>
    <hyperlink r:id="rId754" ref="X154"/>
    <hyperlink r:id="rId755" ref="H155"/>
    <hyperlink r:id="rId756" ref="T155"/>
    <hyperlink r:id="rId757" ref="U155"/>
    <hyperlink r:id="rId758" ref="W155"/>
    <hyperlink r:id="rId759" ref="X155"/>
    <hyperlink r:id="rId760" ref="H156"/>
    <hyperlink r:id="rId761" ref="T156"/>
    <hyperlink r:id="rId762" ref="U156"/>
    <hyperlink r:id="rId763" ref="W156"/>
    <hyperlink r:id="rId764" ref="X156"/>
    <hyperlink r:id="rId765" ref="H157"/>
    <hyperlink r:id="rId766" ref="T157"/>
    <hyperlink r:id="rId767" ref="U157"/>
    <hyperlink r:id="rId768" ref="W157"/>
    <hyperlink r:id="rId769" ref="X157"/>
    <hyperlink r:id="rId770" ref="H158"/>
    <hyperlink r:id="rId771" ref="T158"/>
    <hyperlink r:id="rId772" ref="U158"/>
    <hyperlink r:id="rId773" ref="W158"/>
    <hyperlink r:id="rId774" ref="X158"/>
    <hyperlink r:id="rId775" ref="C159"/>
    <hyperlink r:id="rId776" ref="H159"/>
    <hyperlink r:id="rId777" ref="T159"/>
    <hyperlink r:id="rId778" ref="U159"/>
    <hyperlink r:id="rId779" ref="W159"/>
    <hyperlink r:id="rId780" ref="X159"/>
    <hyperlink r:id="rId781" ref="H160"/>
    <hyperlink r:id="rId782" ref="T160"/>
    <hyperlink r:id="rId783" ref="U160"/>
    <hyperlink r:id="rId784" ref="W160"/>
    <hyperlink r:id="rId785" ref="X160"/>
    <hyperlink r:id="rId786" ref="H161"/>
    <hyperlink r:id="rId787" ref="T161"/>
    <hyperlink r:id="rId788" ref="U161"/>
    <hyperlink r:id="rId789" ref="W161"/>
    <hyperlink r:id="rId790" ref="X161"/>
    <hyperlink r:id="rId791" ref="H162"/>
    <hyperlink r:id="rId792" ref="T162"/>
    <hyperlink r:id="rId793" ref="U162"/>
    <hyperlink r:id="rId794" ref="W162"/>
    <hyperlink r:id="rId795" ref="X162"/>
    <hyperlink r:id="rId796" ref="H163"/>
    <hyperlink r:id="rId797" ref="T163"/>
    <hyperlink r:id="rId798" ref="U163"/>
    <hyperlink r:id="rId799" ref="W163"/>
    <hyperlink r:id="rId800" ref="X163"/>
    <hyperlink r:id="rId801" ref="H164"/>
    <hyperlink r:id="rId802" ref="T164"/>
    <hyperlink r:id="rId803" ref="U164"/>
    <hyperlink r:id="rId804" ref="W164"/>
    <hyperlink r:id="rId805" ref="X164"/>
    <hyperlink r:id="rId806" ref="H165"/>
    <hyperlink r:id="rId807" ref="T165"/>
    <hyperlink r:id="rId808" ref="U165"/>
    <hyperlink r:id="rId809" ref="W165"/>
    <hyperlink r:id="rId810" ref="X165"/>
    <hyperlink r:id="rId811" ref="H166"/>
    <hyperlink r:id="rId812" ref="T166"/>
    <hyperlink r:id="rId813" ref="U166"/>
    <hyperlink r:id="rId814" ref="W166"/>
    <hyperlink r:id="rId815" ref="X166"/>
    <hyperlink r:id="rId816" ref="H167"/>
    <hyperlink r:id="rId817" ref="T167"/>
    <hyperlink r:id="rId818" ref="U167"/>
    <hyperlink r:id="rId819" ref="W167"/>
    <hyperlink r:id="rId820" ref="X167"/>
    <hyperlink r:id="rId821" ref="H168"/>
    <hyperlink r:id="rId822" ref="T168"/>
    <hyperlink r:id="rId823" ref="U168"/>
    <hyperlink r:id="rId824" ref="X168"/>
    <hyperlink r:id="rId825" ref="H169"/>
    <hyperlink r:id="rId826" ref="T169"/>
    <hyperlink r:id="rId827" ref="U169"/>
    <hyperlink r:id="rId828" ref="W169"/>
    <hyperlink r:id="rId829" ref="X169"/>
    <hyperlink r:id="rId830" ref="H170"/>
    <hyperlink r:id="rId831" ref="T170"/>
    <hyperlink r:id="rId832" ref="U170"/>
    <hyperlink r:id="rId833" ref="W170"/>
    <hyperlink r:id="rId834" ref="X170"/>
    <hyperlink r:id="rId835" ref="H171"/>
    <hyperlink r:id="rId836" ref="T171"/>
    <hyperlink r:id="rId837" ref="U171"/>
    <hyperlink r:id="rId838" ref="W171"/>
    <hyperlink r:id="rId839" ref="X171"/>
    <hyperlink r:id="rId840" ref="H172"/>
    <hyperlink r:id="rId841" ref="T172"/>
    <hyperlink r:id="rId842" ref="U172"/>
    <hyperlink r:id="rId843" ref="W172"/>
    <hyperlink r:id="rId844" ref="X172"/>
    <hyperlink r:id="rId845" ref="H173"/>
    <hyperlink r:id="rId846" ref="T173"/>
    <hyperlink r:id="rId847" ref="U173"/>
    <hyperlink r:id="rId848" ref="W173"/>
    <hyperlink r:id="rId849" ref="X173"/>
    <hyperlink r:id="rId850" ref="H174"/>
    <hyperlink r:id="rId851" ref="T174"/>
    <hyperlink r:id="rId852" ref="U174"/>
    <hyperlink r:id="rId853" ref="W174"/>
    <hyperlink r:id="rId854" ref="X174"/>
    <hyperlink r:id="rId855" ref="H175"/>
    <hyperlink r:id="rId856" ref="T175"/>
    <hyperlink r:id="rId857" ref="U175"/>
    <hyperlink r:id="rId858" ref="W175"/>
    <hyperlink r:id="rId859" ref="X175"/>
    <hyperlink r:id="rId860" ref="H176"/>
    <hyperlink r:id="rId861" ref="T176"/>
    <hyperlink r:id="rId862" ref="U176"/>
    <hyperlink r:id="rId863" ref="W176"/>
    <hyperlink r:id="rId864" ref="X176"/>
    <hyperlink r:id="rId865" ref="H177"/>
    <hyperlink r:id="rId866" ref="T177"/>
    <hyperlink r:id="rId867" ref="U177"/>
    <hyperlink r:id="rId868" ref="W177"/>
    <hyperlink r:id="rId869" ref="X177"/>
    <hyperlink r:id="rId870" ref="H178"/>
    <hyperlink r:id="rId871" ref="T178"/>
    <hyperlink r:id="rId872" ref="U178"/>
    <hyperlink r:id="rId873" ref="W178"/>
    <hyperlink r:id="rId874" ref="X178"/>
    <hyperlink r:id="rId875" ref="H179"/>
    <hyperlink r:id="rId876" ref="T179"/>
    <hyperlink r:id="rId877" ref="U179"/>
    <hyperlink r:id="rId878" ref="W179"/>
    <hyperlink r:id="rId879" ref="X179"/>
    <hyperlink r:id="rId880" ref="H180"/>
    <hyperlink r:id="rId881" ref="T180"/>
    <hyperlink r:id="rId882" ref="U180"/>
    <hyperlink r:id="rId883" ref="W180"/>
    <hyperlink r:id="rId884" ref="X180"/>
    <hyperlink r:id="rId885" ref="H181"/>
    <hyperlink r:id="rId886" ref="T181"/>
    <hyperlink r:id="rId887" ref="U181"/>
    <hyperlink r:id="rId888" ref="W181"/>
    <hyperlink r:id="rId889" ref="X181"/>
    <hyperlink r:id="rId890" ref="H182"/>
    <hyperlink r:id="rId891" ref="T182"/>
    <hyperlink r:id="rId892" ref="U182"/>
    <hyperlink r:id="rId893" ref="W182"/>
    <hyperlink r:id="rId894" ref="X182"/>
    <hyperlink r:id="rId895" ref="H183"/>
    <hyperlink r:id="rId896" ref="T183"/>
    <hyperlink r:id="rId897" ref="U183"/>
    <hyperlink r:id="rId898" ref="W183"/>
    <hyperlink r:id="rId899" ref="X183"/>
    <hyperlink r:id="rId900" ref="H184"/>
    <hyperlink r:id="rId901" ref="T184"/>
    <hyperlink r:id="rId902" ref="U184"/>
    <hyperlink r:id="rId903" ref="W184"/>
    <hyperlink r:id="rId904" ref="X184"/>
    <hyperlink r:id="rId905" ref="H185"/>
    <hyperlink r:id="rId906" ref="T185"/>
    <hyperlink r:id="rId907" ref="U185"/>
    <hyperlink r:id="rId908" ref="W185"/>
    <hyperlink r:id="rId909" ref="X185"/>
    <hyperlink r:id="rId910" ref="H186"/>
    <hyperlink r:id="rId911" ref="T186"/>
    <hyperlink r:id="rId912" ref="U186"/>
    <hyperlink r:id="rId913" ref="W186"/>
    <hyperlink r:id="rId914" ref="X186"/>
    <hyperlink r:id="rId915" ref="H187"/>
    <hyperlink r:id="rId916" ref="T187"/>
    <hyperlink r:id="rId917" ref="U187"/>
    <hyperlink r:id="rId918" ref="W187"/>
    <hyperlink r:id="rId919" ref="X187"/>
    <hyperlink r:id="rId920" ref="H188"/>
    <hyperlink r:id="rId921" ref="T188"/>
    <hyperlink r:id="rId922" ref="U188"/>
    <hyperlink r:id="rId923" ref="W188"/>
    <hyperlink r:id="rId924" ref="X188"/>
    <hyperlink r:id="rId925" ref="H189"/>
    <hyperlink r:id="rId926" ref="T189"/>
    <hyperlink r:id="rId927" ref="U189"/>
    <hyperlink r:id="rId928" ref="W189"/>
    <hyperlink r:id="rId929" ref="X189"/>
    <hyperlink r:id="rId930" ref="H190"/>
    <hyperlink r:id="rId931" ref="T190"/>
    <hyperlink r:id="rId932" ref="U190"/>
    <hyperlink r:id="rId933" ref="W190"/>
    <hyperlink r:id="rId934" ref="X190"/>
    <hyperlink r:id="rId935" ref="H191"/>
    <hyperlink r:id="rId936" ref="T191"/>
    <hyperlink r:id="rId937" ref="U191"/>
    <hyperlink r:id="rId938" ref="W191"/>
    <hyperlink r:id="rId939" ref="X191"/>
    <hyperlink r:id="rId940" ref="H192"/>
    <hyperlink r:id="rId941" ref="T192"/>
    <hyperlink r:id="rId942" ref="U192"/>
    <hyperlink r:id="rId943" ref="W192"/>
    <hyperlink r:id="rId944" ref="X192"/>
    <hyperlink r:id="rId945" ref="H193"/>
    <hyperlink r:id="rId946" ref="T193"/>
    <hyperlink r:id="rId947" ref="U193"/>
    <hyperlink r:id="rId948" ref="W193"/>
    <hyperlink r:id="rId949" ref="X193"/>
    <hyperlink r:id="rId950" ref="H194"/>
    <hyperlink r:id="rId951" ref="T194"/>
    <hyperlink r:id="rId952" ref="U194"/>
    <hyperlink r:id="rId953" ref="W194"/>
    <hyperlink r:id="rId954" ref="X194"/>
    <hyperlink r:id="rId955" ref="H195"/>
    <hyperlink r:id="rId956" ref="T195"/>
    <hyperlink r:id="rId957" ref="U195"/>
    <hyperlink r:id="rId958" ref="W195"/>
    <hyperlink r:id="rId959" ref="X195"/>
    <hyperlink r:id="rId960" ref="H196"/>
    <hyperlink r:id="rId961" ref="T196"/>
    <hyperlink r:id="rId962" ref="U196"/>
    <hyperlink r:id="rId963" ref="W196"/>
    <hyperlink r:id="rId964" ref="X196"/>
    <hyperlink r:id="rId965" ref="H197"/>
    <hyperlink r:id="rId966" ref="T197"/>
    <hyperlink r:id="rId967" ref="U197"/>
    <hyperlink r:id="rId968" ref="W197"/>
    <hyperlink r:id="rId969" ref="X197"/>
    <hyperlink r:id="rId970" ref="H198"/>
    <hyperlink r:id="rId971" ref="T198"/>
    <hyperlink r:id="rId972" ref="U198"/>
    <hyperlink r:id="rId973" ref="W198"/>
    <hyperlink r:id="rId974" ref="X198"/>
    <hyperlink r:id="rId975" ref="H199"/>
    <hyperlink r:id="rId976" ref="T199"/>
    <hyperlink r:id="rId977" ref="U199"/>
    <hyperlink r:id="rId978" ref="W199"/>
    <hyperlink r:id="rId979" ref="X199"/>
    <hyperlink r:id="rId980" ref="H200"/>
    <hyperlink r:id="rId981" ref="T200"/>
    <hyperlink r:id="rId982" ref="U200"/>
    <hyperlink r:id="rId983" ref="W200"/>
    <hyperlink r:id="rId984" ref="X200"/>
    <hyperlink r:id="rId985" ref="H201"/>
    <hyperlink r:id="rId986" ref="T201"/>
    <hyperlink r:id="rId987" ref="U201"/>
    <hyperlink r:id="rId988" ref="W201"/>
    <hyperlink r:id="rId989" ref="X201"/>
    <hyperlink r:id="rId990" ref="H202"/>
    <hyperlink r:id="rId991" ref="T202"/>
    <hyperlink r:id="rId992" ref="U202"/>
    <hyperlink r:id="rId993" ref="W202"/>
    <hyperlink r:id="rId994" ref="X202"/>
    <hyperlink r:id="rId995" ref="H203"/>
    <hyperlink r:id="rId996" ref="T203"/>
    <hyperlink r:id="rId997" ref="U203"/>
    <hyperlink r:id="rId998" ref="W203"/>
    <hyperlink r:id="rId999" ref="X203"/>
    <hyperlink r:id="rId1000" ref="C204"/>
    <hyperlink r:id="rId1001" ref="H204"/>
    <hyperlink r:id="rId1002" ref="T204"/>
    <hyperlink r:id="rId1003" ref="U204"/>
    <hyperlink r:id="rId1004" ref="X204"/>
    <hyperlink r:id="rId1005" ref="H205"/>
    <hyperlink r:id="rId1006" ref="T205"/>
    <hyperlink r:id="rId1007" ref="U205"/>
    <hyperlink r:id="rId1008" ref="W205"/>
    <hyperlink r:id="rId1009" ref="X205"/>
    <hyperlink r:id="rId1010" ref="H206"/>
    <hyperlink r:id="rId1011" ref="T206"/>
    <hyperlink r:id="rId1012" ref="U206"/>
    <hyperlink r:id="rId1013" ref="W206"/>
    <hyperlink r:id="rId1014" ref="X206"/>
    <hyperlink r:id="rId1015" ref="H207"/>
    <hyperlink r:id="rId1016" ref="T207"/>
    <hyperlink r:id="rId1017" ref="U207"/>
    <hyperlink r:id="rId1018" ref="W207"/>
    <hyperlink r:id="rId1019" ref="X207"/>
    <hyperlink r:id="rId1020" ref="H208"/>
    <hyperlink r:id="rId1021" ref="T208"/>
    <hyperlink r:id="rId1022" ref="U208"/>
    <hyperlink r:id="rId1023" ref="W208"/>
    <hyperlink r:id="rId1024" ref="X208"/>
    <hyperlink r:id="rId1025" ref="H209"/>
    <hyperlink r:id="rId1026" ref="T209"/>
    <hyperlink r:id="rId1027" ref="U209"/>
    <hyperlink r:id="rId1028" ref="W209"/>
    <hyperlink r:id="rId1029" ref="X209"/>
    <hyperlink r:id="rId1030" ref="H210"/>
    <hyperlink r:id="rId1031" ref="T210"/>
    <hyperlink r:id="rId1032" ref="U210"/>
    <hyperlink r:id="rId1033" ref="W210"/>
    <hyperlink r:id="rId1034" ref="X210"/>
    <hyperlink r:id="rId1035" ref="H211"/>
    <hyperlink r:id="rId1036" ref="T211"/>
    <hyperlink r:id="rId1037" ref="U211"/>
    <hyperlink r:id="rId1038" ref="W211"/>
    <hyperlink r:id="rId1039" ref="X211"/>
    <hyperlink r:id="rId1040" ref="H212"/>
    <hyperlink r:id="rId1041" ref="T212"/>
    <hyperlink r:id="rId1042" ref="U212"/>
    <hyperlink r:id="rId1043" ref="W212"/>
    <hyperlink r:id="rId1044" ref="X212"/>
    <hyperlink r:id="rId1045" ref="H213"/>
    <hyperlink r:id="rId1046" ref="T213"/>
    <hyperlink r:id="rId1047" ref="U213"/>
    <hyperlink r:id="rId1048" ref="W213"/>
    <hyperlink r:id="rId1049" ref="X213"/>
    <hyperlink r:id="rId1050" ref="H214"/>
    <hyperlink r:id="rId1051" ref="T214"/>
    <hyperlink r:id="rId1052" ref="U214"/>
    <hyperlink r:id="rId1053" ref="W214"/>
    <hyperlink r:id="rId1054" ref="X214"/>
    <hyperlink r:id="rId1055" ref="H215"/>
    <hyperlink r:id="rId1056" ref="T215"/>
    <hyperlink r:id="rId1057" ref="U215"/>
    <hyperlink r:id="rId1058" ref="W215"/>
    <hyperlink r:id="rId1059" ref="X215"/>
    <hyperlink r:id="rId1060" ref="H216"/>
    <hyperlink r:id="rId1061" ref="T216"/>
    <hyperlink r:id="rId1062" ref="U216"/>
    <hyperlink r:id="rId1063" ref="W216"/>
    <hyperlink r:id="rId1064" ref="X216"/>
    <hyperlink r:id="rId1065" ref="H217"/>
    <hyperlink r:id="rId1066" ref="T217"/>
    <hyperlink r:id="rId1067" ref="U217"/>
    <hyperlink r:id="rId1068" ref="X217"/>
    <hyperlink r:id="rId1069" ref="H218"/>
    <hyperlink r:id="rId1070" ref="T218"/>
    <hyperlink r:id="rId1071" ref="U218"/>
    <hyperlink r:id="rId1072" ref="W218"/>
    <hyperlink r:id="rId1073" ref="X218"/>
    <hyperlink r:id="rId1074" ref="H219"/>
    <hyperlink r:id="rId1075" ref="T219"/>
    <hyperlink r:id="rId1076" ref="U219"/>
    <hyperlink r:id="rId1077" ref="W219"/>
    <hyperlink r:id="rId1078" ref="X219"/>
    <hyperlink r:id="rId1079" ref="H220"/>
    <hyperlink r:id="rId1080" ref="T220"/>
    <hyperlink r:id="rId1081" ref="U220"/>
    <hyperlink r:id="rId1082" ref="W220"/>
    <hyperlink r:id="rId1083" ref="X220"/>
    <hyperlink r:id="rId1084" ref="H221"/>
    <hyperlink r:id="rId1085" ref="T221"/>
    <hyperlink r:id="rId1086" ref="U221"/>
    <hyperlink r:id="rId1087" ref="W221"/>
    <hyperlink r:id="rId1088" ref="X221"/>
    <hyperlink r:id="rId1089" ref="H222"/>
    <hyperlink r:id="rId1090" ref="U222"/>
    <hyperlink r:id="rId1091" ref="W222"/>
    <hyperlink r:id="rId1092" ref="X222"/>
    <hyperlink r:id="rId1093" ref="H223"/>
    <hyperlink r:id="rId1094" ref="T223"/>
    <hyperlink r:id="rId1095" ref="U223"/>
    <hyperlink r:id="rId1096" ref="W223"/>
    <hyperlink r:id="rId1097" ref="X223"/>
    <hyperlink r:id="rId1098" ref="H224"/>
    <hyperlink r:id="rId1099" ref="T224"/>
    <hyperlink r:id="rId1100" ref="U224"/>
    <hyperlink r:id="rId1101" ref="W224"/>
    <hyperlink r:id="rId1102" ref="X224"/>
    <hyperlink r:id="rId1103" ref="H225"/>
    <hyperlink r:id="rId1104" ref="T225"/>
    <hyperlink r:id="rId1105" ref="U225"/>
    <hyperlink r:id="rId1106" ref="W225"/>
    <hyperlink r:id="rId1107" ref="X225"/>
    <hyperlink r:id="rId1108" ref="H226"/>
    <hyperlink r:id="rId1109" ref="T226"/>
    <hyperlink r:id="rId1110" ref="U226"/>
    <hyperlink r:id="rId1111" ref="W226"/>
    <hyperlink r:id="rId1112" ref="X226"/>
    <hyperlink r:id="rId1113" ref="H227"/>
    <hyperlink r:id="rId1114" ref="T227"/>
    <hyperlink r:id="rId1115" ref="U227"/>
    <hyperlink r:id="rId1116" ref="W227"/>
    <hyperlink r:id="rId1117" ref="X227"/>
    <hyperlink r:id="rId1118" ref="H228"/>
    <hyperlink r:id="rId1119" ref="T228"/>
    <hyperlink r:id="rId1120" ref="U228"/>
    <hyperlink r:id="rId1121" ref="W228"/>
    <hyperlink r:id="rId1122" ref="X228"/>
    <hyperlink r:id="rId1123" ref="H229"/>
    <hyperlink r:id="rId1124" ref="T229"/>
    <hyperlink r:id="rId1125" ref="U229"/>
    <hyperlink r:id="rId1126" ref="W229"/>
    <hyperlink r:id="rId1127" ref="X229"/>
    <hyperlink r:id="rId1128" ref="H230"/>
    <hyperlink r:id="rId1129" ref="T230"/>
    <hyperlink r:id="rId1130" ref="U230"/>
    <hyperlink r:id="rId1131" ref="X230"/>
    <hyperlink r:id="rId1132" ref="H231"/>
    <hyperlink r:id="rId1133" ref="T231"/>
    <hyperlink r:id="rId1134" ref="U231"/>
    <hyperlink r:id="rId1135" ref="W231"/>
    <hyperlink r:id="rId1136" ref="X231"/>
    <hyperlink r:id="rId1137" ref="H232"/>
    <hyperlink r:id="rId1138" ref="T232"/>
    <hyperlink r:id="rId1139" ref="U232"/>
    <hyperlink r:id="rId1140" ref="W232"/>
    <hyperlink r:id="rId1141" ref="X232"/>
    <hyperlink r:id="rId1142" ref="H233"/>
    <hyperlink r:id="rId1143" ref="T233"/>
    <hyperlink r:id="rId1144" ref="U233"/>
    <hyperlink r:id="rId1145" ref="W233"/>
    <hyperlink r:id="rId1146" ref="X233"/>
    <hyperlink r:id="rId1147" ref="H234"/>
    <hyperlink r:id="rId1148" ref="T234"/>
    <hyperlink r:id="rId1149" ref="U234"/>
    <hyperlink r:id="rId1150" ref="W234"/>
    <hyperlink r:id="rId1151" ref="X234"/>
    <hyperlink r:id="rId1152" ref="H235"/>
    <hyperlink r:id="rId1153" ref="T235"/>
    <hyperlink r:id="rId1154" ref="U235"/>
    <hyperlink r:id="rId1155" ref="W235"/>
    <hyperlink r:id="rId1156" ref="X235"/>
    <hyperlink r:id="rId1157" ref="H236"/>
    <hyperlink r:id="rId1158" ref="T236"/>
    <hyperlink r:id="rId1159" ref="U236"/>
    <hyperlink r:id="rId1160" ref="W236"/>
    <hyperlink r:id="rId1161" ref="X236"/>
    <hyperlink r:id="rId1162" ref="H237"/>
    <hyperlink r:id="rId1163" ref="T237"/>
    <hyperlink r:id="rId1164" ref="U237"/>
    <hyperlink r:id="rId1165" ref="W237"/>
    <hyperlink r:id="rId1166" ref="X237"/>
    <hyperlink r:id="rId1167" ref="H238"/>
    <hyperlink r:id="rId1168" ref="T238"/>
    <hyperlink r:id="rId1169" ref="U238"/>
    <hyperlink r:id="rId1170" ref="W238"/>
    <hyperlink r:id="rId1171" ref="X238"/>
    <hyperlink r:id="rId1172" ref="H239"/>
    <hyperlink r:id="rId1173" ref="T239"/>
    <hyperlink r:id="rId1174" ref="U239"/>
    <hyperlink r:id="rId1175" ref="W239"/>
    <hyperlink r:id="rId1176" ref="X239"/>
    <hyperlink r:id="rId1177" ref="H240"/>
    <hyperlink r:id="rId1178" ref="T240"/>
    <hyperlink r:id="rId1179" ref="U240"/>
    <hyperlink r:id="rId1180" ref="X240"/>
    <hyperlink r:id="rId1181" ref="H241"/>
    <hyperlink r:id="rId1182" ref="T241"/>
    <hyperlink r:id="rId1183" ref="U241"/>
    <hyperlink r:id="rId1184" ref="W241"/>
    <hyperlink r:id="rId1185" ref="X241"/>
    <hyperlink r:id="rId1186" ref="H242"/>
    <hyperlink r:id="rId1187" ref="T242"/>
    <hyperlink r:id="rId1188" ref="U242"/>
    <hyperlink r:id="rId1189" ref="W242"/>
    <hyperlink r:id="rId1190" ref="X242"/>
    <hyperlink r:id="rId1191" ref="H243"/>
    <hyperlink r:id="rId1192" ref="T243"/>
    <hyperlink r:id="rId1193" ref="U243"/>
    <hyperlink r:id="rId1194" ref="W243"/>
    <hyperlink r:id="rId1195" ref="X243"/>
    <hyperlink r:id="rId1196" ref="H244"/>
    <hyperlink r:id="rId1197" ref="T244"/>
    <hyperlink r:id="rId1198" ref="U244"/>
    <hyperlink r:id="rId1199" ref="X244"/>
    <hyperlink r:id="rId1200" ref="H245"/>
    <hyperlink r:id="rId1201" ref="T245"/>
    <hyperlink r:id="rId1202" ref="U245"/>
    <hyperlink r:id="rId1203" ref="W245"/>
    <hyperlink r:id="rId1204" ref="X245"/>
    <hyperlink r:id="rId1205" ref="H246"/>
    <hyperlink r:id="rId1206" ref="T246"/>
    <hyperlink r:id="rId1207" ref="U246"/>
    <hyperlink r:id="rId1208" ref="W246"/>
    <hyperlink r:id="rId1209" ref="X246"/>
    <hyperlink r:id="rId1210" ref="H247"/>
    <hyperlink r:id="rId1211" ref="T247"/>
    <hyperlink r:id="rId1212" ref="U247"/>
    <hyperlink r:id="rId1213" ref="W247"/>
    <hyperlink r:id="rId1214" ref="X247"/>
    <hyperlink r:id="rId1215" ref="H248"/>
    <hyperlink r:id="rId1216" ref="T248"/>
    <hyperlink r:id="rId1217" ref="U248"/>
    <hyperlink r:id="rId1218" ref="W248"/>
    <hyperlink r:id="rId1219" ref="X248"/>
    <hyperlink r:id="rId1220" ref="H249"/>
    <hyperlink r:id="rId1221" ref="T249"/>
    <hyperlink r:id="rId1222" ref="U249"/>
    <hyperlink r:id="rId1223" ref="W249"/>
    <hyperlink r:id="rId1224" ref="X249"/>
    <hyperlink r:id="rId1225" ref="H250"/>
    <hyperlink r:id="rId1226" ref="T250"/>
    <hyperlink r:id="rId1227" ref="U250"/>
    <hyperlink r:id="rId1228" ref="W250"/>
    <hyperlink r:id="rId1229" ref="X250"/>
    <hyperlink r:id="rId1230" ref="H251"/>
    <hyperlink r:id="rId1231" ref="T251"/>
    <hyperlink r:id="rId1232" ref="U251"/>
    <hyperlink r:id="rId1233" ref="W251"/>
    <hyperlink r:id="rId1234" ref="X251"/>
    <hyperlink r:id="rId1235" ref="H252"/>
    <hyperlink r:id="rId1236" ref="T252"/>
    <hyperlink r:id="rId1237" ref="U252"/>
    <hyperlink r:id="rId1238" ref="W252"/>
    <hyperlink r:id="rId1239" ref="X252"/>
    <hyperlink r:id="rId1240" ref="H253"/>
    <hyperlink r:id="rId1241" ref="T253"/>
    <hyperlink r:id="rId1242" ref="U253"/>
    <hyperlink r:id="rId1243" ref="W253"/>
    <hyperlink r:id="rId1244" ref="X253"/>
    <hyperlink r:id="rId1245" ref="H254"/>
    <hyperlink r:id="rId1246" ref="T254"/>
    <hyperlink r:id="rId1247" ref="U254"/>
    <hyperlink r:id="rId1248" ref="W254"/>
    <hyperlink r:id="rId1249" ref="X254"/>
    <hyperlink r:id="rId1250" ref="H255"/>
    <hyperlink r:id="rId1251" ref="T255"/>
    <hyperlink r:id="rId1252" ref="U255"/>
    <hyperlink r:id="rId1253" ref="W255"/>
    <hyperlink r:id="rId1254" ref="X255"/>
    <hyperlink r:id="rId1255" ref="H256"/>
    <hyperlink r:id="rId1256" ref="T256"/>
    <hyperlink r:id="rId1257" ref="U256"/>
    <hyperlink r:id="rId1258" ref="W256"/>
    <hyperlink r:id="rId1259" ref="X256"/>
    <hyperlink r:id="rId1260" ref="H257"/>
    <hyperlink r:id="rId1261" ref="T257"/>
    <hyperlink r:id="rId1262" ref="U257"/>
    <hyperlink r:id="rId1263" ref="W257"/>
    <hyperlink r:id="rId1264" ref="X257"/>
    <hyperlink r:id="rId1265" ref="H258"/>
    <hyperlink r:id="rId1266" ref="T258"/>
    <hyperlink r:id="rId1267" ref="U258"/>
    <hyperlink r:id="rId1268" ref="W258"/>
    <hyperlink r:id="rId1269" ref="X258"/>
    <hyperlink r:id="rId1270" ref="H259"/>
    <hyperlink r:id="rId1271" ref="T259"/>
    <hyperlink r:id="rId1272" ref="U259"/>
    <hyperlink r:id="rId1273" ref="W259"/>
    <hyperlink r:id="rId1274" ref="X259"/>
    <hyperlink r:id="rId1275" ref="H260"/>
    <hyperlink r:id="rId1276" ref="T260"/>
    <hyperlink r:id="rId1277" ref="U260"/>
    <hyperlink r:id="rId1278" ref="W260"/>
    <hyperlink r:id="rId1279" ref="X260"/>
    <hyperlink r:id="rId1280" ref="H261"/>
    <hyperlink r:id="rId1281" ref="T261"/>
    <hyperlink r:id="rId1282" ref="U261"/>
    <hyperlink r:id="rId1283" ref="W261"/>
    <hyperlink r:id="rId1284" ref="X261"/>
    <hyperlink r:id="rId1285" ref="H262"/>
    <hyperlink r:id="rId1286" ref="T262"/>
    <hyperlink r:id="rId1287" ref="U262"/>
    <hyperlink r:id="rId1288" ref="W262"/>
    <hyperlink r:id="rId1289" ref="X262"/>
    <hyperlink r:id="rId1290" ref="H263"/>
    <hyperlink r:id="rId1291" ref="T263"/>
    <hyperlink r:id="rId1292" ref="U263"/>
    <hyperlink r:id="rId1293" ref="W263"/>
    <hyperlink r:id="rId1294" ref="X263"/>
    <hyperlink r:id="rId1295" ref="H264"/>
    <hyperlink r:id="rId1296" ref="T264"/>
    <hyperlink r:id="rId1297" ref="U264"/>
    <hyperlink r:id="rId1298" ref="W264"/>
    <hyperlink r:id="rId1299" ref="X264"/>
    <hyperlink r:id="rId1300" ref="H265"/>
    <hyperlink r:id="rId1301" ref="T265"/>
    <hyperlink r:id="rId1302" ref="U265"/>
    <hyperlink r:id="rId1303" ref="W265"/>
    <hyperlink r:id="rId1304" ref="X265"/>
    <hyperlink r:id="rId1305" ref="H266"/>
    <hyperlink r:id="rId1306" ref="T266"/>
    <hyperlink r:id="rId1307" ref="U266"/>
    <hyperlink r:id="rId1308" ref="W266"/>
    <hyperlink r:id="rId1309" ref="X266"/>
    <hyperlink r:id="rId1310" ref="H267"/>
    <hyperlink r:id="rId1311" ref="T267"/>
    <hyperlink r:id="rId1312" ref="U267"/>
    <hyperlink r:id="rId1313" ref="W267"/>
    <hyperlink r:id="rId1314" ref="X267"/>
    <hyperlink r:id="rId1315" ref="H268"/>
    <hyperlink r:id="rId1316" ref="T268"/>
    <hyperlink r:id="rId1317" ref="U268"/>
    <hyperlink r:id="rId1318" ref="W268"/>
    <hyperlink r:id="rId1319" ref="X268"/>
    <hyperlink r:id="rId1320" ref="H269"/>
    <hyperlink r:id="rId1321" ref="T269"/>
    <hyperlink r:id="rId1322" ref="U269"/>
    <hyperlink r:id="rId1323" ref="W269"/>
    <hyperlink r:id="rId1324" ref="X269"/>
    <hyperlink r:id="rId1325" ref="H270"/>
    <hyperlink r:id="rId1326" ref="T270"/>
    <hyperlink r:id="rId1327" ref="U270"/>
    <hyperlink r:id="rId1328" ref="W270"/>
    <hyperlink r:id="rId1329" ref="X270"/>
    <hyperlink r:id="rId1330" ref="H271"/>
    <hyperlink r:id="rId1331" ref="T271"/>
    <hyperlink r:id="rId1332" ref="U271"/>
    <hyperlink r:id="rId1333" ref="W271"/>
    <hyperlink r:id="rId1334" ref="X271"/>
    <hyperlink r:id="rId1335" ref="H272"/>
    <hyperlink r:id="rId1336" ref="T272"/>
    <hyperlink r:id="rId1337" ref="U272"/>
    <hyperlink r:id="rId1338" ref="W272"/>
    <hyperlink r:id="rId1339" ref="X272"/>
    <hyperlink r:id="rId1340" ref="H273"/>
    <hyperlink r:id="rId1341" ref="T273"/>
    <hyperlink r:id="rId1342" ref="U273"/>
    <hyperlink r:id="rId1343" ref="W273"/>
    <hyperlink r:id="rId1344" ref="X273"/>
    <hyperlink r:id="rId1345" ref="H274"/>
    <hyperlink r:id="rId1346" ref="T274"/>
    <hyperlink r:id="rId1347" ref="U274"/>
    <hyperlink r:id="rId1348" ref="W274"/>
    <hyperlink r:id="rId1349" ref="X274"/>
    <hyperlink r:id="rId1350" ref="H275"/>
    <hyperlink r:id="rId1351" ref="T275"/>
    <hyperlink r:id="rId1352" ref="U275"/>
    <hyperlink r:id="rId1353" ref="W275"/>
    <hyperlink r:id="rId1354" ref="X275"/>
    <hyperlink r:id="rId1355" ref="H276"/>
    <hyperlink r:id="rId1356" ref="T276"/>
    <hyperlink r:id="rId1357" ref="U276"/>
    <hyperlink r:id="rId1358" ref="W276"/>
    <hyperlink r:id="rId1359" ref="X276"/>
    <hyperlink r:id="rId1360" ref="H277"/>
    <hyperlink r:id="rId1361" ref="T277"/>
    <hyperlink r:id="rId1362" ref="U277"/>
    <hyperlink r:id="rId1363" ref="W277"/>
    <hyperlink r:id="rId1364" ref="X277"/>
    <hyperlink r:id="rId1365" ref="H278"/>
    <hyperlink r:id="rId1366" ref="T278"/>
    <hyperlink r:id="rId1367" ref="U278"/>
    <hyperlink r:id="rId1368" ref="W278"/>
    <hyperlink r:id="rId1369" ref="X278"/>
    <hyperlink r:id="rId1370" ref="H279"/>
    <hyperlink r:id="rId1371" ref="T279"/>
    <hyperlink r:id="rId1372" ref="U279"/>
    <hyperlink r:id="rId1373" ref="W279"/>
    <hyperlink r:id="rId1374" ref="X279"/>
    <hyperlink r:id="rId1375" ref="H280"/>
    <hyperlink r:id="rId1376" ref="T280"/>
    <hyperlink r:id="rId1377" ref="U280"/>
    <hyperlink r:id="rId1378" ref="W280"/>
    <hyperlink r:id="rId1379" ref="X280"/>
    <hyperlink r:id="rId1380" ref="H281"/>
    <hyperlink r:id="rId1381" ref="T281"/>
    <hyperlink r:id="rId1382" ref="U281"/>
    <hyperlink r:id="rId1383" ref="W281"/>
    <hyperlink r:id="rId1384" ref="X281"/>
    <hyperlink r:id="rId1385" ref="H282"/>
    <hyperlink r:id="rId1386" ref="T282"/>
    <hyperlink r:id="rId1387" ref="U282"/>
    <hyperlink r:id="rId1388" ref="W282"/>
    <hyperlink r:id="rId1389" ref="X282"/>
    <hyperlink r:id="rId1390" ref="H283"/>
    <hyperlink r:id="rId1391" ref="T283"/>
    <hyperlink r:id="rId1392" ref="U283"/>
    <hyperlink r:id="rId1393" ref="X283"/>
    <hyperlink r:id="rId1394" ref="H284"/>
    <hyperlink r:id="rId1395" ref="T284"/>
    <hyperlink r:id="rId1396" ref="U284"/>
    <hyperlink r:id="rId1397" ref="W284"/>
    <hyperlink r:id="rId1398" ref="X284"/>
    <hyperlink r:id="rId1399" ref="H285"/>
    <hyperlink r:id="rId1400" ref="T285"/>
    <hyperlink r:id="rId1401" ref="U285"/>
    <hyperlink r:id="rId1402" ref="W285"/>
    <hyperlink r:id="rId1403" ref="X285"/>
    <hyperlink r:id="rId1404" ref="H286"/>
    <hyperlink r:id="rId1405" ref="T286"/>
    <hyperlink r:id="rId1406" ref="U286"/>
    <hyperlink r:id="rId1407" ref="W286"/>
    <hyperlink r:id="rId1408" ref="X286"/>
    <hyperlink r:id="rId1409" ref="H287"/>
    <hyperlink r:id="rId1410" ref="T287"/>
    <hyperlink r:id="rId1411" ref="U287"/>
    <hyperlink r:id="rId1412" ref="W287"/>
    <hyperlink r:id="rId1413" ref="X287"/>
    <hyperlink r:id="rId1414" ref="H288"/>
    <hyperlink r:id="rId1415" ref="T288"/>
    <hyperlink r:id="rId1416" ref="U288"/>
    <hyperlink r:id="rId1417" ref="W288"/>
    <hyperlink r:id="rId1418" ref="X288"/>
    <hyperlink r:id="rId1419" ref="H289"/>
    <hyperlink r:id="rId1420" ref="T289"/>
    <hyperlink r:id="rId1421" ref="U289"/>
    <hyperlink r:id="rId1422" ref="W289"/>
    <hyperlink r:id="rId1423" ref="X289"/>
    <hyperlink r:id="rId1424" ref="H290"/>
    <hyperlink r:id="rId1425" ref="T290"/>
    <hyperlink r:id="rId1426" ref="U290"/>
    <hyperlink r:id="rId1427" ref="X290"/>
    <hyperlink r:id="rId1428" ref="H291"/>
    <hyperlink r:id="rId1429" ref="T291"/>
    <hyperlink r:id="rId1430" ref="U291"/>
    <hyperlink r:id="rId1431" ref="W291"/>
    <hyperlink r:id="rId1432" ref="X291"/>
    <hyperlink r:id="rId1433" ref="H292"/>
    <hyperlink r:id="rId1434" ref="T292"/>
    <hyperlink r:id="rId1435" ref="U292"/>
    <hyperlink r:id="rId1436" ref="X292"/>
    <hyperlink r:id="rId1437" ref="H293"/>
    <hyperlink r:id="rId1438" ref="T293"/>
    <hyperlink r:id="rId1439" ref="U293"/>
    <hyperlink r:id="rId1440" ref="W293"/>
    <hyperlink r:id="rId1441" ref="X293"/>
    <hyperlink r:id="rId1442" ref="H294"/>
    <hyperlink r:id="rId1443" ref="T294"/>
    <hyperlink r:id="rId1444" ref="U294"/>
    <hyperlink r:id="rId1445" ref="W294"/>
    <hyperlink r:id="rId1446" ref="X294"/>
    <hyperlink r:id="rId1447" ref="H295"/>
    <hyperlink r:id="rId1448" ref="U295"/>
    <hyperlink r:id="rId1449" ref="W295"/>
    <hyperlink r:id="rId1450" ref="X295"/>
    <hyperlink r:id="rId1451" ref="H296"/>
    <hyperlink r:id="rId1452" ref="T296"/>
    <hyperlink r:id="rId1453" ref="U296"/>
    <hyperlink r:id="rId1454" ref="W296"/>
    <hyperlink r:id="rId1455" ref="X296"/>
    <hyperlink r:id="rId1456" ref="H297"/>
    <hyperlink r:id="rId1457" ref="T297"/>
    <hyperlink r:id="rId1458" ref="U297"/>
    <hyperlink r:id="rId1459" ref="W297"/>
    <hyperlink r:id="rId1460" ref="X297"/>
    <hyperlink r:id="rId1461" ref="H298"/>
    <hyperlink r:id="rId1462" ref="T298"/>
    <hyperlink r:id="rId1463" ref="U298"/>
    <hyperlink r:id="rId1464" ref="W298"/>
    <hyperlink r:id="rId1465" ref="X298"/>
    <hyperlink r:id="rId1466" ref="H299"/>
    <hyperlink r:id="rId1467" ref="T299"/>
    <hyperlink r:id="rId1468" ref="U299"/>
    <hyperlink r:id="rId1469" ref="W299"/>
    <hyperlink r:id="rId1470" ref="X299"/>
    <hyperlink r:id="rId1471" ref="H300"/>
    <hyperlink r:id="rId1472" ref="T300"/>
    <hyperlink r:id="rId1473" ref="U300"/>
    <hyperlink r:id="rId1474" ref="W300"/>
    <hyperlink r:id="rId1475" ref="X300"/>
    <hyperlink r:id="rId1476" ref="H301"/>
    <hyperlink r:id="rId1477" ref="T301"/>
    <hyperlink r:id="rId1478" ref="U301"/>
    <hyperlink r:id="rId1479" ref="W301"/>
    <hyperlink r:id="rId1480" ref="X301"/>
    <hyperlink r:id="rId1481" ref="H302"/>
    <hyperlink r:id="rId1482" ref="T302"/>
    <hyperlink r:id="rId1483" ref="U302"/>
    <hyperlink r:id="rId1484" ref="W302"/>
    <hyperlink r:id="rId1485" ref="X302"/>
    <hyperlink r:id="rId1486" ref="H303"/>
    <hyperlink r:id="rId1487" ref="T303"/>
    <hyperlink r:id="rId1488" ref="U303"/>
    <hyperlink r:id="rId1489" ref="W303"/>
    <hyperlink r:id="rId1490" ref="X303"/>
    <hyperlink r:id="rId1491" ref="H304"/>
    <hyperlink r:id="rId1492" ref="T304"/>
    <hyperlink r:id="rId1493" ref="U304"/>
    <hyperlink r:id="rId1494" ref="W304"/>
    <hyperlink r:id="rId1495" ref="X304"/>
    <hyperlink r:id="rId1496" ref="H305"/>
    <hyperlink r:id="rId1497" ref="T305"/>
    <hyperlink r:id="rId1498" ref="U305"/>
    <hyperlink r:id="rId1499" ref="W305"/>
    <hyperlink r:id="rId1500" ref="X305"/>
    <hyperlink r:id="rId1501" ref="H306"/>
    <hyperlink r:id="rId1502" ref="T306"/>
    <hyperlink r:id="rId1503" ref="U306"/>
    <hyperlink r:id="rId1504" ref="W306"/>
    <hyperlink r:id="rId1505" ref="X306"/>
    <hyperlink r:id="rId1506" ref="H307"/>
    <hyperlink r:id="rId1507" ref="T307"/>
    <hyperlink r:id="rId1508" ref="U307"/>
    <hyperlink r:id="rId1509" ref="W307"/>
    <hyperlink r:id="rId1510" ref="X307"/>
    <hyperlink r:id="rId1511" ref="H308"/>
    <hyperlink r:id="rId1512" ref="T308"/>
    <hyperlink r:id="rId1513" ref="U308"/>
    <hyperlink r:id="rId1514" ref="W308"/>
    <hyperlink r:id="rId1515" ref="X308"/>
    <hyperlink r:id="rId1516" ref="H309"/>
    <hyperlink r:id="rId1517" ref="T309"/>
    <hyperlink r:id="rId1518" ref="U309"/>
    <hyperlink r:id="rId1519" ref="W309"/>
    <hyperlink r:id="rId1520" ref="X309"/>
    <hyperlink r:id="rId1521" ref="H310"/>
    <hyperlink r:id="rId1522" ref="T310"/>
    <hyperlink r:id="rId1523" ref="U310"/>
    <hyperlink r:id="rId1524" ref="W310"/>
    <hyperlink r:id="rId1525" ref="X310"/>
    <hyperlink r:id="rId1526" ref="H311"/>
    <hyperlink r:id="rId1527" ref="T311"/>
    <hyperlink r:id="rId1528" ref="U311"/>
    <hyperlink r:id="rId1529" ref="W311"/>
    <hyperlink r:id="rId1530" ref="X311"/>
    <hyperlink r:id="rId1531" ref="H312"/>
    <hyperlink r:id="rId1532" ref="T312"/>
    <hyperlink r:id="rId1533" ref="U312"/>
    <hyperlink r:id="rId1534" ref="W312"/>
    <hyperlink r:id="rId1535" ref="X312"/>
    <hyperlink r:id="rId1536" ref="H313"/>
    <hyperlink r:id="rId1537" ref="T313"/>
    <hyperlink r:id="rId1538" ref="U313"/>
    <hyperlink r:id="rId1539" ref="W313"/>
    <hyperlink r:id="rId1540" ref="X313"/>
    <hyperlink r:id="rId1541" ref="H314"/>
    <hyperlink r:id="rId1542" ref="T314"/>
    <hyperlink r:id="rId1543" ref="U314"/>
    <hyperlink r:id="rId1544" ref="W314"/>
    <hyperlink r:id="rId1545" ref="X314"/>
    <hyperlink r:id="rId1546" ref="H315"/>
    <hyperlink r:id="rId1547" ref="T315"/>
    <hyperlink r:id="rId1548" ref="U315"/>
    <hyperlink r:id="rId1549" ref="W315"/>
    <hyperlink r:id="rId1550" ref="X315"/>
    <hyperlink r:id="rId1551" ref="H316"/>
    <hyperlink r:id="rId1552" ref="T316"/>
    <hyperlink r:id="rId1553" ref="U316"/>
    <hyperlink r:id="rId1554" ref="W316"/>
    <hyperlink r:id="rId1555" ref="X316"/>
    <hyperlink r:id="rId1556" ref="H317"/>
    <hyperlink r:id="rId1557" ref="T317"/>
    <hyperlink r:id="rId1558" ref="U317"/>
    <hyperlink r:id="rId1559" ref="W317"/>
    <hyperlink r:id="rId1560" ref="X317"/>
    <hyperlink r:id="rId1561" ref="H318"/>
    <hyperlink r:id="rId1562" ref="T318"/>
    <hyperlink r:id="rId1563" ref="U318"/>
    <hyperlink r:id="rId1564" ref="W318"/>
    <hyperlink r:id="rId1565" ref="X318"/>
    <hyperlink r:id="rId1566" ref="H319"/>
    <hyperlink r:id="rId1567" ref="T319"/>
    <hyperlink r:id="rId1568" ref="U319"/>
    <hyperlink r:id="rId1569" ref="W319"/>
    <hyperlink r:id="rId1570" ref="X319"/>
    <hyperlink r:id="rId1571" ref="H320"/>
    <hyperlink r:id="rId1572" ref="T320"/>
    <hyperlink r:id="rId1573" ref="U320"/>
    <hyperlink r:id="rId1574" ref="W320"/>
    <hyperlink r:id="rId1575" ref="X320"/>
    <hyperlink r:id="rId1576" ref="H321"/>
    <hyperlink r:id="rId1577" ref="T321"/>
    <hyperlink r:id="rId1578" ref="U321"/>
    <hyperlink r:id="rId1579" ref="W321"/>
    <hyperlink r:id="rId1580" ref="X321"/>
    <hyperlink r:id="rId1581" ref="H322"/>
    <hyperlink r:id="rId1582" ref="T322"/>
    <hyperlink r:id="rId1583" ref="U322"/>
    <hyperlink r:id="rId1584" ref="W322"/>
    <hyperlink r:id="rId1585" ref="X322"/>
    <hyperlink r:id="rId1586" ref="H323"/>
    <hyperlink r:id="rId1587" ref="T323"/>
    <hyperlink r:id="rId1588" ref="U323"/>
    <hyperlink r:id="rId1589" ref="W323"/>
    <hyperlink r:id="rId1590" ref="X323"/>
    <hyperlink r:id="rId1591" ref="H324"/>
    <hyperlink r:id="rId1592" ref="T324"/>
    <hyperlink r:id="rId1593" ref="U324"/>
    <hyperlink r:id="rId1594" ref="W324"/>
    <hyperlink r:id="rId1595" ref="X324"/>
    <hyperlink r:id="rId1596" ref="H325"/>
    <hyperlink r:id="rId1597" ref="T325"/>
    <hyperlink r:id="rId1598" ref="U325"/>
    <hyperlink r:id="rId1599" ref="W325"/>
    <hyperlink r:id="rId1600" ref="X325"/>
    <hyperlink r:id="rId1601" ref="H326"/>
    <hyperlink r:id="rId1602" ref="T326"/>
    <hyperlink r:id="rId1603" ref="U326"/>
    <hyperlink r:id="rId1604" ref="W326"/>
    <hyperlink r:id="rId1605" ref="X326"/>
    <hyperlink r:id="rId1606" ref="H327"/>
    <hyperlink r:id="rId1607" ref="T327"/>
    <hyperlink r:id="rId1608" ref="U327"/>
    <hyperlink r:id="rId1609" ref="W327"/>
    <hyperlink r:id="rId1610" ref="X327"/>
    <hyperlink r:id="rId1611" ref="H328"/>
    <hyperlink r:id="rId1612" ref="T328"/>
    <hyperlink r:id="rId1613" ref="U328"/>
    <hyperlink r:id="rId1614" ref="W328"/>
    <hyperlink r:id="rId1615" ref="X328"/>
    <hyperlink r:id="rId1616" ref="H329"/>
    <hyperlink r:id="rId1617" ref="T329"/>
    <hyperlink r:id="rId1618" ref="U329"/>
    <hyperlink r:id="rId1619" ref="W329"/>
    <hyperlink r:id="rId1620" ref="X329"/>
    <hyperlink r:id="rId1621" ref="H330"/>
    <hyperlink r:id="rId1622" ref="T330"/>
    <hyperlink r:id="rId1623" ref="U330"/>
    <hyperlink r:id="rId1624" ref="W330"/>
    <hyperlink r:id="rId1625" ref="X330"/>
    <hyperlink r:id="rId1626" ref="H331"/>
    <hyperlink r:id="rId1627" ref="T331"/>
    <hyperlink r:id="rId1628" ref="U331"/>
    <hyperlink r:id="rId1629" ref="W331"/>
    <hyperlink r:id="rId1630" ref="X331"/>
    <hyperlink r:id="rId1631" ref="H332"/>
    <hyperlink r:id="rId1632" ref="T332"/>
    <hyperlink r:id="rId1633" ref="U332"/>
    <hyperlink r:id="rId1634" ref="W332"/>
    <hyperlink r:id="rId1635" ref="X332"/>
    <hyperlink r:id="rId1636" ref="H333"/>
    <hyperlink r:id="rId1637" ref="T333"/>
    <hyperlink r:id="rId1638" ref="U333"/>
    <hyperlink r:id="rId1639" ref="W333"/>
    <hyperlink r:id="rId1640" ref="X333"/>
    <hyperlink r:id="rId1641" ref="H334"/>
    <hyperlink r:id="rId1642" ref="T334"/>
    <hyperlink r:id="rId1643" ref="U334"/>
    <hyperlink r:id="rId1644" ref="W334"/>
    <hyperlink r:id="rId1645" ref="X334"/>
    <hyperlink r:id="rId1646" ref="H335"/>
    <hyperlink r:id="rId1647" ref="T335"/>
    <hyperlink r:id="rId1648" ref="U335"/>
    <hyperlink r:id="rId1649" ref="W335"/>
    <hyperlink r:id="rId1650" ref="X335"/>
    <hyperlink r:id="rId1651" ref="H336"/>
    <hyperlink r:id="rId1652" ref="T336"/>
    <hyperlink r:id="rId1653" ref="U336"/>
    <hyperlink r:id="rId1654" ref="W336"/>
    <hyperlink r:id="rId1655" ref="X336"/>
    <hyperlink r:id="rId1656" ref="H337"/>
    <hyperlink r:id="rId1657" ref="T337"/>
    <hyperlink r:id="rId1658" ref="U337"/>
    <hyperlink r:id="rId1659" ref="W337"/>
    <hyperlink r:id="rId1660" ref="X337"/>
    <hyperlink r:id="rId1661" ref="H338"/>
    <hyperlink r:id="rId1662" ref="T338"/>
    <hyperlink r:id="rId1663" ref="U338"/>
    <hyperlink r:id="rId1664" ref="W338"/>
    <hyperlink r:id="rId1665" ref="X338"/>
    <hyperlink r:id="rId1666" ref="H339"/>
    <hyperlink r:id="rId1667" ref="T339"/>
    <hyperlink r:id="rId1668" ref="U339"/>
    <hyperlink r:id="rId1669" ref="W339"/>
    <hyperlink r:id="rId1670" ref="X339"/>
    <hyperlink r:id="rId1671" ref="H340"/>
    <hyperlink r:id="rId1672" ref="T340"/>
    <hyperlink r:id="rId1673" ref="U340"/>
    <hyperlink r:id="rId1674" ref="W340"/>
    <hyperlink r:id="rId1675" ref="X340"/>
    <hyperlink r:id="rId1676" ref="H341"/>
    <hyperlink r:id="rId1677" ref="T341"/>
    <hyperlink r:id="rId1678" ref="U341"/>
    <hyperlink r:id="rId1679" ref="W341"/>
    <hyperlink r:id="rId1680" ref="X341"/>
    <hyperlink r:id="rId1681" ref="H342"/>
    <hyperlink r:id="rId1682" ref="U342"/>
    <hyperlink r:id="rId1683" ref="W342"/>
    <hyperlink r:id="rId1684" ref="X342"/>
    <hyperlink r:id="rId1685" ref="H343"/>
    <hyperlink r:id="rId1686" ref="T343"/>
    <hyperlink r:id="rId1687" ref="U343"/>
    <hyperlink r:id="rId1688" ref="W343"/>
    <hyperlink r:id="rId1689" ref="X343"/>
    <hyperlink r:id="rId1690" ref="H344"/>
    <hyperlink r:id="rId1691" ref="T344"/>
    <hyperlink r:id="rId1692" ref="U344"/>
    <hyperlink r:id="rId1693" ref="W344"/>
    <hyperlink r:id="rId1694" ref="X344"/>
    <hyperlink r:id="rId1695" ref="H345"/>
    <hyperlink r:id="rId1696" ref="T345"/>
    <hyperlink r:id="rId1697" ref="U345"/>
    <hyperlink r:id="rId1698" ref="W345"/>
    <hyperlink r:id="rId1699" ref="X345"/>
    <hyperlink r:id="rId1700" ref="H346"/>
    <hyperlink r:id="rId1701" ref="T346"/>
    <hyperlink r:id="rId1702" ref="U346"/>
    <hyperlink r:id="rId1703" ref="W346"/>
    <hyperlink r:id="rId1704" ref="X346"/>
    <hyperlink r:id="rId1705" ref="H347"/>
    <hyperlink r:id="rId1706" ref="T347"/>
    <hyperlink r:id="rId1707" ref="U347"/>
    <hyperlink r:id="rId1708" ref="W347"/>
    <hyperlink r:id="rId1709" ref="X347"/>
    <hyperlink r:id="rId1710" ref="H348"/>
    <hyperlink r:id="rId1711" ref="T348"/>
    <hyperlink r:id="rId1712" ref="U348"/>
    <hyperlink r:id="rId1713" ref="W348"/>
    <hyperlink r:id="rId1714" ref="X348"/>
    <hyperlink r:id="rId1715" ref="H349"/>
    <hyperlink r:id="rId1716" ref="T349"/>
    <hyperlink r:id="rId1717" ref="U349"/>
    <hyperlink r:id="rId1718" ref="W349"/>
    <hyperlink r:id="rId1719" ref="X349"/>
    <hyperlink r:id="rId1720" ref="H350"/>
    <hyperlink r:id="rId1721" ref="T350"/>
    <hyperlink r:id="rId1722" ref="U350"/>
    <hyperlink r:id="rId1723" ref="W350"/>
    <hyperlink r:id="rId1724" ref="X350"/>
    <hyperlink r:id="rId1725" ref="H351"/>
    <hyperlink r:id="rId1726" ref="T351"/>
    <hyperlink r:id="rId1727" ref="U351"/>
    <hyperlink r:id="rId1728" ref="W351"/>
    <hyperlink r:id="rId1729" ref="X351"/>
    <hyperlink r:id="rId1730" ref="H352"/>
    <hyperlink r:id="rId1731" ref="T352"/>
    <hyperlink r:id="rId1732" ref="U352"/>
    <hyperlink r:id="rId1733" ref="W352"/>
    <hyperlink r:id="rId1734" ref="X352"/>
    <hyperlink r:id="rId1735" ref="H353"/>
    <hyperlink r:id="rId1736" ref="T353"/>
    <hyperlink r:id="rId1737" ref="U353"/>
    <hyperlink r:id="rId1738" ref="W353"/>
    <hyperlink r:id="rId1739" ref="X353"/>
    <hyperlink r:id="rId1740" ref="H354"/>
    <hyperlink r:id="rId1741" ref="T354"/>
    <hyperlink r:id="rId1742" ref="U354"/>
    <hyperlink r:id="rId1743" ref="W354"/>
    <hyperlink r:id="rId1744" ref="X354"/>
    <hyperlink r:id="rId1745" ref="H355"/>
    <hyperlink r:id="rId1746" ref="T355"/>
    <hyperlink r:id="rId1747" ref="U355"/>
    <hyperlink r:id="rId1748" ref="W355"/>
    <hyperlink r:id="rId1749" ref="X355"/>
    <hyperlink r:id="rId1750" ref="H356"/>
    <hyperlink r:id="rId1751" ref="T356"/>
    <hyperlink r:id="rId1752" ref="U356"/>
    <hyperlink r:id="rId1753" ref="W356"/>
    <hyperlink r:id="rId1754" ref="X356"/>
    <hyperlink r:id="rId1755" ref="H357"/>
    <hyperlink r:id="rId1756" ref="T357"/>
    <hyperlink r:id="rId1757" ref="U357"/>
    <hyperlink r:id="rId1758" ref="W357"/>
    <hyperlink r:id="rId1759" ref="X357"/>
    <hyperlink r:id="rId1760" ref="H358"/>
    <hyperlink r:id="rId1761" ref="T358"/>
    <hyperlink r:id="rId1762" ref="U358"/>
    <hyperlink r:id="rId1763" ref="W358"/>
    <hyperlink r:id="rId1764" ref="X358"/>
    <hyperlink r:id="rId1765" ref="H359"/>
    <hyperlink r:id="rId1766" ref="T359"/>
    <hyperlink r:id="rId1767" ref="U359"/>
    <hyperlink r:id="rId1768" ref="W359"/>
    <hyperlink r:id="rId1769" ref="X359"/>
    <hyperlink r:id="rId1770" ref="H360"/>
    <hyperlink r:id="rId1771" ref="T360"/>
    <hyperlink r:id="rId1772" ref="U360"/>
    <hyperlink r:id="rId1773" ref="W360"/>
    <hyperlink r:id="rId1774" ref="X360"/>
    <hyperlink r:id="rId1775" ref="H361"/>
    <hyperlink r:id="rId1776" ref="T361"/>
    <hyperlink r:id="rId1777" ref="U361"/>
    <hyperlink r:id="rId1778" ref="W361"/>
    <hyperlink r:id="rId1779" ref="X361"/>
    <hyperlink r:id="rId1780" ref="H362"/>
    <hyperlink r:id="rId1781" ref="T362"/>
    <hyperlink r:id="rId1782" ref="U362"/>
    <hyperlink r:id="rId1783" ref="W362"/>
    <hyperlink r:id="rId1784" ref="X362"/>
    <hyperlink r:id="rId1785" ref="H363"/>
    <hyperlink r:id="rId1786" ref="T363"/>
    <hyperlink r:id="rId1787" ref="U363"/>
    <hyperlink r:id="rId1788" ref="W363"/>
    <hyperlink r:id="rId1789" ref="X363"/>
    <hyperlink r:id="rId1790" ref="H364"/>
    <hyperlink r:id="rId1791" ref="T364"/>
    <hyperlink r:id="rId1792" ref="U364"/>
    <hyperlink r:id="rId1793" ref="W364"/>
    <hyperlink r:id="rId1794" ref="X364"/>
    <hyperlink r:id="rId1795" ref="H365"/>
    <hyperlink r:id="rId1796" ref="T365"/>
    <hyperlink r:id="rId1797" ref="U365"/>
    <hyperlink r:id="rId1798" ref="W365"/>
    <hyperlink r:id="rId1799" ref="X365"/>
    <hyperlink r:id="rId1800" ref="H366"/>
    <hyperlink r:id="rId1801" ref="T366"/>
    <hyperlink r:id="rId1802" ref="U366"/>
    <hyperlink r:id="rId1803" ref="W366"/>
    <hyperlink r:id="rId1804" ref="X366"/>
    <hyperlink r:id="rId1805" ref="H367"/>
    <hyperlink r:id="rId1806" ref="T367"/>
    <hyperlink r:id="rId1807" ref="U367"/>
    <hyperlink r:id="rId1808" ref="W367"/>
    <hyperlink r:id="rId1809" ref="X367"/>
    <hyperlink r:id="rId1810" ref="H368"/>
    <hyperlink r:id="rId1811" ref="T368"/>
    <hyperlink r:id="rId1812" ref="U368"/>
    <hyperlink r:id="rId1813" ref="W368"/>
    <hyperlink r:id="rId1814" ref="X368"/>
    <hyperlink r:id="rId1815" ref="H369"/>
    <hyperlink r:id="rId1816" ref="T369"/>
    <hyperlink r:id="rId1817" ref="U369"/>
    <hyperlink r:id="rId1818" ref="W369"/>
    <hyperlink r:id="rId1819" ref="X369"/>
    <hyperlink r:id="rId1820" ref="H370"/>
    <hyperlink r:id="rId1821" ref="T370"/>
    <hyperlink r:id="rId1822" ref="U370"/>
    <hyperlink r:id="rId1823" ref="W370"/>
    <hyperlink r:id="rId1824" ref="X370"/>
  </hyperlinks>
  <drawing r:id="rId18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tr">
        <f>IFERROR(__xludf.DUMMYFUNCTION("FILTER(
  CHOOSECOLS(
    'dataset-1'!A:AJ,
    1, 3, 4, 9, 30
  ),
  COUNTIF(
    'dataset-2_atualizacoes'!A:A,
    'dataset-1'!A:A
  )
)"),"id")</f>
        <v>id</v>
      </c>
      <c r="B1" s="5" t="str">
        <f>IFERROR(__xludf.DUMMYFUNCTION("""COMPUTED_VALUE"""),"author")</f>
        <v>author</v>
      </c>
      <c r="C1" s="5" t="str">
        <f>IFERROR(__xludf.DUMMYFUNCTION("""COMPUTED_VALUE"""),"author_full")</f>
        <v>author_full</v>
      </c>
      <c r="D1" s="5" t="str">
        <f>IFERROR(__xludf.DUMMYFUNCTION("""COMPUTED_VALUE"""),"body")</f>
        <v>body</v>
      </c>
      <c r="E1" s="5" t="str">
        <f>IFERROR(__xludf.DUMMYFUNCTION("""COMPUTED_VALUE"""),"hashtags")</f>
        <v>hashtags</v>
      </c>
      <c r="G1" s="2" t="s">
        <v>36</v>
      </c>
    </row>
    <row r="2">
      <c r="A2" s="5" t="str">
        <f>IFERROR(__xludf.DUMMYFUNCTION("""COMPUTED_VALUE"""),"7241312531732630789")</f>
        <v>7241312531732630789</v>
      </c>
      <c r="B2" s="5" t="str">
        <f>IFERROR(__xludf.DUMMYFUNCTION("""COMPUTED_VALUE"""),"ivanparceiro")</f>
        <v>ivanparceiro</v>
      </c>
      <c r="C2" s="5" t="str">
        <f>IFERROR(__xludf.DUMMYFUNCTION("""COMPUTED_VALUE"""),"Ivan Santos")</f>
        <v>Ivan Santos</v>
      </c>
      <c r="D2" s="5" t="str">
        <f>IFERROR(__xludf.DUMMYFUNCTION("""COMPUTED_VALUE"""),"Realmente da muito certo!#tdah")</f>
        <v>Realmente da muito certo!#tdah</v>
      </c>
      <c r="E2" s="5" t="str">
        <f>IFERROR(__xludf.DUMMYFUNCTION("""COMPUTED_VALUE"""),"tdah")</f>
        <v>tdah</v>
      </c>
      <c r="G2" s="6">
        <f>IFERROR(__xludf.DUMMYFUNCTION("IF(
  TRIM(E2)="""",
  0,
  COUNTA(
    SPLIT(
      REGEXREPLACE(E2,""\s*,\s*"","",""),
      "",""
    )
  )
)"),1.0)</f>
        <v>1</v>
      </c>
    </row>
    <row r="3">
      <c r="A3" s="5" t="str">
        <f>IFERROR(__xludf.DUMMYFUNCTION("""COMPUTED_VALUE"""),"7246403750162631942")</f>
        <v>7246403750162631942</v>
      </c>
      <c r="B3" s="5" t="str">
        <f>IFERROR(__xludf.DUMMYFUNCTION("""COMPUTED_VALUE"""),"lorenatdahta")</f>
        <v>lorenatdahta</v>
      </c>
      <c r="C3" s="5" t="str">
        <f>IFERROR(__xludf.DUMMYFUNCTION("""COMPUTED_VALUE"""),"Lorena TDAHTA")</f>
        <v>Lorena TDAHTA</v>
      </c>
      <c r="D3" s="5" t="str">
        <f>IFERROR(__xludf.DUMMYFUNCTION("""COMPUTED_VALUE"""),"Sabe os roxos que aparecem ""do nada"", TDAH? Então... É muito por conta desse nosso ""jeitinho"" de andar! 🤣🌪️")</f>
        <v>Sabe os roxos que aparecem "do nada", TDAH? Então... É muito por conta desse nosso "jeitinho" de andar! 🤣🌪️</v>
      </c>
      <c r="E3" s="5"/>
      <c r="G3" s="6">
        <f>IFERROR(__xludf.DUMMYFUNCTION("IF(
  TRIM(E3)="""",
  0,
  COUNTA(
    SPLIT(
      REGEXREPLACE(E3,""\s*,\s*"","",""),
      "",""
    )
  )
)"),0.0)</f>
        <v>0</v>
      </c>
    </row>
    <row r="4">
      <c r="A4" s="5" t="str">
        <f>IFERROR(__xludf.DUMMYFUNCTION("""COMPUTED_VALUE"""),"7103916403266292998")</f>
        <v>7103916403266292998</v>
      </c>
      <c r="B4" s="5" t="str">
        <f>IFERROR(__xludf.DUMMYFUNCTION("""COMPUTED_VALUE"""),"mister.emerson")</f>
        <v>mister.emerson</v>
      </c>
      <c r="C4" s="5" t="str">
        <f>IFERROR(__xludf.DUMMYFUNCTION("""COMPUTED_VALUE"""),"Emerson")</f>
        <v>Emerson</v>
      </c>
      <c r="D4" s="5" t="str">
        <f>IFERROR(__xludf.DUMMYFUNCTION("""COMPUTED_VALUE"""),"Mano uma galera tem isso! Marca um amigo aeee #comedia #tdah #corpohumano")</f>
        <v>Mano uma galera tem isso! Marca um amigo aeee #comedia #tdah #corpohumano</v>
      </c>
      <c r="E4" s="5" t="str">
        <f>IFERROR(__xludf.DUMMYFUNCTION("""COMPUTED_VALUE"""),"comedia,tdah,corpohumano")</f>
        <v>comedia,tdah,corpohumano</v>
      </c>
      <c r="G4" s="6">
        <f>IFERROR(__xludf.DUMMYFUNCTION("IF(
  TRIM(E4)="""",
  0,
  COUNTA(
    SPLIT(
      REGEXREPLACE(E4,""\s*,\s*"","",""),
      "",""
    )
  )
)"),3.0)</f>
        <v>3</v>
      </c>
    </row>
    <row r="5">
      <c r="A5" s="5" t="str">
        <f>IFERROR(__xludf.DUMMYFUNCTION("""COMPUTED_VALUE"""),"7336603247873953029")</f>
        <v>7336603247873953029</v>
      </c>
      <c r="B5" s="5" t="str">
        <f>IFERROR(__xludf.DUMMYFUNCTION("""COMPUTED_VALUE"""),"psi.jonathanorlandi")</f>
        <v>psi.jonathanorlandi</v>
      </c>
      <c r="C5" s="5" t="str">
        <f>IFERROR(__xludf.DUMMYFUNCTION("""COMPUTED_VALUE"""),"Jonathan. O psicólogo sincero")</f>
        <v>Jonathan. O psicólogo sincero</v>
      </c>
      <c r="D5" s="5" t="str">
        <f>IFERROR(__xludf.DUMMYFUNCTION("""COMPUTED_VALUE"""),"Nós somos tdahs, e, é claro que temos comportamentos curiosos.#tdah #tdahadulto #diagnósticos #psicoterapia #psicologia #terapia #saúde #comportamento #fatos #hiperatividade #humor #saudemental #curiosidades #trending ")</f>
        <v>Nós somos tdahs, e, é claro que temos comportamentos curiosos.#tdah #tdahadulto #diagnósticos #psicoterapia #psicologia #terapia #saúde #comportamento #fatos #hiperatividade #humor #saudemental #curiosidades #trending </v>
      </c>
      <c r="E5" s="5" t="str">
        <f>IFERROR(__xludf.DUMMYFUNCTION("""COMPUTED_VALUE"""),"tdah,tdahadulto,diagnósticos,psicoterapia,psicologia,terapia,saúde,comportamento,fatos,hiperatividade,humor,saudemental,curiosidades,trending")</f>
        <v>tdah,tdahadulto,diagnósticos,psicoterapia,psicologia,terapia,saúde,comportamento,fatos,hiperatividade,humor,saudemental,curiosidades,trending</v>
      </c>
      <c r="G5" s="6">
        <f>IFERROR(__xludf.DUMMYFUNCTION("IF(
  TRIM(E5)="""",
  0,
  COUNTA(
    SPLIT(
      REGEXREPLACE(E5,""\s*,\s*"","",""),
      "",""
    )
  )
)"),14.0)</f>
        <v>14</v>
      </c>
    </row>
    <row r="6">
      <c r="A6" s="5" t="str">
        <f>IFERROR(__xludf.DUMMYFUNCTION("""COMPUTED_VALUE"""),"7216726126473792773")</f>
        <v>7216726126473792773</v>
      </c>
      <c r="B6" s="5" t="str">
        <f>IFERROR(__xludf.DUMMYFUNCTION("""COMPUTED_VALUE"""),"psicologo.mateus")</f>
        <v>psicologo.mateus</v>
      </c>
      <c r="C6" s="5" t="str">
        <f>IFERROR(__xludf.DUMMYFUNCTION("""COMPUTED_VALUE"""),"Psicólogo Mateus")</f>
        <v>Psicólogo Mateus</v>
      </c>
      <c r="D6" s="5" t="str">
        <f>IFERROR(__xludf.DUMMYFUNCTION("""COMPUTED_VALUE"""),"👞A desorganização e a bagunça são desafios comuns para muitas pessoas com Transtorno de Déficit de Atenção e Hiperatividade (TDAH). Devido à dificuldade de concentração, impulsividade e hiperatividade, manter um ambiente organizado e arrumado pode ser um"&amp;"a tarefa difícil e até mesmo avassaladora. A bagunça pode causar estresse e ansiedade, além de dificultar a realização de tarefas diárias. No entanto, é importante lembrar que a bagunça não é um sinal de preguiça ou falta de cuidado, mas sim uma dificulda"&amp;"de real que muitas pessoas com TDAH enfrentam. 🤔 Felizmente, existem maneiras de lidar com a bagunça e a desorganização, como a criação de rotinas diárias, a utilização de sistemas de organização, a redução da desordem e a busca por ajuda profissional. "&amp;"🗂️ Além disso, pode ser útil lembrar que nem sempre é possível manter um ambiente completamente arrumado, e tudo bem.  😉 Encontrar um equilíbrio que funcione para você e sua rotina pode ser um processo de tentativa e erro, mas é importante não desistir."&amp;" ⚖️ Se você é uma pessoa com TDAH e tem dificuldade em manter sua casa, escritório ou espaço de trabalho organizado, lembre-se de que há muitas pessoas como você e que há recursos disponíveis para ajudá-lo. Com paciência, apoio e as estratégias certas, é "&amp;"possível lidar com a bagunça e a desorganização e viver uma vida mais tranquila e organizada. 😀 Ib: @lifeactuator #saudemental #tdah #tdahadulto #tdahdescomplicado #tdahtiktok ")</f>
        <v>👞A desorganização e a bagunça são desafios comuns para muitas pessoas com Transtorno de Déficit de Atenção e Hiperatividade (TDAH). Devido à dificuldade de concentração, impulsividade e hiperatividade, manter um ambiente organizado e arrumado pode ser uma tarefa difícil e até mesmo avassaladora. A bagunça pode causar estresse e ansiedade, além de dificultar a realização de tarefas diárias. No entanto, é importante lembrar que a bagunça não é um sinal de preguiça ou falta de cuidado, mas sim uma dificuldade real que muitas pessoas com TDAH enfrentam. 🤔 Felizmente, existem maneiras de lidar com a bagunça e a desorganização, como a criação de rotinas diárias, a utilização de sistemas de organização, a redução da desordem e a busca por ajuda profissional. 🗂️ Além disso, pode ser útil lembrar que nem sempre é possível manter um ambiente completamente arrumado, e tudo bem.  😉 Encontrar um equilíbrio que funcione para você e sua rotina pode ser um processo de tentativa e erro, mas é importante não desistir. ⚖️ Se você é uma pessoa com TDAH e tem dificuldade em manter sua casa, escritório ou espaço de trabalho organizado, lembre-se de que há muitas pessoas como você e que há recursos disponíveis para ajudá-lo. Com paciência, apoio e as estratégias certas, é possível lidar com a bagunça e a desorganização e viver uma vida mais tranquila e organizada. 😀 Ib: @lifeactuator #saudemental #tdah #tdahadulto #tdahdescomplicado #tdahtiktok </v>
      </c>
      <c r="E6" s="5" t="str">
        <f>IFERROR(__xludf.DUMMYFUNCTION("""COMPUTED_VALUE"""),"saudemental,tdah,tdahadulto,tdahdescomplicado,tdahtiktok")</f>
        <v>saudemental,tdah,tdahadulto,tdahdescomplicado,tdahtiktok</v>
      </c>
      <c r="G6" s="6">
        <f>IFERROR(__xludf.DUMMYFUNCTION("IF(
  TRIM(E6)="""",
  0,
  COUNTA(
    SPLIT(
      REGEXREPLACE(E6,""\s*,\s*"","",""),
      "",""
    )
  )
)"),5.0)</f>
        <v>5</v>
      </c>
    </row>
    <row r="7">
      <c r="A7" s="5" t="str">
        <f>IFERROR(__xludf.DUMMYFUNCTION("""COMPUTED_VALUE"""),"7356422351115881733")</f>
        <v>7356422351115881733</v>
      </c>
      <c r="B7" s="5" t="str">
        <f>IFERROR(__xludf.DUMMYFUNCTION("""COMPUTED_VALUE"""),"psichrisalmeida")</f>
        <v>psichrisalmeida</v>
      </c>
      <c r="C7" s="5" t="str">
        <f>IFERROR(__xludf.DUMMYFUNCTION("""COMPUTED_VALUE"""),"Chris Almeida | Psi TDAH")</f>
        <v>Chris Almeida | Psi TDAH</v>
      </c>
      <c r="D7" s="5" t="str">
        <f>IFERROR(__xludf.DUMMYFUNCTION("""COMPUTED_VALUE"""),"A hiperatividade do TDAH pode se apresentar de várias formas e essas são algumas delas... . ▪️Principalmente em adultos, a hiperatividade tende a diminuir e migrar para alguns comportamentos que fazem a pessoa parecer inquieta, agitada e impaciente. . . #"&amp;"reels #reelstdah #tdah #tdahadulto #autoconhecimento ")</f>
        <v>A hiperatividade do TDAH pode se apresentar de várias formas e essas são algumas delas... . ▪️Principalmente em adultos, a hiperatividade tende a diminuir e migrar para alguns comportamentos que fazem a pessoa parecer inquieta, agitada e impaciente. . . #reels #reelstdah #tdah #tdahadulto #autoconhecimento </v>
      </c>
      <c r="E7" s="5" t="str">
        <f>IFERROR(__xludf.DUMMYFUNCTION("""COMPUTED_VALUE"""),"reels,reelstdah,tdah,tdahadulto,autoconhecimento")</f>
        <v>reels,reelstdah,tdah,tdahadulto,autoconhecimento</v>
      </c>
      <c r="G7" s="6">
        <f>IFERROR(__xludf.DUMMYFUNCTION("IF(
  TRIM(E7)="""",
  0,
  COUNTA(
    SPLIT(
      REGEXREPLACE(E7,""\s*,\s*"","",""),
      "",""
    )
  )
)"),5.0)</f>
        <v>5</v>
      </c>
    </row>
    <row r="8">
      <c r="A8" s="5" t="str">
        <f>IFERROR(__xludf.DUMMYFUNCTION("""COMPUTED_VALUE"""),"7408563715177549061")</f>
        <v>7408563715177549061</v>
      </c>
      <c r="B8" s="5" t="str">
        <f>IFERROR(__xludf.DUMMYFUNCTION("""COMPUTED_VALUE"""),"mariliadamasceno")</f>
        <v>mariliadamasceno</v>
      </c>
      <c r="C8" s="5" t="str">
        <f>IFERROR(__xludf.DUMMYFUNCTION("""COMPUTED_VALUE"""),"Marilia Damasceno")</f>
        <v>Marilia Damasceno</v>
      </c>
      <c r="D8" s="5" t="str">
        <f>IFERROR(__xludf.DUMMYFUNCTION("""COMPUTED_VALUE"""),"Kkkk TDHA altissimo #concurseiro #estudo #tdha #meme #fy #parati")</f>
        <v>Kkkk TDHA altissimo #concurseiro #estudo #tdha #meme #fy #parati</v>
      </c>
      <c r="E8" s="5" t="str">
        <f>IFERROR(__xludf.DUMMYFUNCTION("""COMPUTED_VALUE"""),"concurseiro,estudo,tdha,meme,fy,parati")</f>
        <v>concurseiro,estudo,tdha,meme,fy,parati</v>
      </c>
      <c r="G8" s="6">
        <f>IFERROR(__xludf.DUMMYFUNCTION("IF(
  TRIM(E8)="""",
  0,
  COUNTA(
    SPLIT(
      REGEXREPLACE(E8,""\s*,\s*"","",""),
      "",""
    )
  )
)"),6.0)</f>
        <v>6</v>
      </c>
    </row>
    <row r="9">
      <c r="A9" s="5" t="str">
        <f>IFERROR(__xludf.DUMMYFUNCTION("""COMPUTED_VALUE"""),"7339985873351593222")</f>
        <v>7339985873351593222</v>
      </c>
      <c r="B9" s="5" t="str">
        <f>IFERROR(__xludf.DUMMYFUNCTION("""COMPUTED_VALUE"""),"joaorostand")</f>
        <v>joaorostand</v>
      </c>
      <c r="C9" s="5" t="str">
        <f>IFERROR(__xludf.DUMMYFUNCTION("""COMPUTED_VALUE"""),"João Rostand")</f>
        <v>João Rostand</v>
      </c>
      <c r="D9" s="5" t="str">
        <f>IFERROR(__xludf.DUMMYFUNCTION("""COMPUTED_VALUE"""),"POR QUE É ASSIM?😩  #adhd #tdah #tdahadulto #tdahmemes #tdahtiktok")</f>
        <v>POR QUE É ASSIM?😩  #adhd #tdah #tdahadulto #tdahmemes #tdahtiktok</v>
      </c>
      <c r="E9" s="5" t="str">
        <f>IFERROR(__xludf.DUMMYFUNCTION("""COMPUTED_VALUE"""),"adhd,tdah,tdahadulto,tdahmemes,tdahtiktok")</f>
        <v>adhd,tdah,tdahadulto,tdahmemes,tdahtiktok</v>
      </c>
      <c r="G9" s="6">
        <f>IFERROR(__xludf.DUMMYFUNCTION("IF(
  TRIM(E9)="""",
  0,
  COUNTA(
    SPLIT(
      REGEXREPLACE(E9,""\s*,\s*"","",""),
      "",""
    )
  )
)"),5.0)</f>
        <v>5</v>
      </c>
    </row>
    <row r="10">
      <c r="A10" s="5" t="str">
        <f>IFERROR(__xludf.DUMMYFUNCTION("""COMPUTED_VALUE"""),"7407604517925047557")</f>
        <v>7407604517925047557</v>
      </c>
      <c r="B10" s="5" t="str">
        <f>IFERROR(__xludf.DUMMYFUNCTION("""COMPUTED_VALUE"""),"igorpsicologo")</f>
        <v>igorpsicologo</v>
      </c>
      <c r="C10" s="5" t="str">
        <f>IFERROR(__xludf.DUMMYFUNCTION("""COMPUTED_VALUE"""),"Psicólogo Igor")</f>
        <v>Psicólogo Igor</v>
      </c>
      <c r="D10" s="5" t="str">
        <f>IFERROR(__xludf.DUMMYFUNCTION("""COMPUTED_VALUE"""),"#tdah #saudemental #psicologia #psicologoonline #fyp #foryou #emocoes")</f>
        <v>#tdah #saudemental #psicologia #psicologoonline #fyp #foryou #emocoes</v>
      </c>
      <c r="E10" s="5" t="str">
        <f>IFERROR(__xludf.DUMMYFUNCTION("""COMPUTED_VALUE"""),"tdah,saudemental,psicologia,psicologoonline,fyp,foryou,emocoes")</f>
        <v>tdah,saudemental,psicologia,psicologoonline,fyp,foryou,emocoes</v>
      </c>
      <c r="G10" s="6">
        <f>IFERROR(__xludf.DUMMYFUNCTION("IF(
  TRIM(E10)="""",
  0,
  COUNTA(
    SPLIT(
      REGEXREPLACE(E10,""\s*,\s*"","",""),
      "",""
    )
  )
)"),7.0)</f>
        <v>7</v>
      </c>
    </row>
    <row r="11">
      <c r="A11" s="5" t="str">
        <f>IFERROR(__xludf.DUMMYFUNCTION("""COMPUTED_VALUE"""),"7384565805939264773")</f>
        <v>7384565805939264773</v>
      </c>
      <c r="B11" s="5" t="str">
        <f>IFERROR(__xludf.DUMMYFUNCTION("""COMPUTED_VALUE"""),"claralisle")</f>
        <v>claralisle</v>
      </c>
      <c r="C11" s="5" t="str">
        <f>IFERROR(__xludf.DUMMYFUNCTION("""COMPUTED_VALUE"""),"Clara Lisle")</f>
        <v>Clara Lisle</v>
      </c>
      <c r="D11" s="5" t="str">
        <f>IFERROR(__xludf.DUMMYFUNCTION("""COMPUTED_VALUE"""),"Se identifica??🤣🤣 #tdah #tdahadulto #tdahhumor #tdahmemes #terapeuta")</f>
        <v>Se identifica??🤣🤣 #tdah #tdahadulto #tdahhumor #tdahmemes #terapeuta</v>
      </c>
      <c r="E11" s="5" t="str">
        <f>IFERROR(__xludf.DUMMYFUNCTION("""COMPUTED_VALUE"""),"tdah,tdahadulto,tdahhumor,tdahmemes,terapeuta")</f>
        <v>tdah,tdahadulto,tdahhumor,tdahmemes,terapeuta</v>
      </c>
      <c r="G11" s="6">
        <f>IFERROR(__xludf.DUMMYFUNCTION("IF(
  TRIM(E11)="""",
  0,
  COUNTA(
    SPLIT(
      REGEXREPLACE(E11,""\s*,\s*"","",""),
      "",""
    )
  )
)"),5.0)</f>
        <v>5</v>
      </c>
    </row>
    <row r="12">
      <c r="A12" s="5" t="str">
        <f>IFERROR(__xludf.DUMMYFUNCTION("""COMPUTED_VALUE"""),"7257936743163301126")</f>
        <v>7257936743163301126</v>
      </c>
      <c r="B12" s="5" t="str">
        <f>IFERROR(__xludf.DUMMYFUNCTION("""COMPUTED_VALUE"""),"lorenatdahta")</f>
        <v>lorenatdahta</v>
      </c>
      <c r="C12" s="5" t="str">
        <f>IFERROR(__xludf.DUMMYFUNCTION("""COMPUTED_VALUE"""),"Lorena TDAHTA")</f>
        <v>Lorena TDAHTA</v>
      </c>
      <c r="D12" s="5" t="str">
        <f>IFERROR(__xludf.DUMMYFUNCTION("""COMPUTED_VALUE"""),"Você consegue adivinhar qual das duas possui TDAH? 🤔 #tdahinfantil #terapiatdah #tdahta")</f>
        <v>Você consegue adivinhar qual das duas possui TDAH? 🤔 #tdahinfantil #terapiatdah #tdahta</v>
      </c>
      <c r="E12" s="5" t="str">
        <f>IFERROR(__xludf.DUMMYFUNCTION("""COMPUTED_VALUE"""),"tdahinfantil,terapiatdah,tdahta")</f>
        <v>tdahinfantil,terapiatdah,tdahta</v>
      </c>
      <c r="G12" s="6">
        <f>IFERROR(__xludf.DUMMYFUNCTION("IF(
  TRIM(E12)="""",
  0,
  COUNTA(
    SPLIT(
      REGEXREPLACE(E12,""\s*,\s*"","",""),
      "",""
    )
  )
)"),3.0)</f>
        <v>3</v>
      </c>
    </row>
    <row r="13">
      <c r="A13" s="5" t="str">
        <f>IFERROR(__xludf.DUMMYFUNCTION("""COMPUTED_VALUE"""),"7456957972246187270")</f>
        <v>7456957972246187270</v>
      </c>
      <c r="B13" s="5" t="str">
        <f>IFERROR(__xludf.DUMMYFUNCTION("""COMPUTED_VALUE"""),"gmrlopes")</f>
        <v>gmrlopes</v>
      </c>
      <c r="C13" s="5" t="str">
        <f>IFERROR(__xludf.DUMMYFUNCTION("""COMPUTED_VALUE"""),"Geovana Lopes 🦁")</f>
        <v>Geovana Lopes 🦁</v>
      </c>
      <c r="D13" s="5" t="str">
        <f>IFERROR(__xludf.DUMMYFUNCTION("""COMPUTED_VALUE"""),"Relato de uma TDAH #fyp #tdah")</f>
        <v>Relato de uma TDAH #fyp #tdah</v>
      </c>
      <c r="E13" s="5" t="str">
        <f>IFERROR(__xludf.DUMMYFUNCTION("""COMPUTED_VALUE"""),"fyp,tdah")</f>
        <v>fyp,tdah</v>
      </c>
      <c r="G13" s="6">
        <f>IFERROR(__xludf.DUMMYFUNCTION("IF(
  TRIM(E13)="""",
  0,
  COUNTA(
    SPLIT(
      REGEXREPLACE(E13,""\s*,\s*"","",""),
      "",""
    )
  )
)"),2.0)</f>
        <v>2</v>
      </c>
    </row>
    <row r="14">
      <c r="A14" s="5" t="str">
        <f>IFERROR(__xludf.DUMMYFUNCTION("""COMPUTED_VALUE"""),"7383842849407782149")</f>
        <v>7383842849407782149</v>
      </c>
      <c r="B14" s="5" t="str">
        <f>IFERROR(__xludf.DUMMYFUNCTION("""COMPUTED_VALUE"""),"lorenatdahta")</f>
        <v>lorenatdahta</v>
      </c>
      <c r="C14" s="5" t="str">
        <f>IFERROR(__xludf.DUMMYFUNCTION("""COMPUTED_VALUE"""),"Lorena TDAHTA")</f>
        <v>Lorena TDAHTA</v>
      </c>
      <c r="D14" s="5" t="str">
        <f>IFERROR(__xludf.DUMMYFUNCTION("""COMPUTED_VALUE"""),"Quando se é TDAH, não se sente antes de terminar. É uma armadilha! 💀🫠_____________________________ Adorei dublar e fazer a adaptação dessa animação do @neurodivers.show . Mais um hiperfoco aleatório que eu descubro e levo o domingo todo fazendo! 🤣🤯 __"&amp;"___________________________ #tdahta #tdahhumor #tdahdesorganizado #tdahmemes #tdahbrasil")</f>
        <v>Quando se é TDAH, não se sente antes de terminar. É uma armadilha! 💀🫠_____________________________ Adorei dublar e fazer a adaptação dessa animação do @neurodivers.show . Mais um hiperfoco aleatório que eu descubro e levo o domingo todo fazendo! 🤣🤯 _____________________________ #tdahta #tdahhumor #tdahdesorganizado #tdahmemes #tdahbrasil</v>
      </c>
      <c r="E14" s="5" t="str">
        <f>IFERROR(__xludf.DUMMYFUNCTION("""COMPUTED_VALUE"""),"tdahta,tdahhumor,tdahdesorganizado,tdahmemes,tdahbrasil")</f>
        <v>tdahta,tdahhumor,tdahdesorganizado,tdahmemes,tdahbrasil</v>
      </c>
      <c r="G14" s="6">
        <f>IFERROR(__xludf.DUMMYFUNCTION("IF(
  TRIM(E14)="""",
  0,
  COUNTA(
    SPLIT(
      REGEXREPLACE(E14,""\s*,\s*"","",""),
      "",""
    )
  )
)"),5.0)</f>
        <v>5</v>
      </c>
    </row>
    <row r="15">
      <c r="A15" s="5" t="str">
        <f>IFERROR(__xludf.DUMMYFUNCTION("""COMPUTED_VALUE"""),"7250209855347100934")</f>
        <v>7250209855347100934</v>
      </c>
      <c r="B15" s="5" t="str">
        <f>IFERROR(__xludf.DUMMYFUNCTION("""COMPUTED_VALUE"""),"psicologo.mateus")</f>
        <v>psicologo.mateus</v>
      </c>
      <c r="C15" s="5" t="str">
        <f>IFERROR(__xludf.DUMMYFUNCTION("""COMPUTED_VALUE"""),"Psicólogo Mateus")</f>
        <v>Psicólogo Mateus</v>
      </c>
      <c r="D15" s="5" t="str">
        <f>IFERROR(__xludf.DUMMYFUNCTION("""COMPUTED_VALUE"""),"As manias são comportamentos que podem ser comuns em pessoas com TDAH. Embora nem todos os indivíduos com TDAH apresentem essas características, é importante destacar que algumas pessoas com o transtorno podem desenvolver certas manias como uma forma de l"&amp;"idar com a agitação mental e física que frequentemente acompanha essa condição. Uma das manias mais comuns em pessoas com TDAH é balançar a perna de forma rítmica ou incessante. Esse movimento repetitivo ajuda a aliviar a inquietude e proporciona uma sens"&amp;"ação de alívio temporário. Outra mania frequente é a escoriação, que envolve arrancar a pele, espremer espinhas e cravos. Essa atividade pode ser uma forma de canalizar a hiperatividade e a ansiedade, embora seja importante ressaltar que a escoriação exce"&amp;"ssiva pode resultar em danos à pele e até em infecções. Gesticular muito com as mãos também é uma mania comum em pessoas com TDAH. Esses gestos expressivos podem acompanhar a fala e podem ajudar a pessoa a se concentrar ou expressar seus pensamentos e emo"&amp;"ções. Arrancar ou enrolar o cabelo com as mãos é outra mania que algumas pessoas com TDAH podem apresentar. Essa ação repetitiva pode ocorrer como uma forma de alívio do estresse ou ansiedade, proporcionando uma sensação reconfortante. Além disso, falar s"&amp;"ozinho é uma mania observada em algumas pessoas com TDAH. Embora possa parecer estranho para os outros, conversar consigo mesmo pode ajudar a organizar os pensamentos e concentrar-se em tarefas. É importante ressaltar que essas manias podem variar de pess"&amp;"oa para pessoa e nem todos os indivíduos com TDAH as manifestam. ⚠️SIGA @psicologo.mateus PARA MAIS CONTEÚDOS! #terapia #psicologo #psicologia #terapiacognitivo #saudemental #tdah #tdahadulto #tdahinfantil #tdahdescomplicado #tdahadultos #tdahcomamor #tda"&amp;"hmemes #tdahtiktok ")</f>
        <v>As manias são comportamentos que podem ser comuns em pessoas com TDAH. Embora nem todos os indivíduos com TDAH apresentem essas características, é importante destacar que algumas pessoas com o transtorno podem desenvolver certas manias como uma forma de lidar com a agitação mental e física que frequentemente acompanha essa condição. Uma das manias mais comuns em pessoas com TDAH é balançar a perna de forma rítmica ou incessante. Esse movimento repetitivo ajuda a aliviar a inquietude e proporciona uma sensação de alívio temporário. Outra mania frequente é a escoriação, que envolve arrancar a pele, espremer espinhas e cravos. Essa atividade pode ser uma forma de canalizar a hiperatividade e a ansiedade, embora seja importante ressaltar que a escoriação excessiva pode resultar em danos à pele e até em infecções. Gesticular muito com as mãos também é uma mania comum em pessoas com TDAH. Esses gestos expressivos podem acompanhar a fala e podem ajudar a pessoa a se concentrar ou expressar seus pensamentos e emoções. Arrancar ou enrolar o cabelo com as mãos é outra mania que algumas pessoas com TDAH podem apresentar. Essa ação repetitiva pode ocorrer como uma forma de alívio do estresse ou ansiedade, proporcionando uma sensação reconfortante. Além disso, falar sozinho é uma mania observada em algumas pessoas com TDAH. Embora possa parecer estranho para os outros, conversar consigo mesmo pode ajudar a organizar os pensamentos e concentrar-se em tarefas. É importante ressaltar que essas manias podem variar de pessoa para pessoa e nem todos os indivíduos com TDAH as manifestam. ⚠️SIGA @psicologo.mateus PARA MAIS CONTEÚDOS! #terapia #psicologo #psicologia #terapiacognitivo #saudemental #tdah #tdahadulto #tdahinfantil #tdahdescomplicado #tdahadultos #tdahcomamor #tdahmemes #tdahtiktok </v>
      </c>
      <c r="E15" s="5" t="str">
        <f>IFERROR(__xludf.DUMMYFUNCTION("""COMPUTED_VALUE"""),"terapia,psicologo,psicologia,terapiacognitivo,saudemental,tdah,tdahadulto,tdahinfantil,tdahdescomplicado,tdahadultos,tdahcomamor,tdahmemes,tdahtiktok")</f>
        <v>terapia,psicologo,psicologia,terapiacognitivo,saudemental,tdah,tdahadulto,tdahinfantil,tdahdescomplicado,tdahadultos,tdahcomamor,tdahmemes,tdahtiktok</v>
      </c>
      <c r="G15" s="6">
        <f>IFERROR(__xludf.DUMMYFUNCTION("IF(
  TRIM(E15)="""",
  0,
  COUNTA(
    SPLIT(
      REGEXREPLACE(E15,""\s*,\s*"","",""),
      "",""
    )
  )
)"),13.0)</f>
        <v>13</v>
      </c>
    </row>
    <row r="16">
      <c r="A16" s="5" t="str">
        <f>IFERROR(__xludf.DUMMYFUNCTION("""COMPUTED_VALUE"""),"7380102671203880197")</f>
        <v>7380102671203880197</v>
      </c>
      <c r="B16" s="5" t="str">
        <f>IFERROR(__xludf.DUMMYFUNCTION("""COMPUTED_VALUE"""),"claralisle")</f>
        <v>claralisle</v>
      </c>
      <c r="C16" s="5" t="str">
        <f>IFERROR(__xludf.DUMMYFUNCTION("""COMPUTED_VALUE"""),"Clara Lisle")</f>
        <v>Clara Lisle</v>
      </c>
      <c r="D16" s="5" t="str">
        <f>IFERROR(__xludf.DUMMYFUNCTION("""COMPUTED_VALUE"""),"Aqui você aprende a viver em paz com quem você ê❤️🫶 Você não é um erro! #tdah #saudade #tdahadulto #tdahtiktok #terapeuta #tdahadulto🧡")</f>
        <v>Aqui você aprende a viver em paz com quem você ê❤️🫶 Você não é um erro! #tdah #saudade #tdahadulto #tdahtiktok #terapeuta #tdahadulto🧡</v>
      </c>
      <c r="E16" s="5" t="str">
        <f>IFERROR(__xludf.DUMMYFUNCTION("""COMPUTED_VALUE"""),"tdah,saudade,tdahadulto,tdahtiktok,terapeuta,tdahadulto🧡")</f>
        <v>tdah,saudade,tdahadulto,tdahtiktok,terapeuta,tdahadulto🧡</v>
      </c>
      <c r="G16" s="6">
        <f>IFERROR(__xludf.DUMMYFUNCTION("IF(
  TRIM(E16)="""",
  0,
  COUNTA(
    SPLIT(
      REGEXREPLACE(E16,""\s*,\s*"","",""),
      "",""
    )
  )
)"),6.0)</f>
        <v>6</v>
      </c>
    </row>
    <row r="17">
      <c r="A17" s="5" t="str">
        <f>IFERROR(__xludf.DUMMYFUNCTION("""COMPUTED_VALUE"""),"7518757198554598661")</f>
        <v>7518757198554598661</v>
      </c>
      <c r="B17" s="5" t="str">
        <f>IFERROR(__xludf.DUMMYFUNCTION("""COMPUTED_VALUE"""),"neurodivergenciaeopapo")</f>
        <v>neurodivergenciaeopapo</v>
      </c>
      <c r="C17" s="5" t="str">
        <f>IFERROR(__xludf.DUMMYFUNCTION("""COMPUTED_VALUE"""),"Neurodivergência é o papo!")</f>
        <v>Neurodivergência é o papo!</v>
      </c>
      <c r="D17" s="5" t="str">
        <f>IFERROR(__xludf.DUMMYFUNCTION("""COMPUTED_VALUE"""),"#tdah #tea #autismo #dislexia #tod #transtornoopositordesafiador #transtornosneurodivergentes #criancaatipica #maternidadeatipica #paternidadeatipica #neurodivergente #neurodivergencia #neurodivergenciaeopapo #foryoupage #foruyou")</f>
        <v>#tdah #tea #autismo #dislexia #tod #transtornoopositordesafiador #transtornosneurodivergentes #criancaatipica #maternidadeatipica #paternidadeatipica #neurodivergente #neurodivergencia #neurodivergenciaeopapo #foryoupage #foruyou</v>
      </c>
      <c r="E17" s="5" t="str">
        <f>IFERROR(__xludf.DUMMYFUNCTION("""COMPUTED_VALUE"""),"tdah,tea,autismo,dislexia,tod,transtornoopositordesafiador,transtornosneurodivergentes,criancaatipica,maternidadeatipica,paternidadeatipica,neurodivergente,neurodivergencia,neurodivergenciaeopapo,foryoupage,foruyou")</f>
        <v>tdah,tea,autismo,dislexia,tod,transtornoopositordesafiador,transtornosneurodivergentes,criancaatipica,maternidadeatipica,paternidadeatipica,neurodivergente,neurodivergencia,neurodivergenciaeopapo,foryoupage,foruyou</v>
      </c>
      <c r="G17" s="6">
        <f>IFERROR(__xludf.DUMMYFUNCTION("IF(
  TRIM(E17)="""",
  0,
  COUNTA(
    SPLIT(
      REGEXREPLACE(E17,""\s*,\s*"","",""),
      "",""
    )
  )
)"),15.0)</f>
        <v>15</v>
      </c>
    </row>
    <row r="18">
      <c r="A18" s="5" t="str">
        <f>IFERROR(__xludf.DUMMYFUNCTION("""COMPUTED_VALUE"""),"6995313827717991686")</f>
        <v>6995313827717991686</v>
      </c>
      <c r="B18" s="5" t="str">
        <f>IFERROR(__xludf.DUMMYFUNCTION("""COMPUTED_VALUE"""),"chloemariedub")</f>
        <v>chloemariedub</v>
      </c>
      <c r="C18" s="5" t="str">
        <f>IFERROR(__xludf.DUMMYFUNCTION("""COMPUTED_VALUE"""),"Chlo 💌")</f>
        <v>Chlo 💌</v>
      </c>
      <c r="D18" s="5" t="str">
        <f>IFERROR(__xludf.DUMMYFUNCTION("""COMPUTED_VALUE"""),"Kkkk alguem mais??? #fypシ #tdah #ansiedade")</f>
        <v>Kkkk alguem mais??? #fypシ #tdah #ansiedade</v>
      </c>
      <c r="E18" s="5" t="str">
        <f>IFERROR(__xludf.DUMMYFUNCTION("""COMPUTED_VALUE"""),"fypシ,tdah,ansiedade")</f>
        <v>fypシ,tdah,ansiedade</v>
      </c>
      <c r="G18" s="6">
        <f>IFERROR(__xludf.DUMMYFUNCTION("IF(
  TRIM(E18)="""",
  0,
  COUNTA(
    SPLIT(
      REGEXREPLACE(E18,""\s*,\s*"","",""),
      "",""
    )
  )
)"),3.0)</f>
        <v>3</v>
      </c>
    </row>
    <row r="19">
      <c r="A19" s="5" t="str">
        <f>IFERROR(__xludf.DUMMYFUNCTION("""COMPUTED_VALUE"""),"7521123458407795974")</f>
        <v>7521123458407795974</v>
      </c>
      <c r="B19" s="5" t="str">
        <f>IFERROR(__xludf.DUMMYFUNCTION("""COMPUTED_VALUE"""),"draanabeatriz11")</f>
        <v>draanabeatriz11</v>
      </c>
      <c r="C19" s="5" t="str">
        <f>IFERROR(__xludf.DUMMYFUNCTION("""COMPUTED_VALUE"""),"Ana Beatriz Barbosa")</f>
        <v>Ana Beatriz Barbosa</v>
      </c>
      <c r="D19" s="5" t="str">
        <f>IFERROR(__xludf.DUMMYFUNCTION("""COMPUTED_VALUE"""),"Você acha que quem tem TDAH não consegue prestar atenção em nada? Quem vive com TDAH pode parecer distraído, mas quando encontra algo que ama de verdade, entra em HIPERFOCO! É capaz de passar horas mergulhado em um projeto, num jogo, numa conversa, e nem "&amp;"perceber o tempo passando. Isso é falta de atenção ou um superpoder mal compreendido? Nosso lobo frontal, que comanda o foco e a organização do cérebro, precisa de dopamina para funcionar bem. E sabe o que libera dopamina? Aquilo que dá prazer, sentido, e"&amp;"moção. Aí sim, o cérebro ganha asas! Será que é falta de atenção ou falta de interesse no que não desperta sua alma? 💬 Se você se identificou, me conta aqui nos comentários: o que te faz esquecer do tempo? Quero saber qual é o seu hiperfoco! 👇")</f>
        <v>Você acha que quem tem TDAH não consegue prestar atenção em nada? Quem vive com TDAH pode parecer distraído, mas quando encontra algo que ama de verdade, entra em HIPERFOCO! É capaz de passar horas mergulhado em um projeto, num jogo, numa conversa, e nem perceber o tempo passando. Isso é falta de atenção ou um superpoder mal compreendido? Nosso lobo frontal, que comanda o foco e a organização do cérebro, precisa de dopamina para funcionar bem. E sabe o que libera dopamina? Aquilo que dá prazer, sentido, emoção. Aí sim, o cérebro ganha asas! Será que é falta de atenção ou falta de interesse no que não desperta sua alma? 💬 Se você se identificou, me conta aqui nos comentários: o que te faz esquecer do tempo? Quero saber qual é o seu hiperfoco! 👇</v>
      </c>
      <c r="E19" s="5"/>
      <c r="G19" s="6">
        <f>IFERROR(__xludf.DUMMYFUNCTION("IF(
  TRIM(E19)="""",
  0,
  COUNTA(
    SPLIT(
      REGEXREPLACE(E19,""\s*,\s*"","",""),
      "",""
    )
  )
)"),0.0)</f>
        <v>0</v>
      </c>
    </row>
    <row r="20">
      <c r="A20" s="5" t="str">
        <f>IFERROR(__xludf.DUMMYFUNCTION("""COMPUTED_VALUE"""),"7508413469335588152")</f>
        <v>7508413469335588152</v>
      </c>
      <c r="B20" s="5" t="str">
        <f>IFERROR(__xludf.DUMMYFUNCTION("""COMPUTED_VALUE"""),"vibes.brasil1")</f>
        <v>vibes.brasil1</v>
      </c>
      <c r="C20" s="5" t="str">
        <f>IFERROR(__xludf.DUMMYFUNCTION("""COMPUTED_VALUE"""),"vibes.brasil")</f>
        <v>vibes.brasil</v>
      </c>
      <c r="D20" s="5" t="str">
        <f>IFERROR(__xludf.DUMMYFUNCTION("""COMPUTED_VALUE"""),"pov: TDAH 🤣 ... .. . #tdah #tdahmemes #tdahtiktok #memesbrasil #brasilmemes #perolasbrasileiras #memesbr")</f>
        <v>pov: TDAH 🤣 ... .. . #tdah #tdahmemes #tdahtiktok #memesbrasil #brasilmemes #perolasbrasileiras #memesbr</v>
      </c>
      <c r="E20" s="5" t="str">
        <f>IFERROR(__xludf.DUMMYFUNCTION("""COMPUTED_VALUE"""),"tdah,tdahmemes,tdahtiktok,memesbrasil,brasilmemes,perolasbrasileiras,memesbr")</f>
        <v>tdah,tdahmemes,tdahtiktok,memesbrasil,brasilmemes,perolasbrasileiras,memesbr</v>
      </c>
      <c r="G20" s="6">
        <f>IFERROR(__xludf.DUMMYFUNCTION("IF(
  TRIM(E20)="""",
  0,
  COUNTA(
    SPLIT(
      REGEXREPLACE(E20,""\s*,\s*"","",""),
      "",""
    )
  )
)"),7.0)</f>
        <v>7</v>
      </c>
    </row>
    <row r="21">
      <c r="A21" s="5" t="str">
        <f>IFERROR(__xludf.DUMMYFUNCTION("""COMPUTED_VALUE"""),"7301711830014102790")</f>
        <v>7301711830014102790</v>
      </c>
      <c r="B21" s="5" t="str">
        <f>IFERROR(__xludf.DUMMYFUNCTION("""COMPUTED_VALUE"""),"visaopsicologia")</f>
        <v>visaopsicologia</v>
      </c>
      <c r="C21" s="5" t="str">
        <f>IFERROR(__xludf.DUMMYFUNCTION("""COMPUTED_VALUE"""),"Visão Psicologia")</f>
        <v>Visão Psicologia</v>
      </c>
      <c r="D21" s="5" t="str">
        <f>IFERROR(__xludf.DUMMYFUNCTION("""COMPUTED_VALUE"""),"Lado bom de ter TDAH #draanabeatriz #psicologia #tdah")</f>
        <v>Lado bom de ter TDAH #draanabeatriz #psicologia #tdah</v>
      </c>
      <c r="E21" s="5" t="str">
        <f>IFERROR(__xludf.DUMMYFUNCTION("""COMPUTED_VALUE"""),"draanabeatriz,psicologia,tdah")</f>
        <v>draanabeatriz,psicologia,tdah</v>
      </c>
      <c r="G21" s="6">
        <f>IFERROR(__xludf.DUMMYFUNCTION("IF(
  TRIM(E21)="""",
  0,
  COUNTA(
    SPLIT(
      REGEXREPLACE(E21,""\s*,\s*"","",""),
      "",""
    )
  )
)"),3.0)</f>
        <v>3</v>
      </c>
    </row>
    <row r="22">
      <c r="A22" s="5" t="str">
        <f>IFERROR(__xludf.DUMMYFUNCTION("""COMPUTED_VALUE"""),"7428337289136229637")</f>
        <v>7428337289136229637</v>
      </c>
      <c r="B22" s="5" t="str">
        <f>IFERROR(__xludf.DUMMYFUNCTION("""COMPUTED_VALUE"""),"karen_abreuu")</f>
        <v>karen_abreuu</v>
      </c>
      <c r="C22" s="5" t="str">
        <f>IFERROR(__xludf.DUMMYFUNCTION("""COMPUTED_VALUE"""),"Karen Cristina")</f>
        <v>Karen Cristina</v>
      </c>
      <c r="D22" s="5" t="str">
        <f>IFERROR(__xludf.DUMMYFUNCTION("""COMPUTED_VALUE"""),"Qyem mais se identifica!? . . . #humor #reels #instagram #videos #viral #tdah #tdahadulto #fy #fyp")</f>
        <v>Qyem mais se identifica!? . . . #humor #reels #instagram #videos #viral #tdah #tdahadulto #fy #fyp</v>
      </c>
      <c r="E22" s="5" t="str">
        <f>IFERROR(__xludf.DUMMYFUNCTION("""COMPUTED_VALUE"""),"humor,reels,instagram,videos,viral,tdah,tdahadulto,fy,fyp")</f>
        <v>humor,reels,instagram,videos,viral,tdah,tdahadulto,fy,fyp</v>
      </c>
      <c r="G22" s="6">
        <f>IFERROR(__xludf.DUMMYFUNCTION("IF(
  TRIM(E22)="""",
  0,
  COUNTA(
    SPLIT(
      REGEXREPLACE(E22,""\s*,\s*"","",""),
      "",""
    )
  )
)"),9.0)</f>
        <v>9</v>
      </c>
    </row>
    <row r="23">
      <c r="A23" s="5" t="str">
        <f>IFERROR(__xludf.DUMMYFUNCTION("""COMPUTED_VALUE"""),"7090555724526308614")</f>
        <v>7090555724526308614</v>
      </c>
      <c r="B23" s="5" t="str">
        <f>IFERROR(__xludf.DUMMYFUNCTION("""COMPUTED_VALUE"""),"cansei.deserotario")</f>
        <v>cansei.deserotario</v>
      </c>
      <c r="C23" s="5" t="str">
        <f>IFERROR(__xludf.DUMMYFUNCTION("""COMPUTED_VALUE"""),"Inteligência Social")</f>
        <v>Inteligência Social</v>
      </c>
      <c r="D23" s="5" t="str">
        <f>IFERROR(__xludf.DUMMYFUNCTION("""COMPUTED_VALUE"""),"Tdah é excesso de atenção | Especialista: Eslen Delanogare #canseideserotario")</f>
        <v>Tdah é excesso de atenção | Especialista: Eslen Delanogare #canseideserotario</v>
      </c>
      <c r="E23" s="5" t="str">
        <f>IFERROR(__xludf.DUMMYFUNCTION("""COMPUTED_VALUE"""),"canseideserotario")</f>
        <v>canseideserotario</v>
      </c>
      <c r="G23" s="6">
        <f>IFERROR(__xludf.DUMMYFUNCTION("IF(
  TRIM(E23)="""",
  0,
  COUNTA(
    SPLIT(
      REGEXREPLACE(E23,""\s*,\s*"","",""),
      "",""
    )
  )
)"),1.0)</f>
        <v>1</v>
      </c>
    </row>
    <row r="24">
      <c r="A24" s="5" t="str">
        <f>IFERROR(__xludf.DUMMYFUNCTION("""COMPUTED_VALUE"""),"7274246260524174598")</f>
        <v>7274246260524174598</v>
      </c>
      <c r="B24" s="5" t="str">
        <f>IFERROR(__xludf.DUMMYFUNCTION("""COMPUTED_VALUE"""),"olucascavalcanti")</f>
        <v>olucascavalcanti</v>
      </c>
      <c r="C24" s="5" t="str">
        <f>IFERROR(__xludf.DUMMYFUNCTION("""COMPUTED_VALUE"""),"Lucas Cavalcanti")</f>
        <v>Lucas Cavalcanti</v>
      </c>
      <c r="D24" s="5" t="str">
        <f>IFERROR(__xludf.DUMMYFUNCTION("""COMPUTED_VALUE"""),"É bem isso gente 😆  Pensamentos de quem tem tdah  #humor #tdah #memestiktok #tdahadulto #tdahtiktok #comedia")</f>
        <v>É bem isso gente 😆  Pensamentos de quem tem tdah  #humor #tdah #memestiktok #tdahadulto #tdahtiktok #comedia</v>
      </c>
      <c r="E24" s="5" t="str">
        <f>IFERROR(__xludf.DUMMYFUNCTION("""COMPUTED_VALUE"""),"humor,tdah,memestiktok,tdahadulto,tdahtiktok,comedia")</f>
        <v>humor,tdah,memestiktok,tdahadulto,tdahtiktok,comedia</v>
      </c>
      <c r="G24" s="6">
        <f>IFERROR(__xludf.DUMMYFUNCTION("IF(
  TRIM(E24)="""",
  0,
  COUNTA(
    SPLIT(
      REGEXREPLACE(E24,""\s*,\s*"","",""),
      "",""
    )
  )
)"),6.0)</f>
        <v>6</v>
      </c>
    </row>
    <row r="25">
      <c r="A25" s="5" t="str">
        <f>IFERROR(__xludf.DUMMYFUNCTION("""COMPUTED_VALUE"""),"7483688263765462278")</f>
        <v>7483688263765462278</v>
      </c>
      <c r="B25" s="5" t="str">
        <f>IFERROR(__xludf.DUMMYFUNCTION("""COMPUTED_VALUE"""),"igorpsicologo")</f>
        <v>igorpsicologo</v>
      </c>
      <c r="C25" s="5" t="str">
        <f>IFERROR(__xludf.DUMMYFUNCTION("""COMPUTED_VALUE"""),"Psicólogo Igor")</f>
        <v>Psicólogo Igor</v>
      </c>
      <c r="D25" s="5" t="str">
        <f>IFERROR(__xludf.DUMMYFUNCTION("""COMPUTED_VALUE"""),"#saudemental #tdah #psicologia #psicoterapia #psicologoonline #fyp #foryoupage #fy")</f>
        <v>#saudemental #tdah #psicologia #psicoterapia #psicologoonline #fyp #foryoupage #fy</v>
      </c>
      <c r="E25" s="5" t="str">
        <f>IFERROR(__xludf.DUMMYFUNCTION("""COMPUTED_VALUE"""),"saudemental,tdah,psicologia,psicoterapia,psicologoonline,fyp,foryoupage,fy")</f>
        <v>saudemental,tdah,psicologia,psicoterapia,psicologoonline,fyp,foryoupage,fy</v>
      </c>
      <c r="G25" s="6">
        <f>IFERROR(__xludf.DUMMYFUNCTION("IF(
  TRIM(E25)="""",
  0,
  COUNTA(
    SPLIT(
      REGEXREPLACE(E25,""\s*,\s*"","",""),
      "",""
    )
  )
)"),8.0)</f>
        <v>8</v>
      </c>
    </row>
    <row r="26">
      <c r="A26" s="5" t="str">
        <f>IFERROR(__xludf.DUMMYFUNCTION("""COMPUTED_VALUE"""),"7279604970134015237")</f>
        <v>7279604970134015237</v>
      </c>
      <c r="B26" s="5" t="str">
        <f>IFERROR(__xludf.DUMMYFUNCTION("""COMPUTED_VALUE"""),"draanabeatriz11")</f>
        <v>draanabeatriz11</v>
      </c>
      <c r="C26" s="5" t="str">
        <f>IFERROR(__xludf.DUMMYFUNCTION("""COMPUTED_VALUE"""),"Ana Beatriz Barbosa")</f>
        <v>Ana Beatriz Barbosa</v>
      </c>
      <c r="D26" s="5" t="str">
        <f>IFERROR(__xludf.DUMMYFUNCTION("""COMPUTED_VALUE"""),"Vamos aprofundar nossa compreensão sobre como o TDAH afeta nossas vidas e o funcionamento de nossos cérebros.  A comunidade ""Ser Humano Sustentável"" está dedicada a oferecer oportunidades de autoconhecimento e apoio para lidar com os desafios do cotidia"&amp;"no. Nosso foco não se restringe apenas às pessoas com TDAH, mas visa promover o bem-estar mental de forma holística. 📌Clique no link da bio ou nos stories para se juntar à nossa comunidade SHS. Nós encontramos por lá! 😉")</f>
        <v>Vamos aprofundar nossa compreensão sobre como o TDAH afeta nossas vidas e o funcionamento de nossos cérebros.  A comunidade "Ser Humano Sustentável" está dedicada a oferecer oportunidades de autoconhecimento e apoio para lidar com os desafios do cotidiano. Nosso foco não se restringe apenas às pessoas com TDAH, mas visa promover o bem-estar mental de forma holística. 📌Clique no link da bio ou nos stories para se juntar à nossa comunidade SHS. Nós encontramos por lá! 😉</v>
      </c>
      <c r="E26" s="5"/>
      <c r="G26" s="6">
        <f>IFERROR(__xludf.DUMMYFUNCTION("IF(
  TRIM(E26)="""",
  0,
  COUNTA(
    SPLIT(
      REGEXREPLACE(E26,""\s*,\s*"","",""),
      "",""
    )
  )
)"),0.0)</f>
        <v>0</v>
      </c>
    </row>
    <row r="27">
      <c r="A27" s="5" t="str">
        <f>IFERROR(__xludf.DUMMYFUNCTION("""COMPUTED_VALUE"""),"7509597762946682117")</f>
        <v>7509597762946682117</v>
      </c>
      <c r="B27" s="5" t="str">
        <f>IFERROR(__xludf.DUMMYFUNCTION("""COMPUTED_VALUE"""),"janainaferreira.2")</f>
        <v>janainaferreira.2</v>
      </c>
      <c r="C27" s="5" t="str">
        <f>IFERROR(__xludf.DUMMYFUNCTION("""COMPUTED_VALUE"""),"Mundo do Autista 🧩")</f>
        <v>Mundo do Autista 🧩</v>
      </c>
      <c r="D27" s="5" t="str">
        <f>IFERROR(__xludf.DUMMYFUNCTION("""COMPUTED_VALUE"""),"TDHA não tratado.  #tdahadulto  #tdah #rededeapoio #inclusao #pesquisaautismo #maeatipica #maeautista #familiaautista #orgulhoautista #espectroautista #diamundialdoautismo #autismo #comunidadeautista #conscientizacaodoautismo #autismoftiktok #autismobrasi"&amp;"l #autismoinfantil #autistanotiktok #tea")</f>
        <v>TDHA não tratado.  #tdahadulto  #tdah #rededeapoio #inclusao #pesquisaautismo #maeatipica #maeautista #familiaautista #orgulhoautista #espectroautista #diamundialdoautismo #autismo #comunidadeautista #conscientizacaodoautismo #autismoftiktok #autismobrasil #autismoinfantil #autistanotiktok #tea</v>
      </c>
      <c r="E27" s="5" t="str">
        <f>IFERROR(__xludf.DUMMYFUNCTION("""COMPUTED_VALUE"""),"tdahadulto,tdah,rededeapoio,inclusao,pesquisaautismo,maeatipica,maeautista,familiaautista,orgulhoautista,espectroautista,diamundialdoautismo,autismo,comunidadeautista,conscientizacaodoautismo,autismoftiktok,autismobrasil,autismoinfantil,autistanotiktok,te"&amp;"a")</f>
        <v>tdahadulto,tdah,rededeapoio,inclusao,pesquisaautismo,maeatipica,maeautista,familiaautista,orgulhoautista,espectroautista,diamundialdoautismo,autismo,comunidadeautista,conscientizacaodoautismo,autismoftiktok,autismobrasil,autismoinfantil,autistanotiktok,tea</v>
      </c>
      <c r="G27" s="6">
        <f>IFERROR(__xludf.DUMMYFUNCTION("IF(
  TRIM(E27)="""",
  0,
  COUNTA(
    SPLIT(
      REGEXREPLACE(E27,""\s*,\s*"","",""),
      "",""
    )
  )
)"),19.0)</f>
        <v>19</v>
      </c>
    </row>
    <row r="28">
      <c r="A28" s="5" t="str">
        <f>IFERROR(__xludf.DUMMYFUNCTION("""COMPUTED_VALUE"""),"7423178064366193926")</f>
        <v>7423178064366193926</v>
      </c>
      <c r="B28" s="5" t="str">
        <f>IFERROR(__xludf.DUMMYFUNCTION("""COMPUTED_VALUE"""),"diario.do.tdah")</f>
        <v>diario.do.tdah</v>
      </c>
      <c r="C28" s="5" t="str">
        <f>IFERROR(__xludf.DUMMYFUNCTION("""COMPUTED_VALUE"""),"Diario do TDAH")</f>
        <v>Diario do TDAH</v>
      </c>
      <c r="D28" s="5" t="str">
        <f>IFERROR(__xludf.DUMMYFUNCTION("""COMPUTED_VALUE"""),"visite nossa loja virtual: https://hotmart.com/pt-br/marketplace/produtos/hagsxd-manual-do-tdah-as9pv/W95853126R #saude #ansiedade #neurodivergent #psicologia #tdahadulto #tdah #tdahinfantil #insônia #tratamento")</f>
        <v>visite nossa loja virtual: https://hotmart.com/pt-br/marketplace/produtos/hagsxd-manual-do-tdah-as9pv/W95853126R #saude #ansiedade #neurodivergent #psicologia #tdahadulto #tdah #tdahinfantil #insônia #tratamento</v>
      </c>
      <c r="E28" s="5" t="str">
        <f>IFERROR(__xludf.DUMMYFUNCTION("""COMPUTED_VALUE"""),"saude,ansiedade,neurodivergent,psicologia,tdahadulto,tdah,tdahinfantil,insônia,tratamento")</f>
        <v>saude,ansiedade,neurodivergent,psicologia,tdahadulto,tdah,tdahinfantil,insônia,tratamento</v>
      </c>
      <c r="G28" s="6">
        <f>IFERROR(__xludf.DUMMYFUNCTION("IF(
  TRIM(E28)="""",
  0,
  COUNTA(
    SPLIT(
      REGEXREPLACE(E28,""\s*,\s*"","",""),
      "",""
    )
  )
)"),9.0)</f>
        <v>9</v>
      </c>
    </row>
    <row r="29">
      <c r="A29" s="5" t="str">
        <f>IFERROR(__xludf.DUMMYFUNCTION("""COMPUTED_VALUE"""),"7551398640418295052")</f>
        <v>7551398640418295052</v>
      </c>
      <c r="B29" s="5" t="str">
        <f>IFERROR(__xludf.DUMMYFUNCTION("""COMPUTED_VALUE"""),"fgmedpos")</f>
        <v>fgmedpos</v>
      </c>
      <c r="C29" s="5" t="str">
        <f>IFERROR(__xludf.DUMMYFUNCTION("""COMPUTED_VALUE"""),"fgmed")</f>
        <v>fgmed</v>
      </c>
      <c r="D29" s="5" t="str">
        <f>IFERROR(__xludf.DUMMYFUNCTION("""COMPUTED_VALUE"""),"O TDAH tem mais tendência à exaustão mental do que à depressão. Descubra como a exaustão mental afeta o dia a dia e como lidar com ela. Fonte: PodPeople - Ana Beatriz Barbosa #TDAH #exaustãomental #saúdemental #bemestar")</f>
        <v>O TDAH tem mais tendência à exaustão mental do que à depressão. Descubra como a exaustão mental afeta o dia a dia e como lidar com ela. Fonte: PodPeople - Ana Beatriz Barbosa #TDAH #exaustãomental #saúdemental #bemestar</v>
      </c>
      <c r="E29" s="5" t="str">
        <f>IFERROR(__xludf.DUMMYFUNCTION("""COMPUTED_VALUE"""),"tdah,exaustãomental,saúdemental,bemestar")</f>
        <v>tdah,exaustãomental,saúdemental,bemestar</v>
      </c>
      <c r="G29" s="6">
        <f>IFERROR(__xludf.DUMMYFUNCTION("IF(
  TRIM(E29)="""",
  0,
  COUNTA(
    SPLIT(
      REGEXREPLACE(E29,""\s*,\s*"","",""),
      "",""
    )
  )
)"),4.0)</f>
        <v>4</v>
      </c>
    </row>
    <row r="30">
      <c r="A30" s="5" t="str">
        <f>IFERROR(__xludf.DUMMYFUNCTION("""COMPUTED_VALUE"""),"7376794159052541189")</f>
        <v>7376794159052541189</v>
      </c>
      <c r="B30" s="5" t="str">
        <f>IFERROR(__xludf.DUMMYFUNCTION("""COMPUTED_VALUE"""),"claralisle")</f>
        <v>claralisle</v>
      </c>
      <c r="C30" s="5" t="str">
        <f>IFERROR(__xludf.DUMMYFUNCTION("""COMPUTED_VALUE"""),"Clara Lisle")</f>
        <v>Clara Lisle</v>
      </c>
      <c r="D30" s="5" t="str">
        <f>IFERROR(__xludf.DUMMYFUNCTION("""COMPUTED_VALUE"""),"Se achou?? 🤣 #tdah #tdahadulto #tdahmemes #terapeuta")</f>
        <v>Se achou?? 🤣 #tdah #tdahadulto #tdahmemes #terapeuta</v>
      </c>
      <c r="E30" s="5" t="str">
        <f>IFERROR(__xludf.DUMMYFUNCTION("""COMPUTED_VALUE"""),"tdah,tdahadulto,tdahmemes,terapeuta")</f>
        <v>tdah,tdahadulto,tdahmemes,terapeuta</v>
      </c>
      <c r="G30" s="6">
        <f>IFERROR(__xludf.DUMMYFUNCTION("IF(
  TRIM(E30)="""",
  0,
  COUNTA(
    SPLIT(
      REGEXREPLACE(E30,""\s*,\s*"","",""),
      "",""
    )
  )
)"),4.0)</f>
        <v>4</v>
      </c>
    </row>
    <row r="31">
      <c r="A31" s="5" t="str">
        <f>IFERROR(__xludf.DUMMYFUNCTION("""COMPUTED_VALUE"""),"7273920974033145094")</f>
        <v>7273920974033145094</v>
      </c>
      <c r="B31" s="5" t="str">
        <f>IFERROR(__xludf.DUMMYFUNCTION("""COMPUTED_VALUE"""),"girodaengrenagem")</f>
        <v>girodaengrenagem</v>
      </c>
      <c r="C31" s="5" t="str">
        <f>IFERROR(__xludf.DUMMYFUNCTION("""COMPUTED_VALUE"""),"giro da engrenagem")</f>
        <v>giro da engrenagem</v>
      </c>
      <c r="D31" s="5" t="str">
        <f>IFERROR(__xludf.DUMMYFUNCTION("""COMPUTED_VALUE"""),"Parte 1 | 15 sintomas de tdah em adultos | Dra. Ana Beatriz Barbosa | Médica Psiquiatra | Comportamento Humano  . . #foryou #TDAHadultos #tdah #sintomas #comportamentohumano #saudedamente #atencao")</f>
        <v>Parte 1 | 15 sintomas de tdah em adultos | Dra. Ana Beatriz Barbosa | Médica Psiquiatra | Comportamento Humano  . . #foryou #TDAHadultos #tdah #sintomas #comportamentohumano #saudedamente #atencao</v>
      </c>
      <c r="E31" s="5" t="str">
        <f>IFERROR(__xludf.DUMMYFUNCTION("""COMPUTED_VALUE"""),"foryou,tdahadultos,tdah,sintomas,comportamentohumano,saudedamente,atencao")</f>
        <v>foryou,tdahadultos,tdah,sintomas,comportamentohumano,saudedamente,atencao</v>
      </c>
      <c r="G31" s="6">
        <f>IFERROR(__xludf.DUMMYFUNCTION("IF(
  TRIM(E31)="""",
  0,
  COUNTA(
    SPLIT(
      REGEXREPLACE(E31,""\s*,\s*"","",""),
      "",""
    )
  )
)"),7.0)</f>
        <v>7</v>
      </c>
    </row>
    <row r="32">
      <c r="A32" s="5" t="str">
        <f>IFERROR(__xludf.DUMMYFUNCTION("""COMPUTED_VALUE"""),"7469210932044958981")</f>
        <v>7469210932044958981</v>
      </c>
      <c r="B32" s="5" t="str">
        <f>IFERROR(__xludf.DUMMYFUNCTION("""COMPUTED_VALUE"""),"igorpsicologo")</f>
        <v>igorpsicologo</v>
      </c>
      <c r="C32" s="5" t="str">
        <f>IFERROR(__xludf.DUMMYFUNCTION("""COMPUTED_VALUE"""),"Psicólogo Igor")</f>
        <v>Psicólogo Igor</v>
      </c>
      <c r="D32" s="5" t="str">
        <f>IFERROR(__xludf.DUMMYFUNCTION("""COMPUTED_VALUE"""),"#saudemental #tdah #mente #psicologia #psicologoonline #psicoterapia #fyp #foryou #foryoupage #viralizou")</f>
        <v>#saudemental #tdah #mente #psicologia #psicologoonline #psicoterapia #fyp #foryou #foryoupage #viralizou</v>
      </c>
      <c r="E32" s="5" t="str">
        <f>IFERROR(__xludf.DUMMYFUNCTION("""COMPUTED_VALUE"""),"saudemental,tdah,mente,psicologia,psicologoonline,psicoterapia,fyp,foryou,foryoupage,viralizou")</f>
        <v>saudemental,tdah,mente,psicologia,psicologoonline,psicoterapia,fyp,foryou,foryoupage,viralizou</v>
      </c>
      <c r="G32" s="6">
        <f>IFERROR(__xludf.DUMMYFUNCTION("IF(
  TRIM(E32)="""",
  0,
  COUNTA(
    SPLIT(
      REGEXREPLACE(E32,""\s*,\s*"","",""),
      "",""
    )
  )
)"),10.0)</f>
        <v>10</v>
      </c>
    </row>
    <row r="33">
      <c r="A33" s="5" t="str">
        <f>IFERROR(__xludf.DUMMYFUNCTION("""COMPUTED_VALUE"""),"7552259161241832716")</f>
        <v>7552259161241832716</v>
      </c>
      <c r="B33" s="5" t="str">
        <f>IFERROR(__xludf.DUMMYFUNCTION("""COMPUTED_VALUE"""),"caminhandoecortando")</f>
        <v>caminhandoecortando</v>
      </c>
      <c r="C33" s="5" t="str">
        <f>IFERROR(__xludf.DUMMYFUNCTION("""COMPUTED_VALUE"""),"caminhandoecortando")</f>
        <v>caminhandoecortando</v>
      </c>
      <c r="D33" s="5" t="str">
        <f>IFERROR(__xludf.DUMMYFUNCTION("""COMPUTED_VALUE"""),"O cérebro de uma pessoa com TDAH | Andrea Vermont | Podcast 3 Irmãos  #podcast3irmaos")</f>
        <v>O cérebro de uma pessoa com TDAH | Andrea Vermont | Podcast 3 Irmãos  #podcast3irmaos</v>
      </c>
      <c r="E33" s="5" t="str">
        <f>IFERROR(__xludf.DUMMYFUNCTION("""COMPUTED_VALUE"""),"podcast3irmaos")</f>
        <v>podcast3irmaos</v>
      </c>
      <c r="G33" s="6">
        <f>IFERROR(__xludf.DUMMYFUNCTION("IF(
  TRIM(E33)="""",
  0,
  COUNTA(
    SPLIT(
      REGEXREPLACE(E33,""\s*,\s*"","",""),
      "",""
    )
  )
)"),1.0)</f>
        <v>1</v>
      </c>
    </row>
    <row r="34">
      <c r="A34" s="5" t="str">
        <f>IFERROR(__xludf.DUMMYFUNCTION("""COMPUTED_VALUE"""),"7374439603706531077")</f>
        <v>7374439603706531077</v>
      </c>
      <c r="B34" s="5" t="str">
        <f>IFERROR(__xludf.DUMMYFUNCTION("""COMPUTED_VALUE"""),"pisicopop")</f>
        <v>pisicopop</v>
      </c>
      <c r="C34" s="5" t="str">
        <f>IFERROR(__xludf.DUMMYFUNCTION("""COMPUTED_VALUE"""),"Saúde e ciência")</f>
        <v>Saúde e ciência</v>
      </c>
      <c r="D34" s="5" t="str">
        <f>IFERROR(__xludf.DUMMYFUNCTION("""COMPUTED_VALUE"""),"#psicologia #tdah #tdahadulto #tdahtiktok #tda")</f>
        <v>#psicologia #tdah #tdahadulto #tdahtiktok #tda</v>
      </c>
      <c r="E34" s="5" t="str">
        <f>IFERROR(__xludf.DUMMYFUNCTION("""COMPUTED_VALUE"""),"psicologia,tdah,tdahadulto,tdahtiktok,tda")</f>
        <v>psicologia,tdah,tdahadulto,tdahtiktok,tda</v>
      </c>
      <c r="G34" s="6">
        <f>IFERROR(__xludf.DUMMYFUNCTION("IF(
  TRIM(E34)="""",
  0,
  COUNTA(
    SPLIT(
      REGEXREPLACE(E34,""\s*,\s*"","",""),
      "",""
    )
  )
)"),5.0)</f>
        <v>5</v>
      </c>
    </row>
    <row r="35">
      <c r="A35" s="5" t="str">
        <f>IFERROR(__xludf.DUMMYFUNCTION("""COMPUTED_VALUE"""),"7276105452415601925")</f>
        <v>7276105452415601925</v>
      </c>
      <c r="B35" s="5" t="str">
        <f>IFERROR(__xludf.DUMMYFUNCTION("""COMPUTED_VALUE"""),"psi.jonathanorlandi")</f>
        <v>psi.jonathanorlandi</v>
      </c>
      <c r="C35" s="5" t="str">
        <f>IFERROR(__xludf.DUMMYFUNCTION("""COMPUTED_VALUE"""),"Jonathan. O psicólogo sincero")</f>
        <v>Jonathan. O psicólogo sincero</v>
      </c>
      <c r="D35" s="5" t="str">
        <f>IFERROR(__xludf.DUMMYFUNCTION("""COMPUTED_VALUE"""),"Sinceridade TDAH!  #longervideos #tdahadulto #bomhumor #Tdah #psicologia #terapia #saudemental #curiosidades #procrastinaçao #habitos #fatoscuriosos #fatossobremim #curiosidadesentiktok #tdahhumor #capcut #tdahmemes #ciencia #cienciaentiktok #criatividade"&amp;" #mensagem #sinceridade")</f>
        <v>Sinceridade TDAH!  #longervideos #tdahadulto #bomhumor #Tdah #psicologia #terapia #saudemental #curiosidades #procrastinaçao #habitos #fatoscuriosos #fatossobremim #curiosidadesentiktok #tdahhumor #capcut #tdahmemes #ciencia #cienciaentiktok #criatividade #mensagem #sinceridade</v>
      </c>
      <c r="E35" s="5" t="str">
        <f>IFERROR(__xludf.DUMMYFUNCTION("""COMPUTED_VALUE"""),"longervideos,tdahadulto,bomhumor,tdah,psicologia,terapia,saudemental,curiosidades,procrastinaçao,habitos,fatoscuriosos,fatossobremim,curiosidadesentiktok,tdahhumor,capcut,tdahmemes,ciencia,cienciaentiktok,criatividade,mensagem,sinceridade")</f>
        <v>longervideos,tdahadulto,bomhumor,tdah,psicologia,terapia,saudemental,curiosidades,procrastinaçao,habitos,fatoscuriosos,fatossobremim,curiosidadesentiktok,tdahhumor,capcut,tdahmemes,ciencia,cienciaentiktok,criatividade,mensagem,sinceridade</v>
      </c>
      <c r="G35" s="6">
        <f>IFERROR(__xludf.DUMMYFUNCTION("IF(
  TRIM(E35)="""",
  0,
  COUNTA(
    SPLIT(
      REGEXREPLACE(E35,""\s*,\s*"","",""),
      "",""
    )
  )
)"),21.0)</f>
        <v>21</v>
      </c>
    </row>
    <row r="36">
      <c r="A36" s="5" t="str">
        <f>IFERROR(__xludf.DUMMYFUNCTION("""COMPUTED_VALUE"""),"7184611982375439622")</f>
        <v>7184611982375439622</v>
      </c>
      <c r="B36" s="5" t="str">
        <f>IFERROR(__xludf.DUMMYFUNCTION("""COMPUTED_VALUE"""),"veigasaymon")</f>
        <v>veigasaymon</v>
      </c>
      <c r="C36" s="5" t="str">
        <f>IFERROR(__xludf.DUMMYFUNCTION("""COMPUTED_VALUE"""),"veigasaymon")</f>
        <v>veigasaymon</v>
      </c>
      <c r="D36" s="5" t="str">
        <f>IFERROR(__xludf.DUMMYFUNCTION("""COMPUTED_VALUE"""),"#tdah #tab #psiquiatria #psicologia")</f>
        <v>#tdah #tab #psiquiatria #psicologia</v>
      </c>
      <c r="E36" s="5" t="str">
        <f>IFERROR(__xludf.DUMMYFUNCTION("""COMPUTED_VALUE"""),"tdah,tab,psiquiatria,psicologia")</f>
        <v>tdah,tab,psiquiatria,psicologia</v>
      </c>
      <c r="G36" s="6">
        <f>IFERROR(__xludf.DUMMYFUNCTION("IF(
  TRIM(E36)="""",
  0,
  COUNTA(
    SPLIT(
      REGEXREPLACE(E36,""\s*,\s*"","",""),
      "",""
    )
  )
)"),4.0)</f>
        <v>4</v>
      </c>
    </row>
    <row r="37">
      <c r="A37" s="5" t="str">
        <f>IFERROR(__xludf.DUMMYFUNCTION("""COMPUTED_VALUE"""),"7198596524203412742")</f>
        <v>7198596524203412742</v>
      </c>
      <c r="B37" s="5" t="str">
        <f>IFERROR(__xludf.DUMMYFUNCTION("""COMPUTED_VALUE"""),"sonsquecuram")</f>
        <v>sonsquecuram</v>
      </c>
      <c r="C37" s="5" t="str">
        <f>IFERROR(__xludf.DUMMYFUNCTION("""COMPUTED_VALUE"""),"Sons que curam")</f>
        <v>Sons que curam</v>
      </c>
      <c r="D37" s="5" t="str">
        <f>IFERROR(__xludf.DUMMYFUNCTION("""COMPUTED_VALUE"""),"Teste divertido para TDAH #TokDoEnem #intuitiontest #tdahteste #adhdtiktok #adhd #tdahadulto #tdahtiktok #testesvisuais #desafios")</f>
        <v>Teste divertido para TDAH #TokDoEnem #intuitiontest #tdahteste #adhdtiktok #adhd #tdahadulto #tdahtiktok #testesvisuais #desafios</v>
      </c>
      <c r="E37" s="5" t="str">
        <f>IFERROR(__xludf.DUMMYFUNCTION("""COMPUTED_VALUE"""),"tokdoenem,intuitiontest,tdahteste,adhdtiktok,adhd,tdahadulto,tdahtiktok,testesvisuais,desafios")</f>
        <v>tokdoenem,intuitiontest,tdahteste,adhdtiktok,adhd,tdahadulto,tdahtiktok,testesvisuais,desafios</v>
      </c>
      <c r="G37" s="6">
        <f>IFERROR(__xludf.DUMMYFUNCTION("IF(
  TRIM(E37)="""",
  0,
  COUNTA(
    SPLIT(
      REGEXREPLACE(E37,""\s*,\s*"","",""),
      "",""
    )
  )
)"),9.0)</f>
        <v>9</v>
      </c>
    </row>
    <row r="38">
      <c r="A38" s="5" t="str">
        <f>IFERROR(__xludf.DUMMYFUNCTION("""COMPUTED_VALUE"""),"7244929879337209094")</f>
        <v>7244929879337209094</v>
      </c>
      <c r="B38" s="5" t="str">
        <f>IFERROR(__xludf.DUMMYFUNCTION("""COMPUTED_VALUE"""),"rafaelgrattap")</f>
        <v>rafaelgrattap</v>
      </c>
      <c r="C38" s="5" t="str">
        <f>IFERROR(__xludf.DUMMYFUNCTION("""COMPUTED_VALUE"""),"Rafael Gratta")</f>
        <v>Rafael Gratta</v>
      </c>
      <c r="D38" s="5" t="str">
        <f>IFERROR(__xludf.DUMMYFUNCTION("""COMPUTED_VALUE"""),"Com qual (is) você se identificou? 😂 Me conta aqui nos comentários!  A falsa percepção de tempo e a paralisia de escolha são classificados como sintomas típicos de TDAH, causados por uma desregulação no controle do lobo frontal. 🧠  Se você quer ferramen"&amp;"tas para ajudar a vencer o TDAH, dá uma olhada no link da minha bio! #tdah #ansiedade #procrastinação #saúdemental")</f>
        <v>Com qual (is) você se identificou? 😂 Me conta aqui nos comentários!  A falsa percepção de tempo e a paralisia de escolha são classificados como sintomas típicos de TDAH, causados por uma desregulação no controle do lobo frontal. 🧠  Se você quer ferramentas para ajudar a vencer o TDAH, dá uma olhada no link da minha bio! #tdah #ansiedade #procrastinação #saúdemental</v>
      </c>
      <c r="E38" s="5" t="str">
        <f>IFERROR(__xludf.DUMMYFUNCTION("""COMPUTED_VALUE"""),"tdah,ansiedade,procrastinação,saúdemental")</f>
        <v>tdah,ansiedade,procrastinação,saúdemental</v>
      </c>
      <c r="G38" s="6">
        <f>IFERROR(__xludf.DUMMYFUNCTION("IF(
  TRIM(E38)="""",
  0,
  COUNTA(
    SPLIT(
      REGEXREPLACE(E38,""\s*,\s*"","",""),
      "",""
    )
  )
)"),4.0)</f>
        <v>4</v>
      </c>
    </row>
    <row r="39">
      <c r="A39" s="5" t="str">
        <f>IFERROR(__xludf.DUMMYFUNCTION("""COMPUTED_VALUE"""),"7396274967115074822")</f>
        <v>7396274967115074822</v>
      </c>
      <c r="B39" s="5" t="str">
        <f>IFERROR(__xludf.DUMMYFUNCTION("""COMPUTED_VALUE"""),"rafaelgrattap")</f>
        <v>rafaelgrattap</v>
      </c>
      <c r="C39" s="5" t="str">
        <f>IFERROR(__xludf.DUMMYFUNCTION("""COMPUTED_VALUE"""),"Rafael Gratta")</f>
        <v>Rafael Gratta</v>
      </c>
      <c r="D39" s="5" t="str">
        <f>IFERROR(__xludf.DUMMYFUNCTION("""COMPUTED_VALUE"""),"Hoje em dia todo mundo fala que tem TDAH, mas será mesmo? As estimativas de porcentagem de adultos com TDAH variam de 5 a 10%, então mesmo tendo sido generoso com a porcentagem, o número não bate com o tanto de gente que “é tdah” hoje. A verdade é que a m"&amp;"aioria das pessoas que fala que tem TDAH, na verdade tem sintomas de TDAH mas não tem realmente TDAH. MFMA 🙏🏽 #saúdemental #ansiedade #neurociência #tdah ")</f>
        <v>Hoje em dia todo mundo fala que tem TDAH, mas será mesmo? As estimativas de porcentagem de adultos com TDAH variam de 5 a 10%, então mesmo tendo sido generoso com a porcentagem, o número não bate com o tanto de gente que “é tdah” hoje. A verdade é que a maioria das pessoas que fala que tem TDAH, na verdade tem sintomas de TDAH mas não tem realmente TDAH. MFMA 🙏🏽 #saúdemental #ansiedade #neurociência #tdah </v>
      </c>
      <c r="E39" s="5" t="str">
        <f>IFERROR(__xludf.DUMMYFUNCTION("""COMPUTED_VALUE"""),"saúdemental,ansiedade,neurociência,tdah")</f>
        <v>saúdemental,ansiedade,neurociência,tdah</v>
      </c>
      <c r="G39" s="6">
        <f>IFERROR(__xludf.DUMMYFUNCTION("IF(
  TRIM(E39)="""",
  0,
  COUNTA(
    SPLIT(
      REGEXREPLACE(E39,""\s*,\s*"","",""),
      "",""
    )
  )
)"),4.0)</f>
        <v>4</v>
      </c>
    </row>
    <row r="40">
      <c r="A40" s="5" t="str">
        <f>IFERROR(__xludf.DUMMYFUNCTION("""COMPUTED_VALUE"""),"7466964243288460550")</f>
        <v>7466964243288460550</v>
      </c>
      <c r="B40" s="5" t="str">
        <f>IFERROR(__xludf.DUMMYFUNCTION("""COMPUTED_VALUE"""),"mr.tdahzinho")</f>
        <v>mr.tdahzinho</v>
      </c>
      <c r="C40" s="5" t="str">
        <f>IFERROR(__xludf.DUMMYFUNCTION("""COMPUTED_VALUE"""),"Mr tdahzinho🧠")</f>
        <v>Mr tdahzinho🧠</v>
      </c>
      <c r="D40" s="5" t="str">
        <f>IFERROR(__xludf.DUMMYFUNCTION("""COMPUTED_VALUE"""),"Simulador de TDAH🕹️🧠 Obs: Este vídeo apenas mostra como a hiperatividade física, mental e o esquecimento estão presentes na vida de uma pessoa que tem TDAH (Transtorno do Déficit de atenção e hiperatividade) Se identificar com vídeo não significa necess"&amp;"ariamente que você tenha TDAH, porque os sintomas vão muito além disso e só um profissional da saúde mental pode te diagnosticar com o mesmo. #tdah #tdahadulto  #tdahinfantil #tda #psicologia #pov #creatorsearchinsights ")</f>
        <v>Simulador de TDAH🕹️🧠 Obs: Este vídeo apenas mostra como a hiperatividade física, mental e o esquecimento estão presentes na vida de uma pessoa que tem TDAH (Transtorno do Déficit de atenção e hiperatividade) Se identificar com vídeo não significa necessariamente que você tenha TDAH, porque os sintomas vão muito além disso e só um profissional da saúde mental pode te diagnosticar com o mesmo. #tdah #tdahadulto  #tdahinfantil #tda #psicologia #pov #creatorsearchinsights </v>
      </c>
      <c r="E40" s="5" t="str">
        <f>IFERROR(__xludf.DUMMYFUNCTION("""COMPUTED_VALUE"""),"tdah,tdahadulto,tdahinfantil,tda,psicologia,pov,creatorsearchinsights")</f>
        <v>tdah,tdahadulto,tdahinfantil,tda,psicologia,pov,creatorsearchinsights</v>
      </c>
      <c r="G40" s="6">
        <f>IFERROR(__xludf.DUMMYFUNCTION("IF(
  TRIM(E40)="""",
  0,
  COUNTA(
    SPLIT(
      REGEXREPLACE(E40,""\s*,\s*"","",""),
      "",""
    )
  )
)"),7.0)</f>
        <v>7</v>
      </c>
    </row>
    <row r="41">
      <c r="A41" s="5" t="str">
        <f>IFERROR(__xludf.DUMMYFUNCTION("""COMPUTED_VALUE"""),"7530453564590705976")</f>
        <v>7530453564590705976</v>
      </c>
      <c r="B41" s="5" t="str">
        <f>IFERROR(__xludf.DUMMYFUNCTION("""COMPUTED_VALUE"""),"felcapensa")</f>
        <v>felcapensa</v>
      </c>
      <c r="C41" s="5" t="str">
        <f>IFERROR(__xludf.DUMMYFUNCTION("""COMPUTED_VALUE"""),"Felca Pensa")</f>
        <v>Felca Pensa</v>
      </c>
      <c r="D41" s="5" t="str">
        <f>IFERROR(__xludf.DUMMYFUNCTION("""COMPUTED_VALUE"""),"Você se identifica com TDAH, mas nunca teve diagnóstico? Felca conversa com a Dra. Ana Beatriz sobre sinais que passam batido na vida adulta. Um bate-papo claro e necessário sobre como o TDAH realmente se manifesta.  #felca  #felcacamp #tdah #tdahadulto #"&amp;"draanabeatriz #tiktokviral  #fyptiktok ")</f>
        <v>Você se identifica com TDAH, mas nunca teve diagnóstico? Felca conversa com a Dra. Ana Beatriz sobre sinais que passam batido na vida adulta. Um bate-papo claro e necessário sobre como o TDAH realmente se manifesta.  #felca  #felcacamp #tdah #tdahadulto #draanabeatriz #tiktokviral  #fyptiktok </v>
      </c>
      <c r="E41" s="5" t="str">
        <f>IFERROR(__xludf.DUMMYFUNCTION("""COMPUTED_VALUE"""),"felca,felcacamp,tdah,tdahadulto,draanabeatriz,tiktokviral,fyptiktok")</f>
        <v>felca,felcacamp,tdah,tdahadulto,draanabeatriz,tiktokviral,fyptiktok</v>
      </c>
      <c r="G41" s="6">
        <f>IFERROR(__xludf.DUMMYFUNCTION("IF(
  TRIM(E41)="""",
  0,
  COUNTA(
    SPLIT(
      REGEXREPLACE(E41,""\s*,\s*"","",""),
      "",""
    )
  )
)"),7.0)</f>
        <v>7</v>
      </c>
    </row>
    <row r="42">
      <c r="A42" s="5" t="str">
        <f>IFERROR(__xludf.DUMMYFUNCTION("""COMPUTED_VALUE"""),"7270169135575878918")</f>
        <v>7270169135575878918</v>
      </c>
      <c r="B42" s="5" t="str">
        <f>IFERROR(__xludf.DUMMYFUNCTION("""COMPUTED_VALUE"""),"cattarinalia")</f>
        <v>cattarinalia</v>
      </c>
      <c r="C42" s="5" t="str">
        <f>IFERROR(__xludf.DUMMYFUNCTION("""COMPUTED_VALUE"""),"cattarinalia")</f>
        <v>cattarinalia</v>
      </c>
      <c r="D42" s="5" t="str">
        <f>IFERROR(__xludf.DUMMYFUNCTION("""COMPUTED_VALUE"""),"Coisas boas do TDAH. ❤️ #humor #tdah #comedia #tdahadulto #neurodivergente #psicologia")</f>
        <v>Coisas boas do TDAH. ❤️ #humor #tdah #comedia #tdahadulto #neurodivergente #psicologia</v>
      </c>
      <c r="E42" s="5" t="str">
        <f>IFERROR(__xludf.DUMMYFUNCTION("""COMPUTED_VALUE"""),"humor,tdah,comedia,tdahadulto,neurodivergente,psicologia")</f>
        <v>humor,tdah,comedia,tdahadulto,neurodivergente,psicologia</v>
      </c>
      <c r="G42" s="6">
        <f>IFERROR(__xludf.DUMMYFUNCTION("IF(
  TRIM(E42)="""",
  0,
  COUNTA(
    SPLIT(
      REGEXREPLACE(E42,""\s*,\s*"","",""),
      "",""
    )
  )
)"),6.0)</f>
        <v>6</v>
      </c>
    </row>
    <row r="43">
      <c r="A43" s="5" t="str">
        <f>IFERROR(__xludf.DUMMYFUNCTION("""COMPUTED_VALUE"""),"7255084792608247046")</f>
        <v>7255084792608247046</v>
      </c>
      <c r="B43" s="5" t="str">
        <f>IFERROR(__xludf.DUMMYFUNCTION("""COMPUTED_VALUE"""),"psi.carolynedestefani")</f>
        <v>psi.carolynedestefani</v>
      </c>
      <c r="C43" s="5" t="str">
        <f>IFERROR(__xludf.DUMMYFUNCTION("""COMPUTED_VALUE"""),"Psicóloga Carolyne de Stefani")</f>
        <v>Psicóloga Carolyne de Stefani</v>
      </c>
      <c r="D43" s="5" t="str">
        <f>IFERROR(__xludf.DUMMYFUNCTION("""COMPUTED_VALUE"""),"Você sabia que existem três tipos de TDAH? Saiba mais neste vídeo. #tdah #tdahadulto #deficitdeatencao #hiperfoco #hiperatividade #foco #saudemental #terapia #terapiaonline #terapiacognitivocomportamental #psicologia #psicologa")</f>
        <v>Você sabia que existem três tipos de TDAH? Saiba mais neste vídeo. #tdah #tdahadulto #deficitdeatencao #hiperfoco #hiperatividade #foco #saudemental #terapia #terapiaonline #terapiacognitivocomportamental #psicologia #psicologa</v>
      </c>
      <c r="E43" s="5" t="str">
        <f>IFERROR(__xludf.DUMMYFUNCTION("""COMPUTED_VALUE"""),"tdah,tdahadulto,deficitdeatencao,hiperfoco,hiperatividade,foco,saudemental,terapia,terapiaonline,terapiacognitivocomportamental,psicologia,psicologa")</f>
        <v>tdah,tdahadulto,deficitdeatencao,hiperfoco,hiperatividade,foco,saudemental,terapia,terapiaonline,terapiacognitivocomportamental,psicologia,psicologa</v>
      </c>
      <c r="G43" s="6">
        <f>IFERROR(__xludf.DUMMYFUNCTION("IF(
  TRIM(E43)="""",
  0,
  COUNTA(
    SPLIT(
      REGEXREPLACE(E43,""\s*,\s*"","",""),
      "",""
    )
  )
)"),12.0)</f>
        <v>12</v>
      </c>
    </row>
    <row r="44">
      <c r="A44" s="5" t="str">
        <f>IFERROR(__xludf.DUMMYFUNCTION("""COMPUTED_VALUE"""),"7530778160170814725")</f>
        <v>7530778160170814725</v>
      </c>
      <c r="B44" s="5" t="str">
        <f>IFERROR(__xludf.DUMMYFUNCTION("""COMPUTED_VALUE"""),"liberdade.mentall")</f>
        <v>liberdade.mentall</v>
      </c>
      <c r="C44" s="5" t="str">
        <f>IFERROR(__xludf.DUMMYFUNCTION("""COMPUTED_VALUE"""),"Liberdade Mental 🧠💫")</f>
        <v>Liberdade Mental 🧠💫</v>
      </c>
      <c r="D44" s="5" t="str">
        <f>IFERROR(__xludf.DUMMYFUNCTION("""COMPUTED_VALUE"""),"Você sabe o que é TDAH? Deixa eu te explicar o que é TDAH de verdade... TDAH não é só desatenção. Não é só esquecer onde colocou a chave ou ter dificuldade pra estudar. TDAH é um caos interno constante. É tua cabeça funcionando o tempo todo, como se tives"&amp;"se 20 abas abertas e todas gritando ao mesmo tempo. É você querer muito fazer algo, mas travar. Saber o que precisa ser feito… mas ficar olhando pro nada, com a mente te sabotando. É ter energia demais pra coisas inúteis e nenhuma praquilo que realmente i"&amp;"mporta. É viver com culpa, frustração e promessas quebradas — todo santo dia. TDAH é começar mil coisas e não terminar nenhuma. É explodir do nada e se arrepender depois. É procrastinar até o último segundo, e depois entrar em desespero. É se sentir burro"&amp;", preguiçoso, desorganizado… quando na real, o problema tá no funcionamento do teu cérebro, não na tua vontade. E o pior? É que ninguém vê isso de fora. Pra todo mundo, você é só “distraído”, “esquecido”, “imaturo”. Mas por dentro… você tá desmoronando, l"&amp;"utando com uma mente que não para, que te sabota o tempo inteiro. É isso que é o TDAH. Um transtorno real, que se não for tratado, destrói tua vida por dentro... em silêncio. Mas a boa notícia? Dá pra virar esse jogo. Só não dá pra fingir que isso é “fres"&amp;"cura” ou “falta de foco”. Porque é muito mais profundo do que parece.  #tdah #oqueetdah #sintomastdah #tdahadulto ")</f>
        <v>Você sabe o que é TDAH? Deixa eu te explicar o que é TDAH de verdade... TDAH não é só desatenção. Não é só esquecer onde colocou a chave ou ter dificuldade pra estudar. TDAH é um caos interno constante. É tua cabeça funcionando o tempo todo, como se tivesse 20 abas abertas e todas gritando ao mesmo tempo. É você querer muito fazer algo, mas travar. Saber o que precisa ser feito… mas ficar olhando pro nada, com a mente te sabotando. É ter energia demais pra coisas inúteis e nenhuma praquilo que realmente importa. É viver com culpa, frustração e promessas quebradas — todo santo dia. TDAH é começar mil coisas e não terminar nenhuma. É explodir do nada e se arrepender depois. É procrastinar até o último segundo, e depois entrar em desespero. É se sentir burro, preguiçoso, desorganizado… quando na real, o problema tá no funcionamento do teu cérebro, não na tua vontade. E o pior? É que ninguém vê isso de fora. Pra todo mundo, você é só “distraído”, “esquecido”, “imaturo”. Mas por dentro… você tá desmoronando, lutando com uma mente que não para, que te sabota o tempo inteiro. É isso que é o TDAH. Um transtorno real, que se não for tratado, destrói tua vida por dentro... em silêncio. Mas a boa notícia? Dá pra virar esse jogo. Só não dá pra fingir que isso é “frescura” ou “falta de foco”. Porque é muito mais profundo do que parece.  #tdah #oqueetdah #sintomastdah #tdahadulto </v>
      </c>
      <c r="E44" s="5" t="str">
        <f>IFERROR(__xludf.DUMMYFUNCTION("""COMPUTED_VALUE"""),"tdah,oqueetdah,sintomastdah,tdahadulto")</f>
        <v>tdah,oqueetdah,sintomastdah,tdahadulto</v>
      </c>
      <c r="G44" s="6">
        <f>IFERROR(__xludf.DUMMYFUNCTION("IF(
  TRIM(E44)="""",
  0,
  COUNTA(
    SPLIT(
      REGEXREPLACE(E44,""\s*,\s*"","",""),
      "",""
    )
  )
)"),4.0)</f>
        <v>4</v>
      </c>
    </row>
    <row r="45">
      <c r="A45" s="5" t="str">
        <f>IFERROR(__xludf.DUMMYFUNCTION("""COMPUTED_VALUE"""),"7344407056033565957")</f>
        <v>7344407056033565957</v>
      </c>
      <c r="B45" s="5" t="str">
        <f>IFERROR(__xludf.DUMMYFUNCTION("""COMPUTED_VALUE"""),"distrair.sim")</f>
        <v>distrair.sim</v>
      </c>
      <c r="C45" s="5" t="str">
        <f>IFERROR(__xludf.DUMMYFUNCTION("""COMPUTED_VALUE"""),"distrair.sim")</f>
        <v>distrair.sim</v>
      </c>
      <c r="D45" s="5" t="str">
        <f>IFERROR(__xludf.DUMMYFUNCTION("""COMPUTED_VALUE"""),"#tdah #psicologia #saude #mente #verdade #fyp")</f>
        <v>#tdah #psicologia #saude #mente #verdade #fyp</v>
      </c>
      <c r="E45" s="5" t="str">
        <f>IFERROR(__xludf.DUMMYFUNCTION("""COMPUTED_VALUE"""),"tdah,psicologia,saude,mente,verdade,fyp")</f>
        <v>tdah,psicologia,saude,mente,verdade,fyp</v>
      </c>
      <c r="G45" s="6">
        <f>IFERROR(__xludf.DUMMYFUNCTION("IF(
  TRIM(E45)="""",
  0,
  COUNTA(
    SPLIT(
      REGEXREPLACE(E45,""\s*,\s*"","",""),
      "",""
    )
  )
)"),6.0)</f>
        <v>6</v>
      </c>
    </row>
    <row r="46">
      <c r="A46" s="5" t="str">
        <f>IFERROR(__xludf.DUMMYFUNCTION("""COMPUTED_VALUE"""),"7238987840082791686")</f>
        <v>7238987840082791686</v>
      </c>
      <c r="B46" s="5" t="str">
        <f>IFERROR(__xludf.DUMMYFUNCTION("""COMPUTED_VALUE"""),"psicologo.mateus")</f>
        <v>psicologo.mateus</v>
      </c>
      <c r="C46" s="5" t="str">
        <f>IFERROR(__xludf.DUMMYFUNCTION("""COMPUTED_VALUE"""),"Psicólogo Mateus")</f>
        <v>Psicólogo Mateus</v>
      </c>
      <c r="D46" s="5" t="str">
        <f>IFERROR(__xludf.DUMMYFUNCTION("""COMPUTED_VALUE"""),"🧠O Transtorno do Déficit de Atenção e Hiperatividade (TDAH) pode ter impactos significativos no ambiente de trabalho.  ↘️Confira alguns: 😵‍💫Dificuldade de concentração: A capacidade de manter o foco em uma tarefa específica pode ser comprometida, levan"&amp;"do a uma menor produtividade e à dificuldade em concluir tarefas. 🫤Problemas de organização: Pessoas com TDAH podem ter dificuldade em organizar seu trabalho, estabelecer prioridades e cumprir prazos. Isso pode levar a atrasos e falta de eficiência. 😳Im"&amp;"pulsividade: A impulsividade associada ao TDAH pode levar a tomar decisões precipitadas ou agir sem considerar as consequências, o que pode afetar negativamente a qualidade do trabalho. 🫨Hiperatividade: A energia excessiva e a necessidade de se mover con"&amp;"stantemente podem interferir na capacidade de se sentar e se concentrar por longos períodos, o que pode afetar o desempenho em trabalhos que exigem sedentarismo. 🫢Dificuldades de comunicação: A inquietação e a tendência a interromper podem dificultar a p"&amp;"articipação efetiva em reuniões ou colaboração com colegas de trabalho. 🚨É importante reconhecer esses impactos e buscar estratégias e apoio adequados para lidar com os desafios do TDAH no trabalho.  📍Isso pode incluir ajustes razoáveis no ambiente de t"&amp;"rabalho, técnicas de gerenciamento de tempo, terapia comportamental e, em alguns casos, medicamentos prescritos por profissionais de saúde especializados. Ib: djcause ⚠️SIGA @psicologo.mateus PARA MAIS CONTEÚDOS! #saudemental #tdah #tdahadulto #tdahinfant"&amp;"il #tdahdescomplicado #tdahadultos #tdahcomamor")</f>
        <v>🧠O Transtorno do Déficit de Atenção e Hiperatividade (TDAH) pode ter impactos significativos no ambiente de trabalho.  ↘️Confira alguns: 😵‍💫Dificuldade de concentração: A capacidade de manter o foco em uma tarefa específica pode ser comprometida, levando a uma menor produtividade e à dificuldade em concluir tarefas. 🫤Problemas de organização: Pessoas com TDAH podem ter dificuldade em organizar seu trabalho, estabelecer prioridades e cumprir prazos. Isso pode levar a atrasos e falta de eficiência. 😳Impulsividade: A impulsividade associada ao TDAH pode levar a tomar decisões precipitadas ou agir sem considerar as consequências, o que pode afetar negativamente a qualidade do trabalho. 🫨Hiperatividade: A energia excessiva e a necessidade de se mover constantemente podem interferir na capacidade de se sentar e se concentrar por longos períodos, o que pode afetar o desempenho em trabalhos que exigem sedentarismo. 🫢Dificuldades de comunicação: A inquietação e a tendência a interromper podem dificultar a participação efetiva em reuniões ou colaboração com colegas de trabalho. 🚨É importante reconhecer esses impactos e buscar estratégias e apoio adequados para lidar com os desafios do TDAH no trabalho.  📍Isso pode incluir ajustes razoáveis no ambiente de trabalho, técnicas de gerenciamento de tempo, terapia comportamental e, em alguns casos, medicamentos prescritos por profissionais de saúde especializados. Ib: djcause ⚠️SIGA @psicologo.mateus PARA MAIS CONTEÚDOS! #saudemental #tdah #tdahadulto #tdahinfantil #tdahdescomplicado #tdahadultos #tdahcomamor</v>
      </c>
      <c r="E46" s="5" t="str">
        <f>IFERROR(__xludf.DUMMYFUNCTION("""COMPUTED_VALUE"""),"saudemental,tdah,tdahadulto,tdahinfantil,tdahdescomplicado,tdahadultos,tdahcomamor")</f>
        <v>saudemental,tdah,tdahadulto,tdahinfantil,tdahdescomplicado,tdahadultos,tdahcomamor</v>
      </c>
      <c r="G46" s="6">
        <f>IFERROR(__xludf.DUMMYFUNCTION("IF(
  TRIM(E46)="""",
  0,
  COUNTA(
    SPLIT(
      REGEXREPLACE(E46,""\s*,\s*"","",""),
      "",""
    )
  )
)"),7.0)</f>
        <v>7</v>
      </c>
    </row>
    <row r="47">
      <c r="A47" s="5" t="str">
        <f>IFERROR(__xludf.DUMMYFUNCTION("""COMPUTED_VALUE"""),"7530401479438486789")</f>
        <v>7530401479438486789</v>
      </c>
      <c r="B47" s="5" t="str">
        <f>IFERROR(__xludf.DUMMYFUNCTION("""COMPUTED_VALUE"""),"psi.walace")</f>
        <v>psi.walace</v>
      </c>
      <c r="C47" s="5" t="str">
        <f>IFERROR(__xludf.DUMMYFUNCTION("""COMPUTED_VALUE"""),"Walace Almeida | Psicólogo")</f>
        <v>Walace Almeida | Psicólogo</v>
      </c>
      <c r="D47" s="5" t="str">
        <f>IFERROR(__xludf.DUMMYFUNCTION("""COMPUTED_VALUE"""),"Com você é assim? A mente de uma pessoa com TDAH é muita acelerada. Vários pensamentos se atravessam e causam essa caos interno. É realmente muito difícil de lidar com o transtorno, até nesses pequenos detalhes… #psicologia #tdah #tdahadulto ")</f>
        <v>Com você é assim? A mente de uma pessoa com TDAH é muita acelerada. Vários pensamentos se atravessam e causam essa caos interno. É realmente muito difícil de lidar com o transtorno, até nesses pequenos detalhes… #psicologia #tdah #tdahadulto </v>
      </c>
      <c r="E47" s="5" t="str">
        <f>IFERROR(__xludf.DUMMYFUNCTION("""COMPUTED_VALUE"""),"psicologia,tdah,tdahadulto")</f>
        <v>psicologia,tdah,tdahadulto</v>
      </c>
      <c r="G47" s="6">
        <f>IFERROR(__xludf.DUMMYFUNCTION("IF(
  TRIM(E47)="""",
  0,
  COUNTA(
    SPLIT(
      REGEXREPLACE(E47,""\s*,\s*"","",""),
      "",""
    )
  )
)"),3.0)</f>
        <v>3</v>
      </c>
    </row>
    <row r="48">
      <c r="A48" s="5" t="str">
        <f>IFERROR(__xludf.DUMMYFUNCTION("""COMPUTED_VALUE"""),"7243064239751957766")</f>
        <v>7243064239751957766</v>
      </c>
      <c r="B48" s="5" t="str">
        <f>IFERROR(__xludf.DUMMYFUNCTION("""COMPUTED_VALUE"""),"lorenatdahta")</f>
        <v>lorenatdahta</v>
      </c>
      <c r="C48" s="5" t="str">
        <f>IFERROR(__xludf.DUMMYFUNCTION("""COMPUTED_VALUE"""),"Lorena TDAHTA")</f>
        <v>Lorena TDAHTA</v>
      </c>
      <c r="D48" s="5" t="str">
        <f>IFERROR(__xludf.DUMMYFUNCTION("""COMPUTED_VALUE"""),"Manias tóxicas (aleatórias) do TDAH, que ninguém te conta! 🫢🤯 #tdahcuriosidades #tdahta #tdahcheck ")</f>
        <v>Manias tóxicas (aleatórias) do TDAH, que ninguém te conta! 🫢🤯 #tdahcuriosidades #tdahta #tdahcheck </v>
      </c>
      <c r="E48" s="5" t="str">
        <f>IFERROR(__xludf.DUMMYFUNCTION("""COMPUTED_VALUE"""),"tdahcuriosidades,tdahta,tdahcheck")</f>
        <v>tdahcuriosidades,tdahta,tdahcheck</v>
      </c>
      <c r="G48" s="6">
        <f>IFERROR(__xludf.DUMMYFUNCTION("IF(
  TRIM(E48)="""",
  0,
  COUNTA(
    SPLIT(
      REGEXREPLACE(E48,""\s*,\s*"","",""),
      "",""
    )
  )
)"),3.0)</f>
        <v>3</v>
      </c>
    </row>
    <row r="49">
      <c r="A49" s="5" t="str">
        <f>IFERROR(__xludf.DUMMYFUNCTION("""COMPUTED_VALUE"""),"7479776290283851014")</f>
        <v>7479776290283851014</v>
      </c>
      <c r="B49" s="5" t="str">
        <f>IFERROR(__xludf.DUMMYFUNCTION("""COMPUTED_VALUE"""),"conexaoesentido")</f>
        <v>conexaoesentido</v>
      </c>
      <c r="C49" s="5" t="str">
        <f>IFERROR(__xludf.DUMMYFUNCTION("""COMPUTED_VALUE"""),"Conexão e Sentido - Cortes")</f>
        <v>Conexão e Sentido - Cortes</v>
      </c>
      <c r="D49" s="5" t="str">
        <f>IFERROR(__xludf.DUMMYFUNCTION("""COMPUTED_VALUE"""),"TDAH é excesso de pensamento e velocidade mental. Isso gera ansiedade e exaustão! @Ana Beatriz Barbosa  #tdah #ansiedade #menteacelerada #foco #saúdemental")</f>
        <v>TDAH é excesso de pensamento e velocidade mental. Isso gera ansiedade e exaustão! @Ana Beatriz Barbosa  #tdah #ansiedade #menteacelerada #foco #saúdemental</v>
      </c>
      <c r="E49" s="5" t="str">
        <f>IFERROR(__xludf.DUMMYFUNCTION("""COMPUTED_VALUE"""),"tdah,ansiedade,menteacelerada,foco,saúdemental")</f>
        <v>tdah,ansiedade,menteacelerada,foco,saúdemental</v>
      </c>
      <c r="G49" s="6">
        <f>IFERROR(__xludf.DUMMYFUNCTION("IF(
  TRIM(E49)="""",
  0,
  COUNTA(
    SPLIT(
      REGEXREPLACE(E49,""\s*,\s*"","",""),
      "",""
    )
  )
)"),5.0)</f>
        <v>5</v>
      </c>
    </row>
    <row r="50">
      <c r="A50" s="5" t="str">
        <f>IFERROR(__xludf.DUMMYFUNCTION("""COMPUTED_VALUE"""),"7339331212869127430")</f>
        <v>7339331212869127430</v>
      </c>
      <c r="B50" s="5" t="str">
        <f>IFERROR(__xludf.DUMMYFUNCTION("""COMPUTED_VALUE"""),"lorenatdahta")</f>
        <v>lorenatdahta</v>
      </c>
      <c r="C50" s="5" t="str">
        <f>IFERROR(__xludf.DUMMYFUNCTION("""COMPUTED_VALUE"""),"Lorena TDAHTA")</f>
        <v>Lorena TDAHTA</v>
      </c>
      <c r="D50" s="5" t="str">
        <f>IFERROR(__xludf.DUMMYFUNCTION("""COMPUTED_VALUE"""),"15 principais sintomas do TDAH em ADULTOS 🧐 . . . . Se você se reconhece nos sintomas e se esses te causam sofrimento ou prejuízos, busque o auxílio de um profissional de saúde mental. Pode ser Psiquiatra, Neuro e em alguns casos, até mesmo Psicólogo. #t"&amp;"dahta #tdahsintomas  #tdahadulto #draanabeatriz11 ")</f>
        <v>15 principais sintomas do TDAH em ADULTOS 🧐 . . . . Se você se reconhece nos sintomas e se esses te causam sofrimento ou prejuízos, busque o auxílio de um profissional de saúde mental. Pode ser Psiquiatra, Neuro e em alguns casos, até mesmo Psicólogo. #tdahta #tdahsintomas  #tdahadulto #draanabeatriz11 </v>
      </c>
      <c r="E50" s="5" t="str">
        <f>IFERROR(__xludf.DUMMYFUNCTION("""COMPUTED_VALUE"""),"tdahta,tdahsintomas,tdahadulto,draanabeatriz11")</f>
        <v>tdahta,tdahsintomas,tdahadulto,draanabeatriz11</v>
      </c>
      <c r="G50" s="6">
        <f>IFERROR(__xludf.DUMMYFUNCTION("IF(
  TRIM(E50)="""",
  0,
  COUNTA(
    SPLIT(
      REGEXREPLACE(E50,""\s*,\s*"","",""),
      "",""
    )
  )
)"),4.0)</f>
        <v>4</v>
      </c>
    </row>
    <row r="51">
      <c r="A51" s="5" t="str">
        <f>IFERROR(__xludf.DUMMYFUNCTION("""COMPUTED_VALUE"""),"7561613140161596683")</f>
        <v>7561613140161596683</v>
      </c>
      <c r="B51" s="5" t="str">
        <f>IFERROR(__xludf.DUMMYFUNCTION("""COMPUTED_VALUE"""),"igorpsicologo")</f>
        <v>igorpsicologo</v>
      </c>
      <c r="C51" s="5" t="str">
        <f>IFERROR(__xludf.DUMMYFUNCTION("""COMPUTED_VALUE"""),"Psicólogo Igor")</f>
        <v>Psicólogo Igor</v>
      </c>
      <c r="D51" s="5" t="str">
        <f>IFERROR(__xludf.DUMMYFUNCTION("""COMPUTED_VALUE"""),"#saudemental #tdah #psicologia #psicologoonline #foryoupage")</f>
        <v>#saudemental #tdah #psicologia #psicologoonline #foryoupage</v>
      </c>
      <c r="E51" s="5" t="str">
        <f>IFERROR(__xludf.DUMMYFUNCTION("""COMPUTED_VALUE"""),"saudemental,tdah,psicologia,psicologoonline,foryoupage")</f>
        <v>saudemental,tdah,psicologia,psicologoonline,foryoupage</v>
      </c>
      <c r="G51" s="6">
        <f>IFERROR(__xludf.DUMMYFUNCTION("IF(
  TRIM(E51)="""",
  0,
  COUNTA(
    SPLIT(
      REGEXREPLACE(E51,""\s*,\s*"","",""),
      "",""
    )
  )
)"),5.0)</f>
        <v>5</v>
      </c>
    </row>
    <row r="52">
      <c r="A52" s="5" t="str">
        <f>IFERROR(__xludf.DUMMYFUNCTION("""COMPUTED_VALUE"""),"7446054371571305733")</f>
        <v>7446054371571305733</v>
      </c>
      <c r="B52" s="5" t="str">
        <f>IFERROR(__xludf.DUMMYFUNCTION("""COMPUTED_VALUE"""),"almanaquesos")</f>
        <v>almanaquesos</v>
      </c>
      <c r="C52" s="5" t="str">
        <f>IFERROR(__xludf.DUMMYFUNCTION("""COMPUTED_VALUE"""),"Almanaque SOS")</f>
        <v>Almanaque SOS</v>
      </c>
      <c r="D52" s="5" t="str">
        <f>IFERROR(__xludf.DUMMYFUNCTION("""COMPUTED_VALUE"""),"Cordões Que Dizem Muito 💙🌻  É importante pontuar que nem toda neurodiversidade é uma deficiência, como TDHA (Transtorno do Déficit de Atenção e Hiperatividade), dislexia e transtorno bipolar. E, para que a pessoa com deficiência oculta tenha acesso a di"&amp;"reitos específicos e a políticas públicas, é necessário a apresentação de documentação comprobatória da deficiência. Descrição do vídeo: No vídeo, Dario está segurando três cordões. No cenário, há uma mesa e uma parede com uma arte gráfica das letras “SOS"&amp;"”. Ele começa o vídeo sentado de frente para a câmera. Atrás está o cenário. Enquanto explica sobre o uso dos cordões, ele se levanta, filma os cordões em outras perspectivas e situações cotidianas são simuladas por ele e por outra pessoa. As cenas, como "&amp;"uma fila de supermercado, acesso a um assento prioritário do transporte público e um atendimento em restaurante, são recriadas a partir de uma imagem estática. Com ajuda de inteligência artificial, a imagem dos influenciadores aparece sobre as fotos em ep"&amp;"isódios onde as pessoas com deficiência podem utilizam os cordões. Na simulação, não há falas, apenas gestos. Em cada aviso sonoro do vídeo, um texto surge na tela e destaca a fala do influenciador que faz a locução, que é um chamado para o enfrentamento "&amp;"ao capacitismo.")</f>
        <v>Cordões Que Dizem Muito 💙🌻  É importante pontuar que nem toda neurodiversidade é uma deficiência, como TDHA (Transtorno do Déficit de Atenção e Hiperatividade), dislexia e transtorno bipolar. E, para que a pessoa com deficiência oculta tenha acesso a direitos específicos e a políticas públicas, é necessário a apresentação de documentação comprobatória da deficiência. Descrição do vídeo: No vídeo, Dario está segurando três cordões. No cenário, há uma mesa e uma parede com uma arte gráfica das letras “SOS”. Ele começa o vídeo sentado de frente para a câmera. Atrás está o cenário. Enquanto explica sobre o uso dos cordões, ele se levanta, filma os cordões em outras perspectivas e situações cotidianas são simuladas por ele e por outra pessoa. As cenas, como uma fila de supermercado, acesso a um assento prioritário do transporte público e um atendimento em restaurante, são recriadas a partir de uma imagem estática. Com ajuda de inteligência artificial, a imagem dos influenciadores aparece sobre as fotos em episódios onde as pessoas com deficiência podem utilizam os cordões. Na simulação, não há falas, apenas gestos. Em cada aviso sonoro do vídeo, um texto surge na tela e destaca a fala do influenciador que faz a locução, que é um chamado para o enfrentamento ao capacitismo.</v>
      </c>
      <c r="E52" s="5"/>
      <c r="G52" s="6">
        <f>IFERROR(__xludf.DUMMYFUNCTION("IF(
  TRIM(E52)="""",
  0,
  COUNTA(
    SPLIT(
      REGEXREPLACE(E52,""\s*,\s*"","",""),
      "",""
    )
  )
)"),0.0)</f>
        <v>0</v>
      </c>
    </row>
    <row r="53">
      <c r="A53" s="5" t="str">
        <f>IFERROR(__xludf.DUMMYFUNCTION("""COMPUTED_VALUE"""),"7393112094926753029")</f>
        <v>7393112094926753029</v>
      </c>
      <c r="B53" s="5" t="str">
        <f>IFERROR(__xludf.DUMMYFUNCTION("""COMPUTED_VALUE"""),"claralisle")</f>
        <v>claralisle</v>
      </c>
      <c r="C53" s="5" t="str">
        <f>IFERROR(__xludf.DUMMYFUNCTION("""COMPUTED_VALUE"""),"Clara Lisle")</f>
        <v>Clara Lisle</v>
      </c>
      <c r="D53" s="5" t="str">
        <f>IFERROR(__xludf.DUMMYFUNCTION("""COMPUTED_VALUE"""),"Voce guarda rancor? #tdah #tdahadulto #tdahtiktok #terapeuta")</f>
        <v>Voce guarda rancor? #tdah #tdahadulto #tdahtiktok #terapeuta</v>
      </c>
      <c r="E53" s="5" t="str">
        <f>IFERROR(__xludf.DUMMYFUNCTION("""COMPUTED_VALUE"""),"tdah,tdahadulto,tdahtiktok,terapeuta")</f>
        <v>tdah,tdahadulto,tdahtiktok,terapeuta</v>
      </c>
      <c r="G53" s="6">
        <f>IFERROR(__xludf.DUMMYFUNCTION("IF(
  TRIM(E53)="""",
  0,
  COUNTA(
    SPLIT(
      REGEXREPLACE(E53,""\s*,\s*"","",""),
      "",""
    )
  )
)"),4.0)</f>
        <v>4</v>
      </c>
    </row>
    <row r="54">
      <c r="A54" s="5" t="str">
        <f>IFERROR(__xludf.DUMMYFUNCTION("""COMPUTED_VALUE"""),"7390167456788122886")</f>
        <v>7390167456788122886</v>
      </c>
      <c r="B54" s="5" t="str">
        <f>IFERROR(__xludf.DUMMYFUNCTION("""COMPUTED_VALUE"""),"lorenatdahta")</f>
        <v>lorenatdahta</v>
      </c>
      <c r="C54" s="5" t="str">
        <f>IFERROR(__xludf.DUMMYFUNCTION("""COMPUTED_VALUE"""),"Lorena TDAHTA")</f>
        <v>Lorena TDAHTA</v>
      </c>
      <c r="D54" s="5" t="str">
        <f>IFERROR(__xludf.DUMMYFUNCTION("""COMPUTED_VALUE"""),"A percepção do tempo para um TDAH ⌛️🤯 _____________________________  E pra você, TDAH? Essa questão afeta muito sua vida? 💬_____________________________ Voz de: Eslen Delanogare #tdahta #tdahadulto  #tdahsintomas  #eslendelanogare #tdahtiktok")</f>
        <v>A percepção do tempo para um TDAH ⌛️🤯 _____________________________  E pra você, TDAH? Essa questão afeta muito sua vida? 💬_____________________________ Voz de: Eslen Delanogare #tdahta #tdahadulto  #tdahsintomas  #eslendelanogare #tdahtiktok</v>
      </c>
      <c r="E54" s="5" t="str">
        <f>IFERROR(__xludf.DUMMYFUNCTION("""COMPUTED_VALUE"""),"tdahta,tdahadulto,tdahsintomas,eslendelanogare,tdahtiktok")</f>
        <v>tdahta,tdahadulto,tdahsintomas,eslendelanogare,tdahtiktok</v>
      </c>
      <c r="G54" s="6">
        <f>IFERROR(__xludf.DUMMYFUNCTION("IF(
  TRIM(E54)="""",
  0,
  COUNTA(
    SPLIT(
      REGEXREPLACE(E54,""\s*,\s*"","",""),
      "",""
    )
  )
)"),5.0)</f>
        <v>5</v>
      </c>
    </row>
    <row r="55">
      <c r="A55" s="5" t="str">
        <f>IFERROR(__xludf.DUMMYFUNCTION("""COMPUTED_VALUE"""),"7567500903712836894")</f>
        <v>7567500903712836894</v>
      </c>
      <c r="B55" s="5" t="str">
        <f>IFERROR(__xludf.DUMMYFUNCTION("""COMPUTED_VALUE"""),"opsiquiatrasincero")</f>
        <v>opsiquiatrasincero</v>
      </c>
      <c r="C55" s="5" t="str">
        <f>IFERROR(__xludf.DUMMYFUNCTION("""COMPUTED_VALUE"""),"Rafael Fabri - Psiquiatra")</f>
        <v>Rafael Fabri - Psiquiatra</v>
      </c>
      <c r="D55" s="5" t="str">
        <f>IFERROR(__xludf.DUMMYFUNCTION("""COMPUTED_VALUE"""),"Pronto! sintomas e comportamentos do Transtorno de Déficit de Atenção e Hiperatividade em 1 minuto, “quase todos” #mentelevevidaforte #tdah #autoconhecimento #tdahadulto ")</f>
        <v>Pronto! sintomas e comportamentos do Transtorno de Déficit de Atenção e Hiperatividade em 1 minuto, “quase todos” #mentelevevidaforte #tdah #autoconhecimento #tdahadulto </v>
      </c>
      <c r="E55" s="5" t="str">
        <f>IFERROR(__xludf.DUMMYFUNCTION("""COMPUTED_VALUE"""),"mentelevevidaforte,tdah,autoconhecimento,tdahadulto")</f>
        <v>mentelevevidaforte,tdah,autoconhecimento,tdahadulto</v>
      </c>
      <c r="G55" s="6">
        <f>IFERROR(__xludf.DUMMYFUNCTION("IF(
  TRIM(E55)="""",
  0,
  COUNTA(
    SPLIT(
      REGEXREPLACE(E55,""\s*,\s*"","",""),
      "",""
    )
  )
)"),4.0)</f>
        <v>4</v>
      </c>
    </row>
    <row r="56">
      <c r="A56" s="5" t="str">
        <f>IFERROR(__xludf.DUMMYFUNCTION("""COMPUTED_VALUE"""),"7308804131991440645")</f>
        <v>7308804131991440645</v>
      </c>
      <c r="B56" s="5" t="str">
        <f>IFERROR(__xludf.DUMMYFUNCTION("""COMPUTED_VALUE"""),"pisicopop")</f>
        <v>pisicopop</v>
      </c>
      <c r="C56" s="5" t="str">
        <f>IFERROR(__xludf.DUMMYFUNCTION("""COMPUTED_VALUE"""),"Saúde e ciência")</f>
        <v>Saúde e ciência</v>
      </c>
      <c r="D56" s="5" t="str">
        <f>IFERROR(__xludf.DUMMYFUNCTION("""COMPUTED_VALUE"""),"Uma aula sobre tdah #psicologia #psicologa #tda #tdahadulto #tdah #tdahadulto #podcast #anabeatrizbarbosa")</f>
        <v>Uma aula sobre tdah #psicologia #psicologa #tda #tdahadulto #tdah #tdahadulto #podcast #anabeatrizbarbosa</v>
      </c>
      <c r="E56" s="5" t="str">
        <f>IFERROR(__xludf.DUMMYFUNCTION("""COMPUTED_VALUE"""),"psicologia,psicologa,tda,tdahadulto,tdah,tdahadulto,podcast,anabeatrizbarbosa")</f>
        <v>psicologia,psicologa,tda,tdahadulto,tdah,tdahadulto,podcast,anabeatrizbarbosa</v>
      </c>
      <c r="G56" s="6">
        <f>IFERROR(__xludf.DUMMYFUNCTION("IF(
  TRIM(E56)="""",
  0,
  COUNTA(
    SPLIT(
      REGEXREPLACE(E56,""\s*,\s*"","",""),
      "",""
    )
  )
)"),8.0)</f>
        <v>8</v>
      </c>
    </row>
    <row r="57">
      <c r="A57" s="5" t="str">
        <f>IFERROR(__xludf.DUMMYFUNCTION("""COMPUTED_VALUE"""),"7549765760147803448")</f>
        <v>7549765760147803448</v>
      </c>
      <c r="B57" s="5" t="str">
        <f>IFERROR(__xludf.DUMMYFUNCTION("""COMPUTED_VALUE"""),"vivendocomtdahoficial")</f>
        <v>vivendocomtdahoficial</v>
      </c>
      <c r="C57" s="5" t="str">
        <f>IFERROR(__xludf.DUMMYFUNCTION("""COMPUTED_VALUE"""),"Vivendo com Tdah")</f>
        <v>Vivendo com Tdah</v>
      </c>
      <c r="D57" s="5" t="str">
        <f>IFERROR(__xludf.DUMMYFUNCTION("""COMPUTED_VALUE"""),"Quem mais tem esses hábitos?  #tdah #tdahadulto #tdahmemes #tdahtiktok #tdahinfantil")</f>
        <v>Quem mais tem esses hábitos?  #tdah #tdahadulto #tdahmemes #tdahtiktok #tdahinfantil</v>
      </c>
      <c r="E57" s="5" t="str">
        <f>IFERROR(__xludf.DUMMYFUNCTION("""COMPUTED_VALUE"""),"tdah,tdahadulto,tdahmemes,tdahtiktok,tdahinfantil")</f>
        <v>tdah,tdahadulto,tdahmemes,tdahtiktok,tdahinfantil</v>
      </c>
      <c r="G57" s="6">
        <f>IFERROR(__xludf.DUMMYFUNCTION("IF(
  TRIM(E57)="""",
  0,
  COUNTA(
    SPLIT(
      REGEXREPLACE(E57,""\s*,\s*"","",""),
      "",""
    )
  )
)"),5.0)</f>
        <v>5</v>
      </c>
    </row>
    <row r="58">
      <c r="A58" s="5" t="str">
        <f>IFERROR(__xludf.DUMMYFUNCTION("""COMPUTED_VALUE"""),"7150752474645728518")</f>
        <v>7150752474645728518</v>
      </c>
      <c r="B58" s="5" t="str">
        <f>IFERROR(__xludf.DUMMYFUNCTION("""COMPUTED_VALUE"""),"psi.jess")</f>
        <v>psi.jess</v>
      </c>
      <c r="C58" s="5" t="str">
        <f>IFERROR(__xludf.DUMMYFUNCTION("""COMPUTED_VALUE"""),"Psicóloga Jessica Santos")</f>
        <v>Psicóloga Jessica Santos</v>
      </c>
      <c r="D58" s="5" t="str">
        <f>IFERROR(__xludf.DUMMYFUNCTION("""COMPUTED_VALUE"""),"#psicologia #fyp #saudemental #terapia #relacionamento #autocuidado #psicologia #tdah #depressao #tdahadulto #tdahtiktok")</f>
        <v>#psicologia #fyp #saudemental #terapia #relacionamento #autocuidado #psicologia #tdah #depressao #tdahadulto #tdahtiktok</v>
      </c>
      <c r="E58" s="5" t="str">
        <f>IFERROR(__xludf.DUMMYFUNCTION("""COMPUTED_VALUE"""),"psicologia,fyp,saudemental,terapia,relacionamento,autocuidado,psicologia,tdah,depressao,tdahadulto,tdahtiktok")</f>
        <v>psicologia,fyp,saudemental,terapia,relacionamento,autocuidado,psicologia,tdah,depressao,tdahadulto,tdahtiktok</v>
      </c>
      <c r="G58" s="6">
        <f>IFERROR(__xludf.DUMMYFUNCTION("IF(
  TRIM(E58)="""",
  0,
  COUNTA(
    SPLIT(
      REGEXREPLACE(E58,""\s*,\s*"","",""),
      "",""
    )
  )
)"),11.0)</f>
        <v>11</v>
      </c>
    </row>
    <row r="59">
      <c r="A59" s="5" t="str">
        <f>IFERROR(__xludf.DUMMYFUNCTION("""COMPUTED_VALUE"""),"7542648377733844230")</f>
        <v>7542648377733844230</v>
      </c>
      <c r="B59" s="5" t="str">
        <f>IFERROR(__xludf.DUMMYFUNCTION("""COMPUTED_VALUE"""),"psi.walace")</f>
        <v>psi.walace</v>
      </c>
      <c r="C59" s="5" t="str">
        <f>IFERROR(__xludf.DUMMYFUNCTION("""COMPUTED_VALUE"""),"Walace Almeida | Psicólogo")</f>
        <v>Walace Almeida | Psicólogo</v>
      </c>
      <c r="D59" s="5" t="str">
        <f>IFERROR(__xludf.DUMMYFUNCTION("""COMPUTED_VALUE"""),"Pois é, parece um sexto sentido, um sentido aranha, mas essa intuição é apenas o cérebro neurodivergente trabalhando a todo vapor para entender e prever padrões. Por isso muitas vezes pessoas com TDAH parecem ser tão intuitivas. 😅 #psicologia #tdah #tdah"&amp;"adulto ")</f>
        <v>Pois é, parece um sexto sentido, um sentido aranha, mas essa intuição é apenas o cérebro neurodivergente trabalhando a todo vapor para entender e prever padrões. Por isso muitas vezes pessoas com TDAH parecem ser tão intuitivas. 😅 #psicologia #tdah #tdahadulto </v>
      </c>
      <c r="E59" s="5" t="str">
        <f>IFERROR(__xludf.DUMMYFUNCTION("""COMPUTED_VALUE"""),"psicologia,tdah,tdahadulto")</f>
        <v>psicologia,tdah,tdahadulto</v>
      </c>
      <c r="G59" s="6">
        <f>IFERROR(__xludf.DUMMYFUNCTION("IF(
  TRIM(E59)="""",
  0,
  COUNTA(
    SPLIT(
      REGEXREPLACE(E59,""\s*,\s*"","",""),
      "",""
    )
  )
)"),3.0)</f>
        <v>3</v>
      </c>
    </row>
    <row r="60">
      <c r="A60" s="5" t="str">
        <f>IFERROR(__xludf.DUMMYFUNCTION("""COMPUTED_VALUE"""),"7569029488961506567")</f>
        <v>7569029488961506567</v>
      </c>
      <c r="B60" s="5" t="str">
        <f>IFERROR(__xludf.DUMMYFUNCTION("""COMPUTED_VALUE"""),"liberdade.mentall")</f>
        <v>liberdade.mentall</v>
      </c>
      <c r="C60" s="5" t="str">
        <f>IFERROR(__xludf.DUMMYFUNCTION("""COMPUTED_VALUE"""),"Liberdade Mental 🧠💫")</f>
        <v>Liberdade Mental 🧠💫</v>
      </c>
      <c r="D60" s="5" t="str">
        <f>IFERROR(__xludf.DUMMYFUNCTION("""COMPUTED_VALUE"""),"O QUE É TDAH? #tdah #oqueetdah #sintomasdotdah")</f>
        <v>O QUE É TDAH? #tdah #oqueetdah #sintomasdotdah</v>
      </c>
      <c r="E60" s="5" t="str">
        <f>IFERROR(__xludf.DUMMYFUNCTION("""COMPUTED_VALUE"""),"tdah,oqueetdah,sintomasdotdah")</f>
        <v>tdah,oqueetdah,sintomasdotdah</v>
      </c>
      <c r="G60" s="6">
        <f>IFERROR(__xludf.DUMMYFUNCTION("IF(
  TRIM(E60)="""",
  0,
  COUNTA(
    SPLIT(
      REGEXREPLACE(E60,""\s*,\s*"","",""),
      "",""
    )
  )
)"),3.0)</f>
        <v>3</v>
      </c>
    </row>
    <row r="61">
      <c r="A61" s="5" t="str">
        <f>IFERROR(__xludf.DUMMYFUNCTION("""COMPUTED_VALUE"""),"7559709300189334796")</f>
        <v>7559709300189334796</v>
      </c>
      <c r="B61" s="5" t="str">
        <f>IFERROR(__xludf.DUMMYFUNCTION("""COMPUTED_VALUE"""),"thiagojatoba_")</f>
        <v>thiagojatoba_</v>
      </c>
      <c r="C61" s="5" t="str">
        <f>IFERROR(__xludf.DUMMYFUNCTION("""COMPUTED_VALUE"""),"Thiago Jatobá")</f>
        <v>Thiago Jatobá</v>
      </c>
      <c r="D61" s="5" t="str">
        <f>IFERROR(__xludf.DUMMYFUNCTION("""COMPUTED_VALUE"""),"Ter TDAH = ter superpoderes kkkk | #TDAH")</f>
        <v>Ter TDAH = ter superpoderes kkkk | #TDAH</v>
      </c>
      <c r="E61" s="5" t="str">
        <f>IFERROR(__xludf.DUMMYFUNCTION("""COMPUTED_VALUE"""),"tdah")</f>
        <v>tdah</v>
      </c>
      <c r="G61" s="6">
        <f>IFERROR(__xludf.DUMMYFUNCTION("IF(
  TRIM(E61)="""",
  0,
  COUNTA(
    SPLIT(
      REGEXREPLACE(E61,""\s*,\s*"","",""),
      "",""
    )
  )
)"),1.0)</f>
        <v>1</v>
      </c>
    </row>
    <row r="62">
      <c r="A62" s="5" t="str">
        <f>IFERROR(__xludf.DUMMYFUNCTION("""COMPUTED_VALUE"""),"7535613909680688390")</f>
        <v>7535613909680688390</v>
      </c>
      <c r="B62" s="5" t="str">
        <f>IFERROR(__xludf.DUMMYFUNCTION("""COMPUTED_VALUE"""),"liberdade.mentall")</f>
        <v>liberdade.mentall</v>
      </c>
      <c r="C62" s="5" t="str">
        <f>IFERROR(__xludf.DUMMYFUNCTION("""COMPUTED_VALUE"""),"Liberdade Mental 🧠💫")</f>
        <v>Liberdade Mental 🧠💫</v>
      </c>
      <c r="D62" s="5" t="str">
        <f>IFERROR(__xludf.DUMMYFUNCTION("""COMPUTED_VALUE"""),"ESSE É O TDAH DE VERDADE... #tdah #sintomasdotdah #oqueetdah")</f>
        <v>ESSE É O TDAH DE VERDADE... #tdah #sintomasdotdah #oqueetdah</v>
      </c>
      <c r="E62" s="5" t="str">
        <f>IFERROR(__xludf.DUMMYFUNCTION("""COMPUTED_VALUE"""),"tdah,sintomasdotdah,oqueetdah")</f>
        <v>tdah,sintomasdotdah,oqueetdah</v>
      </c>
      <c r="G62" s="6">
        <f>IFERROR(__xludf.DUMMYFUNCTION("IF(
  TRIM(E62)="""",
  0,
  COUNTA(
    SPLIT(
      REGEXREPLACE(E62,""\s*,\s*"","",""),
      "",""
    )
  )
)"),3.0)</f>
        <v>3</v>
      </c>
    </row>
    <row r="63">
      <c r="A63" s="5" t="str">
        <f>IFERROR(__xludf.DUMMYFUNCTION("""COMPUTED_VALUE"""),"7168484946154179846")</f>
        <v>7168484946154179846</v>
      </c>
      <c r="B63" s="5" t="str">
        <f>IFERROR(__xludf.DUMMYFUNCTION("""COMPUTED_VALUE"""),"brunolnunes")</f>
        <v>brunolnunes</v>
      </c>
      <c r="C63" s="5" t="str">
        <f>IFERROR(__xludf.DUMMYFUNCTION("""COMPUTED_VALUE"""),"Bruno Lima Nunes")</f>
        <v>Bruno Lima Nunes</v>
      </c>
      <c r="D63" s="5" t="str">
        <f>IFERROR(__xludf.DUMMYFUNCTION("""COMPUTED_VALUE"""),"Entenda o que é TDAH de uma vez por todas! Manda pra oamigo que precisa saber dessa informação! @maumeirelles  #tdah #tda #dda #tdahadultos #tdahadulto")</f>
        <v>Entenda o que é TDAH de uma vez por todas! Manda pra oamigo que precisa saber dessa informação! @maumeirelles  #tdah #tda #dda #tdahadultos #tdahadulto</v>
      </c>
      <c r="E63" s="5" t="str">
        <f>IFERROR(__xludf.DUMMYFUNCTION("""COMPUTED_VALUE"""),"tdah,tda,dda,tdahadultos,tdahadulto")</f>
        <v>tdah,tda,dda,tdahadultos,tdahadulto</v>
      </c>
      <c r="G63" s="6">
        <f>IFERROR(__xludf.DUMMYFUNCTION("IF(
  TRIM(E63)="""",
  0,
  COUNTA(
    SPLIT(
      REGEXREPLACE(E63,""\s*,\s*"","",""),
      "",""
    )
  )
)"),5.0)</f>
        <v>5</v>
      </c>
    </row>
    <row r="64">
      <c r="A64" s="5" t="str">
        <f>IFERROR(__xludf.DUMMYFUNCTION("""COMPUTED_VALUE"""),"7524464636557561093")</f>
        <v>7524464636557561093</v>
      </c>
      <c r="B64" s="5" t="str">
        <f>IFERROR(__xludf.DUMMYFUNCTION("""COMPUTED_VALUE"""),"psi.walace")</f>
        <v>psi.walace</v>
      </c>
      <c r="C64" s="5" t="str">
        <f>IFERROR(__xludf.DUMMYFUNCTION("""COMPUTED_VALUE"""),"Walace Almeida | Psicólogo")</f>
        <v>Walace Almeida | Psicólogo</v>
      </c>
      <c r="D64" s="5" t="str">
        <f>IFERROR(__xludf.DUMMYFUNCTION("""COMPUTED_VALUE"""),"Isso é muito comum no TDAH, principalmente no TDAH do tipo Hiperativo/Impulsivo (e no TDAH Combinado), não é que a pessoa está sendo grossa de propósito para machucar ou ser ríspida, é apenas uma reação instantânea da pessoa que acaba não medindo a forma "&amp;"como fala, não tem o controle do impulso, e isso acaba gerando episódios como no vídeo. #psicologia #tdah #tdahadulto ")</f>
        <v>Isso é muito comum no TDAH, principalmente no TDAH do tipo Hiperativo/Impulsivo (e no TDAH Combinado), não é que a pessoa está sendo grossa de propósito para machucar ou ser ríspida, é apenas uma reação instantânea da pessoa que acaba não medindo a forma como fala, não tem o controle do impulso, e isso acaba gerando episódios como no vídeo. #psicologia #tdah #tdahadulto </v>
      </c>
      <c r="E64" s="5" t="str">
        <f>IFERROR(__xludf.DUMMYFUNCTION("""COMPUTED_VALUE"""),"psicologia,tdah,tdahadulto")</f>
        <v>psicologia,tdah,tdahadulto</v>
      </c>
      <c r="G64" s="6">
        <f>IFERROR(__xludf.DUMMYFUNCTION("IF(
  TRIM(E64)="""",
  0,
  COUNTA(
    SPLIT(
      REGEXREPLACE(E64,""\s*,\s*"","",""),
      "",""
    )
  )
)"),3.0)</f>
        <v>3</v>
      </c>
    </row>
    <row r="65">
      <c r="A65" s="5" t="str">
        <f>IFERROR(__xludf.DUMMYFUNCTION("""COMPUTED_VALUE"""),"7485173096727530758")</f>
        <v>7485173096727530758</v>
      </c>
      <c r="B65" s="5" t="str">
        <f>IFERROR(__xludf.DUMMYFUNCTION("""COMPUTED_VALUE"""),"liberdade.mentall")</f>
        <v>liberdade.mentall</v>
      </c>
      <c r="C65" s="5" t="str">
        <f>IFERROR(__xludf.DUMMYFUNCTION("""COMPUTED_VALUE"""),"Liberdade Mental 🧠💫")</f>
        <v>Liberdade Mental 🧠💫</v>
      </c>
      <c r="D65" s="5" t="str">
        <f>IFERROR(__xludf.DUMMYFUNCTION("""COMPUTED_VALUE"""),"Você acha que tá vivendo… mas na real, tá só sobrevivendo. Tem coisa errada aí e você nem se ligou que pode ser o TDAH te sabotando em silêncio. Cansaço sem motivo, projetos largados, vazio constante, raiva acumulada… Tá tudo aí gritando que tem algo fora"&amp;" do lugar. Essa postagem vai abrir teus olhos. E talvez te mostrar o que você nunca teve coragem de encarar. #tdah #sintomasdotdah #oqueetdah ")</f>
        <v>Você acha que tá vivendo… mas na real, tá só sobrevivendo. Tem coisa errada aí e você nem se ligou que pode ser o TDAH te sabotando em silêncio. Cansaço sem motivo, projetos largados, vazio constante, raiva acumulada… Tá tudo aí gritando que tem algo fora do lugar. Essa postagem vai abrir teus olhos. E talvez te mostrar o que você nunca teve coragem de encarar. #tdah #sintomasdotdah #oqueetdah </v>
      </c>
      <c r="E65" s="5" t="str">
        <f>IFERROR(__xludf.DUMMYFUNCTION("""COMPUTED_VALUE"""),"tdah,sintomasdotdah,oqueetdah")</f>
        <v>tdah,sintomasdotdah,oqueetdah</v>
      </c>
      <c r="G65" s="6">
        <f>IFERROR(__xludf.DUMMYFUNCTION("IF(
  TRIM(E65)="""",
  0,
  COUNTA(
    SPLIT(
      REGEXREPLACE(E65,""\s*,\s*"","",""),
      "",""
    )
  )
)"),3.0)</f>
        <v>3</v>
      </c>
    </row>
    <row r="66">
      <c r="A66" s="5" t="str">
        <f>IFERROR(__xludf.DUMMYFUNCTION("""COMPUTED_VALUE"""),"7166636392859159834")</f>
        <v>7166636392859159834</v>
      </c>
      <c r="B66" s="5" t="str">
        <f>IFERROR(__xludf.DUMMYFUNCTION("""COMPUTED_VALUE"""),"brunolnunes")</f>
        <v>brunolnunes</v>
      </c>
      <c r="C66" s="5" t="str">
        <f>IFERROR(__xludf.DUMMYFUNCTION("""COMPUTED_VALUE"""),"Bruno Lima Nunes")</f>
        <v>Bruno Lima Nunes</v>
      </c>
      <c r="D66" s="5" t="str">
        <f>IFERROR(__xludf.DUMMYFUNCTION("""COMPUTED_VALUE"""),"O TDAH se apresenta nas mulheres dessa forma. Manda prakela pessoa que precisa ver esse video. @maumeirelles   #tdah #tda #dda #tdahadultos #tdahadulto")</f>
        <v>O TDAH se apresenta nas mulheres dessa forma. Manda prakela pessoa que precisa ver esse video. @maumeirelles   #tdah #tda #dda #tdahadultos #tdahadulto</v>
      </c>
      <c r="E66" s="5" t="str">
        <f>IFERROR(__xludf.DUMMYFUNCTION("""COMPUTED_VALUE"""),"tdah,tda,dda,tdahadultos,tdahadulto")</f>
        <v>tdah,tda,dda,tdahadultos,tdahadulto</v>
      </c>
      <c r="G66" s="6">
        <f>IFERROR(__xludf.DUMMYFUNCTION("IF(
  TRIM(E66)="""",
  0,
  COUNTA(
    SPLIT(
      REGEXREPLACE(E66,""\s*,\s*"","",""),
      "",""
    )
  )
)"),5.0)</f>
        <v>5</v>
      </c>
    </row>
    <row r="67">
      <c r="A67" s="5" t="str">
        <f>IFERROR(__xludf.DUMMYFUNCTION("""COMPUTED_VALUE"""),"7538834980567305477")</f>
        <v>7538834980567305477</v>
      </c>
      <c r="B67" s="5" t="str">
        <f>IFERROR(__xludf.DUMMYFUNCTION("""COMPUTED_VALUE"""),"gustavotubarao")</f>
        <v>gustavotubarao</v>
      </c>
      <c r="C67" s="5" t="str">
        <f>IFERROR(__xludf.DUMMYFUNCTION("""COMPUTED_VALUE"""),"Gustavo Tubarão")</f>
        <v>Gustavo Tubarão</v>
      </c>
      <c r="D67" s="5" t="str">
        <f>IFERROR(__xludf.DUMMYFUNCTION("""COMPUTED_VALUE"""),"TDAH")</f>
        <v>TDAH</v>
      </c>
      <c r="E67" s="5"/>
      <c r="G67" s="6">
        <f>IFERROR(__xludf.DUMMYFUNCTION("IF(
  TRIM(E67)="""",
  0,
  COUNTA(
    SPLIT(
      REGEXREPLACE(E67,""\s*,\s*"","",""),
      "",""
    )
  )
)"),0.0)</f>
        <v>0</v>
      </c>
    </row>
    <row r="68">
      <c r="A68" s="5" t="str">
        <f>IFERROR(__xludf.DUMMYFUNCTION("""COMPUTED_VALUE"""),"7489441695633820934")</f>
        <v>7489441695633820934</v>
      </c>
      <c r="B68" s="5" t="str">
        <f>IFERROR(__xludf.DUMMYFUNCTION("""COMPUTED_VALUE"""),"psi.jonathanorlandi")</f>
        <v>psi.jonathanorlandi</v>
      </c>
      <c r="C68" s="5" t="str">
        <f>IFERROR(__xludf.DUMMYFUNCTION("""COMPUTED_VALUE"""),"Jonathan. O psicólogo sincero")</f>
        <v>Jonathan. O psicólogo sincero</v>
      </c>
      <c r="D68" s="5" t="str">
        <f>IFERROR(__xludf.DUMMYFUNCTION("""COMPUTED_VALUE"""),"Comportamentos que parecem “jeitinho de ser”, mas são claros sinais de TDAH — e sim, dá pra perceber só de bater o olho. Pessoas com TDAH têm uma forma única de se comunicar: dificuldade de manter contato visual, olhar fixo para um ponto enquanto tentam o"&amp;"rganizar os pensamentos, uma conversa que dá voltas até chegar no ponto… e uma habilidade absurda de engajar qualquer papo, mesmo com desconhecidos. Mas essa mesma impulsividade que torna a conversa interessante pode fazer a gente atropelar a fala dos out"&amp;"ros, cortar no meio, ou esquecer completamente o que a outra pessoa estava dizendo. E quando isso acontece, o olhar perdido denuncia: a gente estava ali… mas não estava. Sim, TDAH, isso é mais comum do que parece. Se identificou? Manda esse post pra algué"&amp;"m que também vive assim. #TDAH #TDAHAdulto #Comportamento #Terapia #Psicologia #Curiosidade #Psicoterapia #Neurociência #Foco #DistraidosVenceremos")</f>
        <v>Comportamentos que parecem “jeitinho de ser”, mas são claros sinais de TDAH — e sim, dá pra perceber só de bater o olho. Pessoas com TDAH têm uma forma única de se comunicar: dificuldade de manter contato visual, olhar fixo para um ponto enquanto tentam organizar os pensamentos, uma conversa que dá voltas até chegar no ponto… e uma habilidade absurda de engajar qualquer papo, mesmo com desconhecidos. Mas essa mesma impulsividade que torna a conversa interessante pode fazer a gente atropelar a fala dos outros, cortar no meio, ou esquecer completamente o que a outra pessoa estava dizendo. E quando isso acontece, o olhar perdido denuncia: a gente estava ali… mas não estava. Sim, TDAH, isso é mais comum do que parece. Se identificou? Manda esse post pra alguém que também vive assim. #TDAH #TDAHAdulto #Comportamento #Terapia #Psicologia #Curiosidade #Psicoterapia #Neurociência #Foco #DistraidosVenceremos</v>
      </c>
      <c r="E68" s="5" t="str">
        <f>IFERROR(__xludf.DUMMYFUNCTION("""COMPUTED_VALUE"""),"tdah,tdahadulto,comportamento,terapia,psicologia,curiosidade,psicoterapia,neurociência,foco,distraidosvenceremos")</f>
        <v>tdah,tdahadulto,comportamento,terapia,psicologia,curiosidade,psicoterapia,neurociência,foco,distraidosvenceremos</v>
      </c>
      <c r="G68" s="6">
        <f>IFERROR(__xludf.DUMMYFUNCTION("IF(
  TRIM(E68)="""",
  0,
  COUNTA(
    SPLIT(
      REGEXREPLACE(E68,""\s*,\s*"","",""),
      "",""
    )
  )
)"),10.0)</f>
        <v>10</v>
      </c>
    </row>
    <row r="69">
      <c r="A69" s="5" t="str">
        <f>IFERROR(__xludf.DUMMYFUNCTION("""COMPUTED_VALUE"""),"7355855148909890822")</f>
        <v>7355855148909890822</v>
      </c>
      <c r="B69" s="5" t="str">
        <f>IFERROR(__xludf.DUMMYFUNCTION("""COMPUTED_VALUE"""),"musadumont")</f>
        <v>musadumont</v>
      </c>
      <c r="C69" s="5" t="str">
        <f>IFERROR(__xludf.DUMMYFUNCTION("""COMPUTED_VALUE"""),"Musa Dumont")</f>
        <v>Musa Dumont</v>
      </c>
      <c r="D69" s="5" t="str">
        <f>IFERROR(__xludf.DUMMYFUNCTION("""COMPUTED_VALUE"""),"Acho que toda mãe tem TDAH… Tu tbm é assim? 😅")</f>
        <v>Acho que toda mãe tem TDAH… Tu tbm é assim? 😅</v>
      </c>
      <c r="E69" s="5"/>
      <c r="G69" s="6">
        <f>IFERROR(__xludf.DUMMYFUNCTION("IF(
  TRIM(E69)="""",
  0,
  COUNTA(
    SPLIT(
      REGEXREPLACE(E69,""\s*,\s*"","",""),
      "",""
    )
  )
)"),0.0)</f>
        <v>0</v>
      </c>
    </row>
    <row r="70">
      <c r="A70" s="5" t="str">
        <f>IFERROR(__xludf.DUMMYFUNCTION("""COMPUTED_VALUE"""),"7355650659036777733")</f>
        <v>7355650659036777733</v>
      </c>
      <c r="B70" s="5" t="str">
        <f>IFERROR(__xludf.DUMMYFUNCTION("""COMPUTED_VALUE"""),"lorenatdahta")</f>
        <v>lorenatdahta</v>
      </c>
      <c r="C70" s="5" t="str">
        <f>IFERROR(__xludf.DUMMYFUNCTION("""COMPUTED_VALUE"""),"Lorena TDAHTA")</f>
        <v>Lorena TDAHTA</v>
      </c>
      <c r="D70" s="5" t="str">
        <f>IFERROR(__xludf.DUMMYFUNCTION("""COMPUTED_VALUE"""),"A ""intuição"" do TDAH 🤯 Algumas teorias propõem que existam dois estilos cognitivos principais: O intuitivo e o analítico. Acredita-se que as pessoas com TDAH podem ser especialmente intuitivas, olhando para situações em geral e chegando rapidamente a c"&amp;"onclusões peculiares.  O TDAH dificulta a inibição de impulsos, o uso da memória de trabalho e a seleção ativa de certos caminhos,  dificultando com que a cognição analítica aconteça, passo a passo. Por outro lado, sua impulsividade e escolhas automáticas"&amp;" apoiam um pensamento intuitivo, absorvendo uma vasta gama de dados e chegando a insights engenhosos, criativos ou de uma visão bem particular. Você também pode ler mais sobre: https://thewaveclinic.com/blog/adhd-superpowers-hyperfocus-creativity-intuitio"&amp;"n/ #tdahta #tdahadulto #tdah #adhdintuition #tdahtiktok ")</f>
        <v>A "intuição" do TDAH 🤯 Algumas teorias propõem que existam dois estilos cognitivos principais: O intuitivo e o analítico. Acredita-se que as pessoas com TDAH podem ser especialmente intuitivas, olhando para situações em geral e chegando rapidamente a conclusões peculiares.  O TDAH dificulta a inibição de impulsos, o uso da memória de trabalho e a seleção ativa de certos caminhos,  dificultando com que a cognição analítica aconteça, passo a passo. Por outro lado, sua impulsividade e escolhas automáticas apoiam um pensamento intuitivo, absorvendo uma vasta gama de dados e chegando a insights engenhosos, criativos ou de uma visão bem particular. Você também pode ler mais sobre: https://thewaveclinic.com/blog/adhd-superpowers-hyperfocus-creativity-intuition/ #tdahta #tdahadulto #tdah #adhdintuition #tdahtiktok </v>
      </c>
      <c r="E70" s="5" t="str">
        <f>IFERROR(__xludf.DUMMYFUNCTION("""COMPUTED_VALUE"""),"tdahta,tdahadulto,tdah,adhdintuition,tdahtiktok")</f>
        <v>tdahta,tdahadulto,tdah,adhdintuition,tdahtiktok</v>
      </c>
      <c r="G70" s="6">
        <f>IFERROR(__xludf.DUMMYFUNCTION("IF(
  TRIM(E70)="""",
  0,
  COUNTA(
    SPLIT(
      REGEXREPLACE(E70,""\s*,\s*"","",""),
      "",""
    )
  )
)"),5.0)</f>
        <v>5</v>
      </c>
    </row>
    <row r="71">
      <c r="A71" s="5" t="str">
        <f>IFERROR(__xludf.DUMMYFUNCTION("""COMPUTED_VALUE"""),"7366274678849096965")</f>
        <v>7366274678849096965</v>
      </c>
      <c r="B71" s="5" t="str">
        <f>IFERROR(__xludf.DUMMYFUNCTION("""COMPUTED_VALUE"""),"pisicopop")</f>
        <v>pisicopop</v>
      </c>
      <c r="C71" s="5" t="str">
        <f>IFERROR(__xludf.DUMMYFUNCTION("""COMPUTED_VALUE"""),"Saúde e ciência")</f>
        <v>Saúde e ciência</v>
      </c>
      <c r="D71" s="5" t="str">
        <f>IFERROR(__xludf.DUMMYFUNCTION("""COMPUTED_VALUE"""),"Link na Bio do sonífero natural! #tdah #tda #tdahadulto #tdahtiktok")</f>
        <v>Link na Bio do sonífero natural! #tdah #tda #tdahadulto #tdahtiktok</v>
      </c>
      <c r="E71" s="5" t="str">
        <f>IFERROR(__xludf.DUMMYFUNCTION("""COMPUTED_VALUE"""),"tdah,tda,tdahadulto,tdahtiktok")</f>
        <v>tdah,tda,tdahadulto,tdahtiktok</v>
      </c>
      <c r="G71" s="6">
        <f>IFERROR(__xludf.DUMMYFUNCTION("IF(
  TRIM(E71)="""",
  0,
  COUNTA(
    SPLIT(
      REGEXREPLACE(E71,""\s*,\s*"","",""),
      "",""
    )
  )
)"),4.0)</f>
        <v>4</v>
      </c>
    </row>
    <row r="72">
      <c r="A72" s="5" t="str">
        <f>IFERROR(__xludf.DUMMYFUNCTION("""COMPUTED_VALUE"""),"7350334687363009797")</f>
        <v>7350334687363009797</v>
      </c>
      <c r="B72" s="5" t="str">
        <f>IFERROR(__xludf.DUMMYFUNCTION("""COMPUTED_VALUE"""),"pisicopop")</f>
        <v>pisicopop</v>
      </c>
      <c r="C72" s="5" t="str">
        <f>IFERROR(__xludf.DUMMYFUNCTION("""COMPUTED_VALUE"""),"Saúde e ciência")</f>
        <v>Saúde e ciência</v>
      </c>
      <c r="D72" s="5" t="str">
        <f>IFERROR(__xludf.DUMMYFUNCTION("""COMPUTED_VALUE"""),"💥🤯🤯 #psicologia #tdah #tda #tdahadulto")</f>
        <v>💥🤯🤯 #psicologia #tdah #tda #tdahadulto</v>
      </c>
      <c r="E72" s="5" t="str">
        <f>IFERROR(__xludf.DUMMYFUNCTION("""COMPUTED_VALUE"""),"psicologia,tdah,tda,tdahadulto")</f>
        <v>psicologia,tdah,tda,tdahadulto</v>
      </c>
      <c r="G72" s="6">
        <f>IFERROR(__xludf.DUMMYFUNCTION("IF(
  TRIM(E72)="""",
  0,
  COUNTA(
    SPLIT(
      REGEXREPLACE(E72,""\s*,\s*"","",""),
      "",""
    )
  )
)"),4.0)</f>
        <v>4</v>
      </c>
    </row>
    <row r="73">
      <c r="A73" s="5" t="str">
        <f>IFERROR(__xludf.DUMMYFUNCTION("""COMPUTED_VALUE"""),"7449878362803162373")</f>
        <v>7449878362803162373</v>
      </c>
      <c r="B73" s="5" t="str">
        <f>IFERROR(__xludf.DUMMYFUNCTION("""COMPUTED_VALUE"""),"menteintrigada.o")</f>
        <v>menteintrigada.o</v>
      </c>
      <c r="C73" s="5" t="str">
        <f>IFERROR(__xludf.DUMMYFUNCTION("""COMPUTED_VALUE"""),"Mente Intrigada !")</f>
        <v>Mente Intrigada !</v>
      </c>
      <c r="D73" s="5" t="str">
        <f>IFERROR(__xludf.DUMMYFUNCTION("""COMPUTED_VALUE"""),"SINAIS QUE A PESSOA POSSUI TDAH  #tdah #autismo #sintomas #viral_video #fouryou")</f>
        <v>SINAIS QUE A PESSOA POSSUI TDAH  #tdah #autismo #sintomas #viral_video #fouryou</v>
      </c>
      <c r="E73" s="5" t="str">
        <f>IFERROR(__xludf.DUMMYFUNCTION("""COMPUTED_VALUE"""),"tdah,autismo,sintomas,viral_video,fouryou")</f>
        <v>tdah,autismo,sintomas,viral_video,fouryou</v>
      </c>
      <c r="G73" s="6">
        <f>IFERROR(__xludf.DUMMYFUNCTION("IF(
  TRIM(E73)="""",
  0,
  COUNTA(
    SPLIT(
      REGEXREPLACE(E73,""\s*,\s*"","",""),
      "",""
    )
  )
)"),5.0)</f>
        <v>5</v>
      </c>
    </row>
    <row r="74">
      <c r="A74" s="5" t="str">
        <f>IFERROR(__xludf.DUMMYFUNCTION("""COMPUTED_VALUE"""),"7501116259862334775")</f>
        <v>7501116259862334775</v>
      </c>
      <c r="B74" s="5" t="str">
        <f>IFERROR(__xludf.DUMMYFUNCTION("""COMPUTED_VALUE"""),"neurodivergenciaeopapo")</f>
        <v>neurodivergenciaeopapo</v>
      </c>
      <c r="C74" s="5" t="str">
        <f>IFERROR(__xludf.DUMMYFUNCTION("""COMPUTED_VALUE"""),"Neurodivergência é o papo!")</f>
        <v>Neurodivergência é o papo!</v>
      </c>
      <c r="D74" s="5" t="str">
        <f>IFERROR(__xludf.DUMMYFUNCTION("""COMPUTED_VALUE"""),"#tod #transtornoopositordesafiador #tdah #criancaatipica ##maeatipica #maternidadeatipicareal #ebooktod #ebooktdah #acolhimento #empatia #neurodivergencias #neurodivergente #transtornosneurodivergentes #neurodivergenciaeopapo @Neurodivergência é o papo!")</f>
        <v>#tod #transtornoopositordesafiador #tdah #criancaatipica ##maeatipica #maternidadeatipicareal #ebooktod #ebooktdah #acolhimento #empatia #neurodivergencias #neurodivergente #transtornosneurodivergentes #neurodivergenciaeopapo @Neurodivergência é o papo!</v>
      </c>
      <c r="E74" s="5" t="str">
        <f>IFERROR(__xludf.DUMMYFUNCTION("""COMPUTED_VALUE"""),"tod,transtornoopositordesafiador,tdah,criancaatipica,maeatipica,maternidadeatipicareal,ebooktod,ebooktdah,acolhimento,empatia,neurodivergencias,neurodivergente,transtornosneurodivergentes,neurodivergenciaeopapo")</f>
        <v>tod,transtornoopositordesafiador,tdah,criancaatipica,maeatipica,maternidadeatipicareal,ebooktod,ebooktdah,acolhimento,empatia,neurodivergencias,neurodivergente,transtornosneurodivergentes,neurodivergenciaeopapo</v>
      </c>
      <c r="G74" s="6">
        <f>IFERROR(__xludf.DUMMYFUNCTION("IF(
  TRIM(E74)="""",
  0,
  COUNTA(
    SPLIT(
      REGEXREPLACE(E74,""\s*,\s*"","",""),
      "",""
    )
  )
)"),14.0)</f>
        <v>14</v>
      </c>
    </row>
    <row r="75">
      <c r="A75" s="5" t="str">
        <f>IFERROR(__xludf.DUMMYFUNCTION("""COMPUTED_VALUE"""),"7443539900613283127")</f>
        <v>7443539900613283127</v>
      </c>
      <c r="B75" s="5" t="str">
        <f>IFERROR(__xludf.DUMMYFUNCTION("""COMPUTED_VALUE"""),"meu.mundotdah")</f>
        <v>meu.mundotdah</v>
      </c>
      <c r="C75" s="5" t="str">
        <f>IFERROR(__xludf.DUMMYFUNCTION("""COMPUTED_VALUE"""),"meu.mundotdah")</f>
        <v>meu.mundotdah</v>
      </c>
      <c r="D75" s="5" t="str">
        <f>IFERROR(__xludf.DUMMYFUNCTION("""COMPUTED_VALUE"""),"Muita gente associa o TDAH àquela energia sem fim, correndo pra lá e pra cá. Mas nem sempre a hiperatividade é visível. No TDAH, ela pode aparecer como hiperatividade mental, com pensamentos acelerados, dificuldade de desligar a mente e sensação de estar "&amp;"sempre ‘ligado no 220’. Se você se identifica com isso, tente atividades que ajudam a organizar a mente, como escrever seus pensamentos ou praticar meditação guiada. Lembre-se: cada caso é único, e entender como o TDAH se manifesta em você é o primeiro pa"&amp;"sso para lidar com ele! #tdah #tdahadulto #comportamentohumano")</f>
        <v>Muita gente associa o TDAH àquela energia sem fim, correndo pra lá e pra cá. Mas nem sempre a hiperatividade é visível. No TDAH, ela pode aparecer como hiperatividade mental, com pensamentos acelerados, dificuldade de desligar a mente e sensação de estar sempre ‘ligado no 220’. Se você se identifica com isso, tente atividades que ajudam a organizar a mente, como escrever seus pensamentos ou praticar meditação guiada. Lembre-se: cada caso é único, e entender como o TDAH se manifesta em você é o primeiro passo para lidar com ele! #tdah #tdahadulto #comportamentohumano</v>
      </c>
      <c r="E75" s="5" t="str">
        <f>IFERROR(__xludf.DUMMYFUNCTION("""COMPUTED_VALUE"""),"tdah,tdahadulto,comportamentohumano")</f>
        <v>tdah,tdahadulto,comportamentohumano</v>
      </c>
      <c r="G75" s="6">
        <f>IFERROR(__xludf.DUMMYFUNCTION("IF(
  TRIM(E75)="""",
  0,
  COUNTA(
    SPLIT(
      REGEXREPLACE(E75,""\s*,\s*"","",""),
      "",""
    )
  )
)"),3.0)</f>
        <v>3</v>
      </c>
    </row>
    <row r="76">
      <c r="A76" s="5" t="str">
        <f>IFERROR(__xludf.DUMMYFUNCTION("""COMPUTED_VALUE"""),"7442348243129830711")</f>
        <v>7442348243129830711</v>
      </c>
      <c r="B76" s="5" t="str">
        <f>IFERROR(__xludf.DUMMYFUNCTION("""COMPUTED_VALUE"""),"tdahempalavra")</f>
        <v>tdahempalavra</v>
      </c>
      <c r="C76" s="5" t="str">
        <f>IFERROR(__xludf.DUMMYFUNCTION("""COMPUTED_VALUE"""),"tdahempalavra")</f>
        <v>tdahempalavra</v>
      </c>
      <c r="D76" s="5" t="str">
        <f>IFERROR(__xludf.DUMMYFUNCTION("""COMPUTED_VALUE"""),"DESREGULAMENTAÇÃO EMOCIONAL  #TDAH #tdahadulto #tdahinfantil #tdahmemes #tdahhumor #tdahdescomplicado #tdahadolescentes #Ansiedade #SaúdeMental #Autocuidado #Autoconhecimento #terapia")</f>
        <v>DESREGULAMENTAÇÃO EMOCIONAL  #TDAH #tdahadulto #tdahinfantil #tdahmemes #tdahhumor #tdahdescomplicado #tdahadolescentes #Ansiedade #SaúdeMental #Autocuidado #Autoconhecimento #terapia</v>
      </c>
      <c r="E76" s="5" t="str">
        <f>IFERROR(__xludf.DUMMYFUNCTION("""COMPUTED_VALUE"""),"tdah,tdahadulto,tdahinfantil,tdahmemes,tdahhumor,tdahdescomplicado,tdahadolescentes,ansiedade,saúdemental,autocuidado,autoconhecimento,terapia")</f>
        <v>tdah,tdahadulto,tdahinfantil,tdahmemes,tdahhumor,tdahdescomplicado,tdahadolescentes,ansiedade,saúdemental,autocuidado,autoconhecimento,terapia</v>
      </c>
      <c r="G76" s="6">
        <f>IFERROR(__xludf.DUMMYFUNCTION("IF(
  TRIM(E76)="""",
  0,
  COUNTA(
    SPLIT(
      REGEXREPLACE(E76,""\s*,\s*"","",""),
      "",""
    )
  )
)"),12.0)</f>
        <v>12</v>
      </c>
    </row>
    <row r="77">
      <c r="A77" s="5" t="str">
        <f>IFERROR(__xludf.DUMMYFUNCTION("""COMPUTED_VALUE"""),"7230465344375180549")</f>
        <v>7230465344375180549</v>
      </c>
      <c r="B77" s="5" t="str">
        <f>IFERROR(__xludf.DUMMYFUNCTION("""COMPUTED_VALUE"""),"lorenatdahta")</f>
        <v>lorenatdahta</v>
      </c>
      <c r="C77" s="5" t="str">
        <f>IFERROR(__xludf.DUMMYFUNCTION("""COMPUTED_VALUE"""),"Lorena TDAHTA")</f>
        <v>Lorena TDAHTA</v>
      </c>
      <c r="D77" s="5" t="str">
        <f>IFERROR(__xludf.DUMMYFUNCTION("""COMPUTED_VALUE"""),"O universo totalmente particular da mente de um TDAH. 🤯🌪️ A animação traz de forma divertida, aspectos do funcionamento do cérebro de um portador do transtorno. A bagunça, o caos e desconcentração... Mas ao mesmo tempo a criatividade e seu universo próp"&amp;"rio.")</f>
        <v>O universo totalmente particular da mente de um TDAH. 🤯🌪️ A animação traz de forma divertida, aspectos do funcionamento do cérebro de um portador do transtorno. A bagunça, o caos e desconcentração... Mas ao mesmo tempo a criatividade e seu universo próprio.</v>
      </c>
      <c r="E77" s="5"/>
      <c r="G77" s="6">
        <f>IFERROR(__xludf.DUMMYFUNCTION("IF(
  TRIM(E77)="""",
  0,
  COUNTA(
    SPLIT(
      REGEXREPLACE(E77,""\s*,\s*"","",""),
      "",""
    )
  )
)"),0.0)</f>
        <v>0</v>
      </c>
    </row>
    <row r="78">
      <c r="A78" s="5" t="str">
        <f>IFERROR(__xludf.DUMMYFUNCTION("""COMPUTED_VALUE"""),"7536699752629488952")</f>
        <v>7536699752629488952</v>
      </c>
      <c r="B78" s="5" t="str">
        <f>IFERROR(__xludf.DUMMYFUNCTION("""COMPUTED_VALUE"""),"igorpsicologo")</f>
        <v>igorpsicologo</v>
      </c>
      <c r="C78" s="5" t="str">
        <f>IFERROR(__xludf.DUMMYFUNCTION("""COMPUTED_VALUE"""),"Psicólogo Igor")</f>
        <v>Psicólogo Igor</v>
      </c>
      <c r="D78" s="5" t="str">
        <f>IFERROR(__xludf.DUMMYFUNCTION("""COMPUTED_VALUE"""),"#saudemental #tdah #psicologia #psicologoonline #psicoterapia #viralizou #fyp #foryou #foryoupage")</f>
        <v>#saudemental #tdah #psicologia #psicologoonline #psicoterapia #viralizou #fyp #foryou #foryoupage</v>
      </c>
      <c r="E78" s="5" t="str">
        <f>IFERROR(__xludf.DUMMYFUNCTION("""COMPUTED_VALUE"""),"saudemental,tdah,psicologia,psicologoonline,psicoterapia,viralizou,fyp,foryou,foryoupage")</f>
        <v>saudemental,tdah,psicologia,psicologoonline,psicoterapia,viralizou,fyp,foryou,foryoupage</v>
      </c>
      <c r="G78" s="6">
        <f>IFERROR(__xludf.DUMMYFUNCTION("IF(
  TRIM(E78)="""",
  0,
  COUNTA(
    SPLIT(
      REGEXREPLACE(E78,""\s*,\s*"","",""),
      "",""
    )
  )
)"),9.0)</f>
        <v>9</v>
      </c>
    </row>
    <row r="79">
      <c r="A79" s="5" t="str">
        <f>IFERROR(__xludf.DUMMYFUNCTION("""COMPUTED_VALUE"""),"7277585063594773766")</f>
        <v>7277585063594773766</v>
      </c>
      <c r="B79" s="5" t="str">
        <f>IFERROR(__xludf.DUMMYFUNCTION("""COMPUTED_VALUE"""),"marilialanoa")</f>
        <v>marilialanoa</v>
      </c>
      <c r="C79" s="5" t="str">
        <f>IFERROR(__xludf.DUMMYFUNCTION("""COMPUTED_VALUE"""),"tdah autismo ansiedade")</f>
        <v>tdah autismo ansiedade</v>
      </c>
      <c r="D79" s="5" t="str">
        <f>IFERROR(__xludf.DUMMYFUNCTION("""COMPUTED_VALUE"""),"pensamentos acelerados, assim é a mente do tdah #menteacelerada #tdah #tdahadulto ")</f>
        <v>pensamentos acelerados, assim é a mente do tdah #menteacelerada #tdah #tdahadulto </v>
      </c>
      <c r="E79" s="5" t="str">
        <f>IFERROR(__xludf.DUMMYFUNCTION("""COMPUTED_VALUE"""),"menteacelerada,tdah,tdahadulto")</f>
        <v>menteacelerada,tdah,tdahadulto</v>
      </c>
      <c r="G79" s="6">
        <f>IFERROR(__xludf.DUMMYFUNCTION("IF(
  TRIM(E79)="""",
  0,
  COUNTA(
    SPLIT(
      REGEXREPLACE(E79,""\s*,\s*"","",""),
      "",""
    )
  )
)"),3.0)</f>
        <v>3</v>
      </c>
    </row>
    <row r="80">
      <c r="A80" s="5" t="str">
        <f>IFERROR(__xludf.DUMMYFUNCTION("""COMPUTED_VALUE"""),"7448766255613431045")</f>
        <v>7448766255613431045</v>
      </c>
      <c r="B80" s="5" t="str">
        <f>IFERROR(__xludf.DUMMYFUNCTION("""COMPUTED_VALUE"""),"draanabeatriz11")</f>
        <v>draanabeatriz11</v>
      </c>
      <c r="C80" s="5" t="str">
        <f>IFERROR(__xludf.DUMMYFUNCTION("""COMPUTED_VALUE"""),"Ana Beatriz Barbosa")</f>
        <v>Ana Beatriz Barbosa</v>
      </c>
      <c r="D80" s="5" t="str">
        <f>IFERROR(__xludf.DUMMYFUNCTION("""COMPUTED_VALUE"""),"Um cérebro TDAH está sempre acelerado, como se fosse uma Ferrari a 300km/h. Mas toda essa velocidade precisa de cuidado, porque o risco de 'capotar' é maior. O segredo não é frear completamente, mas aprender a dirigir com segurança, aproveitando cada curv"&amp;"a desse processo de aprendizagem cheio de potencial.  É hora de aprender a explorar todo potêncial dessa máquina incrível que é o seu cérebro. Vamos aprender a pilotar essa Ferrari?  💬 Clique no link da bio e garanta jjá a sua vaga!")</f>
        <v>Um cérebro TDAH está sempre acelerado, como se fosse uma Ferrari a 300km/h. Mas toda essa velocidade precisa de cuidado, porque o risco de 'capotar' é maior. O segredo não é frear completamente, mas aprender a dirigir com segurança, aproveitando cada curva desse processo de aprendizagem cheio de potencial.  É hora de aprender a explorar todo potêncial dessa máquina incrível que é o seu cérebro. Vamos aprender a pilotar essa Ferrari?  💬 Clique no link da bio e garanta jjá a sua vaga!</v>
      </c>
      <c r="E80" s="5"/>
      <c r="G80" s="6">
        <f>IFERROR(__xludf.DUMMYFUNCTION("IF(
  TRIM(E80)="""",
  0,
  COUNTA(
    SPLIT(
      REGEXREPLACE(E80,""\s*,\s*"","",""),
      "",""
    )
  )
)"),0.0)</f>
        <v>0</v>
      </c>
    </row>
    <row r="81">
      <c r="A81" s="5" t="str">
        <f>IFERROR(__xludf.DUMMYFUNCTION("""COMPUTED_VALUE"""),"7567357838679362837")</f>
        <v>7567357838679362837</v>
      </c>
      <c r="B81" s="5" t="str">
        <f>IFERROR(__xludf.DUMMYFUNCTION("""COMPUTED_VALUE"""),"psi.jonathanorlandi")</f>
        <v>psi.jonathanorlandi</v>
      </c>
      <c r="C81" s="5" t="str">
        <f>IFERROR(__xludf.DUMMYFUNCTION("""COMPUTED_VALUE"""),"Jonathan. O psicólogo sincero")</f>
        <v>Jonathan. O psicólogo sincero</v>
      </c>
      <c r="D81" s="5" t="str">
        <f>IFERROR(__xludf.DUMMYFUNCTION("""COMPUTED_VALUE"""),"Descubra aqui na legenda a personalidade do seu TDAH. 1) Superfocado (Overfocused ADD)  Você enxerga sempre duas ou mais boas soluções e fica ruminando qual é “a certa”.  Quando o cenário muda, a ansiedade sobe e você trava ajustando detalhes.  Acaba post"&amp;"ergando decisões por medo de escolher “errado” e perder controle. 2) Desatento (Inattentive ADD)  Sua cabeça viaja para o futuro: “quando eu chegar lá…”.  No presente, o estímulo cai e o foco some; detalhes escapam.  A ansiedade aparece como preocupação c"&amp;"onstante e você começa tarde. 3) Clássico (Classic ADD)  Você tenta ser responsável, mas alterna impulsos e distrações.  Começa animado, abre muitas frentes e se perde na metade.  A ansiedade é sentir que está sempre “devendo” algo que não terminou. 4) Lo"&amp;"bo Temporal (Temporal Lobe ADD)  Criatividade alta com emoções em ondas: reage primeiro, pensa depois.  Discussões esquentam rápido; depois vem arrependimento e culpa.  A ansiedade cresce em ambientes imprevisíveis e com muitos estímulos. 5) Círculo de Fo"&amp;"go (Ring of Fire ADD)  A mente fica “acesa”: tudo vira gatilho, som, notificação, comentário.  Frustração mistura irritação e tristeza, e o corpo não desacelera.  A ansiedade é difusa: sensação de urgência o dia inteiro. 6) Ansioso (Anxious ADD)  Busca en"&amp;"caixe e identidade, mas teme o julgamento.  Em tarefas avaliativas, congela, revisa demais e evita se expor.  A mente repassa conversas e “e se…”, alimentando a própria ansiedade. 7) Superfocado — “Controladora” (variante do Overfocused)  Rende mais com p"&amp;"revisibilidade e ordem; rituais te organizam.  Se algo sai do script, você para para “arrumar” e perde a janela de execução.  A ansiedade vira perfeccionismo: só começa quando estiver “ideal”. 8) Límbico em monotonia tóxica (Limbic ADD — adaptação)  Com o"&amp;" tempo, você dessensibiliza o incômodo e se acostuma ao “morno”.  A desatenção vem de um estado distímico: pouca energia, pouco prazer.  A ansiedade é silenciosa: medo de mexer no que está estável, mesmo ruim. NOTA: Esse vídeo foi crido originalmente pelo"&amp;" @hector.psi  Foram feito adaptações dos resultados me baseados na leitura de perfil estudado pelo @doc_amen #ciencias #tdah #curiosidades #comportamento #psicologia ")</f>
        <v>Descubra aqui na legenda a personalidade do seu TDAH. 1) Superfocado (Overfocused ADD)  Você enxerga sempre duas ou mais boas soluções e fica ruminando qual é “a certa”.  Quando o cenário muda, a ansiedade sobe e você trava ajustando detalhes.  Acaba postergando decisões por medo de escolher “errado” e perder controle. 2) Desatento (Inattentive ADD)  Sua cabeça viaja para o futuro: “quando eu chegar lá…”.  No presente, o estímulo cai e o foco some; detalhes escapam.  A ansiedade aparece como preocupação constante e você começa tarde. 3) Clássico (Classic ADD)  Você tenta ser responsável, mas alterna impulsos e distrações.  Começa animado, abre muitas frentes e se perde na metade.  A ansiedade é sentir que está sempre “devendo” algo que não terminou. 4) Lobo Temporal (Temporal Lobe ADD)  Criatividade alta com emoções em ondas: reage primeiro, pensa depois.  Discussões esquentam rápido; depois vem arrependimento e culpa.  A ansiedade cresce em ambientes imprevisíveis e com muitos estímulos. 5) Círculo de Fogo (Ring of Fire ADD)  A mente fica “acesa”: tudo vira gatilho, som, notificação, comentário.  Frustração mistura irritação e tristeza, e o corpo não desacelera.  A ansiedade é difusa: sensação de urgência o dia inteiro. 6) Ansioso (Anxious ADD)  Busca encaixe e identidade, mas teme o julgamento.  Em tarefas avaliativas, congela, revisa demais e evita se expor.  A mente repassa conversas e “e se…”, alimentando a própria ansiedade. 7) Superfocado — “Controladora” (variante do Overfocused)  Rende mais com previsibilidade e ordem; rituais te organizam.  Se algo sai do script, você para para “arrumar” e perde a janela de execução.  A ansiedade vira perfeccionismo: só começa quando estiver “ideal”. 8) Límbico em monotonia tóxica (Limbic ADD — adaptação)  Com o tempo, você dessensibiliza o incômodo e se acostuma ao “morno”.  A desatenção vem de um estado distímico: pouca energia, pouco prazer.  A ansiedade é silenciosa: medo de mexer no que está estável, mesmo ruim. NOTA: Esse vídeo foi crido originalmente pelo @hector.psi  Foram feito adaptações dos resultados me baseados na leitura de perfil estudado pelo @doc_amen #ciencias #tdah #curiosidades #comportamento #psicologia </v>
      </c>
      <c r="E81" s="5" t="str">
        <f>IFERROR(__xludf.DUMMYFUNCTION("""COMPUTED_VALUE"""),"ciencias,tdah,curiosidades,comportamento,psicologia")</f>
        <v>ciencias,tdah,curiosidades,comportamento,psicologia</v>
      </c>
      <c r="G81" s="6">
        <f>IFERROR(__xludf.DUMMYFUNCTION("IF(
  TRIM(E81)="""",
  0,
  COUNTA(
    SPLIT(
      REGEXREPLACE(E81,""\s*,\s*"","",""),
      "",""
    )
  )
)"),5.0)</f>
        <v>5</v>
      </c>
    </row>
    <row r="82">
      <c r="A82" s="5" t="str">
        <f>IFERROR(__xludf.DUMMYFUNCTION("""COMPUTED_VALUE"""),"7516671993526095109")</f>
        <v>7516671993526095109</v>
      </c>
      <c r="B82" s="5" t="str">
        <f>IFERROR(__xludf.DUMMYFUNCTION("""COMPUTED_VALUE"""),"psi.walace")</f>
        <v>psi.walace</v>
      </c>
      <c r="C82" s="5" t="str">
        <f>IFERROR(__xludf.DUMMYFUNCTION("""COMPUTED_VALUE"""),"Walace Almeida | Psicólogo")</f>
        <v>Walace Almeida | Psicólogo</v>
      </c>
      <c r="D82" s="5" t="str">
        <f>IFERROR(__xludf.DUMMYFUNCTION("""COMPUTED_VALUE"""),"Pessoas com TDAH tendem a acordar mais exaustas que pessoas neurotipicas sim, isso infelizmente faz parte. E um detalhe que o vídeo traz, e esqueci de mencionar, é o pensamento acelerado na qual o TDAH já desperta. #psicologia #tdah #tdahadulto ")</f>
        <v>Pessoas com TDAH tendem a acordar mais exaustas que pessoas neurotipicas sim, isso infelizmente faz parte. E um detalhe que o vídeo traz, e esqueci de mencionar, é o pensamento acelerado na qual o TDAH já desperta. #psicologia #tdah #tdahadulto </v>
      </c>
      <c r="E82" s="5" t="str">
        <f>IFERROR(__xludf.DUMMYFUNCTION("""COMPUTED_VALUE"""),"psicologia,tdah,tdahadulto")</f>
        <v>psicologia,tdah,tdahadulto</v>
      </c>
      <c r="G82" s="6">
        <f>IFERROR(__xludf.DUMMYFUNCTION("IF(
  TRIM(E82)="""",
  0,
  COUNTA(
    SPLIT(
      REGEXREPLACE(E82,""\s*,\s*"","",""),
      "",""
    )
  )
)"),3.0)</f>
        <v>3</v>
      </c>
    </row>
    <row r="83">
      <c r="A83" s="5" t="str">
        <f>IFERROR(__xludf.DUMMYFUNCTION("""COMPUTED_VALUE"""),"7344007493384752390")</f>
        <v>7344007493384752390</v>
      </c>
      <c r="B83" s="5" t="str">
        <f>IFERROR(__xludf.DUMMYFUNCTION("""COMPUTED_VALUE"""),"anabeatrizbrazil")</f>
        <v>anabeatrizbrazil</v>
      </c>
      <c r="C83" s="5" t="str">
        <f>IFERROR(__xludf.DUMMYFUNCTION("""COMPUTED_VALUE"""),"user62604623381")</f>
        <v>user62604623381</v>
      </c>
      <c r="D83" s="5" t="str">
        <f>IFERROR(__xludf.DUMMYFUNCTION("""COMPUTED_VALUE"""),"#fpyyyyyyyyyyyyyyyyyyyyyy #estresse #amor❤️ #ansiedade #autismo #transtorno #compulsao #codependenciaemocional #psiquiatra #dependenciaemocional #saudemental #anabeatrizbarbosa #foryoupage❤️❤️ #fpyツ #saudeemocional #medo #inveja #borderline #moda #psicopa"&amp;"ta")</f>
        <v>#fpyyyyyyyyyyyyyyyyyyyyyy #estresse #amor❤️ #ansiedade #autismo #transtorno #compulsao #codependenciaemocional #psiquiatra #dependenciaemocional #saudemental #anabeatrizbarbosa #foryoupage❤️❤️ #fpyツ #saudeemocional #medo #inveja #borderline #moda #psicopata</v>
      </c>
      <c r="E83" s="5" t="str">
        <f>IFERROR(__xludf.DUMMYFUNCTION("""COMPUTED_VALUE"""),"fpyyyyyyyyyyyyyyyyyyyyyy,estresse,amor❤️,ansiedade,autismo,transtorno,compulsao,codependenciaemocional,psiquiatra,dependenciaemocional,saudemental,anabeatrizbarbosa,foryoupage❤️❤️,fpyツ,saudeemocional,medo,inveja,borderline,moda,psicopata")</f>
        <v>fpyyyyyyyyyyyyyyyyyyyyyy,estresse,amor❤️,ansiedade,autismo,transtorno,compulsao,codependenciaemocional,psiquiatra,dependenciaemocional,saudemental,anabeatrizbarbosa,foryoupage❤️❤️,fpyツ,saudeemocional,medo,inveja,borderline,moda,psicopata</v>
      </c>
      <c r="G83" s="6">
        <f>IFERROR(__xludf.DUMMYFUNCTION("IF(
  TRIM(E83)="""",
  0,
  COUNTA(
    SPLIT(
      REGEXREPLACE(E83,""\s*,\s*"","",""),
      "",""
    )
  )
)"),20.0)</f>
        <v>20</v>
      </c>
    </row>
    <row r="84">
      <c r="A84" s="5" t="str">
        <f>IFERROR(__xludf.DUMMYFUNCTION("""COMPUTED_VALUE"""),"7488113342129655045")</f>
        <v>7488113342129655045</v>
      </c>
      <c r="B84" s="5" t="str">
        <f>IFERROR(__xludf.DUMMYFUNCTION("""COMPUTED_VALUE"""),"liberdade.mentall")</f>
        <v>liberdade.mentall</v>
      </c>
      <c r="C84" s="5" t="str">
        <f>IFERROR(__xludf.DUMMYFUNCTION("""COMPUTED_VALUE"""),"Liberdade Mental 🧠💫")</f>
        <v>Liberdade Mental 🧠💫</v>
      </c>
      <c r="D84" s="5" t="str">
        <f>IFERROR(__xludf.DUMMYFUNCTION("""COMPUTED_VALUE"""),"Não é fofo. Não é engraçado. Não é só “ai, esqueci de novo haha”. É desespero. É sentir que você tá afundando num buraco sem fundo enquanto todo mundo ri da sua dor. É começar mil coisas e não terminar nenhuma. É ter 20 abas abertas no navegador… e mais 5"&amp;"0 na cabeça. É tentar focar e a mente fugir. É precisar de silêncio… mas nunca ter paz. É viver atrasado, frustrado, endividado, culpado. É prometer que vai mudar — e quebrar essa promessa no dia seguinte. É destruir relacionamento, carreira, sonhos… e de"&amp;"pois se culpar por tudo. É explodir com quem você ama e se arrepender depois. É dormir mal, comer mal, se cuidar mal. É olhar no espelho e não reconhecer mais quem você virou. Mas ninguém vê isso. Porque o mundo só enxerga a parte “divertida”: “O criativo"&amp;"”, “o espontâneo”, “o fora da caixa”. Mas não vê você chorando no banho. Não vê você travado em frente a uma tarefa simples. Não vê você se odiando por dentro. TDAH não tratado destrói vidas. E se você não fizer nada, vai destruir a sua também. O Manual d"&amp;"a Liberdade não é pra quem tá brincando de autodiagnóstico. É pra quem tá na merda. Pra quem cansou de se sabotar, de fingir que tá tudo bem, de viver com essa dor calada. Clica no link da bio. #tdah #oqueetdah #sintomasdotdah ")</f>
        <v>Não é fofo. Não é engraçado. Não é só “ai, esqueci de novo haha”. É desespero. É sentir que você tá afundando num buraco sem fundo enquanto todo mundo ri da sua dor. É começar mil coisas e não terminar nenhuma. É ter 20 abas abertas no navegador… e mais 50 na cabeça. É tentar focar e a mente fugir. É precisar de silêncio… mas nunca ter paz. É viver atrasado, frustrado, endividado, culpado. É prometer que vai mudar — e quebrar essa promessa no dia seguinte. É destruir relacionamento, carreira, sonhos… e depois se culpar por tudo. É explodir com quem você ama e se arrepender depois. É dormir mal, comer mal, se cuidar mal. É olhar no espelho e não reconhecer mais quem você virou. Mas ninguém vê isso. Porque o mundo só enxerga a parte “divertida”: “O criativo”, “o espontâneo”, “o fora da caixa”. Mas não vê você chorando no banho. Não vê você travado em frente a uma tarefa simples. Não vê você se odiando por dentro. TDAH não tratado destrói vidas. E se você não fizer nada, vai destruir a sua também. O Manual da Liberdade não é pra quem tá brincando de autodiagnóstico. É pra quem tá na merda. Pra quem cansou de se sabotar, de fingir que tá tudo bem, de viver com essa dor calada. Clica no link da bio. #tdah #oqueetdah #sintomasdotdah </v>
      </c>
      <c r="E84" s="5" t="str">
        <f>IFERROR(__xludf.DUMMYFUNCTION("""COMPUTED_VALUE"""),"tdah,oqueetdah,sintomasdotdah")</f>
        <v>tdah,oqueetdah,sintomasdotdah</v>
      </c>
      <c r="G84" s="6">
        <f>IFERROR(__xludf.DUMMYFUNCTION("IF(
  TRIM(E84)="""",
  0,
  COUNTA(
    SPLIT(
      REGEXREPLACE(E84,""\s*,\s*"","",""),
      "",""
    )
  )
)"),3.0)</f>
        <v>3</v>
      </c>
    </row>
    <row r="85">
      <c r="A85" s="5" t="str">
        <f>IFERROR(__xludf.DUMMYFUNCTION("""COMPUTED_VALUE"""),"7557920607778721035")</f>
        <v>7557920607778721035</v>
      </c>
      <c r="B85" s="5" t="str">
        <f>IFERROR(__xludf.DUMMYFUNCTION("""COMPUTED_VALUE"""),"igorpsicologo")</f>
        <v>igorpsicologo</v>
      </c>
      <c r="C85" s="5" t="str">
        <f>IFERROR(__xludf.DUMMYFUNCTION("""COMPUTED_VALUE"""),"Psicólogo Igor")</f>
        <v>Psicólogo Igor</v>
      </c>
      <c r="D85" s="5" t="str">
        <f>IFERROR(__xludf.DUMMYFUNCTION("""COMPUTED_VALUE"""),"#saudemental #tdah #psicologia #psicologoonline #foryoupage")</f>
        <v>#saudemental #tdah #psicologia #psicologoonline #foryoupage</v>
      </c>
      <c r="E85" s="5" t="str">
        <f>IFERROR(__xludf.DUMMYFUNCTION("""COMPUTED_VALUE"""),"saudemental,tdah,psicologia,psicologoonline,foryoupage")</f>
        <v>saudemental,tdah,psicologia,psicologoonline,foryoupage</v>
      </c>
      <c r="G85" s="6">
        <f>IFERROR(__xludf.DUMMYFUNCTION("IF(
  TRIM(E85)="""",
  0,
  COUNTA(
    SPLIT(
      REGEXREPLACE(E85,""\s*,\s*"","",""),
      "",""
    )
  )
)"),5.0)</f>
        <v>5</v>
      </c>
    </row>
    <row r="86">
      <c r="A86" s="5" t="str">
        <f>IFERROR(__xludf.DUMMYFUNCTION("""COMPUTED_VALUE"""),"7496516856061185286")</f>
        <v>7496516856061185286</v>
      </c>
      <c r="B86" s="5" t="str">
        <f>IFERROR(__xludf.DUMMYFUNCTION("""COMPUTED_VALUE"""),"psi.jonathanorlandi")</f>
        <v>psi.jonathanorlandi</v>
      </c>
      <c r="C86" s="5" t="str">
        <f>IFERROR(__xludf.DUMMYFUNCTION("""COMPUTED_VALUE"""),"Jonathan. O psicólogo sincero")</f>
        <v>Jonathan. O psicólogo sincero</v>
      </c>
      <c r="D86" s="5" t="str">
        <f>IFERROR(__xludf.DUMMYFUNCTION("""COMPUTED_VALUE"""),"TDAH, por que a gente anda de um jeito tão… diferente?👣 Tem gente que anda na calçada como se estivesse numa linha de equilíbrio. Outros chutam tudo sem ver. E tem os que “veem com as mãos” — tocam, mexem, testam. Parece estranho, mas tem explicação! 🧠 "&amp;"Nosso cérebro vive numa busca constante por estímulos.   Como temos menos dopamina circulando, qualquer novidade sensorial vira um *reforçador natural*.   Andar sobre o meio-fio, pisar em pedras diferentes, tocar superfícies… tudo isso ativa nosso sistema"&amp;" como se fosse uma brincadeira interna. 💡 E não é só curiosidade. Muitas vezes, esse “jeito” de andar é o corpo tentando liberar aquela energia acumulada, aquela inquietação que ninguém vê — mas que a gente sente o tempo todo. 🔁 A impulsividade também e"&amp;"ntra aqui: nosso corpo age antes mesmo da lógica entender o que está acontecendo. No fim, pode parecer esquisito pra quem vê, mas é só mais uma forma de manter a mente ativa e o corpo regulado. E quer saber? Funciona. 💬 Se você é do time que não sabe and"&amp;"ar reto ou vive testando os próprios limites, comenta aqui.   Distraídos venceremos. #tdah #tdahadulto #comportamento #terapia #psicologia #curiosidade #psicoterapia #neurociência #foco #distraidosvenceremos")</f>
        <v>TDAH, por que a gente anda de um jeito tão… diferente?👣 Tem gente que anda na calçada como se estivesse numa linha de equilíbrio. Outros chutam tudo sem ver. E tem os que “veem com as mãos” — tocam, mexem, testam. Parece estranho, mas tem explicação! 🧠 Nosso cérebro vive numa busca constante por estímulos.   Como temos menos dopamina circulando, qualquer novidade sensorial vira um *reforçador natural*.   Andar sobre o meio-fio, pisar em pedras diferentes, tocar superfícies… tudo isso ativa nosso sistema como se fosse uma brincadeira interna. 💡 E não é só curiosidade. Muitas vezes, esse “jeito” de andar é o corpo tentando liberar aquela energia acumulada, aquela inquietação que ninguém vê — mas que a gente sente o tempo todo. 🔁 A impulsividade também entra aqui: nosso corpo age antes mesmo da lógica entender o que está acontecendo. No fim, pode parecer esquisito pra quem vê, mas é só mais uma forma de manter a mente ativa e o corpo regulado. E quer saber? Funciona. 💬 Se você é do time que não sabe andar reto ou vive testando os próprios limites, comenta aqui.   Distraídos venceremos. #tdah #tdahadulto #comportamento #terapia #psicologia #curiosidade #psicoterapia #neurociência #foco #distraidosvenceremos</v>
      </c>
      <c r="E86" s="5" t="str">
        <f>IFERROR(__xludf.DUMMYFUNCTION("""COMPUTED_VALUE"""),"tdah,tdahadulto,comportamento,terapia,psicologia,curiosidade,psicoterapia,neurociência,foco,distraidosvenceremos")</f>
        <v>tdah,tdahadulto,comportamento,terapia,psicologia,curiosidade,psicoterapia,neurociência,foco,distraidosvenceremos</v>
      </c>
      <c r="G86" s="6">
        <f>IFERROR(__xludf.DUMMYFUNCTION("IF(
  TRIM(E86)="""",
  0,
  COUNTA(
    SPLIT(
      REGEXREPLACE(E86,""\s*,\s*"","",""),
      "",""
    )
  )
)"),10.0)</f>
        <v>10</v>
      </c>
    </row>
    <row r="87">
      <c r="A87" s="5" t="str">
        <f>IFERROR(__xludf.DUMMYFUNCTION("""COMPUTED_VALUE"""),"7514716968394493190")</f>
        <v>7514716968394493190</v>
      </c>
      <c r="B87" s="5" t="str">
        <f>IFERROR(__xludf.DUMMYFUNCTION("""COMPUTED_VALUE"""),"mr.tdahzinho")</f>
        <v>mr.tdahzinho</v>
      </c>
      <c r="C87" s="5" t="str">
        <f>IFERROR(__xludf.DUMMYFUNCTION("""COMPUTED_VALUE"""),"Mr tdahzinho🧠")</f>
        <v>Mr tdahzinho🧠</v>
      </c>
      <c r="D87" s="5" t="str">
        <f>IFERROR(__xludf.DUMMYFUNCTION("""COMPUTED_VALUE"""),"Se identifica?🫣 🚨Obs: Esse vídeo não serve como diagnóstico de TDAH, se desconfia, procure um profissional de saúde mental para investigar os sintomas. #tdah #tdahadulto #psicologia #tdahdescomplicado #disforiasensivelarejeicao #neurodivergente #transto"&amp;"rnododeficitdeatencao #cafecomtdahsincerao #creatorsearchinsights ")</f>
        <v>Se identifica?🫣 🚨Obs: Esse vídeo não serve como diagnóstico de TDAH, se desconfia, procure um profissional de saúde mental para investigar os sintomas. #tdah #tdahadulto #psicologia #tdahdescomplicado #disforiasensivelarejeicao #neurodivergente #transtornododeficitdeatencao #cafecomtdahsincerao #creatorsearchinsights </v>
      </c>
      <c r="E87" s="5" t="str">
        <f>IFERROR(__xludf.DUMMYFUNCTION("""COMPUTED_VALUE"""),"tdah,tdahadulto,psicologia,tdahdescomplicado,disforiasensivelarejeicao,neurodivergente,transtornododeficitdeatencao,cafecomtdahsincerao,creatorsearchinsights")</f>
        <v>tdah,tdahadulto,psicologia,tdahdescomplicado,disforiasensivelarejeicao,neurodivergente,transtornododeficitdeatencao,cafecomtdahsincerao,creatorsearchinsights</v>
      </c>
      <c r="G87" s="6">
        <f>IFERROR(__xludf.DUMMYFUNCTION("IF(
  TRIM(E87)="""",
  0,
  COUNTA(
    SPLIT(
      REGEXREPLACE(E87,""\s*,\s*"","",""),
      "",""
    )
  )
)"),9.0)</f>
        <v>9</v>
      </c>
    </row>
    <row r="88">
      <c r="A88" s="5" t="str">
        <f>IFERROR(__xludf.DUMMYFUNCTION("""COMPUTED_VALUE"""),"7527809174118386949")</f>
        <v>7527809174118386949</v>
      </c>
      <c r="B88" s="5" t="str">
        <f>IFERROR(__xludf.DUMMYFUNCTION("""COMPUTED_VALUE"""),"tdah.na.real")</f>
        <v>tdah.na.real</v>
      </c>
      <c r="C88" s="5" t="str">
        <f>IFERROR(__xludf.DUMMYFUNCTION("""COMPUTED_VALUE"""),"TDAH na real")</f>
        <v>TDAH na real</v>
      </c>
      <c r="D88" s="5" t="str">
        <f>IFERROR(__xludf.DUMMYFUNCTION("""COMPUTED_VALUE"""),"TDAH não é brincadeira! Preparamos um ebook com todo carinho para você, clique no link da bio e adquira o seu! Os créditos deste vídeo vão para @portaldrauziovarella    #TDAHnaInfância #TDAHReal #MeuFilhoTemTDAH #MãeDeTDAH #CriançaComTDAH #Neurodivergente"&amp;" #RotinaComTDAH #VidaComTDAH #EntendaOTDAH #tdahnãoéfrescura")</f>
        <v>TDAH não é brincadeira! Preparamos um ebook com todo carinho para você, clique no link da bio e adquira o seu! Os créditos deste vídeo vão para @portaldrauziovarella    #TDAHnaInfância #TDAHReal #MeuFilhoTemTDAH #MãeDeTDAH #CriançaComTDAH #Neurodivergente #RotinaComTDAH #VidaComTDAH #EntendaOTDAH #tdahnãoéfrescura</v>
      </c>
      <c r="E88" s="5"/>
      <c r="G88" s="6">
        <f>IFERROR(__xludf.DUMMYFUNCTION("IF(
  TRIM(E88)="""",
  0,
  COUNTA(
    SPLIT(
      REGEXREPLACE(E88,""\s*,\s*"","",""),
      "",""
    )
  )
)"),0.0)</f>
        <v>0</v>
      </c>
    </row>
    <row r="89">
      <c r="A89" s="5" t="str">
        <f>IFERROR(__xludf.DUMMYFUNCTION("""COMPUTED_VALUE"""),"7511523125704658181")</f>
        <v>7511523125704658181</v>
      </c>
      <c r="B89" s="5" t="str">
        <f>IFERROR(__xludf.DUMMYFUNCTION("""COMPUTED_VALUE"""),"igorpsicologo")</f>
        <v>igorpsicologo</v>
      </c>
      <c r="C89" s="5" t="str">
        <f>IFERROR(__xludf.DUMMYFUNCTION("""COMPUTED_VALUE"""),"Psicólogo Igor")</f>
        <v>Psicólogo Igor</v>
      </c>
      <c r="D89" s="5" t="str">
        <f>IFERROR(__xludf.DUMMYFUNCTION("""COMPUTED_VALUE"""),"#tdah #saudemental #psicologia #psicoterapia #psicologoonline #fyp #foryou #foryoupage #viralizou")</f>
        <v>#tdah #saudemental #psicologia #psicoterapia #psicologoonline #fyp #foryou #foryoupage #viralizou</v>
      </c>
      <c r="E89" s="5" t="str">
        <f>IFERROR(__xludf.DUMMYFUNCTION("""COMPUTED_VALUE"""),"tdah,saudemental,psicologia,psicoterapia,psicologoonline,fyp,foryou,foryoupage,viralizou")</f>
        <v>tdah,saudemental,psicologia,psicoterapia,psicologoonline,fyp,foryou,foryoupage,viralizou</v>
      </c>
      <c r="G89" s="6">
        <f>IFERROR(__xludf.DUMMYFUNCTION("IF(
  TRIM(E89)="""",
  0,
  COUNTA(
    SPLIT(
      REGEXREPLACE(E89,""\s*,\s*"","",""),
      "",""
    )
  )
)"),9.0)</f>
        <v>9</v>
      </c>
    </row>
    <row r="90">
      <c r="A90" s="5" t="str">
        <f>IFERROR(__xludf.DUMMYFUNCTION("""COMPUTED_VALUE"""),"7254292365467323653")</f>
        <v>7254292365467323653</v>
      </c>
      <c r="B90" s="5" t="str">
        <f>IFERROR(__xludf.DUMMYFUNCTION("""COMPUTED_VALUE"""),"psicologo.mateus")</f>
        <v>psicologo.mateus</v>
      </c>
      <c r="C90" s="5" t="str">
        <f>IFERROR(__xludf.DUMMYFUNCTION("""COMPUTED_VALUE"""),"Psicólogo Mateus")</f>
        <v>Psicólogo Mateus</v>
      </c>
      <c r="D90" s="5" t="str">
        <f>IFERROR(__xludf.DUMMYFUNCTION("""COMPUTED_VALUE"""),"Essa situação ilustra a dificuldade de manter o foco e a tendência de ser facilmente distraído. A mente de uma pessoa com TDAH é como um labirinto, cheia de caminhos que se bifurcam e levam a diferentes pensamentos e preocupações. Essa falta de estabilida"&amp;"de e concentração pode tornar tarefas simples em empreendimentos desafiadores. No entanto, é importante ressaltar que viver com TDAH não é uma sentença de fracasso. Embora haja obstáculos a serem superados, as pessoas com TDAH também têm habilidades única"&amp;"s e características positivas. Elas podem ser criativas, hiperfocadas em áreas de interesse, ter uma mente ágil e serem pensadores originais. Com o suporte adequado, como terapias comportamentais, estratégias de gerenciamento de tempo e medicamentos, é po"&amp;"ssível minimizar os impactos negativos do TDAH e potencializar as habilidades positivas. É fundamental que as pessoas com TDAH sejam compreendidas, apoiadas e tenham acesso aos recursos necessários para lidar com os desafios diários. Viver com TDAH pode s"&amp;"er como navegar em águas agitadas, mas com a compreensão e o apoio adequados, aqueles que têm esse transtorno podem aprender a lidar com suas particularidades e aproveitar ao máximo seus talentos e potenciais. Ib: di_rangster #terapia #psicologo #psicolog"&amp;"ia #terapiacognitivo #saudemental #tdah #tdahadulto #tdahinfantil #tdahdescomplicado #tdahadultos #tdahcomamor ")</f>
        <v>Essa situação ilustra a dificuldade de manter o foco e a tendência de ser facilmente distraído. A mente de uma pessoa com TDAH é como um labirinto, cheia de caminhos que se bifurcam e levam a diferentes pensamentos e preocupações. Essa falta de estabilidade e concentração pode tornar tarefas simples em empreendimentos desafiadores. No entanto, é importante ressaltar que viver com TDAH não é uma sentença de fracasso. Embora haja obstáculos a serem superados, as pessoas com TDAH também têm habilidades únicas e características positivas. Elas podem ser criativas, hiperfocadas em áreas de interesse, ter uma mente ágil e serem pensadores originais. Com o suporte adequado, como terapias comportamentais, estratégias de gerenciamento de tempo e medicamentos, é possível minimizar os impactos negativos do TDAH e potencializar as habilidades positivas. É fundamental que as pessoas com TDAH sejam compreendidas, apoiadas e tenham acesso aos recursos necessários para lidar com os desafios diários. Viver com TDAH pode ser como navegar em águas agitadas, mas com a compreensão e o apoio adequados, aqueles que têm esse transtorno podem aprender a lidar com suas particularidades e aproveitar ao máximo seus talentos e potenciais. Ib: di_rangster #terapia #psicologo #psicologia #terapiacognitivo #saudemental #tdah #tdahadulto #tdahinfantil #tdahdescomplicado #tdahadultos #tdahcomamor </v>
      </c>
      <c r="E90" s="5" t="str">
        <f>IFERROR(__xludf.DUMMYFUNCTION("""COMPUTED_VALUE"""),"terapia,psicologo,psicologia,terapiacognitivo,saudemental,tdah,tdahadulto,tdahinfantil,tdahdescomplicado,tdahadultos,tdahcomamor")</f>
        <v>terapia,psicologo,psicologia,terapiacognitivo,saudemental,tdah,tdahadulto,tdahinfantil,tdahdescomplicado,tdahadultos,tdahcomamor</v>
      </c>
      <c r="G90" s="6">
        <f>IFERROR(__xludf.DUMMYFUNCTION("IF(
  TRIM(E90)="""",
  0,
  COUNTA(
    SPLIT(
      REGEXREPLACE(E90,""\s*,\s*"","",""),
      "",""
    )
  )
)"),11.0)</f>
        <v>11</v>
      </c>
    </row>
    <row r="91">
      <c r="A91" s="5" t="str">
        <f>IFERROR(__xludf.DUMMYFUNCTION("""COMPUTED_VALUE"""),"7475150776483024134")</f>
        <v>7475150776483024134</v>
      </c>
      <c r="B91" s="5" t="str">
        <f>IFERROR(__xludf.DUMMYFUNCTION("""COMPUTED_VALUE"""),"igorpsicologo")</f>
        <v>igorpsicologo</v>
      </c>
      <c r="C91" s="5" t="str">
        <f>IFERROR(__xludf.DUMMYFUNCTION("""COMPUTED_VALUE"""),"Psicólogo Igor")</f>
        <v>Psicólogo Igor</v>
      </c>
      <c r="D91" s="5" t="str">
        <f>IFERROR(__xludf.DUMMYFUNCTION("""COMPUTED_VALUE"""),"#saudemental #tdah #psicologia #psicoterapia #psicologoonline #emocoes #fyp #foryou #foryoupage #viralizou")</f>
        <v>#saudemental #tdah #psicologia #psicoterapia #psicologoonline #emocoes #fyp #foryou #foryoupage #viralizou</v>
      </c>
      <c r="E91" s="5" t="str">
        <f>IFERROR(__xludf.DUMMYFUNCTION("""COMPUTED_VALUE"""),"saudemental,tdah,psicologia,psicoterapia,psicologoonline,emocoes,fyp,foryou,foryoupage,viralizou")</f>
        <v>saudemental,tdah,psicologia,psicoterapia,psicologoonline,emocoes,fyp,foryou,foryoupage,viralizou</v>
      </c>
      <c r="G91" s="6">
        <f>IFERROR(__xludf.DUMMYFUNCTION("IF(
  TRIM(E91)="""",
  0,
  COUNTA(
    SPLIT(
      REGEXREPLACE(E91,""\s*,\s*"","",""),
      "",""
    )
  )
)"),10.0)</f>
        <v>10</v>
      </c>
    </row>
    <row r="92">
      <c r="A92" s="5" t="str">
        <f>IFERROR(__xludf.DUMMYFUNCTION("""COMPUTED_VALUE"""),"7520418190598409478")</f>
        <v>7520418190598409478</v>
      </c>
      <c r="B92" s="5" t="str">
        <f>IFERROR(__xludf.DUMMYFUNCTION("""COMPUTED_VALUE"""),"igorpsicologo")</f>
        <v>igorpsicologo</v>
      </c>
      <c r="C92" s="5" t="str">
        <f>IFERROR(__xludf.DUMMYFUNCTION("""COMPUTED_VALUE"""),"Psicólogo Igor")</f>
        <v>Psicólogo Igor</v>
      </c>
      <c r="D92" s="5" t="str">
        <f>IFERROR(__xludf.DUMMYFUNCTION("""COMPUTED_VALUE"""),"#saudemental #tdah #psicologia #psicoterapia #psicologoonline #emocoes #fyp #fy #foryoupage #viralizou")</f>
        <v>#saudemental #tdah #psicologia #psicoterapia #psicologoonline #emocoes #fyp #fy #foryoupage #viralizou</v>
      </c>
      <c r="E92" s="5" t="str">
        <f>IFERROR(__xludf.DUMMYFUNCTION("""COMPUTED_VALUE"""),"saudemental,tdah,psicologia,psicoterapia,psicologoonline,emocoes,fyp,fy,foryoupage,viralizou")</f>
        <v>saudemental,tdah,psicologia,psicoterapia,psicologoonline,emocoes,fyp,fy,foryoupage,viralizou</v>
      </c>
      <c r="G92" s="6">
        <f>IFERROR(__xludf.DUMMYFUNCTION("IF(
  TRIM(E92)="""",
  0,
  COUNTA(
    SPLIT(
      REGEXREPLACE(E92,""\s*,\s*"","",""),
      "",""
    )
  )
)"),10.0)</f>
        <v>10</v>
      </c>
    </row>
    <row r="93">
      <c r="A93" s="5" t="str">
        <f>IFERROR(__xludf.DUMMYFUNCTION("""COMPUTED_VALUE"""),"7303920572528987397")</f>
        <v>7303920572528987397</v>
      </c>
      <c r="B93" s="5" t="str">
        <f>IFERROR(__xludf.DUMMYFUNCTION("""COMPUTED_VALUE"""),"psicologo.mateus")</f>
        <v>psicologo.mateus</v>
      </c>
      <c r="C93" s="5" t="str">
        <f>IFERROR(__xludf.DUMMYFUNCTION("""COMPUTED_VALUE"""),"Psicólogo Mateus")</f>
        <v>Psicólogo Mateus</v>
      </c>
      <c r="D93" s="5" t="str">
        <f>IFERROR(__xludf.DUMMYFUNCTION("""COMPUTED_VALUE"""),"🧠A paralisia do TDAH pode ser comparada a uma procrastinação intensificada, onde a pessoa se vê envolvida por uma resistência paralisante diante das tarefas cotidianas.  🚫É como se houvesse um bloqueio interno que impede a transformação de intenções em "&amp;"ações concretas. Os pensamentos se acumulam, formando uma barreira que dificulta a execução de até mesmo as tarefas mais simples. 😩Essa sensação de inércia pode gerar frustração e autoquestionamento, aumentando o ciclo de procrastinação.  👨🏻‍⚕️Buscar a"&amp;"juda profissional é crucial nesse cenário. O profissional (psicólogo) pode fornecer ferramentas para superar esse bloqueio, desenvolvendo estratégias adaptativas e promovendo uma abordagem mais eficaz diante dos desafios do dia a dia.  😉Reconhecer a para"&amp;"lisia do TDAH como uma dificuldade real é o primeiro passo em direção a uma vida mais produtiva e satisfatória. 📚 Se você deseja mais informações sobre o TDAH e maneiras de enfrentar esses desafios, recomendo meu curso online, “Manual do Universo TDAH.” "&amp;"Ele oferece uma abordagem abrangente sobre o TDAH, com orientações práticas para lidar com essa condição. 🌐 Para mais informações, clique no link da bio ou acesse: mateuspsicologo.com/tdah ⚠️SIGA @psicologo.mateus PARA MAIS CONTEÚDOS! ⚠️SIGA @psicologo.m"&amp;"ateus PARA MAIS CONTEÚDOS! ⚠️SIGA @psicologo.mateus PARA MAIS CONTEÚDOS! #terapia #psicologo #psicologia #terapiacognitivo #saudemental #tdah #tdahadulto #tdahinfantil #tdahdescomplicado #tdahadultos #tdahcomamor")</f>
        <v>🧠A paralisia do TDAH pode ser comparada a uma procrastinação intensificada, onde a pessoa se vê envolvida por uma resistência paralisante diante das tarefas cotidianas.  🚫É como se houvesse um bloqueio interno que impede a transformação de intenções em ações concretas. Os pensamentos se acumulam, formando uma barreira que dificulta a execução de até mesmo as tarefas mais simples. 😩Essa sensação de inércia pode gerar frustração e autoquestionamento, aumentando o ciclo de procrastinação.  👨🏻‍⚕️Buscar ajuda profissional é crucial nesse cenário. O profissional (psicólogo) pode fornecer ferramentas para superar esse bloqueio, desenvolvendo estratégias adaptativas e promovendo uma abordagem mais eficaz diante dos desafios do dia a dia.  😉Reconhecer a paralisia do TDAH como uma dificuldade real é o primeiro passo em direção a uma vida mais produtiva e satisfatória. 📚 Se você deseja mais informações sobre o TDAH e maneiras de enfrentar esses desafios, recomendo meu curso online, “Manual do Universo TDAH.” Ele oferece uma abordagem abrangente sobre o TDAH, com orientações práticas para lidar com essa condição. 🌐 Para mais informações, clique no link da bio ou acesse: mateuspsicologo.com/tdah ⚠️SIGA @psicologo.mateus PARA MAIS CONTEÚDOS! ⚠️SIGA @psicologo.mateus PARA MAIS CONTEÚDOS! ⚠️SIGA @psicologo.mateus PARA MAIS CONTEÚDOS! #terapia #psicologo #psicologia #terapiacognitivo #saudemental #tdah #tdahadulto #tdahinfantil #tdahdescomplicado #tdahadultos #tdahcomamor</v>
      </c>
      <c r="E93" s="5" t="str">
        <f>IFERROR(__xludf.DUMMYFUNCTION("""COMPUTED_VALUE"""),"terapia,psicologo,psicologia,terapiacognitivo,saudemental,tdah,tdahadulto,tdahinfantil,tdahdescomplicado,tdahadultos,tdahcomamor")</f>
        <v>terapia,psicologo,psicologia,terapiacognitivo,saudemental,tdah,tdahadulto,tdahinfantil,tdahdescomplicado,tdahadultos,tdahcomamor</v>
      </c>
      <c r="G93" s="6">
        <f>IFERROR(__xludf.DUMMYFUNCTION("IF(
  TRIM(E93)="""",
  0,
  COUNTA(
    SPLIT(
      REGEXREPLACE(E93,""\s*,\s*"","",""),
      "",""
    )
  )
)"),11.0)</f>
        <v>11</v>
      </c>
    </row>
    <row r="94">
      <c r="A94" s="5" t="str">
        <f>IFERROR(__xludf.DUMMYFUNCTION("""COMPUTED_VALUE"""),"7487402562518371639")</f>
        <v>7487402562518371639</v>
      </c>
      <c r="B94" s="5" t="str">
        <f>IFERROR(__xludf.DUMMYFUNCTION("""COMPUTED_VALUE"""),"liberdade.mentall")</f>
        <v>liberdade.mentall</v>
      </c>
      <c r="C94" s="5" t="str">
        <f>IFERROR(__xludf.DUMMYFUNCTION("""COMPUTED_VALUE"""),"Liberdade Mental 🧠💫")</f>
        <v>Liberdade Mental 🧠💫</v>
      </c>
      <c r="D94" s="5" t="str">
        <f>IFERROR(__xludf.DUMMYFUNCTION("""COMPUTED_VALUE"""),"Isso é TDAH... Você ama, mas machuca. E nem percebe o tamanho do estrago que tá fazendo. Você diz que sente muito, que vai mudar, que vai tentar… Mas no fundo, nem sabe por onde começar. Porque o problema não é só você. É o TDAH. Agindo em silêncio, ferra"&amp;"ndo sua cabeça e destruindo quem tá do seu lado. Se você leu isso e sentiu que sou eu te descrevendo, é porque já passou da hora de mudar. O TDAH não tratado não destrói só a sua vida. Ele destrói quem te ama também. #tdah #oqueetdah #sintomasdotdah ")</f>
        <v>Isso é TDAH... Você ama, mas machuca. E nem percebe o tamanho do estrago que tá fazendo. Você diz que sente muito, que vai mudar, que vai tentar… Mas no fundo, nem sabe por onde começar. Porque o problema não é só você. É o TDAH. Agindo em silêncio, ferrando sua cabeça e destruindo quem tá do seu lado. Se você leu isso e sentiu que sou eu te descrevendo, é porque já passou da hora de mudar. O TDAH não tratado não destrói só a sua vida. Ele destrói quem te ama também. #tdah #oqueetdah #sintomasdotdah </v>
      </c>
      <c r="E94" s="5" t="str">
        <f>IFERROR(__xludf.DUMMYFUNCTION("""COMPUTED_VALUE"""),"tdah,oqueetdah,sintomasdotdah")</f>
        <v>tdah,oqueetdah,sintomasdotdah</v>
      </c>
      <c r="G94" s="6">
        <f>IFERROR(__xludf.DUMMYFUNCTION("IF(
  TRIM(E94)="""",
  0,
  COUNTA(
    SPLIT(
      REGEXREPLACE(E94,""\s*,\s*"","",""),
      "",""
    )
  )
)"),3.0)</f>
        <v>3</v>
      </c>
    </row>
    <row r="95">
      <c r="A95" s="5" t="str">
        <f>IFERROR(__xludf.DUMMYFUNCTION("""COMPUTED_VALUE"""),"7220801815019851013")</f>
        <v>7220801815019851013</v>
      </c>
      <c r="B95" s="5" t="str">
        <f>IFERROR(__xludf.DUMMYFUNCTION("""COMPUTED_VALUE"""),"lorenatdahta")</f>
        <v>lorenatdahta</v>
      </c>
      <c r="C95" s="5" t="str">
        <f>IFERROR(__xludf.DUMMYFUNCTION("""COMPUTED_VALUE"""),"Lorena TDAHTA")</f>
        <v>Lorena TDAHTA</v>
      </c>
      <c r="D95" s="5" t="str">
        <f>IFERROR(__xludf.DUMMYFUNCTION("""COMPUTED_VALUE"""),"E o especialista que trouxemos hoje, é o querido Dr. Drauzio Varella. Médico e conhecido por popularizar a informação médica no Brasil. Em relação ao TDAH, não poderia ser diferente, onde o mesmo trouxe o assunto até mesmo na TV aberta, nos últimos anos. "&amp;"#oqueétdah #tdahadulto #drauziovarella #drauzioresponde ")</f>
        <v>E o especialista que trouxemos hoje, é o querido Dr. Drauzio Varella. Médico e conhecido por popularizar a informação médica no Brasil. Em relação ao TDAH, não poderia ser diferente, onde o mesmo trouxe o assunto até mesmo na TV aberta, nos últimos anos. #oqueétdah #tdahadulto #drauziovarella #drauzioresponde </v>
      </c>
      <c r="E95" s="5" t="str">
        <f>IFERROR(__xludf.DUMMYFUNCTION("""COMPUTED_VALUE"""),"oqueétdah,tdahadulto,drauziovarella,drauzioresponde")</f>
        <v>oqueétdah,tdahadulto,drauziovarella,drauzioresponde</v>
      </c>
      <c r="G95" s="6">
        <f>IFERROR(__xludf.DUMMYFUNCTION("IF(
  TRIM(E95)="""",
  0,
  COUNTA(
    SPLIT(
      REGEXREPLACE(E95,""\s*,\s*"","",""),
      "",""
    )
  )
)"),4.0)</f>
        <v>4</v>
      </c>
    </row>
    <row r="96">
      <c r="A96" s="5" t="str">
        <f>IFERROR(__xludf.DUMMYFUNCTION("""COMPUTED_VALUE"""),"7476966422241922359")</f>
        <v>7476966422241922359</v>
      </c>
      <c r="B96" s="5" t="str">
        <f>IFERROR(__xludf.DUMMYFUNCTION("""COMPUTED_VALUE"""),"visaopsicologiaof")</f>
        <v>visaopsicologiaof</v>
      </c>
      <c r="C96" s="5" t="str">
        <f>IFERROR(__xludf.DUMMYFUNCTION("""COMPUTED_VALUE"""),"Visão Sabedoria")</f>
        <v>Visão Sabedoria</v>
      </c>
      <c r="D96" s="5" t="str">
        <f>IFERROR(__xludf.DUMMYFUNCTION("""COMPUTED_VALUE"""),"Todo tdah tem ansiedade #ansiedade #tdah #psicologia #terapia")</f>
        <v>Todo tdah tem ansiedade #ansiedade #tdah #psicologia #terapia</v>
      </c>
      <c r="E96" s="5" t="str">
        <f>IFERROR(__xludf.DUMMYFUNCTION("""COMPUTED_VALUE"""),"ansiedade,tdah,psicologia,terapia")</f>
        <v>ansiedade,tdah,psicologia,terapia</v>
      </c>
      <c r="G96" s="6">
        <f>IFERROR(__xludf.DUMMYFUNCTION("IF(
  TRIM(E96)="""",
  0,
  COUNTA(
    SPLIT(
      REGEXREPLACE(E96,""\s*,\s*"","",""),
      "",""
    )
  )
)"),4.0)</f>
        <v>4</v>
      </c>
    </row>
    <row r="97">
      <c r="A97" s="5" t="str">
        <f>IFERROR(__xludf.DUMMYFUNCTION("""COMPUTED_VALUE"""),"7416320171314269446")</f>
        <v>7416320171314269446</v>
      </c>
      <c r="B97" s="5" t="str">
        <f>IFERROR(__xludf.DUMMYFUNCTION("""COMPUTED_VALUE"""),"veigasaymon")</f>
        <v>veigasaymon</v>
      </c>
      <c r="C97" s="5" t="str">
        <f>IFERROR(__xludf.DUMMYFUNCTION("""COMPUTED_VALUE"""),"veigasaymon")</f>
        <v>veigasaymon</v>
      </c>
      <c r="D97" s="5" t="str">
        <f>IFERROR(__xludf.DUMMYFUNCTION("""COMPUTED_VALUE"""),"‼️NINGUÉM QUER SABER‼️#tdah #tdahadulto #tdahmemes #depressão #videos #viraltiktok #psicologia #psicologia #psiquiatria #ansiedade #bipolaridade #transtornobipolar #saudemental #venvanse #ritalina #produtividade #inconstancia")</f>
        <v>‼️NINGUÉM QUER SABER‼️#tdah #tdahadulto #tdahmemes #depressão #videos #viraltiktok #psicologia #psicologia #psiquiatria #ansiedade #bipolaridade #transtornobipolar #saudemental #venvanse #ritalina #produtividade #inconstancia</v>
      </c>
      <c r="E97" s="5" t="str">
        <f>IFERROR(__xludf.DUMMYFUNCTION("""COMPUTED_VALUE"""),"tdah,tdahadulto,tdahmemes,depressão,videos,viraltiktok,psicologia,psicologia,psiquiatria,ansiedade,bipolaridade,transtornobipolar,saudemental,venvanse,ritalina,produtividade,inconstancia")</f>
        <v>tdah,tdahadulto,tdahmemes,depressão,videos,viraltiktok,psicologia,psicologia,psiquiatria,ansiedade,bipolaridade,transtornobipolar,saudemental,venvanse,ritalina,produtividade,inconstancia</v>
      </c>
      <c r="G97" s="6">
        <f>IFERROR(__xludf.DUMMYFUNCTION("IF(
  TRIM(E97)="""",
  0,
  COUNTA(
    SPLIT(
      REGEXREPLACE(E97,""\s*,\s*"","",""),
      "",""
    )
  )
)"),17.0)</f>
        <v>17</v>
      </c>
    </row>
    <row r="98">
      <c r="A98" s="5" t="str">
        <f>IFERROR(__xludf.DUMMYFUNCTION("""COMPUTED_VALUE"""),"7409053001735818502")</f>
        <v>7409053001735818502</v>
      </c>
      <c r="B98" s="5" t="str">
        <f>IFERROR(__xludf.DUMMYFUNCTION("""COMPUTED_VALUE"""),"ritajorge59")</f>
        <v>ritajorge59</v>
      </c>
      <c r="C98" s="5" t="str">
        <f>IFERROR(__xludf.DUMMYFUNCTION("""COMPUTED_VALUE"""),"Rita Jorge - Bote Salva Vidas")</f>
        <v>Rita Jorge - Bote Salva Vidas</v>
      </c>
      <c r="D98" s="5" t="str">
        <f>IFERROR(__xludf.DUMMYFUNCTION("""COMPUTED_VALUE"""),"Sintoma do TDAH pouco falado:  Desregulação Emocional Rita Jorge, Médica, Psiquiatra, CRM 88.994, RQE 26.859 #psiquiatrasp #psiquiatriasp #consultaonline #tdah #tdahadulto ")</f>
        <v>Sintoma do TDAH pouco falado:  Desregulação Emocional Rita Jorge, Médica, Psiquiatra, CRM 88.994, RQE 26.859 #psiquiatrasp #psiquiatriasp #consultaonline #tdah #tdahadulto </v>
      </c>
      <c r="E98" s="5" t="str">
        <f>IFERROR(__xludf.DUMMYFUNCTION("""COMPUTED_VALUE"""),"psiquiatrasp,psiquiatriasp,consultaonline,tdah,tdahadulto")</f>
        <v>psiquiatrasp,psiquiatriasp,consultaonline,tdah,tdahadulto</v>
      </c>
      <c r="G98" s="6">
        <f>IFERROR(__xludf.DUMMYFUNCTION("IF(
  TRIM(E98)="""",
  0,
  COUNTA(
    SPLIT(
      REGEXREPLACE(E98,""\s*,\s*"","",""),
      "",""
    )
  )
)"),5.0)</f>
        <v>5</v>
      </c>
    </row>
    <row r="99">
      <c r="A99" s="5" t="str">
        <f>IFERROR(__xludf.DUMMYFUNCTION("""COMPUTED_VALUE"""),"7488864265013579014")</f>
        <v>7488864265013579014</v>
      </c>
      <c r="B99" s="5" t="str">
        <f>IFERROR(__xludf.DUMMYFUNCTION("""COMPUTED_VALUE"""),"liberdade.mentall")</f>
        <v>liberdade.mentall</v>
      </c>
      <c r="C99" s="5" t="str">
        <f>IFERROR(__xludf.DUMMYFUNCTION("""COMPUTED_VALUE"""),"Liberdade Mental 🧠💫")</f>
        <v>Liberdade Mental 🧠💫</v>
      </c>
      <c r="D99" s="5" t="str">
        <f>IFERROR(__xludf.DUMMYFUNCTION("""COMPUTED_VALUE"""),"Você cresce achando que é burro. Que é preguiçoso. Que é desorganizado. Porque ninguém nunca te explicou o que tava acontecendo com a sua cabeça. Só te cobraram. Só te corrigiram. Só te compararam. Você viveu a infância tentando se encaixar. Mas sempre er"&amp;"a “o diferente”. O bagunceiro. O distraído. O que esquecia tudo. E ouviu isso tanto… que acreditou. E carregou essa culpa até a vida adulta. Você virou o adolescente perdido. O que não se concentrava na escola. O que vivia no mundo da lua. O que prometia "&amp;"que ia mudar… e nunca mudava. Porque ninguém via que o problema era neurológico. Não era falta de esforço. Era TDAH. E aí veio a fase adulta. E tudo piorou. Relacionamentos destruídos, dívidas, impulsividade, explosões de raiva, vidas inacabadas, sonhos i"&amp;"nterrompidos. E o mundo dizendo: “cresce, cara”. Mas como crescer se você passou a vida inteira lutando contra um inimigo invisível? Você se transformou em alguém frustrado, travado, culpado. Que sorri por fora, mas se odeia por dentro. Que ainda tenta… m"&amp;"as não sabe mais nem por onde recomeçar. Porque ninguém nunca te deu o diagnóstico. Ninguém nunca te mostrou o que você realmente tinha. E hoje você acha que é o problema. Mas você não é o problema. Você é só mais uma pessoa que cresceu com TDAH… E foi de"&amp;"ixada pra trás. #tdah #oqueetdah #sintomasdotdah ")</f>
        <v>Você cresce achando que é burro. Que é preguiçoso. Que é desorganizado. Porque ninguém nunca te explicou o que tava acontecendo com a sua cabeça. Só te cobraram. Só te corrigiram. Só te compararam. Você viveu a infância tentando se encaixar. Mas sempre era “o diferente”. O bagunceiro. O distraído. O que esquecia tudo. E ouviu isso tanto… que acreditou. E carregou essa culpa até a vida adulta. Você virou o adolescente perdido. O que não se concentrava na escola. O que vivia no mundo da lua. O que prometia que ia mudar… e nunca mudava. Porque ninguém via que o problema era neurológico. Não era falta de esforço. Era TDAH. E aí veio a fase adulta. E tudo piorou. Relacionamentos destruídos, dívidas, impulsividade, explosões de raiva, vidas inacabadas, sonhos interrompidos. E o mundo dizendo: “cresce, cara”. Mas como crescer se você passou a vida inteira lutando contra um inimigo invisível? Você se transformou em alguém frustrado, travado, culpado. Que sorri por fora, mas se odeia por dentro. Que ainda tenta… mas não sabe mais nem por onde recomeçar. Porque ninguém nunca te deu o diagnóstico. Ninguém nunca te mostrou o que você realmente tinha. E hoje você acha que é o problema. Mas você não é o problema. Você é só mais uma pessoa que cresceu com TDAH… E foi deixada pra trás. #tdah #oqueetdah #sintomasdotdah </v>
      </c>
      <c r="E99" s="5" t="str">
        <f>IFERROR(__xludf.DUMMYFUNCTION("""COMPUTED_VALUE"""),"tdah,oqueetdah,sintomasdotdah")</f>
        <v>tdah,oqueetdah,sintomasdotdah</v>
      </c>
      <c r="G99" s="6">
        <f>IFERROR(__xludf.DUMMYFUNCTION("IF(
  TRIM(E99)="""",
  0,
  COUNTA(
    SPLIT(
      REGEXREPLACE(E99,""\s*,\s*"","",""),
      "",""
    )
  )
)"),3.0)</f>
        <v>3</v>
      </c>
    </row>
    <row r="100">
      <c r="A100" s="5" t="str">
        <f>IFERROR(__xludf.DUMMYFUNCTION("""COMPUTED_VALUE"""),"7509499852422647045")</f>
        <v>7509499852422647045</v>
      </c>
      <c r="B100" s="5" t="str">
        <f>IFERROR(__xludf.DUMMYFUNCTION("""COMPUTED_VALUE"""),"psi.jonathanorlandi")</f>
        <v>psi.jonathanorlandi</v>
      </c>
      <c r="C100" s="5" t="str">
        <f>IFERROR(__xludf.DUMMYFUNCTION("""COMPUTED_VALUE"""),"Jonathan. O psicólogo sincero")</f>
        <v>Jonathan. O psicólogo sincero</v>
      </c>
      <c r="D100" s="5" t="str">
        <f>IFERROR(__xludf.DUMMYFUNCTION("""COMPUTED_VALUE"""),"Se relacionar com um TDAH pode ser irritante. A gente fala demais, esquece o que você acabou de dizer e muda de ideia a cada 5 minutos. Mas também é incrível. A gente sente tudo com intensidade. Ama com entrega. Vive com verdade. Com a gente, nunca falta "&amp;"emoção — e nem afeto. É caos… mas é um caos com coração. 🧠❤️ #tdah #relacionamento #intensidade #distraidosvenceremos #tdahadulto #neurodivergente #psicologia")</f>
        <v>Se relacionar com um TDAH pode ser irritante. A gente fala demais, esquece o que você acabou de dizer e muda de ideia a cada 5 minutos. Mas também é incrível. A gente sente tudo com intensidade. Ama com entrega. Vive com verdade. Com a gente, nunca falta emoção — e nem afeto. É caos… mas é um caos com coração. 🧠❤️ #tdah #relacionamento #intensidade #distraidosvenceremos #tdahadulto #neurodivergente #psicologia</v>
      </c>
      <c r="E100" s="5" t="str">
        <f>IFERROR(__xludf.DUMMYFUNCTION("""COMPUTED_VALUE"""),"tdah,relacionamento,intensidade,distraidosvenceremos,tdahadulto,neurodivergente,psicologia")</f>
        <v>tdah,relacionamento,intensidade,distraidosvenceremos,tdahadulto,neurodivergente,psicologia</v>
      </c>
      <c r="G100" s="6">
        <f>IFERROR(__xludf.DUMMYFUNCTION("IF(
  TRIM(E100)="""",
  0,
  COUNTA(
    SPLIT(
      REGEXREPLACE(E100,""\s*,\s*"","",""),
      "",""
    )
  )
)"),7.0)</f>
        <v>7</v>
      </c>
    </row>
    <row r="101">
      <c r="A101" s="5" t="str">
        <f>IFERROR(__xludf.DUMMYFUNCTION("""COMPUTED_VALUE"""),"7397855879304842501")</f>
        <v>7397855879304842501</v>
      </c>
      <c r="B101" s="5" t="str">
        <f>IFERROR(__xludf.DUMMYFUNCTION("""COMPUTED_VALUE"""),"luizaapsicologa")</f>
        <v>luizaapsicologa</v>
      </c>
      <c r="C101" s="5" t="str">
        <f>IFERROR(__xludf.DUMMYFUNCTION("""COMPUTED_VALUE"""),"luizarbalbino")</f>
        <v>luizarbalbino</v>
      </c>
      <c r="D101" s="5" t="str">
        <f>IFERROR(__xludf.DUMMYFUNCTION("""COMPUTED_VALUE"""),"Fatos de alguém que recebeu o diagnóstico tardio. 😂🙌🏼 #tdah #diagnosticotardio #ansiedade #psicologia #fatos #neurodivergente #neurodesenvolvimento #autoconhecimento #aba")</f>
        <v>Fatos de alguém que recebeu o diagnóstico tardio. 😂🙌🏼 #tdah #diagnosticotardio #ansiedade #psicologia #fatos #neurodivergente #neurodesenvolvimento #autoconhecimento #aba</v>
      </c>
      <c r="E101" s="5" t="str">
        <f>IFERROR(__xludf.DUMMYFUNCTION("""COMPUTED_VALUE"""),"tdah,diagnosticotardio,ansiedade,psicologia,fatos,neurodivergente,neurodesenvolvimento,autoconhecimento,aba")</f>
        <v>tdah,diagnosticotardio,ansiedade,psicologia,fatos,neurodivergente,neurodesenvolvimento,autoconhecimento,aba</v>
      </c>
      <c r="G101" s="6">
        <f>IFERROR(__xludf.DUMMYFUNCTION("IF(
  TRIM(E101)="""",
  0,
  COUNTA(
    SPLIT(
      REGEXREPLACE(E101,""\s*,\s*"","",""),
      "",""
    )
  )
)"),9.0)</f>
        <v>9</v>
      </c>
    </row>
    <row r="102">
      <c r="A102" s="5" t="str">
        <f>IFERROR(__xludf.DUMMYFUNCTION("""COMPUTED_VALUE"""),"7396075071866965253")</f>
        <v>7396075071866965253</v>
      </c>
      <c r="B102" s="5" t="str">
        <f>IFERROR(__xludf.DUMMYFUNCTION("""COMPUTED_VALUE"""),"claralisle")</f>
        <v>claralisle</v>
      </c>
      <c r="C102" s="5" t="str">
        <f>IFERROR(__xludf.DUMMYFUNCTION("""COMPUTED_VALUE"""),"Clara Lisle")</f>
        <v>Clara Lisle</v>
      </c>
      <c r="D102" s="5" t="str">
        <f>IFERROR(__xludf.DUMMYFUNCTION("""COMPUTED_VALUE"""),"Voce tem memoria seletiva?? #tdah #tdahadulto #tdahtiktok #terapeuta")</f>
        <v>Voce tem memoria seletiva?? #tdah #tdahadulto #tdahtiktok #terapeuta</v>
      </c>
      <c r="E102" s="5" t="str">
        <f>IFERROR(__xludf.DUMMYFUNCTION("""COMPUTED_VALUE"""),"tdah,tdahadulto,tdahtiktok,terapeuta")</f>
        <v>tdah,tdahadulto,tdahtiktok,terapeuta</v>
      </c>
      <c r="G102" s="6">
        <f>IFERROR(__xludf.DUMMYFUNCTION("IF(
  TRIM(E102)="""",
  0,
  COUNTA(
    SPLIT(
      REGEXREPLACE(E102,""\s*,\s*"","",""),
      "",""
    )
  )
)"),4.0)</f>
        <v>4</v>
      </c>
    </row>
    <row r="103">
      <c r="A103" s="5" t="str">
        <f>IFERROR(__xludf.DUMMYFUNCTION("""COMPUTED_VALUE"""),"7480721645401869573")</f>
        <v>7480721645401869573</v>
      </c>
      <c r="B103" s="5" t="str">
        <f>IFERROR(__xludf.DUMMYFUNCTION("""COMPUTED_VALUE"""),"igorpsicologo")</f>
        <v>igorpsicologo</v>
      </c>
      <c r="C103" s="5" t="str">
        <f>IFERROR(__xludf.DUMMYFUNCTION("""COMPUTED_VALUE"""),"Psicólogo Igor")</f>
        <v>Psicólogo Igor</v>
      </c>
      <c r="D103" s="5" t="str">
        <f>IFERROR(__xludf.DUMMYFUNCTION("""COMPUTED_VALUE"""),"#saudemental #tdah #psicologia #psicologoonline #psicoterapia #fyp #foryou #foryoupage #viralizou")</f>
        <v>#saudemental #tdah #psicologia #psicologoonline #psicoterapia #fyp #foryou #foryoupage #viralizou</v>
      </c>
      <c r="E103" s="5" t="str">
        <f>IFERROR(__xludf.DUMMYFUNCTION("""COMPUTED_VALUE"""),"saudemental,tdah,psicologia,psicologoonline,psicoterapia,fyp,foryou,foryoupage,viralizou")</f>
        <v>saudemental,tdah,psicologia,psicologoonline,psicoterapia,fyp,foryou,foryoupage,viralizou</v>
      </c>
      <c r="G103" s="6">
        <f>IFERROR(__xludf.DUMMYFUNCTION("IF(
  TRIM(E103)="""",
  0,
  COUNTA(
    SPLIT(
      REGEXREPLACE(E103,""\s*,\s*"","",""),
      "",""
    )
  )
)"),9.0)</f>
        <v>9</v>
      </c>
    </row>
    <row r="104">
      <c r="A104" s="5" t="str">
        <f>IFERROR(__xludf.DUMMYFUNCTION("""COMPUTED_VALUE"""),"7329612907409444102")</f>
        <v>7329612907409444102</v>
      </c>
      <c r="B104" s="5" t="str">
        <f>IFERROR(__xludf.DUMMYFUNCTION("""COMPUTED_VALUE"""),"portaldrauziovarella")</f>
        <v>portaldrauziovarella</v>
      </c>
      <c r="C104" s="5" t="str">
        <f>IFERROR(__xludf.DUMMYFUNCTION("""COMPUTED_VALUE"""),"Portal Drauzio")</f>
        <v>Portal Drauzio</v>
      </c>
      <c r="D104" s="5" t="str">
        <f>IFERROR(__xludf.DUMMYFUNCTION("""COMPUTED_VALUE"""),"Os estigmas também afetam que tem TDAH. Procure ajuda e siga o tratamento. #tdah #autoestima #drauziovarella")</f>
        <v>Os estigmas também afetam que tem TDAH. Procure ajuda e siga o tratamento. #tdah #autoestima #drauziovarella</v>
      </c>
      <c r="E104" s="5" t="str">
        <f>IFERROR(__xludf.DUMMYFUNCTION("""COMPUTED_VALUE"""),"tdah,autoestima,drauziovarella")</f>
        <v>tdah,autoestima,drauziovarella</v>
      </c>
      <c r="G104" s="6">
        <f>IFERROR(__xludf.DUMMYFUNCTION("IF(
  TRIM(E104)="""",
  0,
  COUNTA(
    SPLIT(
      REGEXREPLACE(E104,""\s*,\s*"","",""),
      "",""
    )
  )
)"),3.0)</f>
        <v>3</v>
      </c>
    </row>
    <row r="105">
      <c r="A105" s="5" t="str">
        <f>IFERROR(__xludf.DUMMYFUNCTION("""COMPUTED_VALUE"""),"7479557548773887237")</f>
        <v>7479557548773887237</v>
      </c>
      <c r="B105" s="5" t="str">
        <f>IFERROR(__xludf.DUMMYFUNCTION("""COMPUTED_VALUE"""),"maylahaddad")</f>
        <v>maylahaddad</v>
      </c>
      <c r="C105" s="5" t="str">
        <f>IFERROR(__xludf.DUMMYFUNCTION("""COMPUTED_VALUE"""),"Mayla | DOMINE SUA ANSIEDADE")</f>
        <v>Mayla | DOMINE SUA ANSIEDADE</v>
      </c>
      <c r="D105" s="5" t="str">
        <f>IFERROR(__xludf.DUMMYFUNCTION("""COMPUTED_VALUE"""),"Transtorno de déficit de atenção e hiperatividade. Se identificou? #ansiedade #tdah #videoviral #page #fyyyyyyyyyyyyyyyy #video")</f>
        <v>Transtorno de déficit de atenção e hiperatividade. Se identificou? #ansiedade #tdah #videoviral #page #fyyyyyyyyyyyyyyyy #video</v>
      </c>
      <c r="E105" s="5" t="str">
        <f>IFERROR(__xludf.DUMMYFUNCTION("""COMPUTED_VALUE"""),"ansiedade,tdah,videoviral,page,fyyyyyyyyyyyyyyyy,video")</f>
        <v>ansiedade,tdah,videoviral,page,fyyyyyyyyyyyyyyyy,video</v>
      </c>
      <c r="G105" s="6">
        <f>IFERROR(__xludf.DUMMYFUNCTION("IF(
  TRIM(E105)="""",
  0,
  COUNTA(
    SPLIT(
      REGEXREPLACE(E105,""\s*,\s*"","",""),
      "",""
    )
  )
)"),6.0)</f>
        <v>6</v>
      </c>
    </row>
    <row r="106">
      <c r="A106" s="5" t="str">
        <f>IFERROR(__xludf.DUMMYFUNCTION("""COMPUTED_VALUE"""),"7372576486915575045")</f>
        <v>7372576486915575045</v>
      </c>
      <c r="B106" s="5" t="str">
        <f>IFERROR(__xludf.DUMMYFUNCTION("""COMPUTED_VALUE"""),"pisicopop")</f>
        <v>pisicopop</v>
      </c>
      <c r="C106" s="5" t="str">
        <f>IFERROR(__xludf.DUMMYFUNCTION("""COMPUTED_VALUE"""),"Saúde e ciência")</f>
        <v>Saúde e ciência</v>
      </c>
      <c r="D106" s="5" t="str">
        <f>IFERROR(__xludf.DUMMYFUNCTION("""COMPUTED_VALUE"""),"Porque pessoas com transtornos mentais podem se dar muito bem na vida? #psicologia #tdah #tda #tdahadulto")</f>
        <v>Porque pessoas com transtornos mentais podem se dar muito bem na vida? #psicologia #tdah #tda #tdahadulto</v>
      </c>
      <c r="E106" s="5" t="str">
        <f>IFERROR(__xludf.DUMMYFUNCTION("""COMPUTED_VALUE"""),"psicologia,tdah,tda,tdahadulto")</f>
        <v>psicologia,tdah,tda,tdahadulto</v>
      </c>
      <c r="G106" s="6">
        <f>IFERROR(__xludf.DUMMYFUNCTION("IF(
  TRIM(E106)="""",
  0,
  COUNTA(
    SPLIT(
      REGEXREPLACE(E106,""\s*,\s*"","",""),
      "",""
    )
  )
)"),4.0)</f>
        <v>4</v>
      </c>
    </row>
    <row r="107">
      <c r="A107" s="5" t="str">
        <f>IFERROR(__xludf.DUMMYFUNCTION("""COMPUTED_VALUE"""),"7285110810274286853")</f>
        <v>7285110810274286853</v>
      </c>
      <c r="B107" s="5" t="str">
        <f>IFERROR(__xludf.DUMMYFUNCTION("""COMPUTED_VALUE"""),"lorenatdahta")</f>
        <v>lorenatdahta</v>
      </c>
      <c r="C107" s="5" t="str">
        <f>IFERROR(__xludf.DUMMYFUNCTION("""COMPUTED_VALUE"""),"Lorena TDAHTA")</f>
        <v>Lorena TDAHTA</v>
      </c>
      <c r="D107" s="5" t="str">
        <f>IFERROR(__xludf.DUMMYFUNCTION("""COMPUTED_VALUE"""),"Conhecendo melhor o TDAH. #oqueetdah #tdahinfo #tdahdescomplicado #psiquiatria")</f>
        <v>Conhecendo melhor o TDAH. #oqueetdah #tdahinfo #tdahdescomplicado #psiquiatria</v>
      </c>
      <c r="E107" s="5" t="str">
        <f>IFERROR(__xludf.DUMMYFUNCTION("""COMPUTED_VALUE"""),"oqueetdah,tdahinfo,tdahdescomplicado,psiquiatria")</f>
        <v>oqueetdah,tdahinfo,tdahdescomplicado,psiquiatria</v>
      </c>
      <c r="G107" s="6">
        <f>IFERROR(__xludf.DUMMYFUNCTION("IF(
  TRIM(E107)="""",
  0,
  COUNTA(
    SPLIT(
      REGEXREPLACE(E107,""\s*,\s*"","",""),
      "",""
    )
  )
)"),4.0)</f>
        <v>4</v>
      </c>
    </row>
    <row r="108">
      <c r="A108" s="5" t="str">
        <f>IFERROR(__xludf.DUMMYFUNCTION("""COMPUTED_VALUE"""),"7545135844810657030")</f>
        <v>7545135844810657030</v>
      </c>
      <c r="B108" s="5" t="str">
        <f>IFERROR(__xludf.DUMMYFUNCTION("""COMPUTED_VALUE"""),"tdah.com.amorr")</f>
        <v>tdah.com.amorr</v>
      </c>
      <c r="C108" s="5" t="str">
        <f>IFERROR(__xludf.DUMMYFUNCTION("""COMPUTED_VALUE"""),"TDAH COM AMORR ❤️")</f>
        <v>TDAH COM AMORR ❤️</v>
      </c>
      <c r="D108" s="5" t="str">
        <f>IFERROR(__xludf.DUMMYFUNCTION("""COMPUTED_VALUE"""),"TDAH não sente saudades? Clica no link da Bio e saiba mais. 🧠💙#tdahinfantil #amor #tdahadulto #tdah #brasil")</f>
        <v>TDAH não sente saudades? Clica no link da Bio e saiba mais. 🧠💙#tdahinfantil #amor #tdahadulto #tdah #brasil</v>
      </c>
      <c r="E108" s="5" t="str">
        <f>IFERROR(__xludf.DUMMYFUNCTION("""COMPUTED_VALUE"""),"tdahinfantil,amor,tdahadulto,tdah,brasil")</f>
        <v>tdahinfantil,amor,tdahadulto,tdah,brasil</v>
      </c>
      <c r="G108" s="6">
        <f>IFERROR(__xludf.DUMMYFUNCTION("IF(
  TRIM(E108)="""",
  0,
  COUNTA(
    SPLIT(
      REGEXREPLACE(E108,""\s*,\s*"","",""),
      "",""
    )
  )
)"),5.0)</f>
        <v>5</v>
      </c>
    </row>
    <row r="109">
      <c r="A109" s="5" t="str">
        <f>IFERROR(__xludf.DUMMYFUNCTION("""COMPUTED_VALUE"""),"7361963192874061062")</f>
        <v>7361963192874061062</v>
      </c>
      <c r="B109" s="5" t="str">
        <f>IFERROR(__xludf.DUMMYFUNCTION("""COMPUTED_VALUE"""),"igorpsicologo")</f>
        <v>igorpsicologo</v>
      </c>
      <c r="C109" s="5" t="str">
        <f>IFERROR(__xludf.DUMMYFUNCTION("""COMPUTED_VALUE"""),"Psicólogo Igor")</f>
        <v>Psicólogo Igor</v>
      </c>
      <c r="D109" s="5" t="str">
        <f>IFERROR(__xludf.DUMMYFUNCTION("""COMPUTED_VALUE"""),"#tdah #saudemental #hiperfoco #emocoes #saudemental #hiperatividade #psicologoonline #fyp #foryou #foryoupage")</f>
        <v>#tdah #saudemental #hiperfoco #emocoes #saudemental #hiperatividade #psicologoonline #fyp #foryou #foryoupage</v>
      </c>
      <c r="E109" s="5" t="str">
        <f>IFERROR(__xludf.DUMMYFUNCTION("""COMPUTED_VALUE"""),"tdah,saudemental,hiperfoco,emocoes,saudemental,hiperatividade,psicologoonline,fyp,foryou,foryoupage")</f>
        <v>tdah,saudemental,hiperfoco,emocoes,saudemental,hiperatividade,psicologoonline,fyp,foryou,foryoupage</v>
      </c>
      <c r="G109" s="6">
        <f>IFERROR(__xludf.DUMMYFUNCTION("IF(
  TRIM(E109)="""",
  0,
  COUNTA(
    SPLIT(
      REGEXREPLACE(E109,""\s*,\s*"","",""),
      "",""
    )
  )
)"),10.0)</f>
        <v>10</v>
      </c>
    </row>
    <row r="110">
      <c r="A110" s="5" t="str">
        <f>IFERROR(__xludf.DUMMYFUNCTION("""COMPUTED_VALUE"""),"7472532990564863238")</f>
        <v>7472532990564863238</v>
      </c>
      <c r="B110" s="5" t="str">
        <f>IFERROR(__xludf.DUMMYFUNCTION("""COMPUTED_VALUE"""),"veigasaymon")</f>
        <v>veigasaymon</v>
      </c>
      <c r="C110" s="5" t="str">
        <f>IFERROR(__xludf.DUMMYFUNCTION("""COMPUTED_VALUE"""),"veigasaymon")</f>
        <v>veigasaymon</v>
      </c>
      <c r="D110" s="5" t="str">
        <f>IFERROR(__xludf.DUMMYFUNCTION("""COMPUTED_VALUE"""),"‼️A GENTE SENTE DEMAIS‼️👇🏼 Ter TDAH significa que minhas emoções muitas vezes parecem um carro sem freios. Quando algo me afeta, a intensidade pode ser desproporcional—tanto para o lado bom quanto para o ruim. Se fico animado, posso parecer eufórico; se"&amp;" algo me frustra, a raiva ou a tristeza podem ser avassaladoras. O problema não é só sentir demais, mas a dificuldade em ajustar essas emoções de forma adequada. Eu posso me irritar por algo pequeno e, minutos depois, me perguntar por que fiquei tão abala"&amp;"do. Ou então, posso ter dificuldade em me acalmar depois de uma discussão, mesmo que racionalmente eu saiba que não foi tão grave assim. Também é difícil segurar as emoções no momento certo. Se estou empolgado, posso interromper os outros sem perceber. Se"&amp;" estou triste, posso acabar me fechando totalmente. Isso pode impactar meus relacionamentos e minha autoestima, porque às vezes pareço exagerado ou “sensível demais” para quem não entende o que está acontecendo dentro da minha cabeça. Mas isso não signifi"&amp;"ca que eu não possa aprender a lidar melhor com isso. Com estratégias certas, como terapia, exercícios físicos e técnicas de regulação emocional, eu consigo desenvolver mais controle. Não se trata de sentir menos, mas de encontrar formas de equilibrar ess"&amp;"as emoções para que elas não dominem minha vida.")</f>
        <v>‼️A GENTE SENTE DEMAIS‼️👇🏼 Ter TDAH significa que minhas emoções muitas vezes parecem um carro sem freios. Quando algo me afeta, a intensidade pode ser desproporcional—tanto para o lado bom quanto para o ruim. Se fico animado, posso parecer eufórico; se algo me frustra, a raiva ou a tristeza podem ser avassaladoras. O problema não é só sentir demais, mas a dificuldade em ajustar essas emoções de forma adequada. Eu posso me irritar por algo pequeno e, minutos depois, me perguntar por que fiquei tão abalado. Ou então, posso ter dificuldade em me acalmar depois de uma discussão, mesmo que racionalmente eu saiba que não foi tão grave assim. Também é difícil segurar as emoções no momento certo. Se estou empolgado, posso interromper os outros sem perceber. Se estou triste, posso acabar me fechando totalmente. Isso pode impactar meus relacionamentos e minha autoestima, porque às vezes pareço exagerado ou “sensível demais” para quem não entende o que está acontecendo dentro da minha cabeça. Mas isso não significa que eu não possa aprender a lidar melhor com isso. Com estratégias certas, como terapia, exercícios físicos e técnicas de regulação emocional, eu consigo desenvolver mais controle. Não se trata de sentir menos, mas de encontrar formas de equilibrar essas emoções para que elas não dominem minha vida.</v>
      </c>
      <c r="E110" s="5"/>
      <c r="G110" s="6">
        <f>IFERROR(__xludf.DUMMYFUNCTION("IF(
  TRIM(E110)="""",
  0,
  COUNTA(
    SPLIT(
      REGEXREPLACE(E110,""\s*,\s*"","",""),
      "",""
    )
  )
)"),0.0)</f>
        <v>0</v>
      </c>
    </row>
    <row r="111">
      <c r="A111" s="5" t="str">
        <f>IFERROR(__xludf.DUMMYFUNCTION("""COMPUTED_VALUE"""),"7218203496351370501")</f>
        <v>7218203496351370501</v>
      </c>
      <c r="B111" s="5" t="str">
        <f>IFERROR(__xludf.DUMMYFUNCTION("""COMPUTED_VALUE"""),"lorenatdahta")</f>
        <v>lorenatdahta</v>
      </c>
      <c r="C111" s="5" t="str">
        <f>IFERROR(__xludf.DUMMYFUNCTION("""COMPUTED_VALUE"""),"Lorena TDAHTA")</f>
        <v>Lorena TDAHTA</v>
      </c>
      <c r="D111" s="5" t="str">
        <f>IFERROR(__xludf.DUMMYFUNCTION("""COMPUTED_VALUE"""),"É muito mais comum do que se parece, um TDAH só receber seu diagnóstico na vida adulta, por diversos fatores, entre eles a falta de informação que se tinha do transtorno até muito pouco tempo atrás. Mas de repente, você se vê adulto e recebe esse diagnóst"&amp;"ico! E agora, o que fazer? É o que trarei nessa série de vídeos ""Tdah na vida adulta"". #OQueÉTDAH #tdahvidaadulta #tdah #tdahadulto ")</f>
        <v>É muito mais comum do que se parece, um TDAH só receber seu diagnóstico na vida adulta, por diversos fatores, entre eles a falta de informação que se tinha do transtorno até muito pouco tempo atrás. Mas de repente, você se vê adulto e recebe esse diagnóstico! E agora, o que fazer? É o que trarei nessa série de vídeos "Tdah na vida adulta". #OQueÉTDAH #tdahvidaadulta #tdah #tdahadulto </v>
      </c>
      <c r="E111" s="5" t="str">
        <f>IFERROR(__xludf.DUMMYFUNCTION("""COMPUTED_VALUE"""),"oqueétdah,tdahvidaadulta,tdah,tdahadulto")</f>
        <v>oqueétdah,tdahvidaadulta,tdah,tdahadulto</v>
      </c>
      <c r="G111" s="6">
        <f>IFERROR(__xludf.DUMMYFUNCTION("IF(
  TRIM(E111)="""",
  0,
  COUNTA(
    SPLIT(
      REGEXREPLACE(E111,""\s*,\s*"","",""),
      "",""
    )
  )
)"),4.0)</f>
        <v>4</v>
      </c>
    </row>
    <row r="112">
      <c r="A112" s="5" t="str">
        <f>IFERROR(__xludf.DUMMYFUNCTION("""COMPUTED_VALUE"""),"7371818503029984518")</f>
        <v>7371818503029984518</v>
      </c>
      <c r="B112" s="5" t="str">
        <f>IFERROR(__xludf.DUMMYFUNCTION("""COMPUTED_VALUE"""),"psi.jonathanorlandi")</f>
        <v>psi.jonathanorlandi</v>
      </c>
      <c r="C112" s="5" t="str">
        <f>IFERROR(__xludf.DUMMYFUNCTION("""COMPUTED_VALUE"""),"Jonathan. O psicólogo sincero")</f>
        <v>Jonathan. O psicólogo sincero</v>
      </c>
      <c r="D112" s="5" t="str">
        <f>IFERROR(__xludf.DUMMYFUNCTION("""COMPUTED_VALUE"""),"E ai? Concordam?! Deixa aqui nos comentarios se esqueci de alguma situação. #tdah #tdahadulto #psicologia #humor #foryou #comportamento #sinais #empatia #saudemental #curiosidades #ciencia")</f>
        <v>E ai? Concordam?! Deixa aqui nos comentarios se esqueci de alguma situação. #tdah #tdahadulto #psicologia #humor #foryou #comportamento #sinais #empatia #saudemental #curiosidades #ciencia</v>
      </c>
      <c r="E112" s="5" t="str">
        <f>IFERROR(__xludf.DUMMYFUNCTION("""COMPUTED_VALUE"""),"tdah,tdahadulto,psicologia,humor,foryou,comportamento,sinais,empatia,saudemental,curiosidades,ciencia")</f>
        <v>tdah,tdahadulto,psicologia,humor,foryou,comportamento,sinais,empatia,saudemental,curiosidades,ciencia</v>
      </c>
      <c r="G112" s="6">
        <f>IFERROR(__xludf.DUMMYFUNCTION("IF(
  TRIM(E112)="""",
  0,
  COUNTA(
    SPLIT(
      REGEXREPLACE(E112,""\s*,\s*"","",""),
      "",""
    )
  )
)"),11.0)</f>
        <v>11</v>
      </c>
    </row>
    <row r="113">
      <c r="A113" s="5" t="str">
        <f>IFERROR(__xludf.DUMMYFUNCTION("""COMPUTED_VALUE"""),"7434884122780175671")</f>
        <v>7434884122780175671</v>
      </c>
      <c r="B113" s="5" t="str">
        <f>IFERROR(__xludf.DUMMYFUNCTION("""COMPUTED_VALUE"""),"psi.jonathanorlandi")</f>
        <v>psi.jonathanorlandi</v>
      </c>
      <c r="C113" s="5" t="str">
        <f>IFERROR(__xludf.DUMMYFUNCTION("""COMPUTED_VALUE"""),"Jonathan. O psicólogo sincero")</f>
        <v>Jonathan. O psicólogo sincero</v>
      </c>
      <c r="D113" s="5" t="str">
        <f>IFERROR(__xludf.DUMMYFUNCTION("""COMPUTED_VALUE"""),"🔊 Já ouviu falar em Distúrbio de Processamento Auditivo Central (DPAC)? Em pessoas com TDAH, essa condição pode tornar o entendimento de sons mais difícil, mesmo que a audição esteja normal! 👂 Quem tem DPAC pode ter dificuldade para seguir instruções, e"&amp;"ntender em ambientes ruidosos ou até lembrar o que foi dito em uma conversa. 🧠✨ Imagina só a confusão no dia a dia! O DPAC é mais comum do que parece em TDAHs, e entender como ele afeta a rotina pode ser o primeiro passo para criar estratégias de apoio. "&amp;"Se você se identificou, comenta aqui! #psicologia #foryou #terapia #curiosidades #amizades #comportamento #tdahadulto #tdah #Psicologia #DistraídosVenceremos")</f>
        <v>🔊 Já ouviu falar em Distúrbio de Processamento Auditivo Central (DPAC)? Em pessoas com TDAH, essa condição pode tornar o entendimento de sons mais difícil, mesmo que a audição esteja normal! 👂 Quem tem DPAC pode ter dificuldade para seguir instruções, entender em ambientes ruidosos ou até lembrar o que foi dito em uma conversa. 🧠✨ Imagina só a confusão no dia a dia! O DPAC é mais comum do que parece em TDAHs, e entender como ele afeta a rotina pode ser o primeiro passo para criar estratégias de apoio. Se você se identificou, comenta aqui! #psicologia #foryou #terapia #curiosidades #amizades #comportamento #tdahadulto #tdah #Psicologia #DistraídosVenceremos</v>
      </c>
      <c r="E113" s="5" t="str">
        <f>IFERROR(__xludf.DUMMYFUNCTION("""COMPUTED_VALUE"""),"psicologia,foryou,terapia,curiosidades,amizades,comportamento,tdahadulto,tdah,psicologia,distraídosvenceremos")</f>
        <v>psicologia,foryou,terapia,curiosidades,amizades,comportamento,tdahadulto,tdah,psicologia,distraídosvenceremos</v>
      </c>
      <c r="G113" s="6">
        <f>IFERROR(__xludf.DUMMYFUNCTION("IF(
  TRIM(E113)="""",
  0,
  COUNTA(
    SPLIT(
      REGEXREPLACE(E113,""\s*,\s*"","",""),
      "",""
    )
  )
)"),10.0)</f>
        <v>10</v>
      </c>
    </row>
    <row r="114">
      <c r="A114" s="5" t="str">
        <f>IFERROR(__xludf.DUMMYFUNCTION("""COMPUTED_VALUE"""),"7511453738578513157")</f>
        <v>7511453738578513157</v>
      </c>
      <c r="B114" s="5" t="str">
        <f>IFERROR(__xludf.DUMMYFUNCTION("""COMPUTED_VALUE"""),"jeanalessandrob")</f>
        <v>jeanalessandrob</v>
      </c>
      <c r="C114" s="5" t="str">
        <f>IFERROR(__xludf.DUMMYFUNCTION("""COMPUTED_VALUE"""),"jeanalessandrob")</f>
        <v>jeanalessandrob</v>
      </c>
      <c r="D114" s="5" t="str">
        <f>IFERROR(__xludf.DUMMYFUNCTION("""COMPUTED_VALUE"""),"Você conhece alguem que tem AHSD e foi diagnosticado com TDAH? Deixa aqui nos comentários! 👇👇👇#superdotação #altashabilidades")</f>
        <v>Você conhece alguem que tem AHSD e foi diagnosticado com TDAH? Deixa aqui nos comentários! 👇👇👇#superdotação #altashabilidades</v>
      </c>
      <c r="E114" s="5" t="str">
        <f>IFERROR(__xludf.DUMMYFUNCTION("""COMPUTED_VALUE"""),"superdotação,altashabilidades")</f>
        <v>superdotação,altashabilidades</v>
      </c>
      <c r="G114" s="6">
        <f>IFERROR(__xludf.DUMMYFUNCTION("IF(
  TRIM(E114)="""",
  0,
  COUNTA(
    SPLIT(
      REGEXREPLACE(E114,""\s*,\s*"","",""),
      "",""
    )
  )
)"),2.0)</f>
        <v>2</v>
      </c>
    </row>
    <row r="115">
      <c r="A115" s="5" t="str">
        <f>IFERROR(__xludf.DUMMYFUNCTION("""COMPUTED_VALUE"""),"7211652717209570566")</f>
        <v>7211652717209570566</v>
      </c>
      <c r="B115" s="5" t="str">
        <f>IFERROR(__xludf.DUMMYFUNCTION("""COMPUTED_VALUE"""),"dr.guilhermemachado")</f>
        <v>dr.guilhermemachado</v>
      </c>
      <c r="C115" s="5" t="str">
        <f>IFERROR(__xludf.DUMMYFUNCTION("""COMPUTED_VALUE"""),"Guilherme Machado")</f>
        <v>Guilherme Machado</v>
      </c>
      <c r="D115" s="5" t="str">
        <f>IFERROR(__xludf.DUMMYFUNCTION("""COMPUTED_VALUE"""),"#autismo #autista #psicologia #autism")</f>
        <v>#autismo #autista #psicologia #autism</v>
      </c>
      <c r="E115" s="5" t="str">
        <f>IFERROR(__xludf.DUMMYFUNCTION("""COMPUTED_VALUE"""),"autismo,autista,psicologia,autism")</f>
        <v>autismo,autista,psicologia,autism</v>
      </c>
      <c r="G115" s="6">
        <f>IFERROR(__xludf.DUMMYFUNCTION("IF(
  TRIM(E115)="""",
  0,
  COUNTA(
    SPLIT(
      REGEXREPLACE(E115,""\s*,\s*"","",""),
      "",""
    )
  )
)"),4.0)</f>
        <v>4</v>
      </c>
    </row>
    <row r="116">
      <c r="A116" s="5" t="str">
        <f>IFERROR(__xludf.DUMMYFUNCTION("""COMPUTED_VALUE"""),"7546750654287498502")</f>
        <v>7546750654287498502</v>
      </c>
      <c r="B116" s="5" t="str">
        <f>IFERROR(__xludf.DUMMYFUNCTION("""COMPUTED_VALUE"""),"lorenatdahta")</f>
        <v>lorenatdahta</v>
      </c>
      <c r="C116" s="5" t="str">
        <f>IFERROR(__xludf.DUMMYFUNCTION("""COMPUTED_VALUE"""),"Lorena TDAHTA")</f>
        <v>Lorena TDAHTA</v>
      </c>
      <c r="D116" s="5" t="str">
        <f>IFERROR(__xludf.DUMMYFUNCTION("""COMPUTED_VALUE"""),"Talentos ocultos"" do TDAH 😅🎭🤸🎨 . . . 👩‍🎨 Conviver com um TDAH muitas vezes, é acabar se deparando com talentos aleatórios que se revelam para os demais, como surpresa. E do nada você descobre que a pessoa sabe fazer malabarismo, tocar um instrument"&amp;"o ou pintar quadros incríveis... 🧠 Talvez pela quantidade de hiperfixações que o TDAH vivencia ao longo de sua vida e por sua tendência em se buscar por novidades... Mas infelizmente, a real é que na maioria das vezes, a gente não usa boa parte disso e s"&amp;"ó coleciona ""talentos aleatórios"" mesmo.  E por aí, TDAH? Essa teoria faz sentido também? 😅💬 🎙 Animação original @neurodivers.show e dublagem por minha conta! #tdahta #tdahadulto #talentosocultos #tdahmemes #tdahproblemas ")</f>
        <v>Talentos ocultos" do TDAH 😅🎭🤸🎨 . . . 👩‍🎨 Conviver com um TDAH muitas vezes, é acabar se deparando com talentos aleatórios que se revelam para os demais, como surpresa. E do nada você descobre que a pessoa sabe fazer malabarismo, tocar um instrumento ou pintar quadros incríveis... 🧠 Talvez pela quantidade de hiperfixações que o TDAH vivencia ao longo de sua vida e por sua tendência em se buscar por novidades... Mas infelizmente, a real é que na maioria das vezes, a gente não usa boa parte disso e só coleciona "talentos aleatórios" mesmo.  E por aí, TDAH? Essa teoria faz sentido também? 😅💬 🎙 Animação original @neurodivers.show e dublagem por minha conta! #tdahta #tdahadulto #talentosocultos #tdahmemes #tdahproblemas </v>
      </c>
      <c r="E116" s="5" t="str">
        <f>IFERROR(__xludf.DUMMYFUNCTION("""COMPUTED_VALUE"""),"tdahta,tdahadulto,talentosocultos,tdahmemes,tdahproblemas")</f>
        <v>tdahta,tdahadulto,talentosocultos,tdahmemes,tdahproblemas</v>
      </c>
      <c r="G116" s="6">
        <f>IFERROR(__xludf.DUMMYFUNCTION("IF(
  TRIM(E116)="""",
  0,
  COUNTA(
    SPLIT(
      REGEXREPLACE(E116,""\s*,\s*"","",""),
      "",""
    )
  )
)"),5.0)</f>
        <v>5</v>
      </c>
    </row>
    <row r="117">
      <c r="A117" s="5" t="str">
        <f>IFERROR(__xludf.DUMMYFUNCTION("""COMPUTED_VALUE"""),"7563678079781014805")</f>
        <v>7563678079781014805</v>
      </c>
      <c r="B117" s="5" t="str">
        <f>IFERROR(__xludf.DUMMYFUNCTION("""COMPUTED_VALUE"""),"dr.thiagocastrooficial")</f>
        <v>dr.thiagocastrooficial</v>
      </c>
      <c r="C117" s="5" t="str">
        <f>IFERROR(__xludf.DUMMYFUNCTION("""COMPUTED_VALUE"""),"dr.thiagocastro")</f>
        <v>dr.thiagocastro</v>
      </c>
      <c r="D117" s="5" t="str">
        <f>IFERROR(__xludf.DUMMYFUNCTION("""COMPUTED_VALUE"""),"Muitos adultos com TDAH cresceram ouvindo que eram “preguiçosos”, “distraídos” ou “sem foco”. Mas a verdade é que não faltava esforço, faltava compreensão. Décadas atrás, pouco se sabia sobre o funcionamento cerebral do TDAH. Hoje, pesquisas publicadas no"&amp;" Journal of Attention Disorders (2023) e no NeuroImage: Clinical (2024) mostram que há diferenças estruturais e funcionais nas áreas do cérebro responsáveis pela atenção, memória de trabalho e autorregulação emocional. Ou seja, não é falta de vontade, é u"&amp;"ma forma diferente de processar o mundo. E quando o ambiente é punitivo em vez de compreensivo, a criança cresce com culpa e vergonha do próprio funcionamento. Com diagnóstico, apoio psicossocial e, quando necessário, tratamento medicamentoso, é possível "&amp;"transformar o que antes era sofrimento em criatividade, energia e pensamento inovador, características frequentemente observadas em adultos com TDAH bem direcionados. Envie este vídeo para alguém que cresceu ouvindo que não era suficiente, mas que só prec"&amp;"isava ser compreendido.")</f>
        <v>Muitos adultos com TDAH cresceram ouvindo que eram “preguiçosos”, “distraídos” ou “sem foco”. Mas a verdade é que não faltava esforço, faltava compreensão. Décadas atrás, pouco se sabia sobre o funcionamento cerebral do TDAH. Hoje, pesquisas publicadas no Journal of Attention Disorders (2023) e no NeuroImage: Clinical (2024) mostram que há diferenças estruturais e funcionais nas áreas do cérebro responsáveis pela atenção, memória de trabalho e autorregulação emocional. Ou seja, não é falta de vontade, é uma forma diferente de processar o mundo. E quando o ambiente é punitivo em vez de compreensivo, a criança cresce com culpa e vergonha do próprio funcionamento. Com diagnóstico, apoio psicossocial e, quando necessário, tratamento medicamentoso, é possível transformar o que antes era sofrimento em criatividade, energia e pensamento inovador, características frequentemente observadas em adultos com TDAH bem direcionados. Envie este vídeo para alguém que cresceu ouvindo que não era suficiente, mas que só precisava ser compreendido.</v>
      </c>
      <c r="E117" s="5"/>
      <c r="G117" s="6">
        <f>IFERROR(__xludf.DUMMYFUNCTION("IF(
  TRIM(E117)="""",
  0,
  COUNTA(
    SPLIT(
      REGEXREPLACE(E117,""\s*,\s*"","",""),
      "",""
    )
  )
)"),0.0)</f>
        <v>0</v>
      </c>
    </row>
    <row r="118">
      <c r="A118" s="5" t="str">
        <f>IFERROR(__xludf.DUMMYFUNCTION("""COMPUTED_VALUE"""),"7551181760227282184")</f>
        <v>7551181760227282184</v>
      </c>
      <c r="B118" s="5" t="str">
        <f>IFERROR(__xludf.DUMMYFUNCTION("""COMPUTED_VALUE"""),"tdahdescomplicado")</f>
        <v>tdahdescomplicado</v>
      </c>
      <c r="C118" s="5" t="str">
        <f>IFERROR(__xludf.DUMMYFUNCTION("""COMPUTED_VALUE"""),"Yuri Maia TDAH Descomplicado")</f>
        <v>Yuri Maia TDAH Descomplicado</v>
      </c>
      <c r="D118" s="5" t="str">
        <f>IFERROR(__xludf.DUMMYFUNCTION("""COMPUTED_VALUE"""),"Entenda as dificuldades mais comuns do TDAH adulto. https://clube.tdah.com.br")</f>
        <v>Entenda as dificuldades mais comuns do TDAH adulto. https://clube.tdah.com.br</v>
      </c>
      <c r="E118" s="5"/>
      <c r="G118" s="6">
        <f>IFERROR(__xludf.DUMMYFUNCTION("IF(
  TRIM(E118)="""",
  0,
  COUNTA(
    SPLIT(
      REGEXREPLACE(E118,""\s*,\s*"","",""),
      "",""
    )
  )
)"),0.0)</f>
        <v>0</v>
      </c>
    </row>
    <row r="119">
      <c r="A119" s="5" t="str">
        <f>IFERROR(__xludf.DUMMYFUNCTION("""COMPUTED_VALUE"""),"7524478649664277816")</f>
        <v>7524478649664277816</v>
      </c>
      <c r="B119" s="5" t="str">
        <f>IFERROR(__xludf.DUMMYFUNCTION("""COMPUTED_VALUE"""),"liberdade.mentall")</f>
        <v>liberdade.mentall</v>
      </c>
      <c r="C119" s="5" t="str">
        <f>IFERROR(__xludf.DUMMYFUNCTION("""COMPUTED_VALUE"""),"Liberdade Mental 🧠💫")</f>
        <v>Liberdade Mental 🧠💫</v>
      </c>
      <c r="D119" s="5" t="str">
        <f>IFERROR(__xludf.DUMMYFUNCTION("""COMPUTED_VALUE"""),"O que é TDAH? TDAH NÃO TRATADO É UMA CONDENAÇÃO INVISÍVEL. É viver com a mente acelerada, mas o corpo travado. É ter mil ideias, mil promessas… mas nunca conseguir cumprir nenhuma. É se sentir um merda, mesmo tentando pra caralho. Você acorda já atrasado,"&amp;" perdido, com a sensação de que está sempre devendo algo. Seu quarto é bagunça, sua mente é bagunça, sua vida virou bagunça. Você gasta o que não pode, fala o que não devia, promete o que não consegue. E quando as coisas dão errado, você se culpa. Acha qu"&amp;"e é só preguiçoso, fraco, burro. Mas não é. É TDAH. Só que sem tratamento, você não tem controle. Você é o problema e a vítima ao mesmo tempo. Relacionamentos viram caos. Você ama, mas afasta. Quer mudar, mas sabota. Quer crescer, mas paralisa. E ninguém "&amp;"entende. Você se sente sozinho. Se sente quebrado. Vive no modo sobrevivência — só apagando incêndio e fingindo que tá tudo bem. Mas não tá. Você tá afundando… Só que com um sorriso no rosto e piada pronta. Porque é isso que um homem com TDAH não tratado "&amp;"aprende: a fingir que tá tudo bem… enquanto desmorona por dentro. #tdah #tdahadulto #sintomasdotdah #oqueetdah")</f>
        <v>O que é TDAH? TDAH NÃO TRATADO É UMA CONDENAÇÃO INVISÍVEL. É viver com a mente acelerada, mas o corpo travado. É ter mil ideias, mil promessas… mas nunca conseguir cumprir nenhuma. É se sentir um merda, mesmo tentando pra caralho. Você acorda já atrasado, perdido, com a sensação de que está sempre devendo algo. Seu quarto é bagunça, sua mente é bagunça, sua vida virou bagunça. Você gasta o que não pode, fala o que não devia, promete o que não consegue. E quando as coisas dão errado, você se culpa. Acha que é só preguiçoso, fraco, burro. Mas não é. É TDAH. Só que sem tratamento, você não tem controle. Você é o problema e a vítima ao mesmo tempo. Relacionamentos viram caos. Você ama, mas afasta. Quer mudar, mas sabota. Quer crescer, mas paralisa. E ninguém entende. Você se sente sozinho. Se sente quebrado. Vive no modo sobrevivência — só apagando incêndio e fingindo que tá tudo bem. Mas não tá. Você tá afundando… Só que com um sorriso no rosto e piada pronta. Porque é isso que um homem com TDAH não tratado aprende: a fingir que tá tudo bem… enquanto desmorona por dentro. #tdah #tdahadulto #sintomasdotdah #oqueetdah</v>
      </c>
      <c r="E119" s="5" t="str">
        <f>IFERROR(__xludf.DUMMYFUNCTION("""COMPUTED_VALUE"""),"tdah,tdahadulto,sintomasdotdah,oqueetdah")</f>
        <v>tdah,tdahadulto,sintomasdotdah,oqueetdah</v>
      </c>
      <c r="G119" s="6">
        <f>IFERROR(__xludf.DUMMYFUNCTION("IF(
  TRIM(E119)="""",
  0,
  COUNTA(
    SPLIT(
      REGEXREPLACE(E119,""\s*,\s*"","",""),
      "",""
    )
  )
)"),4.0)</f>
        <v>4</v>
      </c>
    </row>
    <row r="120">
      <c r="A120" s="5" t="str">
        <f>IFERROR(__xludf.DUMMYFUNCTION("""COMPUTED_VALUE"""),"7551579467571858700")</f>
        <v>7551579467571858700</v>
      </c>
      <c r="B120" s="5" t="str">
        <f>IFERROR(__xludf.DUMMYFUNCTION("""COMPUTED_VALUE"""),"saude_e_bemestar__")</f>
        <v>saude_e_bemestar__</v>
      </c>
      <c r="C120" s="5" t="str">
        <f>IFERROR(__xludf.DUMMYFUNCTION("""COMPUTED_VALUE"""),"SAÚDE E BEM ESTAR")</f>
        <v>SAÚDE E BEM ESTAR</v>
      </c>
      <c r="D120" s="5" t="str">
        <f>IFERROR(__xludf.DUMMYFUNCTION("""COMPUTED_VALUE"""),"Se seu filho tem TDAH provavelmente você também tem! #tdah #tdahadulto #tdahinfantil #psicologia #psicologa")</f>
        <v>Se seu filho tem TDAH provavelmente você também tem! #tdah #tdahadulto #tdahinfantil #psicologia #psicologa</v>
      </c>
      <c r="E120" s="5" t="str">
        <f>IFERROR(__xludf.DUMMYFUNCTION("""COMPUTED_VALUE"""),"tdah,tdahadulto,tdahinfantil,psicologia,psicologa")</f>
        <v>tdah,tdahadulto,tdahinfantil,psicologia,psicologa</v>
      </c>
      <c r="G120" s="6">
        <f>IFERROR(__xludf.DUMMYFUNCTION("IF(
  TRIM(E120)="""",
  0,
  COUNTA(
    SPLIT(
      REGEXREPLACE(E120,""\s*,\s*"","",""),
      "",""
    )
  )
)"),5.0)</f>
        <v>5</v>
      </c>
    </row>
    <row r="121">
      <c r="A121" s="5" t="str">
        <f>IFERROR(__xludf.DUMMYFUNCTION("""COMPUTED_VALUE"""),"7357509398626848005")</f>
        <v>7357509398626848005</v>
      </c>
      <c r="B121" s="5" t="str">
        <f>IFERROR(__xludf.DUMMYFUNCTION("""COMPUTED_VALUE"""),"lorenatdahta")</f>
        <v>lorenatdahta</v>
      </c>
      <c r="C121" s="5" t="str">
        <f>IFERROR(__xludf.DUMMYFUNCTION("""COMPUTED_VALUE"""),"Lorena TDAHTA")</f>
        <v>Lorena TDAHTA</v>
      </c>
      <c r="D121" s="5" t="str">
        <f>IFERROR(__xludf.DUMMYFUNCTION("""COMPUTED_VALUE"""),"TDAH e INTENSIDADE 🤯🌪 . Os desafios com as emoções intensas do TDAH, começam em seu próprio cérebro.  Às vezes, o comprometimento da memória operacional do TDAH, faz com que uma emoção momentânea se torne algo muito forte, inundando o cérebro com emoçõe"&amp;"s bem mais intensas do que deveria.  Outras vezes, a pessoa com TDAH pode parecer insensível ou inconsciente das suas emoções e das emoções dos outros.  As redes de conectividade cerebral, que transportam informações relacionadas à emoção, realmente são u"&amp;"m pouco mais limitadas nos indivíduos com TDAH.  Resultando em comportamentos e reações assim, no que diz respeito à intensidade de seus sentimentos e emoções. Você também pode ler mais sobre: https://www.additudemag.com/slideshows/adhd-emotions-understan"&amp;"ding-intense-feelings/ #tdahta #tdahadulto  #intensidade #tdahtiktok #adhdbrain #neurodivergente ")</f>
        <v>TDAH e INTENSIDADE 🤯🌪 . Os desafios com as emoções intensas do TDAH, começam em seu próprio cérebro.  Às vezes, o comprometimento da memória operacional do TDAH, faz com que uma emoção momentânea se torne algo muito forte, inundando o cérebro com emoções bem mais intensas do que deveria.  Outras vezes, a pessoa com TDAH pode parecer insensível ou inconsciente das suas emoções e das emoções dos outros.  As redes de conectividade cerebral, que transportam informações relacionadas à emoção, realmente são um pouco mais limitadas nos indivíduos com TDAH.  Resultando em comportamentos e reações assim, no que diz respeito à intensidade de seus sentimentos e emoções. Você também pode ler mais sobre: https://www.additudemag.com/slideshows/adhd-emotions-understanding-intense-feelings/ #tdahta #tdahadulto  #intensidade #tdahtiktok #adhdbrain #neurodivergente </v>
      </c>
      <c r="E121" s="5" t="str">
        <f>IFERROR(__xludf.DUMMYFUNCTION("""COMPUTED_VALUE"""),"tdahta,tdahadulto,intensidade,tdahtiktok,adhdbrain,neurodivergente")</f>
        <v>tdahta,tdahadulto,intensidade,tdahtiktok,adhdbrain,neurodivergente</v>
      </c>
      <c r="G121" s="6">
        <f>IFERROR(__xludf.DUMMYFUNCTION("IF(
  TRIM(E121)="""",
  0,
  COUNTA(
    SPLIT(
      REGEXREPLACE(E121,""\s*,\s*"","",""),
      "",""
    )
  )
)"),6.0)</f>
        <v>6</v>
      </c>
    </row>
    <row r="122">
      <c r="A122" s="5" t="str">
        <f>IFERROR(__xludf.DUMMYFUNCTION("""COMPUTED_VALUE"""),"7485053498451578117")</f>
        <v>7485053498451578117</v>
      </c>
      <c r="B122" s="5" t="str">
        <f>IFERROR(__xludf.DUMMYFUNCTION("""COMPUTED_VALUE"""),"veigasaymon")</f>
        <v>veigasaymon</v>
      </c>
      <c r="C122" s="5" t="str">
        <f>IFERROR(__xludf.DUMMYFUNCTION("""COMPUTED_VALUE"""),"veigasaymon")</f>
        <v>veigasaymon</v>
      </c>
      <c r="D122" s="5" t="str">
        <f>IFERROR(__xludf.DUMMYFUNCTION("""COMPUTED_VALUE"""),"‼️SE IDENTIFICOU⁉️😂 Essa é uma característica comum de quem sofre de TDAH. Pular de tarefa em tarefa, sem concluir as demais. Acontece por aí? Me conta nos comentários👇🏼")</f>
        <v>‼️SE IDENTIFICOU⁉️😂 Essa é uma característica comum de quem sofre de TDAH. Pular de tarefa em tarefa, sem concluir as demais. Acontece por aí? Me conta nos comentários👇🏼</v>
      </c>
      <c r="E122" s="5"/>
      <c r="G122" s="6">
        <f>IFERROR(__xludf.DUMMYFUNCTION("IF(
  TRIM(E122)="""",
  0,
  COUNTA(
    SPLIT(
      REGEXREPLACE(E122,""\s*,\s*"","",""),
      "",""
    )
  )
)"),0.0)</f>
        <v>0</v>
      </c>
    </row>
    <row r="123">
      <c r="A123" s="5" t="str">
        <f>IFERROR(__xludf.DUMMYFUNCTION("""COMPUTED_VALUE"""),"7508740632177937720")</f>
        <v>7508740632177937720</v>
      </c>
      <c r="B123" s="5" t="str">
        <f>IFERROR(__xludf.DUMMYFUNCTION("""COMPUTED_VALUE"""),"psi.jonathanorlandi")</f>
        <v>psi.jonathanorlandi</v>
      </c>
      <c r="C123" s="5" t="str">
        <f>IFERROR(__xludf.DUMMYFUNCTION("""COMPUTED_VALUE"""),"Jonathan. O psicólogo sincero")</f>
        <v>Jonathan. O psicólogo sincero</v>
      </c>
      <c r="D123" s="5" t="str">
        <f>IFERROR(__xludf.DUMMYFUNCTION("""COMPUTED_VALUE"""),"Estar cansado o tempo todo não te torna fraco. Pra quem tem TDAH, viver em exaustão e com sensação de depressão pode ser mais comum do que parece. Não é preguiça. É sobrecarga mental. É o seu cérebro tentando funcionar num mundo que nem sempre entende o s"&amp;"eu ritmo. Se você se sente assim com frequência, saiba: não é só você. #tdah #tdahadulto #comportamento #terapia #psicologia #curiosidade #psicoterapia #neurociência #foco #distraidosvenceremos")</f>
        <v>Estar cansado o tempo todo não te torna fraco. Pra quem tem TDAH, viver em exaustão e com sensação de depressão pode ser mais comum do que parece. Não é preguiça. É sobrecarga mental. É o seu cérebro tentando funcionar num mundo que nem sempre entende o seu ritmo. Se você se sente assim com frequência, saiba: não é só você. #tdah #tdahadulto #comportamento #terapia #psicologia #curiosidade #psicoterapia #neurociência #foco #distraidosvenceremos</v>
      </c>
      <c r="E123" s="5" t="str">
        <f>IFERROR(__xludf.DUMMYFUNCTION("""COMPUTED_VALUE"""),"tdah,tdahadulto,comportamento,terapia,psicologia,curiosidade,psicoterapia,neurociência,foco,distraidosvenceremos")</f>
        <v>tdah,tdahadulto,comportamento,terapia,psicologia,curiosidade,psicoterapia,neurociência,foco,distraidosvenceremos</v>
      </c>
      <c r="G123" s="6">
        <f>IFERROR(__xludf.DUMMYFUNCTION("IF(
  TRIM(E123)="""",
  0,
  COUNTA(
    SPLIT(
      REGEXREPLACE(E123,""\s*,\s*"","",""),
      "",""
    )
  )
)"),10.0)</f>
        <v>10</v>
      </c>
    </row>
    <row r="124">
      <c r="A124" s="5" t="str">
        <f>IFERROR(__xludf.DUMMYFUNCTION("""COMPUTED_VALUE"""),"7542304558312164613")</f>
        <v>7542304558312164613</v>
      </c>
      <c r="B124" s="5" t="str">
        <f>IFERROR(__xludf.DUMMYFUNCTION("""COMPUTED_VALUE"""),"psi.walace")</f>
        <v>psi.walace</v>
      </c>
      <c r="C124" s="5" t="str">
        <f>IFERROR(__xludf.DUMMYFUNCTION("""COMPUTED_VALUE"""),"Walace Almeida | Psicólogo")</f>
        <v>Walace Almeida | Psicólogo</v>
      </c>
      <c r="D124" s="5" t="str">
        <f>IFERROR(__xludf.DUMMYFUNCTION("""COMPUTED_VALUE"""),"Alguns fatores dentro do TDAH podem contribuir muito para um estresse e irritabilidade mais elevada. Ainda mais possuindo uma desregulação emocional que pode ser constante. Mas tem jeito, viu?! A psicoterapia ajuda demais! #psicologia #tdah #tdahadulto ")</f>
        <v>Alguns fatores dentro do TDAH podem contribuir muito para um estresse e irritabilidade mais elevada. Ainda mais possuindo uma desregulação emocional que pode ser constante. Mas tem jeito, viu?! A psicoterapia ajuda demais! #psicologia #tdah #tdahadulto </v>
      </c>
      <c r="E124" s="5" t="str">
        <f>IFERROR(__xludf.DUMMYFUNCTION("""COMPUTED_VALUE"""),"psicologia,tdah,tdahadulto")</f>
        <v>psicologia,tdah,tdahadulto</v>
      </c>
      <c r="G124" s="6">
        <f>IFERROR(__xludf.DUMMYFUNCTION("IF(
  TRIM(E124)="""",
  0,
  COUNTA(
    SPLIT(
      REGEXREPLACE(E124,""\s*,\s*"","",""),
      "",""
    )
  )
)"),3.0)</f>
        <v>3</v>
      </c>
    </row>
    <row r="125">
      <c r="A125" s="5" t="str">
        <f>IFERROR(__xludf.DUMMYFUNCTION("""COMPUTED_VALUE"""),"7547842404511026438")</f>
        <v>7547842404511026438</v>
      </c>
      <c r="B125" s="5" t="str">
        <f>IFERROR(__xludf.DUMMYFUNCTION("""COMPUTED_VALUE"""),"psi.walace")</f>
        <v>psi.walace</v>
      </c>
      <c r="C125" s="5" t="str">
        <f>IFERROR(__xludf.DUMMYFUNCTION("""COMPUTED_VALUE"""),"Walace Almeida | Psicólogo")</f>
        <v>Walace Almeida | Psicólogo</v>
      </c>
      <c r="D125" s="5" t="str">
        <f>IFERROR(__xludf.DUMMYFUNCTION("""COMPUTED_VALUE"""),"A memória de trabalho no TDAH é realmente muito prejudicada, e pode causar esses momentos de esquecimentos constantes. Não que a pessoa esqueceu completamente pra sempre, mas as vezes pode demorar pra associar as memórias. Faz parte, é só ter um pouco de "&amp;"paciência e acolher quem possui o transtorno, porque não é fácil para o TDAH também. #psicologia #tdah #tdahadulto ")</f>
        <v>A memória de trabalho no TDAH é realmente muito prejudicada, e pode causar esses momentos de esquecimentos constantes. Não que a pessoa esqueceu completamente pra sempre, mas as vezes pode demorar pra associar as memórias. Faz parte, é só ter um pouco de paciência e acolher quem possui o transtorno, porque não é fácil para o TDAH também. #psicologia #tdah #tdahadulto </v>
      </c>
      <c r="E125" s="5" t="str">
        <f>IFERROR(__xludf.DUMMYFUNCTION("""COMPUTED_VALUE"""),"psicologia,tdah,tdahadulto")</f>
        <v>psicologia,tdah,tdahadulto</v>
      </c>
      <c r="G125" s="6">
        <f>IFERROR(__xludf.DUMMYFUNCTION("IF(
  TRIM(E125)="""",
  0,
  COUNTA(
    SPLIT(
      REGEXREPLACE(E125,""\s*,\s*"","",""),
      "",""
    )
  )
)"),3.0)</f>
        <v>3</v>
      </c>
    </row>
    <row r="126">
      <c r="A126" s="5" t="str">
        <f>IFERROR(__xludf.DUMMYFUNCTION("""COMPUTED_VALUE"""),"7555635308767792440")</f>
        <v>7555635308767792440</v>
      </c>
      <c r="B126" s="5" t="str">
        <f>IFERROR(__xludf.DUMMYFUNCTION("""COMPUTED_VALUE"""),"psi.walace")</f>
        <v>psi.walace</v>
      </c>
      <c r="C126" s="5" t="str">
        <f>IFERROR(__xludf.DUMMYFUNCTION("""COMPUTED_VALUE"""),"Walace Almeida | Psicólogo")</f>
        <v>Walace Almeida | Psicólogo</v>
      </c>
      <c r="D126" s="5" t="str">
        <f>IFERROR(__xludf.DUMMYFUNCTION("""COMPUTED_VALUE"""),"Isso não é um superpoder, viu?! É apenas um análise associativa que o TDAH acaba fazendo inconscientemente, e muitas vezes desvenda o plotwist de filmes/series, e que também transborda para outras áreas. Quase um sexto sentido, mas é apenas TDAH. 😅 #psic"&amp;"ologia #tdah #tdahadulto ")</f>
        <v>Isso não é um superpoder, viu?! É apenas um análise associativa que o TDAH acaba fazendo inconscientemente, e muitas vezes desvenda o plotwist de filmes/series, e que também transborda para outras áreas. Quase um sexto sentido, mas é apenas TDAH. 😅 #psicologia #tdah #tdahadulto </v>
      </c>
      <c r="E126" s="5" t="str">
        <f>IFERROR(__xludf.DUMMYFUNCTION("""COMPUTED_VALUE"""),"psicologia,tdah,tdahadulto")</f>
        <v>psicologia,tdah,tdahadulto</v>
      </c>
      <c r="G126" s="6">
        <f>IFERROR(__xludf.DUMMYFUNCTION("IF(
  TRIM(E126)="""",
  0,
  COUNTA(
    SPLIT(
      REGEXREPLACE(E126,""\s*,\s*"","",""),
      "",""
    )
  )
)"),3.0)</f>
        <v>3</v>
      </c>
    </row>
    <row r="127">
      <c r="A127" s="5" t="str">
        <f>IFERROR(__xludf.DUMMYFUNCTION("""COMPUTED_VALUE"""),"7395685186454686981")</f>
        <v>7395685186454686981</v>
      </c>
      <c r="B127" s="5" t="str">
        <f>IFERROR(__xludf.DUMMYFUNCTION("""COMPUTED_VALUE"""),"drdanieltales")</f>
        <v>drdanieltales</v>
      </c>
      <c r="C127" s="5" t="str">
        <f>IFERROR(__xludf.DUMMYFUNCTION("""COMPUTED_VALUE"""),"DR DANIEL TALES")</f>
        <v>DR DANIEL TALES</v>
      </c>
      <c r="D127" s="5" t="str">
        <f>IFERROR(__xludf.DUMMYFUNCTION("""COMPUTED_VALUE"""),"🚨 Você sabia? 🚨 As pessoas com TDAH têm um superpoder incrível! 💥✨ 👥 Seja criança ou adulto, quem tem TDAH pensa mais rápido e em muitas coisas ao mesmo tempo. Isso pode dificultar o foco em uma só tarefa, mas quando encontram algo que realmente inter"&amp;"essa, entram no incrível estado de hiperfoco. 🔍🚀 💡 O hiperfoco transforma desafios em oportunidades! Pessoas com TDAH possuem uma cognição superavançada, especialmente quando tratadas corretamente e sem depender de medicamentos que causam dependência. "&amp;"💊❌ 🧠 Entender e apoiar essas pessoas é crucial. Com o tratamento adequado, elas podem desenvolver habilidades cognitivas muito acima da média! 🌟 📣 Vamos desmistificar o TDAH juntos? Compartilhe este vídeo e deixe nos comentários sua experiência ou opi"&amp;"nião sobre o tema. Vamos mostrar ao mundo o potencial extraordinário dessas pessoas! 💪 #SuperPoderTDAH #Hiperfoco #CogniçãoAvançada #DesmistificandoTDAH AVISO LEGAL: Este conteúdo é apenas informativo e não substitui a consulta a um médico, não estabelec"&amp;"e relação médico-paciente via redes sociais e não indica tratamento. Consultas individuais são essenciais para uma avaliação completa e tratamento adequado.")</f>
        <v>🚨 Você sabia? 🚨 As pessoas com TDAH têm um superpoder incrível! 💥✨ 👥 Seja criança ou adulto, quem tem TDAH pensa mais rápido e em muitas coisas ao mesmo tempo. Isso pode dificultar o foco em uma só tarefa, mas quando encontram algo que realmente interessa, entram no incrível estado de hiperfoco. 🔍🚀 💡 O hiperfoco transforma desafios em oportunidades! Pessoas com TDAH possuem uma cognição superavançada, especialmente quando tratadas corretamente e sem depender de medicamentos que causam dependência. 💊❌ 🧠 Entender e apoiar essas pessoas é crucial. Com o tratamento adequado, elas podem desenvolver habilidades cognitivas muito acima da média! 🌟 📣 Vamos desmistificar o TDAH juntos? Compartilhe este vídeo e deixe nos comentários sua experiência ou opinião sobre o tema. Vamos mostrar ao mundo o potencial extraordinário dessas pessoas! 💪 #SuperPoderTDAH #Hiperfoco #CogniçãoAvançada #DesmistificandoTDAH AVISO LEGAL: Este conteúdo é apenas informativo e não substitui a consulta a um médico, não estabelece relação médico-paciente via redes sociais e não indica tratamento. Consultas individuais são essenciais para uma avaliação completa e tratamento adequado.</v>
      </c>
      <c r="E127" s="5" t="str">
        <f>IFERROR(__xludf.DUMMYFUNCTION("""COMPUTED_VALUE"""),"superpodertdah,hiperfoco,cogniçãoavançada,desmistificandotdah")</f>
        <v>superpodertdah,hiperfoco,cogniçãoavançada,desmistificandotdah</v>
      </c>
      <c r="G127" s="6">
        <f>IFERROR(__xludf.DUMMYFUNCTION("IF(
  TRIM(E127)="""",
  0,
  COUNTA(
    SPLIT(
      REGEXREPLACE(E127,""\s*,\s*"","",""),
      "",""
    )
  )
)"),4.0)</f>
        <v>4</v>
      </c>
    </row>
    <row r="128">
      <c r="A128" s="5" t="str">
        <f>IFERROR(__xludf.DUMMYFUNCTION("""COMPUTED_VALUE"""),"7543388280205626680")</f>
        <v>7543388280205626680</v>
      </c>
      <c r="B128" s="5" t="str">
        <f>IFERROR(__xludf.DUMMYFUNCTION("""COMPUTED_VALUE"""),"neurodivergenciaeopapo")</f>
        <v>neurodivergenciaeopapo</v>
      </c>
      <c r="C128" s="5" t="str">
        <f>IFERROR(__xludf.DUMMYFUNCTION("""COMPUTED_VALUE"""),"Neurodivergência é o papo!")</f>
        <v>Neurodivergência é o papo!</v>
      </c>
      <c r="D128" s="5" t="str">
        <f>IFERROR(__xludf.DUMMYFUNCTION("""COMPUTED_VALUE"""),"#tdah #transtornosneurodivergentes #foryou #neurodivergenciaeopapo #neurodivergencia")</f>
        <v>#tdah #transtornosneurodivergentes #foryou #neurodivergenciaeopapo #neurodivergencia</v>
      </c>
      <c r="E128" s="5" t="str">
        <f>IFERROR(__xludf.DUMMYFUNCTION("""COMPUTED_VALUE"""),"tdah,transtornosneurodivergentes,foryou,neurodivergenciaeopapo,neurodivergencia")</f>
        <v>tdah,transtornosneurodivergentes,foryou,neurodivergenciaeopapo,neurodivergencia</v>
      </c>
      <c r="G128" s="6">
        <f>IFERROR(__xludf.DUMMYFUNCTION("IF(
  TRIM(E128)="""",
  0,
  COUNTA(
    SPLIT(
      REGEXREPLACE(E128,""\s*,\s*"","",""),
      "",""
    )
  )
)"),5.0)</f>
        <v>5</v>
      </c>
    </row>
    <row r="129">
      <c r="A129" s="5" t="str">
        <f>IFERROR(__xludf.DUMMYFUNCTION("""COMPUTED_VALUE"""),"7267552989060107522")</f>
        <v>7267552989060107522</v>
      </c>
      <c r="B129" s="5" t="str">
        <f>IFERROR(__xludf.DUMMYFUNCTION("""COMPUTED_VALUE"""),"crescimento.prospero")</f>
        <v>crescimento.prospero</v>
      </c>
      <c r="C129" s="5" t="str">
        <f>IFERROR(__xludf.DUMMYFUNCTION("""COMPUTED_VALUE"""),"Crescimento Próspero 🌟")</f>
        <v>Crescimento Próspero 🌟</v>
      </c>
      <c r="D129" s="5" t="str">
        <f>IFERROR(__xludf.DUMMYFUNCTION("""COMPUTED_VALUE"""),"Eslen Delanogare fala sobre dificuldades de pacientes com TDAH. #eslendelanogare #motivacional #reflexao #tdah #tdahadulto")</f>
        <v>Eslen Delanogare fala sobre dificuldades de pacientes com TDAH. #eslendelanogare #motivacional #reflexao #tdah #tdahadulto</v>
      </c>
      <c r="E129" s="5" t="str">
        <f>IFERROR(__xludf.DUMMYFUNCTION("""COMPUTED_VALUE"""),"eslendelanogare,motivacional,reflexao,tdah,tdahadulto")</f>
        <v>eslendelanogare,motivacional,reflexao,tdah,tdahadulto</v>
      </c>
      <c r="G129" s="6">
        <f>IFERROR(__xludf.DUMMYFUNCTION("IF(
  TRIM(E129)="""",
  0,
  COUNTA(
    SPLIT(
      REGEXREPLACE(E129,""\s*,\s*"","",""),
      "",""
    )
  )
)"),5.0)</f>
        <v>5</v>
      </c>
    </row>
    <row r="130">
      <c r="A130" s="5" t="str">
        <f>IFERROR(__xludf.DUMMYFUNCTION("""COMPUTED_VALUE"""),"7288723543515335942")</f>
        <v>7288723543515335942</v>
      </c>
      <c r="B130" s="5" t="str">
        <f>IFERROR(__xludf.DUMMYFUNCTION("""COMPUTED_VALUE"""),"paulokagawa")</f>
        <v>paulokagawa</v>
      </c>
      <c r="C130" s="5" t="str">
        <f>IFERROR(__xludf.DUMMYFUNCTION("""COMPUTED_VALUE"""),"paulokagawa")</f>
        <v>paulokagawa</v>
      </c>
      <c r="D130" s="5" t="str">
        <f>IFERROR(__xludf.DUMMYFUNCTION("""COMPUTED_VALUE"""),"Faaaaala, ser humano! Já parou para pensar nos sentimentos de uma criança com TDAH? 👧🏻🧒🏾 Esse corte é para todas as crianças que não conseguem expressar em palavras como se sentem, para todos os pais que são essenciais no potencial de seus filhos e pa"&amp;"ra todos os adultos com TDAH que já foram essa criança! ❤️ Corre para assistir o EP completo com a incrível @paulafrati! tá imperdível!!!!!! #tdah #tdahinfantil #tdahadulto #neuropsicologia #criacaodefilhos #educacao #paulafrati ")</f>
        <v>Faaaaala, ser humano! Já parou para pensar nos sentimentos de uma criança com TDAH? 👧🏻🧒🏾 Esse corte é para todas as crianças que não conseguem expressar em palavras como se sentem, para todos os pais que são essenciais no potencial de seus filhos e para todos os adultos com TDAH que já foram essa criança! ❤️ Corre para assistir o EP completo com a incrível @paulafrati! tá imperdível!!!!!! #tdah #tdahinfantil #tdahadulto #neuropsicologia #criacaodefilhos #educacao #paulafrati </v>
      </c>
      <c r="E130" s="5" t="str">
        <f>IFERROR(__xludf.DUMMYFUNCTION("""COMPUTED_VALUE"""),"tdah,tdahinfantil,tdahadulto,neuropsicologia,criacaodefilhos,educacao,paulafrati")</f>
        <v>tdah,tdahinfantil,tdahadulto,neuropsicologia,criacaodefilhos,educacao,paulafrati</v>
      </c>
      <c r="G130" s="6">
        <f>IFERROR(__xludf.DUMMYFUNCTION("IF(
  TRIM(E130)="""",
  0,
  COUNTA(
    SPLIT(
      REGEXREPLACE(E130,""\s*,\s*"","",""),
      "",""
    )
  )
)"),7.0)</f>
        <v>7</v>
      </c>
    </row>
    <row r="131">
      <c r="A131" s="5" t="str">
        <f>IFERROR(__xludf.DUMMYFUNCTION("""COMPUTED_VALUE"""),"7527803158802828600")</f>
        <v>7527803158802828600</v>
      </c>
      <c r="B131" s="5" t="str">
        <f>IFERROR(__xludf.DUMMYFUNCTION("""COMPUTED_VALUE"""),"psi.walace")</f>
        <v>psi.walace</v>
      </c>
      <c r="C131" s="5" t="str">
        <f>IFERROR(__xludf.DUMMYFUNCTION("""COMPUTED_VALUE"""),"Walace Almeida | Psicólogo")</f>
        <v>Walace Almeida | Psicólogo</v>
      </c>
      <c r="D131" s="5" t="str">
        <f>IFERROR(__xludf.DUMMYFUNCTION("""COMPUTED_VALUE"""),"Sua rotina é assim? É uma rotina bem comum na vida de uma pessoa com TDAH, principalmente do tipo desatento. Inclusive muito normal o ciclo de iniciar uma tarefa e não conseguir finaliza-la, o que pode gerar muita frustração. #psicologia #tdah #tdahadulto"&amp;" ")</f>
        <v>Sua rotina é assim? É uma rotina bem comum na vida de uma pessoa com TDAH, principalmente do tipo desatento. Inclusive muito normal o ciclo de iniciar uma tarefa e não conseguir finaliza-la, o que pode gerar muita frustração. #psicologia #tdah #tdahadulto </v>
      </c>
      <c r="E131" s="5" t="str">
        <f>IFERROR(__xludf.DUMMYFUNCTION("""COMPUTED_VALUE"""),"psicologia,tdah,tdahadulto")</f>
        <v>psicologia,tdah,tdahadulto</v>
      </c>
      <c r="G131" s="6">
        <f>IFERROR(__xludf.DUMMYFUNCTION("IF(
  TRIM(E131)="""",
  0,
  COUNTA(
    SPLIT(
      REGEXREPLACE(E131,""\s*,\s*"","",""),
      "",""
    )
  )
)"),3.0)</f>
        <v>3</v>
      </c>
    </row>
    <row r="132">
      <c r="A132" s="5" t="str">
        <f>IFERROR(__xludf.DUMMYFUNCTION("""COMPUTED_VALUE"""),"7511337228283514118")</f>
        <v>7511337228283514118</v>
      </c>
      <c r="B132" s="5" t="str">
        <f>IFERROR(__xludf.DUMMYFUNCTION("""COMPUTED_VALUE"""),"psi.jonathanorlandi")</f>
        <v>psi.jonathanorlandi</v>
      </c>
      <c r="C132" s="5" t="str">
        <f>IFERROR(__xludf.DUMMYFUNCTION("""COMPUTED_VALUE"""),"Jonathan. O psicólogo sincero")</f>
        <v>Jonathan. O psicólogo sincero</v>
      </c>
      <c r="D132" s="5" t="str">
        <f>IFERROR(__xludf.DUMMYFUNCTION("""COMPUTED_VALUE"""),"Pessoas com TDAH são extremamente inteligentes. Mas a frustração vem quando tentamos nos encaixar num padrão que não foi feito pra gente. A gente aprende diferente. Pensa fora da curva. Mas insiste em se medir com a régua dos outros. E aí, quando não alca"&amp;"nça o “normal”, se sente burro. Inadequado. Menos. Mas a verdade é: o problema nunca foi a sua inteligência. Foi só a comparação errada. #tdah #tdahadulto #comportamento #terapia #psicologia #curiosidade #psicoterapia #neurociência #foco #distraidosvencer"&amp;"emos")</f>
        <v>Pessoas com TDAH são extremamente inteligentes. Mas a frustração vem quando tentamos nos encaixar num padrão que não foi feito pra gente. A gente aprende diferente. Pensa fora da curva. Mas insiste em se medir com a régua dos outros. E aí, quando não alcança o “normal”, se sente burro. Inadequado. Menos. Mas a verdade é: o problema nunca foi a sua inteligência. Foi só a comparação errada. #tdah #tdahadulto #comportamento #terapia #psicologia #curiosidade #psicoterapia #neurociência #foco #distraidosvenceremos</v>
      </c>
      <c r="E132" s="5" t="str">
        <f>IFERROR(__xludf.DUMMYFUNCTION("""COMPUTED_VALUE"""),"tdah,tdahadulto,comportamento,terapia,psicologia,curiosidade,psicoterapia,neurociência,foco,distraidosvenceremos")</f>
        <v>tdah,tdahadulto,comportamento,terapia,psicologia,curiosidade,psicoterapia,neurociência,foco,distraidosvenceremos</v>
      </c>
      <c r="G132" s="6">
        <f>IFERROR(__xludf.DUMMYFUNCTION("IF(
  TRIM(E132)="""",
  0,
  COUNTA(
    SPLIT(
      REGEXREPLACE(E132,""\s*,\s*"","",""),
      "",""
    )
  )
)"),10.0)</f>
        <v>10</v>
      </c>
    </row>
    <row r="133">
      <c r="A133" s="5" t="str">
        <f>IFERROR(__xludf.DUMMYFUNCTION("""COMPUTED_VALUE"""),"7345987860761201926")</f>
        <v>7345987860761201926</v>
      </c>
      <c r="B133" s="5" t="str">
        <f>IFERROR(__xludf.DUMMYFUNCTION("""COMPUTED_VALUE"""),"saude_e_bemestar__")</f>
        <v>saude_e_bemestar__</v>
      </c>
      <c r="C133" s="5" t="str">
        <f>IFERROR(__xludf.DUMMYFUNCTION("""COMPUTED_VALUE"""),"SAÚDE E BEM ESTAR")</f>
        <v>SAÚDE E BEM ESTAR</v>
      </c>
      <c r="D133" s="5" t="str">
        <f>IFERROR(__xludf.DUMMYFUNCTION("""COMPUTED_VALUE"""),"O TDAH já acorda cansado. #tdah #tdahadulto #sono #dormir #saudavel #saude #bemestar")</f>
        <v>O TDAH já acorda cansado. #tdah #tdahadulto #sono #dormir #saudavel #saude #bemestar</v>
      </c>
      <c r="E133" s="5" t="str">
        <f>IFERROR(__xludf.DUMMYFUNCTION("""COMPUTED_VALUE"""),"tdah,tdahadulto,sono,dormir,saudavel,saude,bemestar")</f>
        <v>tdah,tdahadulto,sono,dormir,saudavel,saude,bemestar</v>
      </c>
      <c r="G133" s="6">
        <f>IFERROR(__xludf.DUMMYFUNCTION("IF(
  TRIM(E133)="""",
  0,
  COUNTA(
    SPLIT(
      REGEXREPLACE(E133,""\s*,\s*"","",""),
      "",""
    )
  )
)"),7.0)</f>
        <v>7</v>
      </c>
    </row>
    <row r="134">
      <c r="A134" s="5" t="str">
        <f>IFERROR(__xludf.DUMMYFUNCTION("""COMPUTED_VALUE"""),"7437660820085034295")</f>
        <v>7437660820085034295</v>
      </c>
      <c r="B134" s="5" t="str">
        <f>IFERROR(__xludf.DUMMYFUNCTION("""COMPUTED_VALUE"""),"lorenatdahta")</f>
        <v>lorenatdahta</v>
      </c>
      <c r="C134" s="5" t="str">
        <f>IFERROR(__xludf.DUMMYFUNCTION("""COMPUTED_VALUE"""),"Lorena TDAHTA")</f>
        <v>Lorena TDAHTA</v>
      </c>
      <c r="D134" s="5" t="str">
        <f>IFERROR(__xludf.DUMMYFUNCTION("""COMPUTED_VALUE"""),"O sofrimento que um TDAH enfrenta ❤️‍🩹 . . . . . . . Com voz de: Yuri Lima - TDAH Descomplicado   #tdahta #tdahadulto #tdah #tdahdescomplicado")</f>
        <v>O sofrimento que um TDAH enfrenta ❤️‍🩹 . . . . . . . Com voz de: Yuri Lima - TDAH Descomplicado   #tdahta #tdahadulto #tdah #tdahdescomplicado</v>
      </c>
      <c r="E134" s="5" t="str">
        <f>IFERROR(__xludf.DUMMYFUNCTION("""COMPUTED_VALUE"""),"tdahta,tdahadulto,tdah,tdahdescomplicado")</f>
        <v>tdahta,tdahadulto,tdah,tdahdescomplicado</v>
      </c>
      <c r="G134" s="6">
        <f>IFERROR(__xludf.DUMMYFUNCTION("IF(
  TRIM(E134)="""",
  0,
  COUNTA(
    SPLIT(
      REGEXREPLACE(E134,""\s*,\s*"","",""),
      "",""
    )
  )
)"),4.0)</f>
        <v>4</v>
      </c>
    </row>
    <row r="135">
      <c r="A135" s="5" t="str">
        <f>IFERROR(__xludf.DUMMYFUNCTION("""COMPUTED_VALUE"""),"7526191272176913669")</f>
        <v>7526191272176913669</v>
      </c>
      <c r="B135" s="5" t="str">
        <f>IFERROR(__xludf.DUMMYFUNCTION("""COMPUTED_VALUE"""),"liberdade.mentall")</f>
        <v>liberdade.mentall</v>
      </c>
      <c r="C135" s="5" t="str">
        <f>IFERROR(__xludf.DUMMYFUNCTION("""COMPUTED_VALUE"""),"Liberdade Mental 🧠💫")</f>
        <v>Liberdade Mental 🧠💫</v>
      </c>
      <c r="D135" s="5" t="str">
        <f>IFERROR(__xludf.DUMMYFUNCTION("""COMPUTED_VALUE"""),"Remédio para TDAH é ilusão!  #tdah #oqueetdah #sintomastdah #tdahadulto")</f>
        <v>Remédio para TDAH é ilusão!  #tdah #oqueetdah #sintomastdah #tdahadulto</v>
      </c>
      <c r="E135" s="5" t="str">
        <f>IFERROR(__xludf.DUMMYFUNCTION("""COMPUTED_VALUE"""),"tdah,oqueetdah,sintomastdah,tdahadulto")</f>
        <v>tdah,oqueetdah,sintomastdah,tdahadulto</v>
      </c>
      <c r="G135" s="6">
        <f>IFERROR(__xludf.DUMMYFUNCTION("IF(
  TRIM(E135)="""",
  0,
  COUNTA(
    SPLIT(
      REGEXREPLACE(E135,""\s*,\s*"","",""),
      "",""
    )
  )
)"),4.0)</f>
        <v>4</v>
      </c>
    </row>
    <row r="136">
      <c r="A136" s="5" t="str">
        <f>IFERROR(__xludf.DUMMYFUNCTION("""COMPUTED_VALUE"""),"7278465152897322246")</f>
        <v>7278465152897322246</v>
      </c>
      <c r="B136" s="5" t="str">
        <f>IFERROR(__xludf.DUMMYFUNCTION("""COMPUTED_VALUE"""),"psicologiaemcortes")</f>
        <v>psicologiaemcortes</v>
      </c>
      <c r="C136" s="5" t="str">
        <f>IFERROR(__xludf.DUMMYFUNCTION("""COMPUTED_VALUE"""),"Psicologia em Cortes")</f>
        <v>Psicologia em Cortes</v>
      </c>
      <c r="D136" s="5" t="str">
        <f>IFERROR(__xludf.DUMMYFUNCTION("""COMPUTED_VALUE"""),"Primeiro passo pro tratamento do TDAH 🤯✨ #pensamentos #pisicologia #cerebro #tdah #viraliza #saudemental")</f>
        <v>Primeiro passo pro tratamento do TDAH 🤯✨ #pensamentos #pisicologia #cerebro #tdah #viraliza #saudemental</v>
      </c>
      <c r="E136" s="5" t="str">
        <f>IFERROR(__xludf.DUMMYFUNCTION("""COMPUTED_VALUE"""),"pensamentos,pisicologia,cerebro,tdah,viraliza,saudemental")</f>
        <v>pensamentos,pisicologia,cerebro,tdah,viraliza,saudemental</v>
      </c>
      <c r="G136" s="6">
        <f>IFERROR(__xludf.DUMMYFUNCTION("IF(
  TRIM(E136)="""",
  0,
  COUNTA(
    SPLIT(
      REGEXREPLACE(E136,""\s*,\s*"","",""),
      "",""
    )
  )
)"),6.0)</f>
        <v>6</v>
      </c>
    </row>
    <row r="137">
      <c r="A137" s="5" t="str">
        <f>IFERROR(__xludf.DUMMYFUNCTION("""COMPUTED_VALUE"""),"7371972956039187717")</f>
        <v>7371972956039187717</v>
      </c>
      <c r="B137" s="5" t="str">
        <f>IFERROR(__xludf.DUMMYFUNCTION("""COMPUTED_VALUE"""),"igorpsicologo")</f>
        <v>igorpsicologo</v>
      </c>
      <c r="C137" s="5" t="str">
        <f>IFERROR(__xludf.DUMMYFUNCTION("""COMPUTED_VALUE"""),"Psicólogo Igor")</f>
        <v>Psicólogo Igor</v>
      </c>
      <c r="D137" s="5" t="str">
        <f>IFERROR(__xludf.DUMMYFUNCTION("""COMPUTED_VALUE"""),"SE IDENTIFICOU? #tdah #hiperatividade #saudemental #psicologoonline #psicoterapia #emocoes #viralizou #fyp #foryou #foryoupage")</f>
        <v>SE IDENTIFICOU? #tdah #hiperatividade #saudemental #psicologoonline #psicoterapia #emocoes #viralizou #fyp #foryou #foryoupage</v>
      </c>
      <c r="E137" s="5" t="str">
        <f>IFERROR(__xludf.DUMMYFUNCTION("""COMPUTED_VALUE"""),"tdah,hiperatividade,saudemental,psicologoonline,psicoterapia,emocoes,viralizou,fyp,foryou,foryoupage")</f>
        <v>tdah,hiperatividade,saudemental,psicologoonline,psicoterapia,emocoes,viralizou,fyp,foryou,foryoupage</v>
      </c>
      <c r="G137" s="6">
        <f>IFERROR(__xludf.DUMMYFUNCTION("IF(
  TRIM(E137)="""",
  0,
  COUNTA(
    SPLIT(
      REGEXREPLACE(E137,""\s*,\s*"","",""),
      "",""
    )
  )
)"),10.0)</f>
        <v>10</v>
      </c>
    </row>
    <row r="138">
      <c r="A138" s="5" t="str">
        <f>IFERROR(__xludf.DUMMYFUNCTION("""COMPUTED_VALUE"""),"7502596247262399799")</f>
        <v>7502596247262399799</v>
      </c>
      <c r="B138" s="5" t="str">
        <f>IFERROR(__xludf.DUMMYFUNCTION("""COMPUTED_VALUE"""),"seuneyzinho")</f>
        <v>seuneyzinho</v>
      </c>
      <c r="C138" s="5" t="str">
        <f>IFERROR(__xludf.DUMMYFUNCTION("""COMPUTED_VALUE"""),"seuneyzinho")</f>
        <v>seuneyzinho</v>
      </c>
      <c r="D138" s="5" t="str">
        <f>IFERROR(__xludf.DUMMYFUNCTION("""COMPUTED_VALUE"""),"📝 O QUE EU GOSTARIA DE TER OUVIDO NO DIA DO MEU DIAGNÓSTICO DE TDAH No dia em que ouvi “você tem TDAH”, tanta coisa passou pela minha cabeça. Medo, alívio, confusão. Eu precisava de alguém que dissesse que a jornada seria difícil, sim, mas também liberta"&amp;"dora. Que haveria dias de dúvida, mas também de autodescoberta. Gostaria de ter ouvido que TDAH não é sentença e, sim, convite: convite para se conhecer, testar estratégias, encontrar aliados e transformar diferenças em potência. Hoje, se você se sente pe"&amp;"rdido, quero te dizer: você não está só. Descobrir que existe um nome para o que você sente é apenas o começo da jornada. O medo, a recusa, a dúvida — tudo faz parte. O mais importante é lembrar: aceitar sua neurodiversidade é libertador. Seu cérebro pode"&amp;" ser seu aliado, não inimigo. Aceite-se, teste, ajuste. Orgulhe-se das vitórias, aprenda com as quedas. Com o tempo, você vai perceber que o maior tesouro do caminho é a autocompreensão e o poder de ajudar outros a vencerem seus próprios desafios. 💙✨ Se "&amp;"essa carta fala com você, compartilhe ou marque alguém! #TDAH #Neurodiversidade #SaúdeMentalImporta #Autoconhecimento #InspiraçãoReal #MinhaJornada #MindfulnessNaPrática #DiárioDeTDAH #TransformeSuaVida #ComunidadeTDAH")</f>
        <v>📝 O QUE EU GOSTARIA DE TER OUVIDO NO DIA DO MEU DIAGNÓSTICO DE TDAH No dia em que ouvi “você tem TDAH”, tanta coisa passou pela minha cabeça. Medo, alívio, confusão. Eu precisava de alguém que dissesse que a jornada seria difícil, sim, mas também libertadora. Que haveria dias de dúvida, mas também de autodescoberta. Gostaria de ter ouvido que TDAH não é sentença e, sim, convite: convite para se conhecer, testar estratégias, encontrar aliados e transformar diferenças em potência. Hoje, se você se sente perdido, quero te dizer: você não está só. Descobrir que existe um nome para o que você sente é apenas o começo da jornada. O medo, a recusa, a dúvida — tudo faz parte. O mais importante é lembrar: aceitar sua neurodiversidade é libertador. Seu cérebro pode ser seu aliado, não inimigo. Aceite-se, teste, ajuste. Orgulhe-se das vitórias, aprenda com as quedas. Com o tempo, você vai perceber que o maior tesouro do caminho é a autocompreensão e o poder de ajudar outros a vencerem seus próprios desafios. 💙✨ Se essa carta fala com você, compartilhe ou marque alguém! #TDAH #Neurodiversidade #SaúdeMentalImporta #Autoconhecimento #InspiraçãoReal #MinhaJornada #MindfulnessNaPrática #DiárioDeTDAH #TransformeSuaVida #ComunidadeTDAH</v>
      </c>
      <c r="E138" s="5" t="str">
        <f>IFERROR(__xludf.DUMMYFUNCTION("""COMPUTED_VALUE"""),"tdah,neurodiversidade,saúdementalimporta,autoconhecimento,inspiraçãoreal,minhajornada,mindfulnessnaprática,diáriodetdah,transformesuavida,comunidadetdah")</f>
        <v>tdah,neurodiversidade,saúdementalimporta,autoconhecimento,inspiraçãoreal,minhajornada,mindfulnessnaprática,diáriodetdah,transformesuavida,comunidadetdah</v>
      </c>
      <c r="G138" s="6">
        <f>IFERROR(__xludf.DUMMYFUNCTION("IF(
  TRIM(E138)="""",
  0,
  COUNTA(
    SPLIT(
      REGEXREPLACE(E138,""\s*,\s*"","",""),
      "",""
    )
  )
)"),10.0)</f>
        <v>10</v>
      </c>
    </row>
    <row r="139">
      <c r="A139" s="5" t="str">
        <f>IFERROR(__xludf.DUMMYFUNCTION("""COMPUTED_VALUE"""),"7537471214659439928")</f>
        <v>7537471214659439928</v>
      </c>
      <c r="B139" s="5" t="str">
        <f>IFERROR(__xludf.DUMMYFUNCTION("""COMPUTED_VALUE"""),"liberdade.mentall")</f>
        <v>liberdade.mentall</v>
      </c>
      <c r="C139" s="5" t="str">
        <f>IFERROR(__xludf.DUMMYFUNCTION("""COMPUTED_VALUE"""),"Liberdade Mental 🧠💫")</f>
        <v>Liberdade Mental 🧠💫</v>
      </c>
      <c r="D139" s="5" t="str">
        <f>IFERROR(__xludf.DUMMYFUNCTION("""COMPUTED_VALUE"""),"TDAH EM HOMENS... #tdah #sintomasdotdah #oqueetdah")</f>
        <v>TDAH EM HOMENS... #tdah #sintomasdotdah #oqueetdah</v>
      </c>
      <c r="E139" s="5" t="str">
        <f>IFERROR(__xludf.DUMMYFUNCTION("""COMPUTED_VALUE"""),"tdah,sintomasdotdah,oqueetdah")</f>
        <v>tdah,sintomasdotdah,oqueetdah</v>
      </c>
      <c r="G139" s="6">
        <f>IFERROR(__xludf.DUMMYFUNCTION("IF(
  TRIM(E139)="""",
  0,
  COUNTA(
    SPLIT(
      REGEXREPLACE(E139,""\s*,\s*"","",""),
      "",""
    )
  )
)"),3.0)</f>
        <v>3</v>
      </c>
    </row>
    <row r="140">
      <c r="A140" s="5" t="str">
        <f>IFERROR(__xludf.DUMMYFUNCTION("""COMPUTED_VALUE"""),"7457158230075116806")</f>
        <v>7457158230075116806</v>
      </c>
      <c r="B140" s="5" t="str">
        <f>IFERROR(__xludf.DUMMYFUNCTION("""COMPUTED_VALUE"""),"psi.jonathanorlandi")</f>
        <v>psi.jonathanorlandi</v>
      </c>
      <c r="C140" s="5" t="str">
        <f>IFERROR(__xludf.DUMMYFUNCTION("""COMPUTED_VALUE"""),"Jonathan. O psicólogo sincero")</f>
        <v>Jonathan. O psicólogo sincero</v>
      </c>
      <c r="D140" s="5" t="str">
        <f>IFERROR(__xludf.DUMMYFUNCTION("""COMPUTED_VALUE"""),"Cinco sintomas mais comuns do TDAH adulto 🔸 5º lugar - Sono nas horas mais importantes (86%) Precisa ir à academia? Estudar? É incrível como o sono aparece justamente quando algo importante precisa ser feito. 🔸 4º lugar - Ignorar manuais de instrução (8"&amp;"9%) Por que seguir o manual se dá pra tentar e errar? Montar coisas sem ler as instruções é clássico entre os TDAHs adultos. 🔸 3º lugar - Ler sem reter informações (91%) Você lê um capítulo inteiro, mas depois precisa voltar 20 páginas porque não faz ide"&amp;"ia do que acabou de ler. 🔸 2º lugar - Procrastinar até o último segundo (94%) Deixar tudo pra última hora é quase uma marca registrada. Parece que só a pressão faz as coisas acontecerem. 🔸 1º lugar - Facilidade em se distrair (96%) Tudo o que não é emer"&amp;"gencial parece que simplesmente desaparece da nossa lista de prioridades enquanto a mente viaja para longe. E você, TDAH, se identificou com algum desses sintomas? Conta aqui nos comentários! Tchau, tchau, Distraídos venceremos! 🌟 Referência: Barkley, R."&amp;" A., &amp; Benton, C. M. (2023). Vencendo o TDAH adulto: Transtorno de déficit de atenção e hiperatividade (2ª ed., pp. 261-262). #tdah #curiosidades #psicologia #comportamentos #distraidosvenceremos #foryou #comportamentohumano ")</f>
        <v>Cinco sintomas mais comuns do TDAH adulto 🔸 5º lugar - Sono nas horas mais importantes (86%) Precisa ir à academia? Estudar? É incrível como o sono aparece justamente quando algo importante precisa ser feito. 🔸 4º lugar - Ignorar manuais de instrução (89%) Por que seguir o manual se dá pra tentar e errar? Montar coisas sem ler as instruções é clássico entre os TDAHs adultos. 🔸 3º lugar - Ler sem reter informações (91%) Você lê um capítulo inteiro, mas depois precisa voltar 20 páginas porque não faz ideia do que acabou de ler. 🔸 2º lugar - Procrastinar até o último segundo (94%) Deixar tudo pra última hora é quase uma marca registrada. Parece que só a pressão faz as coisas acontecerem. 🔸 1º lugar - Facilidade em se distrair (96%) Tudo o que não é emergencial parece que simplesmente desaparece da nossa lista de prioridades enquanto a mente viaja para longe. E você, TDAH, se identificou com algum desses sintomas? Conta aqui nos comentários! Tchau, tchau, Distraídos venceremos! 🌟 Referência: Barkley, R. A., &amp; Benton, C. M. (2023). Vencendo o TDAH adulto: Transtorno de déficit de atenção e hiperatividade (2ª ed., pp. 261-262). #tdah #curiosidades #psicologia #comportamentos #distraidosvenceremos #foryou #comportamentohumano </v>
      </c>
      <c r="E140" s="5" t="str">
        <f>IFERROR(__xludf.DUMMYFUNCTION("""COMPUTED_VALUE"""),"tdah,curiosidades,psicologia,comportamentos,distraidosvenceremos,foryou,comportamentohumano")</f>
        <v>tdah,curiosidades,psicologia,comportamentos,distraidosvenceremos,foryou,comportamentohumano</v>
      </c>
      <c r="G140" s="6">
        <f>IFERROR(__xludf.DUMMYFUNCTION("IF(
  TRIM(E140)="""",
  0,
  COUNTA(
    SPLIT(
      REGEXREPLACE(E140,""\s*,\s*"","",""),
      "",""
    )
  )
)"),7.0)</f>
        <v>7</v>
      </c>
    </row>
    <row r="141">
      <c r="A141" s="5" t="str">
        <f>IFERROR(__xludf.DUMMYFUNCTION("""COMPUTED_VALUE"""),"7221912457990671621")</f>
        <v>7221912457990671621</v>
      </c>
      <c r="B141" s="5" t="str">
        <f>IFERROR(__xludf.DUMMYFUNCTION("""COMPUTED_VALUE"""),"lorenatdahta")</f>
        <v>lorenatdahta</v>
      </c>
      <c r="C141" s="5" t="str">
        <f>IFERROR(__xludf.DUMMYFUNCTION("""COMPUTED_VALUE"""),"Lorena TDAHTA")</f>
        <v>Lorena TDAHTA</v>
      </c>
      <c r="D141" s="5" t="str">
        <f>IFERROR(__xludf.DUMMYFUNCTION("""COMPUTED_VALUE"""),"Se você se reconhece nos sintomas do TDAH e se esses sintomas te causam prejuízo ou sofrimento ao longo da sua vida, procure a opinião de um profissional! Pode Psiquiatra ou Neuro, ambos saberão te orientar, diagnosticar e prescrever medicação caso necess"&amp;"ário. TDAH tem tratamento e com acompanhamento correto, muda nossa qualidade de vida! #tdahpositivo #oqueétdah #diagnosticotdah ")</f>
        <v>Se você se reconhece nos sintomas do TDAH e se esses sintomas te causam prejuízo ou sofrimento ao longo da sua vida, procure a opinião de um profissional! Pode Psiquiatra ou Neuro, ambos saberão te orientar, diagnosticar e prescrever medicação caso necessário. TDAH tem tratamento e com acompanhamento correto, muda nossa qualidade de vida! #tdahpositivo #oqueétdah #diagnosticotdah </v>
      </c>
      <c r="E141" s="5" t="str">
        <f>IFERROR(__xludf.DUMMYFUNCTION("""COMPUTED_VALUE"""),"tdahpositivo,oqueétdah,diagnosticotdah")</f>
        <v>tdahpositivo,oqueétdah,diagnosticotdah</v>
      </c>
      <c r="G141" s="6">
        <f>IFERROR(__xludf.DUMMYFUNCTION("IF(
  TRIM(E141)="""",
  0,
  COUNTA(
    SPLIT(
      REGEXREPLACE(E141,""\s*,\s*"","",""),
      "",""
    )
  )
)"),3.0)</f>
        <v>3</v>
      </c>
    </row>
    <row r="142">
      <c r="A142" s="5" t="str">
        <f>IFERROR(__xludf.DUMMYFUNCTION("""COMPUTED_VALUE"""),"7569401587852905736")</f>
        <v>7569401587852905736</v>
      </c>
      <c r="B142" s="5" t="str">
        <f>IFERROR(__xludf.DUMMYFUNCTION("""COMPUTED_VALUE"""),"liberdade.mentall")</f>
        <v>liberdade.mentall</v>
      </c>
      <c r="C142" s="5" t="str">
        <f>IFERROR(__xludf.DUMMYFUNCTION("""COMPUTED_VALUE"""),"Liberdade Mental 🧠💫")</f>
        <v>Liberdade Mental 🧠💫</v>
      </c>
      <c r="D142" s="5" t="str">
        <f>IFERROR(__xludf.DUMMYFUNCTION("""COMPUTED_VALUE"""),"O que é TDAH? #tdah #oqueetdah #sintomasdotdah")</f>
        <v>O que é TDAH? #tdah #oqueetdah #sintomasdotdah</v>
      </c>
      <c r="E142" s="5" t="str">
        <f>IFERROR(__xludf.DUMMYFUNCTION("""COMPUTED_VALUE"""),"tdah,oqueetdah,sintomasdotdah")</f>
        <v>tdah,oqueetdah,sintomasdotdah</v>
      </c>
      <c r="G142" s="6">
        <f>IFERROR(__xludf.DUMMYFUNCTION("IF(
  TRIM(E142)="""",
  0,
  COUNTA(
    SPLIT(
      REGEXREPLACE(E142,""\s*,\s*"","",""),
      "",""
    )
  )
)"),3.0)</f>
        <v>3</v>
      </c>
    </row>
    <row r="143">
      <c r="A143" s="5" t="str">
        <f>IFERROR(__xludf.DUMMYFUNCTION("""COMPUTED_VALUE"""),"7565297789245099284")</f>
        <v>7565297789245099284</v>
      </c>
      <c r="B143" s="5" t="str">
        <f>IFERROR(__xludf.DUMMYFUNCTION("""COMPUTED_VALUE"""),"dulcivaldejesussantos")</f>
        <v>dulcivaldejesussantos</v>
      </c>
      <c r="C143" s="5" t="str">
        <f>IFERROR(__xludf.DUMMYFUNCTION("""COMPUTED_VALUE"""),"cival kit tdah e autismo 🧩🧩")</f>
        <v>cival kit tdah e autismo 🧩🧩</v>
      </c>
      <c r="D143" s="5" t="str">
        <f>IFERROR(__xludf.DUMMYFUNCTION("""COMPUTED_VALUE"""),"#tdah #tdahadulto #inclusao #fy")</f>
        <v>#tdah #tdahadulto #inclusao #fy</v>
      </c>
      <c r="E143" s="5" t="str">
        <f>IFERROR(__xludf.DUMMYFUNCTION("""COMPUTED_VALUE"""),"tdah,tdahadulto,inclusao,fy")</f>
        <v>tdah,tdahadulto,inclusao,fy</v>
      </c>
      <c r="G143" s="6">
        <f>IFERROR(__xludf.DUMMYFUNCTION("IF(
  TRIM(E143)="""",
  0,
  COUNTA(
    SPLIT(
      REGEXREPLACE(E143,""\s*,\s*"","",""),
      "",""
    )
  )
)"),4.0)</f>
        <v>4</v>
      </c>
    </row>
    <row r="144">
      <c r="A144" s="5" t="str">
        <f>IFERROR(__xludf.DUMMYFUNCTION("""COMPUTED_VALUE"""),"7491860058838404407")</f>
        <v>7491860058838404407</v>
      </c>
      <c r="B144" s="5" t="str">
        <f>IFERROR(__xludf.DUMMYFUNCTION("""COMPUTED_VALUE"""),"curiosos_epicos")</f>
        <v>curiosos_epicos</v>
      </c>
      <c r="C144" s="5" t="str">
        <f>IFERROR(__xludf.DUMMYFUNCTION("""COMPUTED_VALUE"""),"Curiosos Épicos")</f>
        <v>Curiosos Épicos</v>
      </c>
      <c r="D144" s="5" t="str">
        <f>IFERROR(__xludf.DUMMYFUNCTION("""COMPUTED_VALUE"""),"Você sabia que pessoas com TDAH podem ser assim!? #fatospsicológicos #tdah #ansiedade #saudemental")</f>
        <v>Você sabia que pessoas com TDAH podem ser assim!? #fatospsicológicos #tdah #ansiedade #saudemental</v>
      </c>
      <c r="E144" s="5" t="str">
        <f>IFERROR(__xludf.DUMMYFUNCTION("""COMPUTED_VALUE"""),"fatospsicológicos,tdah,ansiedade,saudemental")</f>
        <v>fatospsicológicos,tdah,ansiedade,saudemental</v>
      </c>
      <c r="G144" s="6">
        <f>IFERROR(__xludf.DUMMYFUNCTION("IF(
  TRIM(E144)="""",
  0,
  COUNTA(
    SPLIT(
      REGEXREPLACE(E144,""\s*,\s*"","",""),
      "",""
    )
  )
)"),4.0)</f>
        <v>4</v>
      </c>
    </row>
    <row r="145">
      <c r="A145" s="5" t="str">
        <f>IFERROR(__xludf.DUMMYFUNCTION("""COMPUTED_VALUE"""),"7488485939438767365")</f>
        <v>7488485939438767365</v>
      </c>
      <c r="B145" s="5" t="str">
        <f>IFERROR(__xludf.DUMMYFUNCTION("""COMPUTED_VALUE"""),"liberdade.mentall")</f>
        <v>liberdade.mentall</v>
      </c>
      <c r="C145" s="5" t="str">
        <f>IFERROR(__xludf.DUMMYFUNCTION("""COMPUTED_VALUE"""),"Liberdade Mental 🧠💫")</f>
        <v>Liberdade Mental 🧠💫</v>
      </c>
      <c r="D145" s="5" t="str">
        <f>IFERROR(__xludf.DUMMYFUNCTION("""COMPUTED_VALUE"""),"Você fala demais. Interrompe os outros. Quer atenção. Gosta de ser o centro. E as pessoas começam a te olhar torto, a te chamar de egocêntrico. De arrogante. De narcisista. Mas não é isso. Não é sobre se achar melhor. É sobre tentar existir num mundo que "&amp;"te faz se sentir um merda o tempo todo. Você fala porque, se não falar, esquece. Você se exalta porque precisa sentir que ainda importa. Você busca atenção porque já passou a vida inteira se sentindo ignorado. E no fundo… você só queria ser compreendido. "&amp;"O TDAH não tratado transforma tudo em exagero. Em excesso. Você ama demais, fala demais, sente demais, explode por pouco… E depois se culpa por tudo. Acha que tá se achando? Na real, você tá se segurando pra não se odiar de vez. E todo esse ""narcisismo"""&amp;" que os outros enxergam… É só uma defesa. Pra não desabar. O problema não é quem você é. É o que o TDAH tá fazendo com você. E se você continuar fingindo que dá pra levar, Vai perder sua identidade no meio desse caos. Vai ser rotulado, julgado, afastado —"&amp;" Sem ninguém entender o que tá por trás. #tdah #oqueetdah #sintomasdotdah ")</f>
        <v>Você fala demais. Interrompe os outros. Quer atenção. Gosta de ser o centro. E as pessoas começam a te olhar torto, a te chamar de egocêntrico. De arrogante. De narcisista. Mas não é isso. Não é sobre se achar melhor. É sobre tentar existir num mundo que te faz se sentir um merda o tempo todo. Você fala porque, se não falar, esquece. Você se exalta porque precisa sentir que ainda importa. Você busca atenção porque já passou a vida inteira se sentindo ignorado. E no fundo… você só queria ser compreendido. O TDAH não tratado transforma tudo em exagero. Em excesso. Você ama demais, fala demais, sente demais, explode por pouco… E depois se culpa por tudo. Acha que tá se achando? Na real, você tá se segurando pra não se odiar de vez. E todo esse "narcisismo" que os outros enxergam… É só uma defesa. Pra não desabar. O problema não é quem você é. É o que o TDAH tá fazendo com você. E se você continuar fingindo que dá pra levar, Vai perder sua identidade no meio desse caos. Vai ser rotulado, julgado, afastado — Sem ninguém entender o que tá por trás. #tdah #oqueetdah #sintomasdotdah </v>
      </c>
      <c r="E145" s="5" t="str">
        <f>IFERROR(__xludf.DUMMYFUNCTION("""COMPUTED_VALUE"""),"tdah,oqueetdah,sintomasdotdah")</f>
        <v>tdah,oqueetdah,sintomasdotdah</v>
      </c>
      <c r="G145" s="6">
        <f>IFERROR(__xludf.DUMMYFUNCTION("IF(
  TRIM(E145)="""",
  0,
  COUNTA(
    SPLIT(
      REGEXREPLACE(E145,""\s*,\s*"","",""),
      "",""
    )
  )
)"),3.0)</f>
        <v>3</v>
      </c>
    </row>
    <row r="146">
      <c r="A146" s="5" t="str">
        <f>IFERROR(__xludf.DUMMYFUNCTION("""COMPUTED_VALUE"""),"7519548755490704646")</f>
        <v>7519548755490704646</v>
      </c>
      <c r="B146" s="5" t="str">
        <f>IFERROR(__xludf.DUMMYFUNCTION("""COMPUTED_VALUE"""),"psi.walace")</f>
        <v>psi.walace</v>
      </c>
      <c r="C146" s="5" t="str">
        <f>IFERROR(__xludf.DUMMYFUNCTION("""COMPUTED_VALUE"""),"Walace Almeida | Psicólogo")</f>
        <v>Walace Almeida | Psicólogo</v>
      </c>
      <c r="D146" s="5" t="str">
        <f>IFERROR(__xludf.DUMMYFUNCTION("""COMPUTED_VALUE"""),"Como você sente saudade? A pessoa com TDAH tem algumas formas de lidar com a saudade, e muitas vezes vai por essas duas vertentes, ou sente exacerbadamente ou parece que não sente, mas em ambos os casos é um fato: a pessoa sente saudade, ainda que muitas "&amp;"vezes pode não parecer. #psicologia #tdah #tdahadulto ")</f>
        <v>Como você sente saudade? A pessoa com TDAH tem algumas formas de lidar com a saudade, e muitas vezes vai por essas duas vertentes, ou sente exacerbadamente ou parece que não sente, mas em ambos os casos é um fato: a pessoa sente saudade, ainda que muitas vezes pode não parecer. #psicologia #tdah #tdahadulto </v>
      </c>
      <c r="E146" s="5" t="str">
        <f>IFERROR(__xludf.DUMMYFUNCTION("""COMPUTED_VALUE"""),"psicologia,tdah,tdahadulto")</f>
        <v>psicologia,tdah,tdahadulto</v>
      </c>
      <c r="G146" s="6">
        <f>IFERROR(__xludf.DUMMYFUNCTION("IF(
  TRIM(E146)="""",
  0,
  COUNTA(
    SPLIT(
      REGEXREPLACE(E146,""\s*,\s*"","",""),
      "",""
    )
  )
)"),3.0)</f>
        <v>3</v>
      </c>
    </row>
    <row r="147">
      <c r="A147" s="5" t="str">
        <f>IFERROR(__xludf.DUMMYFUNCTION("""COMPUTED_VALUE"""),"7568993913797725460")</f>
        <v>7568993913797725460</v>
      </c>
      <c r="B147" s="5" t="str">
        <f>IFERROR(__xludf.DUMMYFUNCTION("""COMPUTED_VALUE"""),"psi.walace")</f>
        <v>psi.walace</v>
      </c>
      <c r="C147" s="5" t="str">
        <f>IFERROR(__xludf.DUMMYFUNCTION("""COMPUTED_VALUE"""),"Walace Almeida | Psicólogo")</f>
        <v>Walace Almeida | Psicólogo</v>
      </c>
      <c r="D147" s="5" t="str">
        <f>IFERROR(__xludf.DUMMYFUNCTION("""COMPUTED_VALUE"""),"Você já quis muito fazer algo… mas simplesmente não conseguiu começar? Ficou ali, parado, olhando pro nada, com a cabeça acelerada e o corpo travado? Isso é a chamada paralisia por TDAH, e não, não é preguiça. A paralisia acontece quando o cérebro com TDA"&amp;"H entra em sobrecarga cognitiva e emocional. A dificuldade de priorizar tarefas, o medo de errar, a autocrítica e o excesso de estímulos fazem o córtex pré-frontal (responsável por iniciar ações) “desligar” temporariamente. É como se o cérebro dissesse: “"&amp;"é demais pra mim agora”. Como lidar com isso: • Reduza o tamanho da tarefa, comece por micropassos (abrir o arquivo, sentar na mesa, dar play no cronômetro). • Tire o peso emocional, lembre-se: começar mal é melhor que não começar. • Use timers curtos (5–"&amp;"10min), o cérebro precisa de impulso inicial, não perfeição. • Acolha o bloqueio, ele é um sintoma, não um defeito. Paralisar não é falta de força de vontade, é um cérebro sobrecarregado pedindo pausas e estrutura. #psicologia #tdah #tdahadulto ")</f>
        <v>Você já quis muito fazer algo… mas simplesmente não conseguiu começar? Ficou ali, parado, olhando pro nada, com a cabeça acelerada e o corpo travado? Isso é a chamada paralisia por TDAH, e não, não é preguiça. A paralisia acontece quando o cérebro com TDAH entra em sobrecarga cognitiva e emocional. A dificuldade de priorizar tarefas, o medo de errar, a autocrítica e o excesso de estímulos fazem o córtex pré-frontal (responsável por iniciar ações) “desligar” temporariamente. É como se o cérebro dissesse: “é demais pra mim agora”. Como lidar com isso: • Reduza o tamanho da tarefa, comece por micropassos (abrir o arquivo, sentar na mesa, dar play no cronômetro). • Tire o peso emocional, lembre-se: começar mal é melhor que não começar. • Use timers curtos (5–10min), o cérebro precisa de impulso inicial, não perfeição. • Acolha o bloqueio, ele é um sintoma, não um defeito. Paralisar não é falta de força de vontade, é um cérebro sobrecarregado pedindo pausas e estrutura. #psicologia #tdah #tdahadulto </v>
      </c>
      <c r="E147" s="5" t="str">
        <f>IFERROR(__xludf.DUMMYFUNCTION("""COMPUTED_VALUE"""),"psicologia,tdah,tdahadulto")</f>
        <v>psicologia,tdah,tdahadulto</v>
      </c>
      <c r="G147" s="6">
        <f>IFERROR(__xludf.DUMMYFUNCTION("IF(
  TRIM(E147)="""",
  0,
  COUNTA(
    SPLIT(
      REGEXREPLACE(E147,""\s*,\s*"","",""),
      "",""
    )
  )
)"),3.0)</f>
        <v>3</v>
      </c>
    </row>
    <row r="148">
      <c r="A148" s="5" t="str">
        <f>IFERROR(__xludf.DUMMYFUNCTION("""COMPUTED_VALUE"""),"7544146048311168312")</f>
        <v>7544146048311168312</v>
      </c>
      <c r="B148" s="5" t="str">
        <f>IFERROR(__xludf.DUMMYFUNCTION("""COMPUTED_VALUE"""),"aprendendocomotdah")</f>
        <v>aprendendocomotdah</v>
      </c>
      <c r="C148" s="5" t="str">
        <f>IFERROR(__xludf.DUMMYFUNCTION("""COMPUTED_VALUE"""),"Desvendando o TDAH")</f>
        <v>Desvendando o TDAH</v>
      </c>
      <c r="D148" s="5" t="str">
        <f>IFERROR(__xludf.DUMMYFUNCTION("""COMPUTED_VALUE"""),"O TDAH vai muito além de “esquecimento” ou “agitação”. É um jeito único de ver e viver o mundo. 🌍✨ 👉 Descubra mais no link da bio! #ConvivendoComTDAH #TDAHemAdultos #Psicologia #SaudeDaMente #Autoconhecimento")</f>
        <v>O TDAH vai muito além de “esquecimento” ou “agitação”. É um jeito único de ver e viver o mundo. 🌍✨ 👉 Descubra mais no link da bio! #ConvivendoComTDAH #TDAHemAdultos #Psicologia #SaudeDaMente #Autoconhecimento</v>
      </c>
      <c r="E148" s="5" t="str">
        <f>IFERROR(__xludf.DUMMYFUNCTION("""COMPUTED_VALUE"""),"convivendocomtdah,tdahemadultos,psicologia,saudedamente,autoconhecimento")</f>
        <v>convivendocomtdah,tdahemadultos,psicologia,saudedamente,autoconhecimento</v>
      </c>
      <c r="G148" s="6">
        <f>IFERROR(__xludf.DUMMYFUNCTION("IF(
  TRIM(E148)="""",
  0,
  COUNTA(
    SPLIT(
      REGEXREPLACE(E148,""\s*,\s*"","",""),
      "",""
    )
  )
)"),5.0)</f>
        <v>5</v>
      </c>
    </row>
    <row r="149">
      <c r="A149" s="5" t="str">
        <f>IFERROR(__xludf.DUMMYFUNCTION("""COMPUTED_VALUE"""),"7566025460065357077")</f>
        <v>7566025460065357077</v>
      </c>
      <c r="B149" s="5" t="str">
        <f>IFERROR(__xludf.DUMMYFUNCTION("""COMPUTED_VALUE"""),"psi.walace")</f>
        <v>psi.walace</v>
      </c>
      <c r="C149" s="5" t="str">
        <f>IFERROR(__xludf.DUMMYFUNCTION("""COMPUTED_VALUE"""),"Walace Almeida | Psicólogo")</f>
        <v>Walace Almeida | Psicólogo</v>
      </c>
      <c r="D149" s="5" t="str">
        <f>IFERROR(__xludf.DUMMYFUNCTION("""COMPUTED_VALUE"""),"Você já teve que pedir para a pessoa repetir o que falou… ou escutar em ambiente barulhento e mesmo assim parece que “não entrou”?Quando temos TDAH, isso pode não ser só falta de atenção — pode haver dificuldades no processamento auditivo. ⠀ ➡️ Pessoas co"&amp;"m TDAH podem apresentar uma capacidade reduzida de selecionar e processar sons-alvo em meio a ruído, ou integrar dois ouvidos simultaneamente, o que torna ambientes com muitos estímulos (mobília, som ambiente, várias vozes) especialmente desafiadores. ⠀ "&amp;"💡 Na terapia cognitivo-comportamental (TCC), reconhecemos que esses “ruídos internos/externos” aumentam o esforço atencional, aceleram a fadiga e favorecem distração e incompreensão — não é preguiça ou falta de vontade, é cérebro exigido. ⠀ 🎯 Estratégia"&amp;"s práticas: • Avise quando precisa de repetição (“Poderia repetir, por favor?”) sem culpa. • Minimize ruído de fundo (fones com cancelamento, separar local tranquilo). • Peça para reformular ou escrever o que disse. • Inclua pausas sensoriais se estiver e"&amp;"m situação de sobrecarga. - Referência científica: Fu, T., et al. (2022). Sound localisation and auditory selective attention in school-aged children with ADHD. Frontiers in Neuroscience, 16:1051585. https://doi.org/10.3389/fnins.2022.1051585 #psicologia "&amp;"#tdah #tdahadulto ")</f>
        <v>Você já teve que pedir para a pessoa repetir o que falou… ou escutar em ambiente barulhento e mesmo assim parece que “não entrou”?Quando temos TDAH, isso pode não ser só falta de atenção — pode haver dificuldades no processamento auditivo. ⠀ ➡️ Pessoas com TDAH podem apresentar uma capacidade reduzida de selecionar e processar sons-alvo em meio a ruído, ou integrar dois ouvidos simultaneamente, o que torna ambientes com muitos estímulos (mobília, som ambiente, várias vozes) especialmente desafiadores. ⠀ 💡 Na terapia cognitivo-comportamental (TCC), reconhecemos que esses “ruídos internos/externos” aumentam o esforço atencional, aceleram a fadiga e favorecem distração e incompreensão — não é preguiça ou falta de vontade, é cérebro exigido. ⠀ 🎯 Estratégias práticas: • Avise quando precisa de repetição (“Poderia repetir, por favor?”) sem culpa. • Minimize ruído de fundo (fones com cancelamento, separar local tranquilo). • Peça para reformular ou escrever o que disse. • Inclua pausas sensoriais se estiver em situação de sobrecarga. - Referência científica: Fu, T., et al. (2022). Sound localisation and auditory selective attention in school-aged children with ADHD. Frontiers in Neuroscience, 16:1051585. https://doi.org/10.3389/fnins.2022.1051585 #psicologia #tdah #tdahadulto </v>
      </c>
      <c r="E149" s="5" t="str">
        <f>IFERROR(__xludf.DUMMYFUNCTION("""COMPUTED_VALUE"""),"psicologia,tdah,tdahadulto")</f>
        <v>psicologia,tdah,tdahadulto</v>
      </c>
      <c r="G149" s="6">
        <f>IFERROR(__xludf.DUMMYFUNCTION("IF(
  TRIM(E149)="""",
  0,
  COUNTA(
    SPLIT(
      REGEXREPLACE(E149,""\s*,\s*"","",""),
      "",""
    )
  )
)"),3.0)</f>
        <v>3</v>
      </c>
    </row>
    <row r="150">
      <c r="A150" s="5" t="str">
        <f>IFERROR(__xludf.DUMMYFUNCTION("""COMPUTED_VALUE"""),"7512252412501986565")</f>
        <v>7512252412501986565</v>
      </c>
      <c r="B150" s="5" t="str">
        <f>IFERROR(__xludf.DUMMYFUNCTION("""COMPUTED_VALUE"""),"neurodivergenciaeopapo")</f>
        <v>neurodivergenciaeopapo</v>
      </c>
      <c r="C150" s="5" t="str">
        <f>IFERROR(__xludf.DUMMYFUNCTION("""COMPUTED_VALUE"""),"Neurodivergência é o papo!")</f>
        <v>Neurodivergência é o papo!</v>
      </c>
      <c r="D150" s="5" t="str">
        <f>IFERROR(__xludf.DUMMYFUNCTION("""COMPUTED_VALUE"""),"#tdah #transtornodedeficitdeatencaoehiperatividade #transtornoneurodivergente #neurodivergencias #neurodivergente #paiatipico #maeatipica #criancaatipica ##ebooktdah #neurodivergenciaeopapo")</f>
        <v>#tdah #transtornodedeficitdeatencaoehiperatividade #transtornoneurodivergente #neurodivergencias #neurodivergente #paiatipico #maeatipica #criancaatipica ##ebooktdah #neurodivergenciaeopapo</v>
      </c>
      <c r="E150" s="5" t="str">
        <f>IFERROR(__xludf.DUMMYFUNCTION("""COMPUTED_VALUE"""),"tdah,transtornodedeficitdeatencaoehiperatividade,transtornoneurodivergente,neurodivergencias,neurodivergente,paiatipico,maeatipica,criancaatipica,ebooktdah,neurodivergenciaeopapo")</f>
        <v>tdah,transtornodedeficitdeatencaoehiperatividade,transtornoneurodivergente,neurodivergencias,neurodivergente,paiatipico,maeatipica,criancaatipica,ebooktdah,neurodivergenciaeopapo</v>
      </c>
      <c r="G150" s="6">
        <f>IFERROR(__xludf.DUMMYFUNCTION("IF(
  TRIM(E150)="""",
  0,
  COUNTA(
    SPLIT(
      REGEXREPLACE(E150,""\s*,\s*"","",""),
      "",""
    )
  )
)"),10.0)</f>
        <v>10</v>
      </c>
    </row>
    <row r="151">
      <c r="A151" s="5" t="str">
        <f>IFERROR(__xludf.DUMMYFUNCTION("""COMPUTED_VALUE"""),"7568559455319772437")</f>
        <v>7568559455319772437</v>
      </c>
      <c r="B151" s="5" t="str">
        <f>IFERROR(__xludf.DUMMYFUNCTION("""COMPUTED_VALUE"""),"labirintodamente6")</f>
        <v>labirintodamente6</v>
      </c>
      <c r="C151" s="5" t="str">
        <f>IFERROR(__xludf.DUMMYFUNCTION("""COMPUTED_VALUE"""),"LabirintodaMente")</f>
        <v>LabirintodaMente</v>
      </c>
      <c r="D151" s="5" t="str">
        <f>IFERROR(__xludf.DUMMYFUNCTION("""COMPUTED_VALUE"""),"#tdah ##vida #disfunção #desregulacionemocional #tdahemadultos")</f>
        <v>#tdah ##vida #disfunção #desregulacionemocional #tdahemadultos</v>
      </c>
      <c r="E151" s="5" t="str">
        <f>IFERROR(__xludf.DUMMYFUNCTION("""COMPUTED_VALUE"""),"tdah,vida,disfunção,desregulacionemocional,tdahemadultos")</f>
        <v>tdah,vida,disfunção,desregulacionemocional,tdahemadultos</v>
      </c>
      <c r="G151" s="6">
        <f>IFERROR(__xludf.DUMMYFUNCTION("IF(
  TRIM(E151)="""",
  0,
  COUNTA(
    SPLIT(
      REGEXREPLACE(E151,""\s*,\s*"","",""),
      "",""
    )
  )
)"),5.0)</f>
        <v>5</v>
      </c>
    </row>
    <row r="152">
      <c r="A152" s="5" t="str">
        <f>IFERROR(__xludf.DUMMYFUNCTION("""COMPUTED_VALUE"""),"7481442083299986743")</f>
        <v>7481442083299986743</v>
      </c>
      <c r="B152" s="5" t="str">
        <f>IFERROR(__xludf.DUMMYFUNCTION("""COMPUTED_VALUE"""),"lorenatdahta")</f>
        <v>lorenatdahta</v>
      </c>
      <c r="C152" s="5" t="str">
        <f>IFERROR(__xludf.DUMMYFUNCTION("""COMPUTED_VALUE"""),"Lorena TDAHTA")</f>
        <v>Lorena TDAHTA</v>
      </c>
      <c r="D152" s="5" t="str">
        <f>IFERROR(__xludf.DUMMYFUNCTION("""COMPUTED_VALUE"""),"15 Principais intomas do TDAH em ADULTOS 🧐 . . .  🫂 Se você se reconhece nos sintomas e se esses, te causam sofrimento ou prejuízos, procure um profissional de saúde mental capacitado. Que pode ser tanto um Psiquiatra, quanto um Neurologista.  📘 E se v"&amp;"ocê quer aprender a gerenciar melhor seu TDAH junto comigo, te ensino isso no meu Livro Digital. Confere no meu link da bio! 💛 📌 Referência: "" Os Principais Sintomas do TDAH em Adultos"", Dra. Ana Beatriz Barbosa.  #tdahsintomas #tdahadulto #draanabeat"&amp;"rizbarbosa")</f>
        <v>15 Principais intomas do TDAH em ADULTOS 🧐 . . .  🫂 Se você se reconhece nos sintomas e se esses, te causam sofrimento ou prejuízos, procure um profissional de saúde mental capacitado. Que pode ser tanto um Psiquiatra, quanto um Neurologista.  📘 E se você quer aprender a gerenciar melhor seu TDAH junto comigo, te ensino isso no meu Livro Digital. Confere no meu link da bio! 💛 📌 Referência: " Os Principais Sintomas do TDAH em Adultos", Dra. Ana Beatriz Barbosa.  #tdahsintomas #tdahadulto #draanabeatrizbarbosa</v>
      </c>
      <c r="E152" s="5" t="str">
        <f>IFERROR(__xludf.DUMMYFUNCTION("""COMPUTED_VALUE"""),"tdahsintomas,tdahadulto,draanabeatrizbarbosa")</f>
        <v>tdahsintomas,tdahadulto,draanabeatrizbarbosa</v>
      </c>
      <c r="G152" s="6">
        <f>IFERROR(__xludf.DUMMYFUNCTION("IF(
  TRIM(E152)="""",
  0,
  COUNTA(
    SPLIT(
      REGEXREPLACE(E152,""\s*,\s*"","",""),
      "",""
    )
  )
)"),3.0)</f>
        <v>3</v>
      </c>
    </row>
    <row r="153">
      <c r="A153" s="5" t="str">
        <f>IFERROR(__xludf.DUMMYFUNCTION("""COMPUTED_VALUE"""),"7565511003958512916")</f>
        <v>7565511003958512916</v>
      </c>
      <c r="B153" s="5" t="str">
        <f>IFERROR(__xludf.DUMMYFUNCTION("""COMPUTED_VALUE"""),"dulcivaldejesussantos")</f>
        <v>dulcivaldejesussantos</v>
      </c>
      <c r="C153" s="5" t="str">
        <f>IFERROR(__xludf.DUMMYFUNCTION("""COMPUTED_VALUE"""),"cival kit tdah e autismo 🧩🧩")</f>
        <v>cival kit tdah e autismo 🧩🧩</v>
      </c>
      <c r="D153" s="5" t="str">
        <f>IFERROR(__xludf.DUMMYFUNCTION("""COMPUTED_VALUE"""),"#tdah #tdahadulto #inclusao #fy")</f>
        <v>#tdah #tdahadulto #inclusao #fy</v>
      </c>
      <c r="E153" s="5" t="str">
        <f>IFERROR(__xludf.DUMMYFUNCTION("""COMPUTED_VALUE"""),"tdah,tdahadulto,inclusao,fy")</f>
        <v>tdah,tdahadulto,inclusao,fy</v>
      </c>
      <c r="G153" s="6">
        <f>IFERROR(__xludf.DUMMYFUNCTION("IF(
  TRIM(E153)="""",
  0,
  COUNTA(
    SPLIT(
      REGEXREPLACE(E153,""\s*,\s*"","",""),
      "",""
    )
  )
)"),4.0)</f>
        <v>4</v>
      </c>
    </row>
    <row r="154">
      <c r="A154" s="5" t="str">
        <f>IFERROR(__xludf.DUMMYFUNCTION("""COMPUTED_VALUE"""),"7276825993392786694")</f>
        <v>7276825993392786694</v>
      </c>
      <c r="B154" s="5" t="str">
        <f>IFERROR(__xludf.DUMMYFUNCTION("""COMPUTED_VALUE"""),"veigasaymon")</f>
        <v>veigasaymon</v>
      </c>
      <c r="C154" s="5" t="str">
        <f>IFERROR(__xludf.DUMMYFUNCTION("""COMPUTED_VALUE"""),"veigasaymon")</f>
        <v>veigasaymon</v>
      </c>
      <c r="D154" s="5" t="str">
        <f>IFERROR(__xludf.DUMMYFUNCTION("""COMPUTED_VALUE"""),"‼️TDAH x AUTOESTIMA‼️ O TDAH é um transtorno neuropsiquiátrico que afeta a capacidade de uma pessoa prestar atenção, controlar impulsos e regular seu nível de atividade. Isso pode levar a dificuldades acadêmicas, no trabalho e nas relações sociais. Aqui e"&amp;"stá como o TDAH pode impactar a autoestima: 1️⃣ Fracasso percebido: Pessoas com TDAH podem enfrentar dificuldades em tarefas cotidianas e muitas vezes percebem que estão falhando em comparação com os outros. Isso pode minar sua autoestima. 2️⃣ Críticas ex"&amp;"ternas: Críticas constantes de familiares, professores ou colegas devido ao comportamento associado ao TDAH, como distração ou impulsividade, podem prejudicar a autoestima. 3️⃣ Autocrítica: Indivíduos com TDAH podem desenvolver uma autocrítica severa devi"&amp;"do às suas lutas. Isso pode prejudicar sua autoimagem. 4️⃣ Sentimento de inadequação: Sentir-se desajeitado ou desorganizado devido ao TDAH pode levar a sentimentos de inadequação, o que afeta a autoestima. É importante lembrar que a autoestima pode ser t"&amp;"rabalhada e melhorada com o tratamento adequado para o TDAH, que pode incluir terapia comportamental, medicação e estratégias de gerenciamento. O apoio emocional também desempenha um papel fundamental na construção da autoestima de pessoas com TDAH. #tdah"&amp;" #tdahadulto #ansiedade #depressao #autoestima #psicologia #psiquiatria #saudemental")</f>
        <v>‼️TDAH x AUTOESTIMA‼️ O TDAH é um transtorno neuropsiquiátrico que afeta a capacidade de uma pessoa prestar atenção, controlar impulsos e regular seu nível de atividade. Isso pode levar a dificuldades acadêmicas, no trabalho e nas relações sociais. Aqui está como o TDAH pode impactar a autoestima: 1️⃣ Fracasso percebido: Pessoas com TDAH podem enfrentar dificuldades em tarefas cotidianas e muitas vezes percebem que estão falhando em comparação com os outros. Isso pode minar sua autoestima. 2️⃣ Críticas externas: Críticas constantes de familiares, professores ou colegas devido ao comportamento associado ao TDAH, como distração ou impulsividade, podem prejudicar a autoestima. 3️⃣ Autocrítica: Indivíduos com TDAH podem desenvolver uma autocrítica severa devido às suas lutas. Isso pode prejudicar sua autoimagem. 4️⃣ Sentimento de inadequação: Sentir-se desajeitado ou desorganizado devido ao TDAH pode levar a sentimentos de inadequação, o que afeta a autoestima. É importante lembrar que a autoestima pode ser trabalhada e melhorada com o tratamento adequado para o TDAH, que pode incluir terapia comportamental, medicação e estratégias de gerenciamento. O apoio emocional também desempenha um papel fundamental na construção da autoestima de pessoas com TDAH. #tdah #tdahadulto #ansiedade #depressao #autoestima #psicologia #psiquiatria #saudemental</v>
      </c>
      <c r="E154" s="5" t="str">
        <f>IFERROR(__xludf.DUMMYFUNCTION("""COMPUTED_VALUE"""),"tdah,tdahadulto,ansiedade,depressao,autoestima,psicologia,psiquiatria,saudemental")</f>
        <v>tdah,tdahadulto,ansiedade,depressao,autoestima,psicologia,psiquiatria,saudemental</v>
      </c>
      <c r="G154" s="6">
        <f>IFERROR(__xludf.DUMMYFUNCTION("IF(
  TRIM(E154)="""",
  0,
  COUNTA(
    SPLIT(
      REGEXREPLACE(E154,""\s*,\s*"","",""),
      "",""
    )
  )
)"),8.0)</f>
        <v>8</v>
      </c>
    </row>
    <row r="155">
      <c r="A155" s="5" t="str">
        <f>IFERROR(__xludf.DUMMYFUNCTION("""COMPUTED_VALUE"""),"7241960772794895621")</f>
        <v>7241960772794895621</v>
      </c>
      <c r="B155" s="5" t="str">
        <f>IFERROR(__xludf.DUMMYFUNCTION("""COMPUTED_VALUE"""),"brunolnunes")</f>
        <v>brunolnunes</v>
      </c>
      <c r="C155" s="5" t="str">
        <f>IFERROR(__xludf.DUMMYFUNCTION("""COMPUTED_VALUE"""),"Bruno Lima Nunes")</f>
        <v>Bruno Lima Nunes</v>
      </c>
      <c r="D155" s="5" t="str">
        <f>IFERROR(__xludf.DUMMYFUNCTION("""COMPUTED_VALUE"""),"👨🏻‍⚖️ Quando as pessoas não entendem isso, ficam um julgando o TDAH moralmente. E muitas vezes a própria pessoa que tem TDAH julga a si mesma. Você já recebeu julgamentos por isso ou costuma julgar a si mesmo? @ISTO NÃO É PODCAST  #tdah #tda #dda #tdaha"&amp;"dultos #tdahadulto")</f>
        <v>👨🏻‍⚖️ Quando as pessoas não entendem isso, ficam um julgando o TDAH moralmente. E muitas vezes a própria pessoa que tem TDAH julga a si mesma. Você já recebeu julgamentos por isso ou costuma julgar a si mesmo? @ISTO NÃO É PODCAST  #tdah #tda #dda #tdahadultos #tdahadulto</v>
      </c>
      <c r="E155" s="5" t="str">
        <f>IFERROR(__xludf.DUMMYFUNCTION("""COMPUTED_VALUE"""),"tdah,tda,dda,tdahadultos,tdahadulto")</f>
        <v>tdah,tda,dda,tdahadultos,tdahadulto</v>
      </c>
      <c r="G155" s="6">
        <f>IFERROR(__xludf.DUMMYFUNCTION("IF(
  TRIM(E155)="""",
  0,
  COUNTA(
    SPLIT(
      REGEXREPLACE(E155,""\s*,\s*"","",""),
      "",""
    )
  )
)"),5.0)</f>
        <v>5</v>
      </c>
    </row>
    <row r="156">
      <c r="A156" s="5" t="str">
        <f>IFERROR(__xludf.DUMMYFUNCTION("""COMPUTED_VALUE"""),"7472027625481915654")</f>
        <v>7472027625481915654</v>
      </c>
      <c r="B156" s="5" t="str">
        <f>IFERROR(__xludf.DUMMYFUNCTION("""COMPUTED_VALUE"""),"taharibnn")</f>
        <v>taharibnn</v>
      </c>
      <c r="C156" s="5" t="str">
        <f>IFERROR(__xludf.DUMMYFUNCTION("""COMPUTED_VALUE"""),"Tahar")</f>
        <v>Tahar</v>
      </c>
      <c r="D156" s="5" t="str">
        <f>IFERROR(__xludf.DUMMYFUNCTION("""COMPUTED_VALUE"""),"Só quem tem sabe o quão difícil é, né? 😅 . Estudar com TDAH pode ser desafiador, pois manter o foco é mais difícil do que para aqueles sem o transtorno. No entanto, buscar ajuda de um profissional especializado em TDAH pode ser transformador, ajudando a "&amp;"organizar a rotina e melhorar a concentração. Com o apoio certo, é possível transformar desafios em conquistas.  Além disso, compartilhar informações sobre TDAH aumenta a conscientização e pode mudar vidas, incentivando o apoio e a empatia em comunidades."&amp;" Compartilhe esse conhecimento e ajude a criar um mundo onde todos possam alcançar seus sonhos. 🌟 #tdah #tdahzando #tdahadulto ")</f>
        <v>Só quem tem sabe o quão difícil é, né? 😅 . Estudar com TDAH pode ser desafiador, pois manter o foco é mais difícil do que para aqueles sem o transtorno. No entanto, buscar ajuda de um profissional especializado em TDAH pode ser transformador, ajudando a organizar a rotina e melhorar a concentração. Com o apoio certo, é possível transformar desafios em conquistas.  Além disso, compartilhar informações sobre TDAH aumenta a conscientização e pode mudar vidas, incentivando o apoio e a empatia em comunidades. Compartilhe esse conhecimento e ajude a criar um mundo onde todos possam alcançar seus sonhos. 🌟 #tdah #tdahzando #tdahadulto </v>
      </c>
      <c r="E156" s="5" t="str">
        <f>IFERROR(__xludf.DUMMYFUNCTION("""COMPUTED_VALUE"""),"tdah,tdahzando,tdahadulto")</f>
        <v>tdah,tdahzando,tdahadulto</v>
      </c>
      <c r="G156" s="6">
        <f>IFERROR(__xludf.DUMMYFUNCTION("IF(
  TRIM(E156)="""",
  0,
  COUNTA(
    SPLIT(
      REGEXREPLACE(E156,""\s*,\s*"","",""),
      "",""
    )
  )
)"),3.0)</f>
        <v>3</v>
      </c>
    </row>
    <row r="157">
      <c r="A157" s="5" t="str">
        <f>IFERROR(__xludf.DUMMYFUNCTION("""COMPUTED_VALUE"""),"7412817886198205702")</f>
        <v>7412817886198205702</v>
      </c>
      <c r="B157" s="5" t="str">
        <f>IFERROR(__xludf.DUMMYFUNCTION("""COMPUTED_VALUE"""),"lorenatdahta")</f>
        <v>lorenatdahta</v>
      </c>
      <c r="C157" s="5" t="str">
        <f>IFERROR(__xludf.DUMMYFUNCTION("""COMPUTED_VALUE"""),"Lorena TDAHTA")</f>
        <v>Lorena TDAHTA</v>
      </c>
      <c r="D157" s="5" t="str">
        <f>IFERROR(__xludf.DUMMYFUNCTION("""COMPUTED_VALUE"""),"O TDAH vai muito além do que você vê! ❤️‍🩹 _________________________  🤨 Mas, o que é a ""HABITAT""?  É muito mais que uma comunidade! Criada por TDAHs, especialmente para TDAHs.  _________________________  🫂 Trazendo tudo que um dia eu busquei e não en"&amp;"contrei assim que recebi meu diagnóstico. E por isso, prometi a mim mesma, que um dia eu faria diferença na vida de outros TDAHs. Eis que esse momento chegou!  _________________________  👩🏻‍🚀 Mentorias Semanais Ao vivo, Aulas de Apoio, Descontos em Esp"&amp;"ecialistas, Grupo no Whats, Direcionamento... Tudo que você precisa para desenvolver a melhor versão de si mesmo, TDAH!  _________________________  🔗 Junte-se a nós no meu link da bio! 💛  #tdahta #tdahadulto #comunidadetdah #adhdcommunity #tdahapoio ")</f>
        <v>O TDAH vai muito além do que você vê! ❤️‍🩹 _________________________  🤨 Mas, o que é a "HABITAT"?  É muito mais que uma comunidade! Criada por TDAHs, especialmente para TDAHs.  _________________________  🫂 Trazendo tudo que um dia eu busquei e não encontrei assim que recebi meu diagnóstico. E por isso, prometi a mim mesma, que um dia eu faria diferença na vida de outros TDAHs. Eis que esse momento chegou!  _________________________  👩🏻‍🚀 Mentorias Semanais Ao vivo, Aulas de Apoio, Descontos em Especialistas, Grupo no Whats, Direcionamento... Tudo que você precisa para desenvolver a melhor versão de si mesmo, TDAH!  _________________________  🔗 Junte-se a nós no meu link da bio! 💛  #tdahta #tdahadulto #comunidadetdah #adhdcommunity #tdahapoio </v>
      </c>
      <c r="E157" s="5" t="str">
        <f>IFERROR(__xludf.DUMMYFUNCTION("""COMPUTED_VALUE"""),"tdahta,tdahadulto,comunidadetdah,adhdcommunity,tdahapoio")</f>
        <v>tdahta,tdahadulto,comunidadetdah,adhdcommunity,tdahapoio</v>
      </c>
      <c r="G157" s="6">
        <f>IFERROR(__xludf.DUMMYFUNCTION("IF(
  TRIM(E157)="""",
  0,
  COUNTA(
    SPLIT(
      REGEXREPLACE(E157,""\s*,\s*"","",""),
      "",""
    )
  )
)"),5.0)</f>
        <v>5</v>
      </c>
    </row>
    <row r="158">
      <c r="A158" s="5" t="str">
        <f>IFERROR(__xludf.DUMMYFUNCTION("""COMPUTED_VALUE"""),"7495529064619429126")</f>
        <v>7495529064619429126</v>
      </c>
      <c r="B158" s="5" t="str">
        <f>IFERROR(__xludf.DUMMYFUNCTION("""COMPUTED_VALUE"""),"coringafrasesia")</f>
        <v>coringafrasesia</v>
      </c>
      <c r="C158" s="5" t="str">
        <f>IFERROR(__xludf.DUMMYFUNCTION("""COMPUTED_VALUE"""),"Coringa🃏")</f>
        <v>Coringa🃏</v>
      </c>
      <c r="D158" s="5" t="str">
        <f>IFERROR(__xludf.DUMMYFUNCTION("""COMPUTED_VALUE"""),"🧠 E ai, quem se identificou? . O TDAH no adulto apresenta alguns sinais muito comuns que podem atrapalhar em seu dia a dia. É COMPREENSÍVEL o quanto deve ser difícil lidar com esses sintomas, justamente quando envolve pessoas e projetos. . CALMA! não vai"&amp;" ser este simples vídeo que vai DIAGNOSTICAR com esse tipo de transtorno. EXISTE TODO UM PROCESSO para se ter um diagnóstico. .  A SUA AJUDA ESTÁ NO LINK NO PERFIL! . #emocoes #saudemental #tdha #psicologoonline #autoconhecimento #psicoterapia #hiperativi"&amp;"dade #viralizou #pisico ")</f>
        <v>🧠 E ai, quem se identificou? . O TDAH no adulto apresenta alguns sinais muito comuns que podem atrapalhar em seu dia a dia. É COMPREENSÍVEL o quanto deve ser difícil lidar com esses sintomas, justamente quando envolve pessoas e projetos. . CALMA! não vai ser este simples vídeo que vai DIAGNOSTICAR com esse tipo de transtorno. EXISTE TODO UM PROCESSO para se ter um diagnóstico. .  A SUA AJUDA ESTÁ NO LINK NO PERFIL! . #emocoes #saudemental #tdha #psicologoonline #autoconhecimento #psicoterapia #hiperatividade #viralizou #pisico </v>
      </c>
      <c r="E158" s="5" t="str">
        <f>IFERROR(__xludf.DUMMYFUNCTION("""COMPUTED_VALUE"""),"emocoes,saudemental,tdha,psicologoonline,autoconhecimento,psicoterapia,hiperatividade,viralizou,pisico")</f>
        <v>emocoes,saudemental,tdha,psicologoonline,autoconhecimento,psicoterapia,hiperatividade,viralizou,pisico</v>
      </c>
      <c r="G158" s="6">
        <f>IFERROR(__xludf.DUMMYFUNCTION("IF(
  TRIM(E158)="""",
  0,
  COUNTA(
    SPLIT(
      REGEXREPLACE(E158,""\s*,\s*"","",""),
      "",""
    )
  )
)"),9.0)</f>
        <v>9</v>
      </c>
    </row>
    <row r="159">
      <c r="A159" s="5" t="str">
        <f>IFERROR(__xludf.DUMMYFUNCTION("""COMPUTED_VALUE"""),"7563801967756168469")</f>
        <v>7563801967756168469</v>
      </c>
      <c r="B159" s="5" t="str">
        <f>IFERROR(__xludf.DUMMYFUNCTION("""COMPUTED_VALUE"""),"dulcivaldejesussantos")</f>
        <v>dulcivaldejesussantos</v>
      </c>
      <c r="C159" s="5" t="str">
        <f>IFERROR(__xludf.DUMMYFUNCTION("""COMPUTED_VALUE"""),"cival kit tdah e autismo 🧩🧩")</f>
        <v>cival kit tdah e autismo 🧩🧩</v>
      </c>
      <c r="D159" s="5" t="str">
        <f>IFERROR(__xludf.DUMMYFUNCTION("""COMPUTED_VALUE"""),"#TDAH #tdahadulto #inclusao #fy")</f>
        <v>#TDAH #tdahadulto #inclusao #fy</v>
      </c>
      <c r="E159" s="5" t="str">
        <f>IFERROR(__xludf.DUMMYFUNCTION("""COMPUTED_VALUE"""),"tdah,tdahadulto,inclusao,fy")</f>
        <v>tdah,tdahadulto,inclusao,fy</v>
      </c>
      <c r="G159" s="6">
        <f>IFERROR(__xludf.DUMMYFUNCTION("IF(
  TRIM(E159)="""",
  0,
  COUNTA(
    SPLIT(
      REGEXREPLACE(E159,""\s*,\s*"","",""),
      "",""
    )
  )
)"),4.0)</f>
        <v>4</v>
      </c>
    </row>
    <row r="160">
      <c r="A160" s="5" t="str">
        <f>IFERROR(__xludf.DUMMYFUNCTION("""COMPUTED_VALUE"""),"7455486279208160517")</f>
        <v>7455486279208160517</v>
      </c>
      <c r="B160" s="5" t="str">
        <f>IFERROR(__xludf.DUMMYFUNCTION("""COMPUTED_VALUE"""),"igorpsicologo")</f>
        <v>igorpsicologo</v>
      </c>
      <c r="C160" s="5" t="str">
        <f>IFERROR(__xludf.DUMMYFUNCTION("""COMPUTED_VALUE"""),"Psicólogo Igor")</f>
        <v>Psicólogo Igor</v>
      </c>
      <c r="D160" s="5" t="str">
        <f>IFERROR(__xludf.DUMMYFUNCTION("""COMPUTED_VALUE"""),"#saudemental #tdah #psicologia #psicoterapia #emocoes #viralizou #fyp #foryou #foryoupage")</f>
        <v>#saudemental #tdah #psicologia #psicoterapia #emocoes #viralizou #fyp #foryou #foryoupage</v>
      </c>
      <c r="E160" s="5" t="str">
        <f>IFERROR(__xludf.DUMMYFUNCTION("""COMPUTED_VALUE"""),"saudemental,tdah,psicologia,psicoterapia,emocoes,viralizou,fyp,foryou,foryoupage")</f>
        <v>saudemental,tdah,psicologia,psicoterapia,emocoes,viralizou,fyp,foryou,foryoupage</v>
      </c>
      <c r="G160" s="6">
        <f>IFERROR(__xludf.DUMMYFUNCTION("IF(
  TRIM(E160)="""",
  0,
  COUNTA(
    SPLIT(
      REGEXREPLACE(E160,""\s*,\s*"","",""),
      "",""
    )
  )
)"),9.0)</f>
        <v>9</v>
      </c>
    </row>
    <row r="161">
      <c r="A161" s="5" t="str">
        <f>IFERROR(__xludf.DUMMYFUNCTION("""COMPUTED_VALUE"""),"7470322687919934775")</f>
        <v>7470322687919934775</v>
      </c>
      <c r="B161" s="5" t="str">
        <f>IFERROR(__xludf.DUMMYFUNCTION("""COMPUTED_VALUE"""),"lorenatdahta")</f>
        <v>lorenatdahta</v>
      </c>
      <c r="C161" s="5" t="str">
        <f>IFERROR(__xludf.DUMMYFUNCTION("""COMPUTED_VALUE"""),"Lorena TDAHTA")</f>
        <v>Lorena TDAHTA</v>
      </c>
      <c r="D161" s="5" t="str">
        <f>IFERROR(__xludf.DUMMYFUNCTION("""COMPUTED_VALUE"""),"TDAH e ""Explosões de Raiva"" 🤯 . . . 🧠 Pessoas com TDAH podem apresentar problemas desproporcionais em relação aos sentimentos de raiva, irritabilidade e também, no gerenciamento das demais emoções, o que está relacionado às dificuldades gerais de auto"&amp;"rregulação.  📊 Cerca de 70% dos adultos com TDAH, sofrem com problemas relacionados a Desregulação  Emocional. Picos de irritabilidade, oscilações e tendo dificuldade para reconhecer e regular seus sentimentos e emoções, de forma devida.  😓 Além disso, "&amp;"também tendem a não reconhecer devidamente, as emoções de outras pessoas, até que sejam apontadas e sentem suas próprias emoções de forma muito intensa.  Referência:  Nigg, J. (2024). ADHD Rage and Anger Issues: New Insights into Emotional Dysregulation a"&amp;"nd Treatment Considerations. Revista ADDitude. ADHD Rage and Anger Issues: Emotional Dysreguation, DMDD &amp; Bipolar Disorder.  #tdahta #tdahadulto #regulaçãoemocional #adhdrage ")</f>
        <v>TDAH e "Explosões de Raiva" 🤯 . . . 🧠 Pessoas com TDAH podem apresentar problemas desproporcionais em relação aos sentimentos de raiva, irritabilidade e também, no gerenciamento das demais emoções, o que está relacionado às dificuldades gerais de autorregulação.  📊 Cerca de 70% dos adultos com TDAH, sofrem com problemas relacionados a Desregulação  Emocional. Picos de irritabilidade, oscilações e tendo dificuldade para reconhecer e regular seus sentimentos e emoções, de forma devida.  😓 Além disso, também tendem a não reconhecer devidamente, as emoções de outras pessoas, até que sejam apontadas e sentem suas próprias emoções de forma muito intensa.  Referência:  Nigg, J. (2024). ADHD Rage and Anger Issues: New Insights into Emotional Dysregulation and Treatment Considerations. Revista ADDitude. ADHD Rage and Anger Issues: Emotional Dysreguation, DMDD &amp; Bipolar Disorder.  #tdahta #tdahadulto #regulaçãoemocional #adhdrage </v>
      </c>
      <c r="E161" s="5" t="str">
        <f>IFERROR(__xludf.DUMMYFUNCTION("""COMPUTED_VALUE"""),"tdahta,tdahadulto,regulaçãoemocional,adhdrage")</f>
        <v>tdahta,tdahadulto,regulaçãoemocional,adhdrage</v>
      </c>
      <c r="G161" s="6">
        <f>IFERROR(__xludf.DUMMYFUNCTION("IF(
  TRIM(E161)="""",
  0,
  COUNTA(
    SPLIT(
      REGEXREPLACE(E161,""\s*,\s*"","",""),
      "",""
    )
  )
)"),4.0)</f>
        <v>4</v>
      </c>
    </row>
    <row r="162">
      <c r="A162" s="5" t="str">
        <f>IFERROR(__xludf.DUMMYFUNCTION("""COMPUTED_VALUE"""),"7563423456189025557")</f>
        <v>7563423456189025557</v>
      </c>
      <c r="B162" s="5" t="str">
        <f>IFERROR(__xludf.DUMMYFUNCTION("""COMPUTED_VALUE"""),"dulcivaldejesussantos")</f>
        <v>dulcivaldejesussantos</v>
      </c>
      <c r="C162" s="5" t="str">
        <f>IFERROR(__xludf.DUMMYFUNCTION("""COMPUTED_VALUE"""),"cival kit tdah e autismo 🧩🧩")</f>
        <v>cival kit tdah e autismo 🧩🧩</v>
      </c>
      <c r="D162" s="5" t="str">
        <f>IFERROR(__xludf.DUMMYFUNCTION("""COMPUTED_VALUE"""),"#tdah #tdahadulto #inclusao #fy")</f>
        <v>#tdah #tdahadulto #inclusao #fy</v>
      </c>
      <c r="E162" s="5" t="str">
        <f>IFERROR(__xludf.DUMMYFUNCTION("""COMPUTED_VALUE"""),"tdah,tdahadulto,inclusao,fy")</f>
        <v>tdah,tdahadulto,inclusao,fy</v>
      </c>
      <c r="G162" s="6">
        <f>IFERROR(__xludf.DUMMYFUNCTION("IF(
  TRIM(E162)="""",
  0,
  COUNTA(
    SPLIT(
      REGEXREPLACE(E162,""\s*,\s*"","",""),
      "",""
    )
  )
)"),4.0)</f>
        <v>4</v>
      </c>
    </row>
    <row r="163">
      <c r="A163" s="5" t="str">
        <f>IFERROR(__xludf.DUMMYFUNCTION("""COMPUTED_VALUE"""),"7540685593357946168")</f>
        <v>7540685593357946168</v>
      </c>
      <c r="B163" s="11" t="str">
        <f>IFERROR(__xludf.DUMMYFUNCTION("""COMPUTED_VALUE"""),"altashabilidades.sd")</f>
        <v>altashabilidades.sd</v>
      </c>
      <c r="C163" s="5" t="str">
        <f>IFERROR(__xludf.DUMMYFUNCTION("""COMPUTED_VALUE"""),"AltasHabilidadesSuperdotacao")</f>
        <v>AltasHabilidadesSuperdotacao</v>
      </c>
      <c r="D163" s="5" t="str">
        <f>IFERROR(__xludf.DUMMYFUNCTION("""COMPUTED_VALUE"""),"PARTE 1 | TDAH com Altas Habilidades/ Superdotação. Por que esquece das coisas se ele é tão inteligente? #tdah #foryou #psicologia #neurodivergente #tdahadulto")</f>
        <v>PARTE 1 | TDAH com Altas Habilidades/ Superdotação. Por que esquece das coisas se ele é tão inteligente? #tdah #foryou #psicologia #neurodivergente #tdahadulto</v>
      </c>
      <c r="E163" s="5" t="str">
        <f>IFERROR(__xludf.DUMMYFUNCTION("""COMPUTED_VALUE"""),"tdah,foryou,psicologia,neurodivergente,tdahadulto")</f>
        <v>tdah,foryou,psicologia,neurodivergente,tdahadulto</v>
      </c>
      <c r="G163" s="6">
        <f>IFERROR(__xludf.DUMMYFUNCTION("IF(
  TRIM(E163)="""",
  0,
  COUNTA(
    SPLIT(
      REGEXREPLACE(E163,""\s*,\s*"","",""),
      "",""
    )
  )
)"),5.0)</f>
        <v>5</v>
      </c>
    </row>
    <row r="164">
      <c r="A164" s="5" t="str">
        <f>IFERROR(__xludf.DUMMYFUNCTION("""COMPUTED_VALUE"""),"7569398945332464916")</f>
        <v>7569398945332464916</v>
      </c>
      <c r="B164" s="5" t="str">
        <f>IFERROR(__xludf.DUMMYFUNCTION("""COMPUTED_VALUE"""),"terapiadafe")</f>
        <v>terapiadafe</v>
      </c>
      <c r="C164" s="5" t="str">
        <f>IFERROR(__xludf.DUMMYFUNCTION("""COMPUTED_VALUE"""),"Fernanda Fernandes")</f>
        <v>Fernanda Fernandes</v>
      </c>
      <c r="D164" s="5" t="str">
        <f>IFERROR(__xludf.DUMMYFUNCTION("""COMPUTED_VALUE"""),"🧠 TDAH não é preguiça; é sobrecarga; ⚡ O cérebro trava porque está lutando contra o caos interno; 🧩 A saída não é motivação; é micromovimento; 🔥 Não precisa começar bem; só precisa começar! #TDAH #neurodivergente #tdahadulto #tiktok #deficitdeatencao")</f>
        <v>🧠 TDAH não é preguiça; é sobrecarga; ⚡ O cérebro trava porque está lutando contra o caos interno; 🧩 A saída não é motivação; é micromovimento; 🔥 Não precisa começar bem; só precisa começar! #TDAH #neurodivergente #tdahadulto #tiktok #deficitdeatencao</v>
      </c>
      <c r="E164" s="5" t="str">
        <f>IFERROR(__xludf.DUMMYFUNCTION("""COMPUTED_VALUE"""),"tdah,neurodivergente,tdahadulto,tiktok,deficitdeatencao")</f>
        <v>tdah,neurodivergente,tdahadulto,tiktok,deficitdeatencao</v>
      </c>
      <c r="G164" s="6">
        <f>IFERROR(__xludf.DUMMYFUNCTION("IF(
  TRIM(E164)="""",
  0,
  COUNTA(
    SPLIT(
      REGEXREPLACE(E164,""\s*,\s*"","",""),
      "",""
    )
  )
)"),5.0)</f>
        <v>5</v>
      </c>
    </row>
    <row r="165">
      <c r="A165" s="5" t="str">
        <f>IFERROR(__xludf.DUMMYFUNCTION("""COMPUTED_VALUE"""),"7273934247239404806")</f>
        <v>7273934247239404806</v>
      </c>
      <c r="B165" s="5" t="str">
        <f>IFERROR(__xludf.DUMMYFUNCTION("""COMPUTED_VALUE"""),"girodaengrenagem")</f>
        <v>girodaengrenagem</v>
      </c>
      <c r="C165" s="5" t="str">
        <f>IFERROR(__xludf.DUMMYFUNCTION("""COMPUTED_VALUE"""),"giro da engrenagem")</f>
        <v>giro da engrenagem</v>
      </c>
      <c r="D165" s="5" t="str">
        <f>IFERROR(__xludf.DUMMYFUNCTION("""COMPUTED_VALUE"""),"Parte 2 | 15 sintomas mais comuns de tdah em adultos | Dra. Ana Beatriz Barbosa | Médica Psiquiatra | Comportamento Humano . . #foryou #tdahadultos #tdah #sintomas #afetividade #dopamina #desorganizacao #impaciencia #comportamentohumano #saudedamente")</f>
        <v>Parte 2 | 15 sintomas mais comuns de tdah em adultos | Dra. Ana Beatriz Barbosa | Médica Psiquiatra | Comportamento Humano . . #foryou #tdahadultos #tdah #sintomas #afetividade #dopamina #desorganizacao #impaciencia #comportamentohumano #saudedamente</v>
      </c>
      <c r="E165" s="5" t="str">
        <f>IFERROR(__xludf.DUMMYFUNCTION("""COMPUTED_VALUE"""),"foryou,tdahadultos,tdah,sintomas,afetividade,dopamina,desorganizacao,impaciencia,comportamentohumano,saudedamente")</f>
        <v>foryou,tdahadultos,tdah,sintomas,afetividade,dopamina,desorganizacao,impaciencia,comportamentohumano,saudedamente</v>
      </c>
      <c r="G165" s="6">
        <f>IFERROR(__xludf.DUMMYFUNCTION("IF(
  TRIM(E165)="""",
  0,
  COUNTA(
    SPLIT(
      REGEXREPLACE(E165,""\s*,\s*"","",""),
      "",""
    )
  )
)"),10.0)</f>
        <v>10</v>
      </c>
    </row>
    <row r="166">
      <c r="A166" s="5" t="str">
        <f>IFERROR(__xludf.DUMMYFUNCTION("""COMPUTED_VALUE"""),"7104050935223028998")</f>
        <v>7104050935223028998</v>
      </c>
      <c r="B166" s="5" t="str">
        <f>IFERROR(__xludf.DUMMYFUNCTION("""COMPUTED_VALUE"""),"draanabeatriz11")</f>
        <v>draanabeatriz11</v>
      </c>
      <c r="C166" s="5" t="str">
        <f>IFERROR(__xludf.DUMMYFUNCTION("""COMPUTED_VALUE"""),"Ana Beatriz Barbosa")</f>
        <v>Ana Beatriz Barbosa</v>
      </c>
      <c r="D166" s="5" t="str">
        <f>IFERROR(__xludf.DUMMYFUNCTION("""COMPUTED_VALUE"""),"T D A H - Falando sobre:#tdah #tdahadulto #anabeatriz #anabeatrizbarbosa #mentesinquietas #autoconhecimento #autodesenvolvimento #averdadeliberta #tda")</f>
        <v>T D A H - Falando sobre:#tdah #tdahadulto #anabeatriz #anabeatrizbarbosa #mentesinquietas #autoconhecimento #autodesenvolvimento #averdadeliberta #tda</v>
      </c>
      <c r="E166" s="5" t="str">
        <f>IFERROR(__xludf.DUMMYFUNCTION("""COMPUTED_VALUE"""),"tdah,tdahadulto,anabeatriz,anabeatrizbarbosa,mentesinquietas,autoconhecimento,autodesenvolvimento,averdadeliberta,tda")</f>
        <v>tdah,tdahadulto,anabeatriz,anabeatrizbarbosa,mentesinquietas,autoconhecimento,autodesenvolvimento,averdadeliberta,tda</v>
      </c>
      <c r="G166" s="6">
        <f>IFERROR(__xludf.DUMMYFUNCTION("IF(
  TRIM(E166)="""",
  0,
  COUNTA(
    SPLIT(
      REGEXREPLACE(E166,""\s*,\s*"","",""),
      "",""
    )
  )
)"),9.0)</f>
        <v>9</v>
      </c>
    </row>
    <row r="167">
      <c r="A167" s="5" t="str">
        <f>IFERROR(__xludf.DUMMYFUNCTION("""COMPUTED_VALUE"""),"7342164411433487622")</f>
        <v>7342164411433487622</v>
      </c>
      <c r="B167" s="5" t="str">
        <f>IFERROR(__xludf.DUMMYFUNCTION("""COMPUTED_VALUE"""),"gabijesus274")</f>
        <v>gabijesus274</v>
      </c>
      <c r="C167" s="5" t="str">
        <f>IFERROR(__xludf.DUMMYFUNCTION("""COMPUTED_VALUE"""),"Destravandootdah")</f>
        <v>Destravandootdah</v>
      </c>
      <c r="D167" s="5" t="str">
        <f>IFERROR(__xludf.DUMMYFUNCTION("""COMPUTED_VALUE"""),"Diferenças nitidas, que nos ajudam avaliar… #tudosobretdah #lutandocontratdah #tdah ")</f>
        <v>Diferenças nitidas, que nos ajudam avaliar… #tudosobretdah #lutandocontratdah #tdah </v>
      </c>
      <c r="E167" s="5" t="str">
        <f>IFERROR(__xludf.DUMMYFUNCTION("""COMPUTED_VALUE"""),"tudosobretdah,lutandocontratdah,tdah")</f>
        <v>tudosobretdah,lutandocontratdah,tdah</v>
      </c>
      <c r="G167" s="6">
        <f>IFERROR(__xludf.DUMMYFUNCTION("IF(
  TRIM(E167)="""",
  0,
  COUNTA(
    SPLIT(
      REGEXREPLACE(E167,""\s*,\s*"","",""),
      "",""
    )
  )
)"),3.0)</f>
        <v>3</v>
      </c>
    </row>
    <row r="168">
      <c r="A168" s="5" t="str">
        <f>IFERROR(__xludf.DUMMYFUNCTION("""COMPUTED_VALUE"""),"7536596381553659192")</f>
        <v>7536596381553659192</v>
      </c>
      <c r="B168" s="5" t="str">
        <f>IFERROR(__xludf.DUMMYFUNCTION("""COMPUTED_VALUE"""),"patriciacandidopsi")</f>
        <v>patriciacandidopsi</v>
      </c>
      <c r="C168" s="5" t="str">
        <f>IFERROR(__xludf.DUMMYFUNCTION("""COMPUTED_VALUE"""),"Patricia Candido Psicóloga")</f>
        <v>Patricia Candido Psicóloga</v>
      </c>
      <c r="D168" s="5" t="str">
        <f>IFERROR(__xludf.DUMMYFUNCTION("""COMPUTED_VALUE"""),"Se arrepender depois de uma explosão emocional é algo muito comum para quem tem TDAH.  Entender como o seu cérebro funciona é o primeiro passo para aprender a lidar com essa intensidade e reduzir o peso da culpa. #tdah #tdahadulto #tdahadultos")</f>
        <v>Se arrepender depois de uma explosão emocional é algo muito comum para quem tem TDAH.  Entender como o seu cérebro funciona é o primeiro passo para aprender a lidar com essa intensidade e reduzir o peso da culpa. #tdah #tdahadulto #tdahadultos</v>
      </c>
      <c r="E168" s="5" t="str">
        <f>IFERROR(__xludf.DUMMYFUNCTION("""COMPUTED_VALUE"""),"tdah,tdahadulto,tdahadultos")</f>
        <v>tdah,tdahadulto,tdahadultos</v>
      </c>
      <c r="G168" s="6">
        <f>IFERROR(__xludf.DUMMYFUNCTION("IF(
  TRIM(E168)="""",
  0,
  COUNTA(
    SPLIT(
      REGEXREPLACE(E168,""\s*,\s*"","",""),
      "",""
    )
  )
)"),3.0)</f>
        <v>3</v>
      </c>
    </row>
    <row r="169">
      <c r="A169" s="5" t="str">
        <f>IFERROR(__xludf.DUMMYFUNCTION("""COMPUTED_VALUE"""),"7158107445657668870")</f>
        <v>7158107445657668870</v>
      </c>
      <c r="B169" s="5" t="str">
        <f>IFERROR(__xludf.DUMMYFUNCTION("""COMPUTED_VALUE"""),"lutzpodcastdesativado")</f>
        <v>lutzpodcastdesativado</v>
      </c>
      <c r="C169" s="5" t="str">
        <f>IFERROR(__xludf.DUMMYFUNCTION("""COMPUTED_VALUE"""),"Lutz Podcast1")</f>
        <v>Lutz Podcast1</v>
      </c>
      <c r="D169" s="5" t="str">
        <f>IFERROR(__xludf.DUMMYFUNCTION("""COMPUTED_VALUE"""),"Como é desenvolvimento social de uma pessoa que tem TDAH. @tdahpragentegrande no Lutz podcast 83")</f>
        <v>Como é desenvolvimento social de uma pessoa que tem TDAH. @tdahpragentegrande no Lutz podcast 83</v>
      </c>
      <c r="E169" s="5"/>
      <c r="G169" s="6">
        <f>IFERROR(__xludf.DUMMYFUNCTION("IF(
  TRIM(E169)="""",
  0,
  COUNTA(
    SPLIT(
      REGEXREPLACE(E169,""\s*,\s*"","",""),
      "",""
    )
  )
)"),0.0)</f>
        <v>0</v>
      </c>
    </row>
    <row r="170">
      <c r="A170" s="5" t="str">
        <f>IFERROR(__xludf.DUMMYFUNCTION("""COMPUTED_VALUE"""),"7328130556401569029")</f>
        <v>7328130556401569029</v>
      </c>
      <c r="B170" s="5" t="str">
        <f>IFERROR(__xludf.DUMMYFUNCTION("""COMPUTED_VALUE"""),"liberdade.mentall")</f>
        <v>liberdade.mentall</v>
      </c>
      <c r="C170" s="5" t="str">
        <f>IFERROR(__xludf.DUMMYFUNCTION("""COMPUTED_VALUE"""),"Liberdade Mental 🧠💫")</f>
        <v>Liberdade Mental 🧠💫</v>
      </c>
      <c r="D170" s="5" t="str">
        <f>IFERROR(__xludf.DUMMYFUNCTION("""COMPUTED_VALUE"""),"Assim é o TDAH  #procrastinacao #viraltdah #tdah #tdahadulto #oqueetdah #comoacabarcomotdah #sintomasdotdah #viraltiktok #viralvideo #viral")</f>
        <v>Assim é o TDAH  #procrastinacao #viraltdah #tdah #tdahadulto #oqueetdah #comoacabarcomotdah #sintomasdotdah #viraltiktok #viralvideo #viral</v>
      </c>
      <c r="E170" s="5" t="str">
        <f>IFERROR(__xludf.DUMMYFUNCTION("""COMPUTED_VALUE"""),"procrastinacao,viraltdah,tdah,tdahadulto,oqueetdah,comoacabarcomotdah,sintomasdotdah,viraltiktok,viralvideo,viral")</f>
        <v>procrastinacao,viraltdah,tdah,tdahadulto,oqueetdah,comoacabarcomotdah,sintomasdotdah,viraltiktok,viralvideo,viral</v>
      </c>
      <c r="G170" s="6">
        <f>IFERROR(__xludf.DUMMYFUNCTION("IF(
  TRIM(E170)="""",
  0,
  COUNTA(
    SPLIT(
      REGEXREPLACE(E170,""\s*,\s*"","",""),
      "",""
    )
  )
)"),10.0)</f>
        <v>10</v>
      </c>
    </row>
    <row r="171">
      <c r="A171" s="5" t="str">
        <f>IFERROR(__xludf.DUMMYFUNCTION("""COMPUTED_VALUE"""),"7295327958296841478")</f>
        <v>7295327958296841478</v>
      </c>
      <c r="B171" s="5" t="str">
        <f>IFERROR(__xludf.DUMMYFUNCTION("""COMPUTED_VALUE"""),"comomecurei")</f>
        <v>comomecurei</v>
      </c>
      <c r="C171" s="5" t="str">
        <f>IFERROR(__xludf.DUMMYFUNCTION("""COMPUTED_VALUE"""),"Klebber Loppes - Despertar")</f>
        <v>Klebber Loppes - Despertar</v>
      </c>
      <c r="D171" s="5" t="str">
        <f>IFERROR(__xludf.DUMMYFUNCTION("""COMPUTED_VALUE"""),"Bom tá aí o resumo, veja o vídeo fixado e a Playlist "" A VERDADE "", provavelmente vc vai dar uma surtada, mas faz parte, mas é melhor saber logo. AVISO: Falou besteira é Block na hora.  Participe do Grupo de aviso de live no link da Bio. #tdahadulto #co"&amp;"momecurei #tdah #fyyyyyyyyyyyyyyy #fyp #fypシ ")</f>
        <v>Bom tá aí o resumo, veja o vídeo fixado e a Playlist " A VERDADE ", provavelmente vc vai dar uma surtada, mas faz parte, mas é melhor saber logo. AVISO: Falou besteira é Block na hora.  Participe do Grupo de aviso de live no link da Bio. #tdahadulto #comomecurei #tdah #fyyyyyyyyyyyyyyy #fyp #fypシ </v>
      </c>
      <c r="E171" s="5" t="str">
        <f>IFERROR(__xludf.DUMMYFUNCTION("""COMPUTED_VALUE"""),"tdahadulto,comomecurei,tdah,fyyyyyyyyyyyyyyy,fyp,fypシ")</f>
        <v>tdahadulto,comomecurei,tdah,fyyyyyyyyyyyyyyy,fyp,fypシ</v>
      </c>
      <c r="G171" s="6">
        <f>IFERROR(__xludf.DUMMYFUNCTION("IF(
  TRIM(E171)="""",
  0,
  COUNTA(
    SPLIT(
      REGEXREPLACE(E171,""\s*,\s*"","",""),
      "",""
    )
  )
)"),6.0)</f>
        <v>6</v>
      </c>
    </row>
    <row r="172">
      <c r="A172" s="5" t="str">
        <f>IFERROR(__xludf.DUMMYFUNCTION("""COMPUTED_VALUE"""),"7546578895546404101")</f>
        <v>7546578895546404101</v>
      </c>
      <c r="B172" s="5" t="str">
        <f>IFERROR(__xludf.DUMMYFUNCTION("""COMPUTED_VALUE"""),"desejos.sabios")</f>
        <v>desejos.sabios</v>
      </c>
      <c r="C172" s="5" t="str">
        <f>IFERROR(__xludf.DUMMYFUNCTION("""COMPUTED_VALUE"""),"Desejos Sabios")</f>
        <v>Desejos Sabios</v>
      </c>
      <c r="D172" s="5" t="str">
        <f>IFERROR(__xludf.DUMMYFUNCTION("""COMPUTED_VALUE"""),"Você tem TDAH? Então esse vídeo é para você 🫵🏻  #psicologia #tdah #reflexao #fyp #vaiprofycaramba")</f>
        <v>Você tem TDAH? Então esse vídeo é para você 🫵🏻  #psicologia #tdah #reflexao #fyp #vaiprofycaramba</v>
      </c>
      <c r="E172" s="5" t="str">
        <f>IFERROR(__xludf.DUMMYFUNCTION("""COMPUTED_VALUE"""),"psicologia,tdah,reflexao,fyp,vaiprofycaramba")</f>
        <v>psicologia,tdah,reflexao,fyp,vaiprofycaramba</v>
      </c>
      <c r="G172" s="6">
        <f>IFERROR(__xludf.DUMMYFUNCTION("IF(
  TRIM(E172)="""",
  0,
  COUNTA(
    SPLIT(
      REGEXREPLACE(E172,""\s*,\s*"","",""),
      "",""
    )
  )
)"),5.0)</f>
        <v>5</v>
      </c>
    </row>
    <row r="173">
      <c r="A173" s="5" t="str">
        <f>IFERROR(__xludf.DUMMYFUNCTION("""COMPUTED_VALUE"""),"7223570097980329221")</f>
        <v>7223570097980329221</v>
      </c>
      <c r="B173" s="5" t="str">
        <f>IFERROR(__xludf.DUMMYFUNCTION("""COMPUTED_VALUE"""),"draanabeatriz11")</f>
        <v>draanabeatriz11</v>
      </c>
      <c r="C173" s="5" t="str">
        <f>IFERROR(__xludf.DUMMYFUNCTION("""COMPUTED_VALUE"""),"Ana Beatriz Barbosa")</f>
        <v>Ana Beatriz Barbosa</v>
      </c>
      <c r="D173" s="5" t="str">
        <f>IFERROR(__xludf.DUMMYFUNCTION("""COMPUTED_VALUE"""),"TDAH pode ter sintomas depressivos? #draanabeatriz #tdah #saudemental #mente")</f>
        <v>TDAH pode ter sintomas depressivos? #draanabeatriz #tdah #saudemental #mente</v>
      </c>
      <c r="E173" s="5" t="str">
        <f>IFERROR(__xludf.DUMMYFUNCTION("""COMPUTED_VALUE"""),"draanabeatriz,tdah,saudemental,mente")</f>
        <v>draanabeatriz,tdah,saudemental,mente</v>
      </c>
      <c r="G173" s="6">
        <f>IFERROR(__xludf.DUMMYFUNCTION("IF(
  TRIM(E173)="""",
  0,
  COUNTA(
    SPLIT(
      REGEXREPLACE(E173,""\s*,\s*"","",""),
      "",""
    )
  )
)"),4.0)</f>
        <v>4</v>
      </c>
    </row>
    <row r="174">
      <c r="A174" s="5" t="str">
        <f>IFERROR(__xludf.DUMMYFUNCTION("""COMPUTED_VALUE"""),"7250048266501426438")</f>
        <v>7250048266501426438</v>
      </c>
      <c r="B174" s="5" t="str">
        <f>IFERROR(__xludf.DUMMYFUNCTION("""COMPUTED_VALUE"""),"marizacristhiane")</f>
        <v>marizacristhiane</v>
      </c>
      <c r="C174" s="5" t="str">
        <f>IFERROR(__xludf.DUMMYFUNCTION("""COMPUTED_VALUE"""),"Mariza Cristhiane")</f>
        <v>Mariza Cristhiane</v>
      </c>
      <c r="D174" s="5" t="str">
        <f>IFERROR(__xludf.DUMMYFUNCTION("""COMPUTED_VALUE"""),"AUTISMO/TDAH  ESTEREOTIPIAS Pra quem fala que ele não parece autista, não ele não parece , mas ele tem várias estereotipias que essa neurodivergência trazem, ele anda MUITO em circulos em casa e em qualquer lugar, e não fica tonto !  Além dessa que conseg"&amp;"ui gravar , ele tbm roe as unhas, tem ecolalia, repete diversas vezes as mesmas coisas até que tenha certeza que a pessoa entendeu, também tem dificuldade na socialização com crianças e crises de raiva, quanto mais informação melhor !!!  Um beijo da mamãe"&amp;" e do João  E gratidão a essa profissional linda e exemplar que atendeu ele com toda paciência e humanidade do mundo devido à condição dele e creio que seja assim com todos independente disso !  Muito obrigada!  Vc faz a diferença no mundo !  #autism #aut"&amp;"ismo #tdah #autismobrasil #autismoinfantil #autista #joaoguilherme #autistatdah #impulsioneseusfilhos #autismawareness #autismonaotemcara #autismonaoedoenca #autismonaoeofim #cema #inclusao #filhos #autismoestereotipias #estereotipias #autistas #autismoes"&amp;"uperacao #superacao #fono #psicologia #metodoaba #maeatipica #mamaeatipica #fonoaudiologia #fonoaudiologa #otorrino #otorrinolaringologista #estereotipias #estereotipiasnoautismo #autismoestereotipias #autismstereotypes ")</f>
        <v>AUTISMO/TDAH  ESTEREOTIPIAS Pra quem fala que ele não parece autista, não ele não parece , mas ele tem várias estereotipias que essa neurodivergência trazem, ele anda MUITO em circulos em casa e em qualquer lugar, e não fica tonto !  Além dessa que consegui gravar , ele tbm roe as unhas, tem ecolalia, repete diversas vezes as mesmas coisas até que tenha certeza que a pessoa entendeu, também tem dificuldade na socialização com crianças e crises de raiva, quanto mais informação melhor !!!  Um beijo da mamãe e do João  E gratidão a essa profissional linda e exemplar que atendeu ele com toda paciência e humanidade do mundo devido à condição dele e creio que seja assim com todos independente disso !  Muito obrigada!  Vc faz a diferença no mundo !  #autism #autismo #tdah #autismobrasil #autismoinfantil #autista #joaoguilherme #autistatdah #impulsioneseusfilhos #autismawareness #autismonaotemcara #autismonaoedoenca #autismonaoeofim #cema #inclusao #filhos #autismoestereotipias #estereotipias #autistas #autismoesuperacao #superacao #fono #psicologia #metodoaba #maeatipica #mamaeatipica #fonoaudiologia #fonoaudiologa #otorrino #otorrinolaringologista #estereotipias #estereotipiasnoautismo #autismoestereotipias #autismstereotypes </v>
      </c>
      <c r="E174" s="5" t="str">
        <f>IFERROR(__xludf.DUMMYFUNCTION("""COMPUTED_VALUE"""),"autism,autismo,tdah,autismobrasil,autismoinfantil,autista,joaoguilherme,autistatdah,impulsioneseusfilhos,autismawareness,autismonaotemcara,autismonaoedoenca,autismonaoeofim,cema,inclusao,filhos,autismoestereotipias,estereotipias,autistas,autismoesuperacao"&amp;",superacao,fono,psicologia,metodoaba,maeatipica,mamaeatipica,fonoaudiologia,fonoaudiologa,otorrino,otorrinolaringologista,estereotipias,estereotipiasnoautismo,autismoestereotipias,autismstereotypes")</f>
        <v>autism,autismo,tdah,autismobrasil,autismoinfantil,autista,joaoguilherme,autistatdah,impulsioneseusfilhos,autismawareness,autismonaotemcara,autismonaoedoenca,autismonaoeofim,cema,inclusao,filhos,autismoestereotipias,estereotipias,autistas,autismoesuperacao,superacao,fono,psicologia,metodoaba,maeatipica,mamaeatipica,fonoaudiologia,fonoaudiologa,otorrino,otorrinolaringologista,estereotipias,estereotipiasnoautismo,autismoestereotipias,autismstereotypes</v>
      </c>
      <c r="G174" s="6">
        <f>IFERROR(__xludf.DUMMYFUNCTION("IF(
  TRIM(E174)="""",
  0,
  COUNTA(
    SPLIT(
      REGEXREPLACE(E174,""\s*,\s*"","",""),
      "",""
    )
  )
)"),34.0)</f>
        <v>34</v>
      </c>
    </row>
    <row r="175">
      <c r="A175" s="5" t="str">
        <f>IFERROR(__xludf.DUMMYFUNCTION("""COMPUTED_VALUE"""),"7500980358754733318")</f>
        <v>7500980358754733318</v>
      </c>
      <c r="B175" s="5" t="str">
        <f>IFERROR(__xludf.DUMMYFUNCTION("""COMPUTED_VALUE"""),"psi.jonathanorlandi")</f>
        <v>psi.jonathanorlandi</v>
      </c>
      <c r="C175" s="5" t="str">
        <f>IFERROR(__xludf.DUMMYFUNCTION("""COMPUTED_VALUE"""),"Jonathan. O psicólogo sincero")</f>
        <v>Jonathan. O psicólogo sincero</v>
      </c>
      <c r="D175" s="5" t="str">
        <f>IFERROR(__xludf.DUMMYFUNCTION("""COMPUTED_VALUE"""),"Tem coisa simples que parece impossível quando se tem TDAH. Acordar, se organizar, lembrar de responder uma mensagem… A gente sabe que não é falta de vontade — é o cérebro funcionando de outro jeito. 1️⃣ Acordar e ativar? Parece que o cérebro demora a “li"&amp;"gar”. 2️⃣ Tarefas de 5 minutos viram um fardo. 3️⃣ Organização? Só na teoria. 4️⃣ Chegar no horário? Com sorte! Mas a boa notícia é que existem caminhos para facilitar o dia a dia: terapia, autocuidado e até suplementação natural. A Lucydays desenvolveu u"&amp;"ma fórmula que pode ajudar você a manter o foco, regular a motivação e trazer mais clareza mental — sem depender de estimulantes artificiais. 🧠💪 Use o cupom JONATHANPSI no site da Lucydays e aproveite os benefícios para o seu corpo e sua mente. #tdah #t"&amp;"dahadulto #comportamento #terapia #psicologia #curiosidade #psicoterapia #neurociência #foco #distraidosvenceremos")</f>
        <v>Tem coisa simples que parece impossível quando se tem TDAH. Acordar, se organizar, lembrar de responder uma mensagem… A gente sabe que não é falta de vontade — é o cérebro funcionando de outro jeito. 1️⃣ Acordar e ativar? Parece que o cérebro demora a “ligar”. 2️⃣ Tarefas de 5 minutos viram um fardo. 3️⃣ Organização? Só na teoria. 4️⃣ Chegar no horário? Com sorte! Mas a boa notícia é que existem caminhos para facilitar o dia a dia: terapia, autocuidado e até suplementação natural. A Lucydays desenvolveu uma fórmula que pode ajudar você a manter o foco, regular a motivação e trazer mais clareza mental — sem depender de estimulantes artificiais. 🧠💪 Use o cupom JONATHANPSI no site da Lucydays e aproveite os benefícios para o seu corpo e sua mente. #tdah #tdahadulto #comportamento #terapia #psicologia #curiosidade #psicoterapia #neurociência #foco #distraidosvenceremos</v>
      </c>
      <c r="E175" s="5" t="str">
        <f>IFERROR(__xludf.DUMMYFUNCTION("""COMPUTED_VALUE"""),"tdah,tdahadulto,comportamento,terapia,psicologia,curiosidade,psicoterapia,neurociência,foco,distraidosvenceremos")</f>
        <v>tdah,tdahadulto,comportamento,terapia,psicologia,curiosidade,psicoterapia,neurociência,foco,distraidosvenceremos</v>
      </c>
      <c r="G175" s="6">
        <f>IFERROR(__xludf.DUMMYFUNCTION("IF(
  TRIM(E175)="""",
  0,
  COUNTA(
    SPLIT(
      REGEXREPLACE(E175,""\s*,\s*"","",""),
      "",""
    )
  )
)"),10.0)</f>
        <v>10</v>
      </c>
    </row>
    <row r="176">
      <c r="A176" s="5" t="str">
        <f>IFERROR(__xludf.DUMMYFUNCTION("""COMPUTED_VALUE"""),"7564193336282729735")</f>
        <v>7564193336282729735</v>
      </c>
      <c r="B176" s="5" t="str">
        <f>IFERROR(__xludf.DUMMYFUNCTION("""COMPUTED_VALUE"""),"lorenatdahta")</f>
        <v>lorenatdahta</v>
      </c>
      <c r="C176" s="5" t="str">
        <f>IFERROR(__xludf.DUMMYFUNCTION("""COMPUTED_VALUE"""),"Lorena TDAHTA")</f>
        <v>Lorena TDAHTA</v>
      </c>
      <c r="D176" s="5" t="str">
        <f>IFERROR(__xludf.DUMMYFUNCTION("""COMPUTED_VALUE"""),"TDAH e ""reações"" 🧐🎭 Desabafar com alguém que tem TDAH pode ser diferente do que você espera...  🗣 Muitas vezes, nossa mente tão resolutiva entra em ação, antes mesmo da empatia ""se organizar"". E é aí, que a impulsividade acaba falando mais alto (li"&amp;"teralmente), através das nossas respostas e reações, que nesses momentos, não saem lá, como o esperado ou, de maneira mais adequada à situação!  🤦🏻‍♀️ Mas não é por falta de carinho, muito menos por falta de empatia. É só o jeito que nosso cérebro funci"&amp;"ona. Quer só reclamar? TUDO BEM. Mas só avisa os amigo(a)s com TDAH, antes... Que a gente agradece! 😅   ⚠️ Esse vídeo é um relato da minha vivência pessoal como pessoa com TDAH, mas não é regra, nem serve como diagnóstico.  Se você desconfia que possa te"&amp;"r TDAH, no meu link da bio tem minha sugestão pessoal de profissional de confiança pra te ajudar a dar esse passo tão importante! 💛   . . . ADHD and ""reactions"" 🧐🎭 Venting to someone with ADHD might be different from what you expect... Often, our sup"&amp;"er resolute minds kick in before empathy has a chance to ""settle."" And that’s when impulsivity speaks louder (literally), through our responses and reactions — which, in those moments, don’t always come out as expected or in the most appropriate way for"&amp;" the situation! But it’s not due to a lack of care, and definitely not a lack of empathy. It’s just how our brains work. Want to vent just to complain? THAT’S OKAY. Just give your ADHD friend a heads-up first... We appreciate it! 😅   #tdahta #tdahrelatos"&amp;" #tdahadulto #tdaheemocao #adhdadult ")</f>
        <v>TDAH e "reações" 🧐🎭 Desabafar com alguém que tem TDAH pode ser diferente do que você espera...  🗣 Muitas vezes, nossa mente tão resolutiva entra em ação, antes mesmo da empatia "se organizar". E é aí, que a impulsividade acaba falando mais alto (literalmente), através das nossas respostas e reações, que nesses momentos, não saem lá, como o esperado ou, de maneira mais adequada à situação!  🤦🏻‍♀️ Mas não é por falta de carinho, muito menos por falta de empatia. É só o jeito que nosso cérebro funciona. Quer só reclamar? TUDO BEM. Mas só avisa os amigo(a)s com TDAH, antes... Que a gente agradece! 😅   ⚠️ Esse vídeo é um relato da minha vivência pessoal como pessoa com TDAH, mas não é regra, nem serve como diagnóstico.  Se você desconfia que possa ter TDAH, no meu link da bio tem minha sugestão pessoal de profissional de confiança pra te ajudar a dar esse passo tão importante! 💛   . . . ADHD and "reactions" 🧐🎭 Venting to someone with ADHD might be different from what you expect... Often, our super resolute minds kick in before empathy has a chance to "settle." And that’s when impulsivity speaks louder (literally), through our responses and reactions — which, in those moments, don’t always come out as expected or in the most appropriate way for the situation! But it’s not due to a lack of care, and definitely not a lack of empathy. It’s just how our brains work. Want to vent just to complain? THAT’S OKAY. Just give your ADHD friend a heads-up first... We appreciate it! 😅   #tdahta #tdahrelatos #tdahadulto #tdaheemocao #adhdadult </v>
      </c>
      <c r="E176" s="5" t="str">
        <f>IFERROR(__xludf.DUMMYFUNCTION("""COMPUTED_VALUE"""),"tdahta,tdahrelatos,tdahadulto,tdaheemocao,adhdadult")</f>
        <v>tdahta,tdahrelatos,tdahadulto,tdaheemocao,adhdadult</v>
      </c>
      <c r="G176" s="6">
        <f>IFERROR(__xludf.DUMMYFUNCTION("IF(
  TRIM(E176)="""",
  0,
  COUNTA(
    SPLIT(
      REGEXREPLACE(E176,""\s*,\s*"","",""),
      "",""
    )
  )
)"),5.0)</f>
        <v>5</v>
      </c>
    </row>
    <row r="177">
      <c r="A177" s="5" t="str">
        <f>IFERROR(__xludf.DUMMYFUNCTION("""COMPUTED_VALUE"""),"7366601462735998214")</f>
        <v>7366601462735998214</v>
      </c>
      <c r="B177" s="5" t="str">
        <f>IFERROR(__xludf.DUMMYFUNCTION("""COMPUTED_VALUE"""),"patrycia.leme")</f>
        <v>patrycia.leme</v>
      </c>
      <c r="C177" s="5" t="str">
        <f>IFERROR(__xludf.DUMMYFUNCTION("""COMPUTED_VALUE"""),"Patrícia Leme 🌈")</f>
        <v>Patrícia Leme 🌈</v>
      </c>
      <c r="D177" s="5" t="str">
        <f>IFERROR(__xludf.DUMMYFUNCTION("""COMPUTED_VALUE"""),"#tea #tdah #tod #transtornospsicologicos #transtorno #façaterapia #ansiedade #depressao #sindromedopanico #burnout #transtornodepersonalidade")</f>
        <v>#tea #tdah #tod #transtornospsicologicos #transtorno #façaterapia #ansiedade #depressao #sindromedopanico #burnout #transtornodepersonalidade</v>
      </c>
      <c r="E177" s="5" t="str">
        <f>IFERROR(__xludf.DUMMYFUNCTION("""COMPUTED_VALUE"""),"tea,tdah,tod,transtornospsicologicos,transtorno,façaterapia,ansiedade,depressao,sindromedopanico,burnout,transtornodepersonalidade")</f>
        <v>tea,tdah,tod,transtornospsicologicos,transtorno,façaterapia,ansiedade,depressao,sindromedopanico,burnout,transtornodepersonalidade</v>
      </c>
      <c r="G177" s="6">
        <f>IFERROR(__xludf.DUMMYFUNCTION("IF(
  TRIM(E177)="""",
  0,
  COUNTA(
    SPLIT(
      REGEXREPLACE(E177,""\s*,\s*"","",""),
      "",""
    )
  )
)"),11.0)</f>
        <v>11</v>
      </c>
    </row>
    <row r="178">
      <c r="A178" s="5" t="str">
        <f>IFERROR(__xludf.DUMMYFUNCTION("""COMPUTED_VALUE"""),"7510240853697350917")</f>
        <v>7510240853697350917</v>
      </c>
      <c r="B178" s="5" t="str">
        <f>IFERROR(__xludf.DUMMYFUNCTION("""COMPUTED_VALUE"""),"psi.jonathanorlandi")</f>
        <v>psi.jonathanorlandi</v>
      </c>
      <c r="C178" s="5" t="str">
        <f>IFERROR(__xludf.DUMMYFUNCTION("""COMPUTED_VALUE"""),"Jonathan. O psicólogo sincero")</f>
        <v>Jonathan. O psicólogo sincero</v>
      </c>
      <c r="D178" s="5" t="str">
        <f>IFERROR(__xludf.DUMMYFUNCTION("""COMPUTED_VALUE"""),"QUANDO O TDAH É TERAPEUTIZADO, a impulsividade dá espaço pra presença, a reatividade vira diálogo… e a gente se torna alguém incrível de se relacionar. Por isso que o diagnóstico é importante.  #tdah #psicologia #curiosidades #comportamento #distraidosven"&amp;"ceremos")</f>
        <v>QUANDO O TDAH É TERAPEUTIZADO, a impulsividade dá espaço pra presença, a reatividade vira diálogo… e a gente se torna alguém incrível de se relacionar. Por isso que o diagnóstico é importante.  #tdah #psicologia #curiosidades #comportamento #distraidosvenceremos</v>
      </c>
      <c r="E178" s="5" t="str">
        <f>IFERROR(__xludf.DUMMYFUNCTION("""COMPUTED_VALUE"""),"tdah,psicologia,curiosidades,comportamento,distraidosvenceremos")</f>
        <v>tdah,psicologia,curiosidades,comportamento,distraidosvenceremos</v>
      </c>
      <c r="G178" s="6">
        <f>IFERROR(__xludf.DUMMYFUNCTION("IF(
  TRIM(E178)="""",
  0,
  COUNTA(
    SPLIT(
      REGEXREPLACE(E178,""\s*,\s*"","",""),
      "",""
    )
  )
)"),5.0)</f>
        <v>5</v>
      </c>
    </row>
    <row r="179">
      <c r="A179" s="5" t="str">
        <f>IFERROR(__xludf.DUMMYFUNCTION("""COMPUTED_VALUE"""),"7520030098746019077")</f>
        <v>7520030098746019077</v>
      </c>
      <c r="B179" s="5" t="str">
        <f>IFERROR(__xludf.DUMMYFUNCTION("""COMPUTED_VALUE"""),"ziifrancoterapeuta")</f>
        <v>ziifrancoterapeuta</v>
      </c>
      <c r="C179" s="5" t="str">
        <f>IFERROR(__xludf.DUMMYFUNCTION("""COMPUTED_VALUE"""),"zii")</f>
        <v>zii</v>
      </c>
      <c r="D179" s="5" t="str">
        <f>IFERROR(__xludf.DUMMYFUNCTION("""COMPUTED_VALUE"""),"#saudemental #tdah #tdahadulto #tdahtiktok")</f>
        <v>#saudemental #tdah #tdahadulto #tdahtiktok</v>
      </c>
      <c r="E179" s="5" t="str">
        <f>IFERROR(__xludf.DUMMYFUNCTION("""COMPUTED_VALUE"""),"saudemental,tdah,tdahadulto,tdahtiktok")</f>
        <v>saudemental,tdah,tdahadulto,tdahtiktok</v>
      </c>
      <c r="G179" s="6">
        <f>IFERROR(__xludf.DUMMYFUNCTION("IF(
  TRIM(E179)="""",
  0,
  COUNTA(
    SPLIT(
      REGEXREPLACE(E179,""\s*,\s*"","",""),
      "",""
    )
  )
)"),4.0)</f>
        <v>4</v>
      </c>
    </row>
    <row r="180">
      <c r="A180" s="5" t="str">
        <f>IFERROR(__xludf.DUMMYFUNCTION("""COMPUTED_VALUE"""),"7254563923872009477")</f>
        <v>7254563923872009477</v>
      </c>
      <c r="B180" s="5" t="str">
        <f>IFERROR(__xludf.DUMMYFUNCTION("""COMPUTED_VALUE"""),"tdahabitos")</f>
        <v>tdahabitos</v>
      </c>
      <c r="C180" s="5" t="str">
        <f>IFERROR(__xludf.DUMMYFUNCTION("""COMPUTED_VALUE"""),"TDAHábitos - Haider Rizvi 🎗🧠")</f>
        <v>TDAHábitos - Haider Rizvi 🎗🧠</v>
      </c>
      <c r="D180" s="5" t="str">
        <f>IFERROR(__xludf.DUMMYFUNCTION("""COMPUTED_VALUE"""),"Você também se sente sobrecarregado às vezes? A jornada não é fácil. Estamos sempre lidando com sintomas do TDAH, que são difíceis de lidar. A frustração, a procrastinação, a dificuldade de se concentrar... tudo isso resulta em: Assista até o final! ▶️ Se"&amp;"gue lá: https://www.instagram.com/tdahabitos ▶️ Conheça a https://ComunidadeSegundoCerebo.com para pessoas com TDAH! 👍 Se você gostou da dica, já clica no gostei e ativa o sininho para receber mais dessa série! #tdah #tdahadulto #tda")</f>
        <v>Você também se sente sobrecarregado às vezes? A jornada não é fácil. Estamos sempre lidando com sintomas do TDAH, que são difíceis de lidar. A frustração, a procrastinação, a dificuldade de se concentrar... tudo isso resulta em: Assista até o final! ▶️ Segue lá: https://www.instagram.com/tdahabitos ▶️ Conheça a https://ComunidadeSegundoCerebo.com para pessoas com TDAH! 👍 Se você gostou da dica, já clica no gostei e ativa o sininho para receber mais dessa série! #tdah #tdahadulto #tda</v>
      </c>
      <c r="E180" s="5" t="str">
        <f>IFERROR(__xludf.DUMMYFUNCTION("""COMPUTED_VALUE"""),"tdah,tdahadulto,tda")</f>
        <v>tdah,tdahadulto,tda</v>
      </c>
      <c r="G180" s="6">
        <f>IFERROR(__xludf.DUMMYFUNCTION("IF(
  TRIM(E180)="""",
  0,
  COUNTA(
    SPLIT(
      REGEXREPLACE(E180,""\s*,\s*"","",""),
      "",""
    )
  )
)"),3.0)</f>
        <v>3</v>
      </c>
    </row>
    <row r="181">
      <c r="A181" s="5" t="str">
        <f>IFERROR(__xludf.DUMMYFUNCTION("""COMPUTED_VALUE"""),"7524436956374240518")</f>
        <v>7524436956374240518</v>
      </c>
      <c r="B181" s="5" t="str">
        <f>IFERROR(__xludf.DUMMYFUNCTION("""COMPUTED_VALUE"""),"gabriela.matsuda")</f>
        <v>gabriela.matsuda</v>
      </c>
      <c r="C181" s="5" t="str">
        <f>IFERROR(__xludf.DUMMYFUNCTION("""COMPUTED_VALUE"""),"Gabriela Matsuda")</f>
        <v>Gabriela Matsuda</v>
      </c>
      <c r="D181" s="5" t="str">
        <f>IFERROR(__xludf.DUMMYFUNCTION("""COMPUTED_VALUE"""),"#tdah #tdahadulto #tdahmulheres #ansiedade #depressao #neurodivergente #autoconhecimento #terapia #diagnostico #desabafo #saudemental #autoestima")</f>
        <v>#tdah #tdahadulto #tdahmulheres #ansiedade #depressao #neurodivergente #autoconhecimento #terapia #diagnostico #desabafo #saudemental #autoestima</v>
      </c>
      <c r="E181" s="5" t="str">
        <f>IFERROR(__xludf.DUMMYFUNCTION("""COMPUTED_VALUE"""),"tdah,tdahadulto,tdahmulheres,ansiedade,depressao,neurodivergente,autoconhecimento,terapia,diagnostico,desabafo,saudemental,autoestima")</f>
        <v>tdah,tdahadulto,tdahmulheres,ansiedade,depressao,neurodivergente,autoconhecimento,terapia,diagnostico,desabafo,saudemental,autoestima</v>
      </c>
      <c r="G181" s="6">
        <f>IFERROR(__xludf.DUMMYFUNCTION("IF(
  TRIM(E181)="""",
  0,
  COUNTA(
    SPLIT(
      REGEXREPLACE(E181,""\s*,\s*"","",""),
      "",""
    )
  )
)"),12.0)</f>
        <v>12</v>
      </c>
    </row>
    <row r="182">
      <c r="A182" s="5" t="str">
        <f>IFERROR(__xludf.DUMMYFUNCTION("""COMPUTED_VALUE"""),"7278667146916302086")</f>
        <v>7278667146916302086</v>
      </c>
      <c r="B182" s="5" t="str">
        <f>IFERROR(__xludf.DUMMYFUNCTION("""COMPUTED_VALUE"""),"marilialanoa")</f>
        <v>marilialanoa</v>
      </c>
      <c r="C182" s="5" t="str">
        <f>IFERROR(__xludf.DUMMYFUNCTION("""COMPUTED_VALUE"""),"tdah autismo ansiedade")</f>
        <v>tdah autismo ansiedade</v>
      </c>
      <c r="D182" s="5" t="str">
        <f>IFERROR(__xludf.DUMMYFUNCTION("""COMPUTED_VALUE"""),"tdah #transtorno #tdahadulto #tdah")</f>
        <v>tdah #transtorno #tdahadulto #tdah</v>
      </c>
      <c r="E182" s="5" t="str">
        <f>IFERROR(__xludf.DUMMYFUNCTION("""COMPUTED_VALUE"""),"transtorno,tdahadulto,tdah")</f>
        <v>transtorno,tdahadulto,tdah</v>
      </c>
      <c r="G182" s="6">
        <f>IFERROR(__xludf.DUMMYFUNCTION("IF(
  TRIM(E182)="""",
  0,
  COUNTA(
    SPLIT(
      REGEXREPLACE(E182,""\s*,\s*"","",""),
      "",""
    )
  )
)"),3.0)</f>
        <v>3</v>
      </c>
    </row>
    <row r="183">
      <c r="A183" s="5" t="str">
        <f>IFERROR(__xludf.DUMMYFUNCTION("""COMPUTED_VALUE"""),"7302247328797232390")</f>
        <v>7302247328797232390</v>
      </c>
      <c r="B183" s="5" t="str">
        <f>IFERROR(__xludf.DUMMYFUNCTION("""COMPUTED_VALUE"""),"clarisepazterapeuta")</f>
        <v>clarisepazterapeuta</v>
      </c>
      <c r="C183" s="5" t="str">
        <f>IFERROR(__xludf.DUMMYFUNCTION("""COMPUTED_VALUE"""),"clarisepazterapeuta")</f>
        <v>clarisepazterapeuta</v>
      </c>
      <c r="D183" s="5" t="str">
        <f>IFERROR(__xludf.DUMMYFUNCTION("""COMPUTED_VALUE"""),"#tdah #rejeicao #abandono #terapiaemocional")</f>
        <v>#tdah #rejeicao #abandono #terapiaemocional</v>
      </c>
      <c r="E183" s="5" t="str">
        <f>IFERROR(__xludf.DUMMYFUNCTION("""COMPUTED_VALUE"""),"tdah,rejeicao,abandono,terapiaemocional")</f>
        <v>tdah,rejeicao,abandono,terapiaemocional</v>
      </c>
      <c r="G183" s="6">
        <f>IFERROR(__xludf.DUMMYFUNCTION("IF(
  TRIM(E183)="""",
  0,
  COUNTA(
    SPLIT(
      REGEXREPLACE(E183,""\s*,\s*"","",""),
      "",""
    )
  )
)"),4.0)</f>
        <v>4</v>
      </c>
    </row>
    <row r="184">
      <c r="A184" s="5" t="str">
        <f>IFERROR(__xludf.DUMMYFUNCTION("""COMPUTED_VALUE"""),"7462533208387751174")</f>
        <v>7462533208387751174</v>
      </c>
      <c r="B184" s="5" t="str">
        <f>IFERROR(__xludf.DUMMYFUNCTION("""COMPUTED_VALUE"""),"igorpsicologo")</f>
        <v>igorpsicologo</v>
      </c>
      <c r="C184" s="5" t="str">
        <f>IFERROR(__xludf.DUMMYFUNCTION("""COMPUTED_VALUE"""),"Psicólogo Igor")</f>
        <v>Psicólogo Igor</v>
      </c>
      <c r="D184" s="5" t="str">
        <f>IFERROR(__xludf.DUMMYFUNCTION("""COMPUTED_VALUE"""),"#saudemental #tdah #psicologia #psicologoonline #psicoterapia #fyp #foryou #foryoupage #viralizou")</f>
        <v>#saudemental #tdah #psicologia #psicologoonline #psicoterapia #fyp #foryou #foryoupage #viralizou</v>
      </c>
      <c r="E184" s="5" t="str">
        <f>IFERROR(__xludf.DUMMYFUNCTION("""COMPUTED_VALUE"""),"saudemental,tdah,psicologia,psicologoonline,psicoterapia,fyp,foryou,foryoupage,viralizou")</f>
        <v>saudemental,tdah,psicologia,psicologoonline,psicoterapia,fyp,foryou,foryoupage,viralizou</v>
      </c>
      <c r="G184" s="6">
        <f>IFERROR(__xludf.DUMMYFUNCTION("IF(
  TRIM(E184)="""",
  0,
  COUNTA(
    SPLIT(
      REGEXREPLACE(E184,""\s*,\s*"","",""),
      "",""
    )
  )
)"),9.0)</f>
        <v>9</v>
      </c>
    </row>
    <row r="185">
      <c r="A185" s="5" t="str">
        <f>IFERROR(__xludf.DUMMYFUNCTION("""COMPUTED_VALUE"""),"7562577272859921671")</f>
        <v>7562577272859921671</v>
      </c>
      <c r="B185" s="5" t="str">
        <f>IFERROR(__xludf.DUMMYFUNCTION("""COMPUTED_VALUE"""),"nivea.savoy")</f>
        <v>nivea.savoy</v>
      </c>
      <c r="C185" s="5" t="str">
        <f>IFERROR(__xludf.DUMMYFUNCTION("""COMPUTED_VALUE"""),"NIvea Savoy")</f>
        <v>NIvea Savoy</v>
      </c>
      <c r="D185" s="5" t="str">
        <f>IFERROR(__xludf.DUMMYFUNCTION("""COMPUTED_VALUE"""),"As pessoas acham que o TDAH é falta de vontade… mas o que ninguém te conta é que isso tem tudo a ver com neurociência, e não com preguiça. 🕰️ O cérebro do TDAH percebe o tempo de forma diferente — o “depois” vira “nunca”, e o “agora” vira urgência. Você "&amp;"não procrastina porque quer. Seu cérebro apenas funciona em outro ritmo. 👉 E quando você entende isso, muda tudo. #TDAH #Neurociência #TDAHAdulto #TDAHInfantil #Psicologia         ")</f>
        <v>As pessoas acham que o TDAH é falta de vontade… mas o que ninguém te conta é que isso tem tudo a ver com neurociência, e não com preguiça. 🕰️ O cérebro do TDAH percebe o tempo de forma diferente — o “depois” vira “nunca”, e o “agora” vira urgência. Você não procrastina porque quer. Seu cérebro apenas funciona em outro ritmo. 👉 E quando você entende isso, muda tudo. #TDAH #Neurociência #TDAHAdulto #TDAHInfantil #Psicologia         </v>
      </c>
      <c r="E185" s="5" t="str">
        <f>IFERROR(__xludf.DUMMYFUNCTION("""COMPUTED_VALUE"""),"tdah,neurociência,tdahadulto,tdahinfantil,psicologia")</f>
        <v>tdah,neurociência,tdahadulto,tdahinfantil,psicologia</v>
      </c>
      <c r="G185" s="6">
        <f>IFERROR(__xludf.DUMMYFUNCTION("IF(
  TRIM(E185)="""",
  0,
  COUNTA(
    SPLIT(
      REGEXREPLACE(E185,""\s*,\s*"","",""),
      "",""
    )
  )
)"),5.0)</f>
        <v>5</v>
      </c>
    </row>
    <row r="186">
      <c r="A186" s="5" t="str">
        <f>IFERROR(__xludf.DUMMYFUNCTION("""COMPUTED_VALUE"""),"7541151024296299832")</f>
        <v>7541151024296299832</v>
      </c>
      <c r="B186" s="5" t="str">
        <f>IFERROR(__xludf.DUMMYFUNCTION("""COMPUTED_VALUE"""),"vivendocomtdahoficial")</f>
        <v>vivendocomtdahoficial</v>
      </c>
      <c r="C186" s="5" t="str">
        <f>IFERROR(__xludf.DUMMYFUNCTION("""COMPUTED_VALUE"""),"Vivendo com Tdah")</f>
        <v>Vivendo com Tdah</v>
      </c>
      <c r="D186" s="5" t="str">
        <f>IFERROR(__xludf.DUMMYFUNCTION("""COMPUTED_VALUE"""),"Desabafo de uma mãe.  #tdah #tdahadulto #tdahmemes #tdahtiktok #tdahinfantil")</f>
        <v>Desabafo de uma mãe.  #tdah #tdahadulto #tdahmemes #tdahtiktok #tdahinfantil</v>
      </c>
      <c r="E186" s="5" t="str">
        <f>IFERROR(__xludf.DUMMYFUNCTION("""COMPUTED_VALUE"""),"tdah,tdahadulto,tdahmemes,tdahtiktok,tdahinfantil")</f>
        <v>tdah,tdahadulto,tdahmemes,tdahtiktok,tdahinfantil</v>
      </c>
      <c r="G186" s="6">
        <f>IFERROR(__xludf.DUMMYFUNCTION("IF(
  TRIM(E186)="""",
  0,
  COUNTA(
    SPLIT(
      REGEXREPLACE(E186,""\s*,\s*"","",""),
      "",""
    )
  )
)"),5.0)</f>
        <v>5</v>
      </c>
    </row>
    <row r="187">
      <c r="A187" s="5" t="str">
        <f>IFERROR(__xludf.DUMMYFUNCTION("""COMPUTED_VALUE"""),"7223027035826916613")</f>
        <v>7223027035826916613</v>
      </c>
      <c r="B187" s="5" t="str">
        <f>IFERROR(__xludf.DUMMYFUNCTION("""COMPUTED_VALUE"""),"sobrevivi2019oficialdid")</f>
        <v>sobrevivi2019oficialdid</v>
      </c>
      <c r="C187" s="5" t="str">
        <f>IFERROR(__xludf.DUMMYFUNCTION("""COMPUTED_VALUE"""),"Sobrevivi Oficial D-ID")</f>
        <v>Sobrevivi Oficial D-ID</v>
      </c>
      <c r="D187" s="5" t="str">
        <f>IFERROR(__xludf.DUMMYFUNCTION("""COMPUTED_VALUE"""),"🔴 Atenção, veja até o final🔴 #tod #TOD #desafiadoropositor #desafiador #desafiadores #tranatornomental #transtornoopositordesafiador #tranatornopositordesafiador #tranatornopositordesafiador #transtornoopositivodesafiador #transtornooposotordesafiador #"&amp;"criancacomtod #crianca #adultotranstornopositordesafiador #adulto #adultoon #transtorno #foryoupage #fypシ #tourettetunisia #foryoupage #corpo #alma #psiquiatra #psicologo #mente #mentehumana #sobrevivi2019 #saibamais #saibamaissobre #sindrome #agressivo #"&amp;"naoassumenunca #desafiador #opositor #trabalho #trabalhoemcasa #trabalhoduro #trabalhosespirituais #trabalhoemequipe #pensamentos #pensamentosdodia #pensamentonegativo #penamentos #pensebemnisso #ajuda #ajudar #ajudandopessoas #ajudaaitiktok #ajudandoopro"&amp;"ximo #familia #mulheres #homens #mundotiktok #geracao #geracaotiktok #geracaotiktokbrasil #mundoente #doentes #doeca #doencadaalma #almadoente #mentedoente #coracaodoente🤦😭😭😭 #eutocomavidameiobaguncada #saudemental #saudefisica #saudefisicaemental #Tr"&amp;"endDaMão #EspelhoNoQuarto #péschatos #napalmadamão #botaamãonaparede ")</f>
        <v>🔴 Atenção, veja até o final🔴 #tod #TOD #desafiadoropositor #desafiador #desafiadores #tranatornomental #transtornoopositordesafiador #tranatornopositordesafiador #tranatornopositordesafiador #transtornoopositivodesafiador #transtornooposotordesafiador #criancacomtod #crianca #adultotranstornopositordesafiador #adulto #adultoon #transtorno #foryoupage #fypシ #tourettetunisia #foryoupage #corpo #alma #psiquiatra #psicologo #mente #mentehumana #sobrevivi2019 #saibamais #saibamaissobre #sindrome #agressivo #naoassumenunca #desafiador #opositor #trabalho #trabalhoemcasa #trabalhoduro #trabalhosespirituais #trabalhoemequipe #pensamentos #pensamentosdodia #pensamentonegativo #penamentos #pensebemnisso #ajuda #ajudar #ajudandopessoas #ajudaaitiktok #ajudandooproximo #familia #mulheres #homens #mundotiktok #geracao #geracaotiktok #geracaotiktokbrasil #mundoente #doentes #doeca #doencadaalma #almadoente #mentedoente #coracaodoente🤦😭😭😭 #eutocomavidameiobaguncada #saudemental #saudefisica #saudefisicaemental #TrendDaMão #EspelhoNoQuarto #péschatos #napalmadamão #botaamãonaparede </v>
      </c>
      <c r="E187" s="5" t="str">
        <f>IFERROR(__xludf.DUMMYFUNCTION("""COMPUTED_VALUE"""),"tod,tod,desafiadoropositor,desafiador,desafiadores,tranatornomental,transtornoopositordesafiador,tranatornopositordesafiador,tranatornopositordesafiador,transtornoopositivodesafiador,transtornooposotordesafiador,criancacomtod,crianca,adultotranstornoposit"&amp;"ordesafiador,adulto,adultoon,transtorno,foryoupage,fypシ,tourettetunisia,foryoupage,corpo,alma,psiquiatra,psicologo,mente,mentehumana,sobrevivi2019,saibamais,saibamaissobre,sindrome,agressivo,naoassumenunca,desafiador,opositor,trabalho,trabalhoemcasa,traba"&amp;"lhoduro,trabalhosespirituais,trabalhoemequipe,pensamentos,pensamentosdodia,pensamentonegativo,penamentos,pensebemnisso,ajuda,ajudar,ajudandopessoas,ajudaaitiktok,ajudandooproximo,familia,mulheres,homens,mundotiktok,geracao,geracaotiktok,geracaotiktokbrasi"&amp;"l,mundoente,doentes,doeca,doencadaalma,almadoente,mentedoente,coracaodoente🤦😭😭😭,eutocomavidameiobaguncada,saudemental,saudefisica,saudefisicaemental,trenddamão,espelhonoquarto,péschatos,napalmadamão,botaamãonaparede")</f>
        <v>tod,tod,desafiadoropositor,desafiador,desafiadores,tranatornomental,transtornoopositordesafiador,tranatornopositordesafiador,tranatornopositordesafiador,transtornoopositivodesafiador,transtornooposotordesafiador,criancacomtod,crianca,adultotranstornopositordesafiador,adulto,adultoon,transtorno,foryoupage,fypシ,tourettetunisia,foryoupage,corpo,alma,psiquiatra,psicologo,mente,mentehumana,sobrevivi2019,saibamais,saibamaissobre,sindrome,agressivo,naoassumenunca,desafiador,opositor,trabalho,trabalhoemcasa,trabalhoduro,trabalhosespirituais,trabalhoemequipe,pensamentos,pensamentosdodia,pensamentonegativo,penamentos,pensebemnisso,ajuda,ajudar,ajudandopessoas,ajudaaitiktok,ajudandooproximo,familia,mulheres,homens,mundotiktok,geracao,geracaotiktok,geracaotiktokbrasil,mundoente,doentes,doeca,doencadaalma,almadoente,mentedoente,coracaodoente🤦😭😭😭,eutocomavidameiobaguncada,saudemental,saudefisica,saudefisicaemental,trenddamão,espelhonoquarto,péschatos,napalmadamão,botaamãonaparede</v>
      </c>
      <c r="G187" s="6">
        <f>IFERROR(__xludf.DUMMYFUNCTION("IF(
  TRIM(E187)="""",
  0,
  COUNTA(
    SPLIT(
      REGEXREPLACE(E187,""\s*,\s*"","",""),
      "",""
    )
  )
)"),73.0)</f>
        <v>73</v>
      </c>
    </row>
    <row r="188">
      <c r="A188" s="5" t="str">
        <f>IFERROR(__xludf.DUMMYFUNCTION("""COMPUTED_VALUE"""),"7273587796558793990")</f>
        <v>7273587796558793990</v>
      </c>
      <c r="B188" s="5" t="str">
        <f>IFERROR(__xludf.DUMMYFUNCTION("""COMPUTED_VALUE"""),"tdahuniverse")</f>
        <v>tdahuniverse</v>
      </c>
      <c r="C188" s="5" t="str">
        <f>IFERROR(__xludf.DUMMYFUNCTION("""COMPUTED_VALUE"""),"TDAH UNIVERSE🧠")</f>
        <v>TDAH UNIVERSE🧠</v>
      </c>
      <c r="D188" s="5" t="str">
        <f>IFERROR(__xludf.DUMMYFUNCTION("""COMPUTED_VALUE"""),"FRUSTRAÇÃO COM TDAH! VOCÊ TEM ESSA FRUSTRAÇÃO? #podcast #tdah #tdahadulto #tdahinfantil #tdahtiktok #neurodesenvolvimento")</f>
        <v>FRUSTRAÇÃO COM TDAH! VOCÊ TEM ESSA FRUSTRAÇÃO? #podcast #tdah #tdahadulto #tdahinfantil #tdahtiktok #neurodesenvolvimento</v>
      </c>
      <c r="E188" s="5" t="str">
        <f>IFERROR(__xludf.DUMMYFUNCTION("""COMPUTED_VALUE"""),"podcast,tdah,tdahadulto,tdahinfantil,tdahtiktok,neurodesenvolvimento")</f>
        <v>podcast,tdah,tdahadulto,tdahinfantil,tdahtiktok,neurodesenvolvimento</v>
      </c>
      <c r="G188" s="6">
        <f>IFERROR(__xludf.DUMMYFUNCTION("IF(
  TRIM(E188)="""",
  0,
  COUNTA(
    SPLIT(
      REGEXREPLACE(E188,""\s*,\s*"","",""),
      "",""
    )
  )
)"),6.0)</f>
        <v>6</v>
      </c>
    </row>
    <row r="189">
      <c r="A189" s="5" t="str">
        <f>IFERROR(__xludf.DUMMYFUNCTION("""COMPUTED_VALUE"""),"7547098585024695608")</f>
        <v>7547098585024695608</v>
      </c>
      <c r="B189" s="5" t="str">
        <f>IFERROR(__xludf.DUMMYFUNCTION("""COMPUTED_VALUE"""),"liberdade.mentall")</f>
        <v>liberdade.mentall</v>
      </c>
      <c r="C189" s="5" t="str">
        <f>IFERROR(__xludf.DUMMYFUNCTION("""COMPUTED_VALUE"""),"Liberdade Mental 🧠💫")</f>
        <v>Liberdade Mental 🧠💫</v>
      </c>
      <c r="D189" s="5" t="str">
        <f>IFERROR(__xludf.DUMMYFUNCTION("""COMPUTED_VALUE"""),"ISSO QUE É O TDAH: Imagina ter vinte abas abertas na cabeça… todas ao mesmo tempo. Todas gritando. E nenhuma ficando em silêncio. Você tenta focar em uma coisa. Mas outra invade. E mais outra. Até você perder tudo. E ficar parado, olhando pro nada. Travad"&amp;"o. Com a mente te sabotando. É querer muito fazer. Mas não conseguir. É se culpar por não ter feito. E repetir isso todo dia. É explodir de raiva por besteira. E depois chorar de arrependimento. É amar com intensidade sufocante. E, no minuto seguinte, se "&amp;"isolar como se ninguém importasse. É prometer mudar. E não mudar. Não porque não queira. Mas porque o cérebro trava… bem na hora que você mais precisa dele. É viver de extremos. Oito ou oitenta. Amor ou ódio. Energia infinita ou cansaço absoluto. Nunca eq"&amp;"uilíbrio. Nunca paz. Por fora, você sorri. Faz piada. Disfarça. Mas, por dentro, é barulho, caos, desespero. E ninguém vê. Ninguém entende. Só você — vivendo uma guerra contra si mesmo. Esse é o TDAH. O verdadeiro. Não a versão romantizada da internet. #t"&amp;"dah #oqueetdah #sintomasdotdah")</f>
        <v>ISSO QUE É O TDAH: Imagina ter vinte abas abertas na cabeça… todas ao mesmo tempo. Todas gritando. E nenhuma ficando em silêncio. Você tenta focar em uma coisa. Mas outra invade. E mais outra. Até você perder tudo. E ficar parado, olhando pro nada. Travado. Com a mente te sabotando. É querer muito fazer. Mas não conseguir. É se culpar por não ter feito. E repetir isso todo dia. É explodir de raiva por besteira. E depois chorar de arrependimento. É amar com intensidade sufocante. E, no minuto seguinte, se isolar como se ninguém importasse. É prometer mudar. E não mudar. Não porque não queira. Mas porque o cérebro trava… bem na hora que você mais precisa dele. É viver de extremos. Oito ou oitenta. Amor ou ódio. Energia infinita ou cansaço absoluto. Nunca equilíbrio. Nunca paz. Por fora, você sorri. Faz piada. Disfarça. Mas, por dentro, é barulho, caos, desespero. E ninguém vê. Ninguém entende. Só você — vivendo uma guerra contra si mesmo. Esse é o TDAH. O verdadeiro. Não a versão romantizada da internet. #tdah #oqueetdah #sintomasdotdah</v>
      </c>
      <c r="E189" s="5" t="str">
        <f>IFERROR(__xludf.DUMMYFUNCTION("""COMPUTED_VALUE"""),"tdah,oqueetdah,sintomasdotdah")</f>
        <v>tdah,oqueetdah,sintomasdotdah</v>
      </c>
      <c r="G189" s="6">
        <f>IFERROR(__xludf.DUMMYFUNCTION("IF(
  TRIM(E189)="""",
  0,
  COUNTA(
    SPLIT(
      REGEXREPLACE(E189,""\s*,\s*"","",""),
      "",""
    )
  )
)"),3.0)</f>
        <v>3</v>
      </c>
    </row>
    <row r="190">
      <c r="A190" s="5" t="str">
        <f>IFERROR(__xludf.DUMMYFUNCTION("""COMPUTED_VALUE"""),"7396104682726329605")</f>
        <v>7396104682726329605</v>
      </c>
      <c r="B190" s="5" t="str">
        <f>IFERROR(__xludf.DUMMYFUNCTION("""COMPUTED_VALUE"""),"lorenatdahta")</f>
        <v>lorenatdahta</v>
      </c>
      <c r="C190" s="5" t="str">
        <f>IFERROR(__xludf.DUMMYFUNCTION("""COMPUTED_VALUE"""),"Lorena TDAHTA")</f>
        <v>Lorena TDAHTA</v>
      </c>
      <c r="D190" s="5" t="str">
        <f>IFERROR(__xludf.DUMMYFUNCTION("""COMPUTED_VALUE"""),"É o que eu chamo de ""loop infinito do TDAH"" 🫠_____________________________E por aí? Essa relação com a rotina, confere também? 🧐💬_____________________________#tdahta #tdahhumor  #tdahadulto #tdahtiktok")</f>
        <v>É o que eu chamo de "loop infinito do TDAH" 🫠_____________________________E por aí? Essa relação com a rotina, confere também? 🧐💬_____________________________#tdahta #tdahhumor  #tdahadulto #tdahtiktok</v>
      </c>
      <c r="E190" s="5" t="str">
        <f>IFERROR(__xludf.DUMMYFUNCTION("""COMPUTED_VALUE"""),"tdahta,tdahhumor,tdahadulto,tdahtiktok")</f>
        <v>tdahta,tdahhumor,tdahadulto,tdahtiktok</v>
      </c>
      <c r="G190" s="6">
        <f>IFERROR(__xludf.DUMMYFUNCTION("IF(
  TRIM(E190)="""",
  0,
  COUNTA(
    SPLIT(
      REGEXREPLACE(E190,""\s*,\s*"","",""),
      "",""
    )
  )
)"),4.0)</f>
        <v>4</v>
      </c>
    </row>
    <row r="191">
      <c r="A191" s="5" t="str">
        <f>IFERROR(__xludf.DUMMYFUNCTION("""COMPUTED_VALUE"""),"7403924323074870533")</f>
        <v>7403924323074870533</v>
      </c>
      <c r="B191" s="5" t="str">
        <f>IFERROR(__xludf.DUMMYFUNCTION("""COMPUTED_VALUE"""),"evolutiva_mente")</f>
        <v>evolutiva_mente</v>
      </c>
      <c r="C191" s="5" t="str">
        <f>IFERROR(__xludf.DUMMYFUNCTION("""COMPUTED_VALUE"""),"evolutiva_mente")</f>
        <v>evolutiva_mente</v>
      </c>
      <c r="D191" s="5" t="str">
        <f>IFERROR(__xludf.DUMMYFUNCTION("""COMPUTED_VALUE"""),"TDAH E  FRUSTRAÇÃO #fy #fyp #pessoas #tdah #autoestima #autocuidado #autoconhecimento #amorpropio #dominiopropio #viral #viralvideo #saudemental #tdahadulto #frustração #CapCut")</f>
        <v>TDAH E  FRUSTRAÇÃO #fy #fyp #pessoas #tdah #autoestima #autocuidado #autoconhecimento #amorpropio #dominiopropio #viral #viralvideo #saudemental #tdahadulto #frustração #CapCut</v>
      </c>
      <c r="E191" s="5" t="str">
        <f>IFERROR(__xludf.DUMMYFUNCTION("""COMPUTED_VALUE"""),"fy,fyp,pessoas,tdah,autoestima,autocuidado,autoconhecimento,amorpropio,dominiopropio,viral,viralvideo,saudemental,tdahadulto,frustração,capcut")</f>
        <v>fy,fyp,pessoas,tdah,autoestima,autocuidado,autoconhecimento,amorpropio,dominiopropio,viral,viralvideo,saudemental,tdahadulto,frustração,capcut</v>
      </c>
      <c r="G191" s="6">
        <f>IFERROR(__xludf.DUMMYFUNCTION("IF(
  TRIM(E191)="""",
  0,
  COUNTA(
    SPLIT(
      REGEXREPLACE(E191,""\s*,\s*"","",""),
      "",""
    )
  )
)"),15.0)</f>
        <v>15</v>
      </c>
    </row>
    <row r="192">
      <c r="A192" s="5" t="str">
        <f>IFERROR(__xludf.DUMMYFUNCTION("""COMPUTED_VALUE"""),"7519918185961753861")</f>
        <v>7519918185961753861</v>
      </c>
      <c r="B192" s="5" t="str">
        <f>IFERROR(__xludf.DUMMYFUNCTION("""COMPUTED_VALUE"""),"psi.walace")</f>
        <v>psi.walace</v>
      </c>
      <c r="C192" s="5" t="str">
        <f>IFERROR(__xludf.DUMMYFUNCTION("""COMPUTED_VALUE"""),"Walace Almeida | Psicólogo")</f>
        <v>Walace Almeida | Psicólogo</v>
      </c>
      <c r="D192" s="5" t="str">
        <f>IFERROR(__xludf.DUMMYFUNCTION("""COMPUTED_VALUE"""),"A mente de uma pessoa com TDAH é muito acelerada e com diversos pensamentos ao mesmo tempo, onde muitas vezes parece que tem várias vozes na nossa cabeça, e é aí que em alguns casos entra a medicação, que ajuda a regular o cérebro e deixar a cabeça mais t"&amp;"ranquila e focada, dando até certo alívio! #psicologia #tdah #tdahadulto ")</f>
        <v>A mente de uma pessoa com TDAH é muito acelerada e com diversos pensamentos ao mesmo tempo, onde muitas vezes parece que tem várias vozes na nossa cabeça, e é aí que em alguns casos entra a medicação, que ajuda a regular o cérebro e deixar a cabeça mais tranquila e focada, dando até certo alívio! #psicologia #tdah #tdahadulto </v>
      </c>
      <c r="E192" s="5" t="str">
        <f>IFERROR(__xludf.DUMMYFUNCTION("""COMPUTED_VALUE"""),"psicologia,tdah,tdahadulto")</f>
        <v>psicologia,tdah,tdahadulto</v>
      </c>
      <c r="G192" s="6">
        <f>IFERROR(__xludf.DUMMYFUNCTION("IF(
  TRIM(E192)="""",
  0,
  COUNTA(
    SPLIT(
      REGEXREPLACE(E192,""\s*,\s*"","",""),
      "",""
    )
  )
)"),3.0)</f>
        <v>3</v>
      </c>
    </row>
    <row r="193">
      <c r="A193" s="5" t="str">
        <f>IFERROR(__xludf.DUMMYFUNCTION("""COMPUTED_VALUE"""),"7445020773682580792")</f>
        <v>7445020773682580792</v>
      </c>
      <c r="B193" s="5" t="str">
        <f>IFERROR(__xludf.DUMMYFUNCTION("""COMPUTED_VALUE"""),"meu.mundotdah")</f>
        <v>meu.mundotdah</v>
      </c>
      <c r="C193" s="5" t="str">
        <f>IFERROR(__xludf.DUMMYFUNCTION("""COMPUTED_VALUE"""),"meu.mundotdah")</f>
        <v>meu.mundotdah</v>
      </c>
      <c r="D193" s="5" t="str">
        <f>IFERROR(__xludf.DUMMYFUNCTION("""COMPUTED_VALUE"""),"Você sabia que pessoas com TDAH podem ficar inquietas até enquanto dormem? 😴 Movimentos excessivos, virar de um lado para o outro, sonhos intensos ou até ranger de dentes são comuns! Isso acontece porque o cérebro muitas vezes continua “acelerado”, dific"&amp;"ultando o relaxamento. 💡 Dica: Criar uma rotina noturna calma e consistente pode ajudar a melhorar a qualidade do sono. Priorize momentos de relaxamento antes de deitar! Você se identifica ou conhece alguém assim? Compartilhe! 💬 #tdah #tdahadulto #compo"&amp;"rtamentohumano")</f>
        <v>Você sabia que pessoas com TDAH podem ficar inquietas até enquanto dormem? 😴 Movimentos excessivos, virar de um lado para o outro, sonhos intensos ou até ranger de dentes são comuns! Isso acontece porque o cérebro muitas vezes continua “acelerado”, dificultando o relaxamento. 💡 Dica: Criar uma rotina noturna calma e consistente pode ajudar a melhorar a qualidade do sono. Priorize momentos de relaxamento antes de deitar! Você se identifica ou conhece alguém assim? Compartilhe! 💬 #tdah #tdahadulto #comportamentohumano</v>
      </c>
      <c r="E193" s="5" t="str">
        <f>IFERROR(__xludf.DUMMYFUNCTION("""COMPUTED_VALUE"""),"tdah,tdahadulto,comportamentohumano")</f>
        <v>tdah,tdahadulto,comportamentohumano</v>
      </c>
      <c r="G193" s="6">
        <f>IFERROR(__xludf.DUMMYFUNCTION("IF(
  TRIM(E193)="""",
  0,
  COUNTA(
    SPLIT(
      REGEXREPLACE(E193,""\s*,\s*"","",""),
      "",""
    )
  )
)"),3.0)</f>
        <v>3</v>
      </c>
    </row>
    <row r="194">
      <c r="A194" s="5" t="str">
        <f>IFERROR(__xludf.DUMMYFUNCTION("""COMPUTED_VALUE"""),"7447282791315721477")</f>
        <v>7447282791315721477</v>
      </c>
      <c r="B194" s="5" t="str">
        <f>IFERROR(__xludf.DUMMYFUNCTION("""COMPUTED_VALUE"""),"psiqviva")</f>
        <v>psiqviva</v>
      </c>
      <c r="C194" s="5" t="str">
        <f>IFERROR(__xludf.DUMMYFUNCTION("""COMPUTED_VALUE"""),"Psiquêviva")</f>
        <v>Psiquêviva</v>
      </c>
      <c r="D194" s="5" t="str">
        <f>IFERROR(__xludf.DUMMYFUNCTION("""COMPUTED_VALUE"""),"E aí, fique por dentro desse conhecimento! #tdahadulto #tdahtiktok #tdahinfantil #tdah ")</f>
        <v>E aí, fique por dentro desse conhecimento! #tdahadulto #tdahtiktok #tdahinfantil #tdah </v>
      </c>
      <c r="E194" s="5" t="str">
        <f>IFERROR(__xludf.DUMMYFUNCTION("""COMPUTED_VALUE"""),"tdahadulto,tdahtiktok,tdahinfantil,tdah")</f>
        <v>tdahadulto,tdahtiktok,tdahinfantil,tdah</v>
      </c>
      <c r="G194" s="6">
        <f>IFERROR(__xludf.DUMMYFUNCTION("IF(
  TRIM(E194)="""",
  0,
  COUNTA(
    SPLIT(
      REGEXREPLACE(E194,""\s*,\s*"","",""),
      "",""
    )
  )
)"),4.0)</f>
        <v>4</v>
      </c>
    </row>
    <row r="195">
      <c r="A195" s="5" t="str">
        <f>IFERROR(__xludf.DUMMYFUNCTION("""COMPUTED_VALUE"""),"7252358453232995589")</f>
        <v>7252358453232995589</v>
      </c>
      <c r="B195" s="5" t="str">
        <f>IFERROR(__xludf.DUMMYFUNCTION("""COMPUTED_VALUE"""),"cattarinalia")</f>
        <v>cattarinalia</v>
      </c>
      <c r="C195" s="5" t="str">
        <f>IFERROR(__xludf.DUMMYFUNCTION("""COMPUTED_VALUE"""),"cattarinalia")</f>
        <v>cattarinalia</v>
      </c>
      <c r="D195" s="5" t="str">
        <f>IFERROR(__xludf.DUMMYFUNCTION("""COMPUTED_VALUE"""),"Caberiam várias legendas nesse filme. Como seria a sua?  #tdah #tdahadulto #psicologia #neurodivergente #capcut #humor #dislexia")</f>
        <v>Caberiam várias legendas nesse filme. Como seria a sua?  #tdah #tdahadulto #psicologia #neurodivergente #capcut #humor #dislexia</v>
      </c>
      <c r="E195" s="5" t="str">
        <f>IFERROR(__xludf.DUMMYFUNCTION("""COMPUTED_VALUE"""),"tdah,tdahadulto,psicologia,neurodivergente,capcut,humor,dislexia")</f>
        <v>tdah,tdahadulto,psicologia,neurodivergente,capcut,humor,dislexia</v>
      </c>
      <c r="G195" s="6">
        <f>IFERROR(__xludf.DUMMYFUNCTION("IF(
  TRIM(E195)="""",
  0,
  COUNTA(
    SPLIT(
      REGEXREPLACE(E195,""\s*,\s*"","",""),
      "",""
    )
  )
)"),7.0)</f>
        <v>7</v>
      </c>
    </row>
    <row r="196">
      <c r="A196" s="5" t="str">
        <f>IFERROR(__xludf.DUMMYFUNCTION("""COMPUTED_VALUE"""),"7244929574306401542")</f>
        <v>7244929574306401542</v>
      </c>
      <c r="B196" s="5" t="str">
        <f>IFERROR(__xludf.DUMMYFUNCTION("""COMPUTED_VALUE"""),"mirianester159")</f>
        <v>mirianester159</v>
      </c>
      <c r="C196" s="5" t="str">
        <f>IFERROR(__xludf.DUMMYFUNCTION("""COMPUTED_VALUE"""),"Mirian 🏘️")</f>
        <v>Mirian 🏘️</v>
      </c>
      <c r="D196" s="5" t="str">
        <f>IFERROR(__xludf.DUMMYFUNCTION("""COMPUTED_VALUE"""),"Ser Mae Atipica doi as vezes ...")</f>
        <v>Ser Mae Atipica doi as vezes ...</v>
      </c>
      <c r="E196" s="5"/>
      <c r="G196" s="6">
        <f>IFERROR(__xludf.DUMMYFUNCTION("IF(
  TRIM(E196)="""",
  0,
  COUNTA(
    SPLIT(
      REGEXREPLACE(E196,""\s*,\s*"","",""),
      "",""
    )
  )
)"),0.0)</f>
        <v>0</v>
      </c>
    </row>
    <row r="197">
      <c r="A197" s="5" t="str">
        <f>IFERROR(__xludf.DUMMYFUNCTION("""COMPUTED_VALUE"""),"7449795601916562694")</f>
        <v>7449795601916562694</v>
      </c>
      <c r="B197" s="5" t="str">
        <f>IFERROR(__xludf.DUMMYFUNCTION("""COMPUTED_VALUE"""),"meu.mundotdah")</f>
        <v>meu.mundotdah</v>
      </c>
      <c r="C197" s="5" t="str">
        <f>IFERROR(__xludf.DUMMYFUNCTION("""COMPUTED_VALUE"""),"meu.mundotdah")</f>
        <v>meu.mundotdah</v>
      </c>
      <c r="D197" s="5" t="str">
        <f>IFERROR(__xludf.DUMMYFUNCTION("""COMPUTED_VALUE"""),"Qual você se identifica?😄 Sim! O TDAH (Transtorno de Déficit de Atenção e Hiperatividade) é classificado em três tipos principais, de acordo com os sintomas mais presentes: 1. Tipo Predominantemente Desatento • Dificuldade em manter o foco. • Tendência a"&amp;" se distrair facilmente. • Esquecimento frequente. 2. Tipo Predominantemente Hiperativo-Impulsivo • Inquietação constante. • Fala excessiva. • Dificuldade em esperar a vez. 3. Tipo Combinado • Combinação de sintomas de desatenção e hiperatividade/impulsiv"&amp;"idade. • É o tipo mais comum. #tdah #tdahadulto #comportamentohumano")</f>
        <v>Qual você se identifica?😄 Sim! O TDAH (Transtorno de Déficit de Atenção e Hiperatividade) é classificado em três tipos principais, de acordo com os sintomas mais presentes: 1. Tipo Predominantemente Desatento • Dificuldade em manter o foco. • Tendência a se distrair facilmente. • Esquecimento frequente. 2. Tipo Predominantemente Hiperativo-Impulsivo • Inquietação constante. • Fala excessiva. • Dificuldade em esperar a vez. 3. Tipo Combinado • Combinação de sintomas de desatenção e hiperatividade/impulsividade. • É o tipo mais comum. #tdah #tdahadulto #comportamentohumano</v>
      </c>
      <c r="E197" s="5" t="str">
        <f>IFERROR(__xludf.DUMMYFUNCTION("""COMPUTED_VALUE"""),"tdah,tdahadulto,comportamentohumano")</f>
        <v>tdah,tdahadulto,comportamentohumano</v>
      </c>
      <c r="G197" s="6">
        <f>IFERROR(__xludf.DUMMYFUNCTION("IF(
  TRIM(E197)="""",
  0,
  COUNTA(
    SPLIT(
      REGEXREPLACE(E197,""\s*,\s*"","",""),
      "",""
    )
  )
)"),3.0)</f>
        <v>3</v>
      </c>
    </row>
    <row r="198">
      <c r="A198" s="5" t="str">
        <f>IFERROR(__xludf.DUMMYFUNCTION("""COMPUTED_VALUE"""),"7260511013303356678")</f>
        <v>7260511013303356678</v>
      </c>
      <c r="B198" s="5" t="str">
        <f>IFERROR(__xludf.DUMMYFUNCTION("""COMPUTED_VALUE"""),"abcdaaprendizagem")</f>
        <v>abcdaaprendizagem</v>
      </c>
      <c r="C198" s="5" t="str">
        <f>IFERROR(__xludf.DUMMYFUNCTION("""COMPUTED_VALUE"""),"ABCdaAprendizagem")</f>
        <v>ABCdaAprendizagem</v>
      </c>
      <c r="D198" s="5" t="str">
        <f>IFERROR(__xludf.DUMMYFUNCTION("""COMPUTED_VALUE"""),"🧠 O transtorno do Déficit de Atenção e Hiperatividade (TDAH) é uma condição complexa que afeta tanto adultos quanto crianças. Apesar das diversas variações do transtorno, existem três tipos mais conhecidos: o TDAH predominantemente desatento, o TDAH pred"&amp;"ominantemente hiperativo-impulsivo e o TDAH combinado. 💟 Tipo desatento: caracterizado pela falta de atenção e concentração em tarefas, esquecimentos frequentes e dificuldade em seguir regras. 💟 Tipo hiperativo-impulsivo: nesse tipo, a pessoa apresenta "&amp;"sintomas como agitação constante, impulsividade e dificuldade em esperar a vez. 💟 Tipo combinado: é o tipo mais comum do TDAH, onde a pessoa apresenta características tanto do tipo desatento quanto do hiperativo-impulsivo. 👉 É importante lembrar que cad"&amp;"a caso é único e requer um tratamento específico. Mas entender os diferentes tipos pode ajudar no diagnóstico e acompanhamento do transtorno. 💟 Conhece alguém com esses sintomas? Compartilhe este post! #Pedagogia #Desenvolvimentoinfantil #saudeemocional "&amp;"#crianças #educacaoinfantil #atividadesludicas #alfabetizacaoeletramento #atividadespedagogicas  #saladeaula")</f>
        <v>🧠 O transtorno do Déficit de Atenção e Hiperatividade (TDAH) é uma condição complexa que afeta tanto adultos quanto crianças. Apesar das diversas variações do transtorno, existem três tipos mais conhecidos: o TDAH predominantemente desatento, o TDAH predominantemente hiperativo-impulsivo e o TDAH combinado. 💟 Tipo desatento: caracterizado pela falta de atenção e concentração em tarefas, esquecimentos frequentes e dificuldade em seguir regras. 💟 Tipo hiperativo-impulsivo: nesse tipo, a pessoa apresenta sintomas como agitação constante, impulsividade e dificuldade em esperar a vez. 💟 Tipo combinado: é o tipo mais comum do TDAH, onde a pessoa apresenta características tanto do tipo desatento quanto do hiperativo-impulsivo. 👉 É importante lembrar que cada caso é único e requer um tratamento específico. Mas entender os diferentes tipos pode ajudar no diagnóstico e acompanhamento do transtorno. 💟 Conhece alguém com esses sintomas? Compartilhe este post! #Pedagogia #Desenvolvimentoinfantil #saudeemocional #crianças #educacaoinfantil #atividadesludicas #alfabetizacaoeletramento #atividadespedagogicas  #saladeaula</v>
      </c>
      <c r="E198" s="5" t="str">
        <f>IFERROR(__xludf.DUMMYFUNCTION("""COMPUTED_VALUE"""),"pedagogia,desenvolvimentoinfantil,saudeemocional,crianças,educacaoinfantil,atividadesludicas,alfabetizacaoeletramento,atividadespedagogicas,saladeaula")</f>
        <v>pedagogia,desenvolvimentoinfantil,saudeemocional,crianças,educacaoinfantil,atividadesludicas,alfabetizacaoeletramento,atividadespedagogicas,saladeaula</v>
      </c>
      <c r="G198" s="6">
        <f>IFERROR(__xludf.DUMMYFUNCTION("IF(
  TRIM(E198)="""",
  0,
  COUNTA(
    SPLIT(
      REGEXREPLACE(E198,""\s*,\s*"","",""),
      "",""
    )
  )
)"),9.0)</f>
        <v>9</v>
      </c>
    </row>
    <row r="199">
      <c r="A199" s="5" t="str">
        <f>IFERROR(__xludf.DUMMYFUNCTION("""COMPUTED_VALUE"""),"7569014867475189010")</f>
        <v>7569014867475189010</v>
      </c>
      <c r="B199" s="5" t="str">
        <f>IFERROR(__xludf.DUMMYFUNCTION("""COMPUTED_VALUE"""),"gabriela.matsuda")</f>
        <v>gabriela.matsuda</v>
      </c>
      <c r="C199" s="5" t="str">
        <f>IFERROR(__xludf.DUMMYFUNCTION("""COMPUTED_VALUE"""),"Gabriela Matsuda")</f>
        <v>Gabriela Matsuda</v>
      </c>
      <c r="D199" s="5" t="str">
        <f>IFERROR(__xludf.DUMMYFUNCTION("""COMPUTED_VALUE"""),"Por nosso cérebro funcionar de uma maneira diferente das pessoas neurotipicas, temos diversas possibilidades que essas pessoas não vão ter e enxergar o lado positivo do TDAH pode ser a virada de chave que você precisa para se aceitar ☺️ #tdah #tdahadulto "&amp;"#tdahmulheres #tdahtiktok #neurodivergencia ")</f>
        <v>Por nosso cérebro funcionar de uma maneira diferente das pessoas neurotipicas, temos diversas possibilidades que essas pessoas não vão ter e enxergar o lado positivo do TDAH pode ser a virada de chave que você precisa para se aceitar ☺️ #tdah #tdahadulto #tdahmulheres #tdahtiktok #neurodivergencia </v>
      </c>
      <c r="E199" s="5" t="str">
        <f>IFERROR(__xludf.DUMMYFUNCTION("""COMPUTED_VALUE"""),"tdah,tdahadulto,tdahmulheres,tdahtiktok,neurodivergencia")</f>
        <v>tdah,tdahadulto,tdahmulheres,tdahtiktok,neurodivergencia</v>
      </c>
      <c r="G199" s="6">
        <f>IFERROR(__xludf.DUMMYFUNCTION("IF(
  TRIM(E199)="""",
  0,
  COUNTA(
    SPLIT(
      REGEXREPLACE(E199,""\s*,\s*"","",""),
      "",""
    )
  )
)"),5.0)</f>
        <v>5</v>
      </c>
    </row>
    <row r="200">
      <c r="A200" s="5" t="str">
        <f>IFERROR(__xludf.DUMMYFUNCTION("""COMPUTED_VALUE"""),"7267188704001674502")</f>
        <v>7267188704001674502</v>
      </c>
      <c r="B200" s="5" t="str">
        <f>IFERROR(__xludf.DUMMYFUNCTION("""COMPUTED_VALUE"""),"bru.cast")</f>
        <v>bru.cast</v>
      </c>
      <c r="C200" s="5" t="str">
        <f>IFERROR(__xludf.DUMMYFUNCTION("""COMPUTED_VALUE"""),"brucast")</f>
        <v>brucast</v>
      </c>
      <c r="D200" s="5" t="str">
        <f>IFERROR(__xludf.DUMMYFUNCTION("""COMPUTED_VALUE"""),"Você tem inúmeros projetos e nunca termina nenhum deles? Saymon Veiga fala sobre isso. #tdahadulto #dificuldadesdavida #frustracaototal #sucesso #estudeenquantoelesdormem")</f>
        <v>Você tem inúmeros projetos e nunca termina nenhum deles? Saymon Veiga fala sobre isso. #tdahadulto #dificuldadesdavida #frustracaototal #sucesso #estudeenquantoelesdormem</v>
      </c>
      <c r="E200" s="5" t="str">
        <f>IFERROR(__xludf.DUMMYFUNCTION("""COMPUTED_VALUE"""),"tdahadulto,dificuldadesdavida,frustracaototal,sucesso,estudeenquantoelesdormem")</f>
        <v>tdahadulto,dificuldadesdavida,frustracaototal,sucesso,estudeenquantoelesdormem</v>
      </c>
      <c r="G200" s="6">
        <f>IFERROR(__xludf.DUMMYFUNCTION("IF(
  TRIM(E200)="""",
  0,
  COUNTA(
    SPLIT(
      REGEXREPLACE(E200,""\s*,\s*"","",""),
      "",""
    )
  )
)"),5.0)</f>
        <v>5</v>
      </c>
    </row>
    <row r="201">
      <c r="A201" s="5" t="str">
        <f>IFERROR(__xludf.DUMMYFUNCTION("""COMPUTED_VALUE"""),"7476623603304303878")</f>
        <v>7476623603304303878</v>
      </c>
      <c r="B201" s="5" t="str">
        <f>IFERROR(__xludf.DUMMYFUNCTION("""COMPUTED_VALUE"""),"rosane.piscologia")</f>
        <v>rosane.piscologia</v>
      </c>
      <c r="C201" s="5" t="str">
        <f>IFERROR(__xludf.DUMMYFUNCTION("""COMPUTED_VALUE"""),"Rosane Moura | TDAH 🧠")</f>
        <v>Rosane Moura | TDAH 🧠</v>
      </c>
      <c r="D201" s="5" t="str">
        <f>IFERROR(__xludf.DUMMYFUNCTION("""COMPUTED_VALUE"""),"Mulheres com TDAH muitas vezes enfrentam desafios silenciosos, como a dificuldade em reconhecer e sair de relações abusivas ou de dependência emocional. A desatenção, impulsividade e baixa autoestima podem criar um ciclo de vulnerabilidade.  É importante "&amp;"lembrar que, com o diagnóstico correto e apoio adequado, é possível quebrar esse ciclo e encontrar equilíbrio emocional. Não é fraqueza, é um reflexo do que precisa ser entendido e acolhido. 💙✨ #mulheres #mulherescomtdah #tdah #tdahadulto #terapia #psico"&amp;" #psicologa ")</f>
        <v>Mulheres com TDAH muitas vezes enfrentam desafios silenciosos, como a dificuldade em reconhecer e sair de relações abusivas ou de dependência emocional. A desatenção, impulsividade e baixa autoestima podem criar um ciclo de vulnerabilidade.  É importante lembrar que, com o diagnóstico correto e apoio adequado, é possível quebrar esse ciclo e encontrar equilíbrio emocional. Não é fraqueza, é um reflexo do que precisa ser entendido e acolhido. 💙✨ #mulheres #mulherescomtdah #tdah #tdahadulto #terapia #psico #psicologa </v>
      </c>
      <c r="E201" s="5" t="str">
        <f>IFERROR(__xludf.DUMMYFUNCTION("""COMPUTED_VALUE"""),"mulheres,mulherescomtdah,tdah,tdahadulto,terapia,psico,psicologa")</f>
        <v>mulheres,mulherescomtdah,tdah,tdahadulto,terapia,psico,psicologa</v>
      </c>
      <c r="G201" s="6">
        <f>IFERROR(__xludf.DUMMYFUNCTION("IF(
  TRIM(E201)="""",
  0,
  COUNTA(
    SPLIT(
      REGEXREPLACE(E201,""\s*,\s*"","",""),
      "",""
    )
  )
)"),7.0)</f>
        <v>7</v>
      </c>
    </row>
    <row r="202">
      <c r="A202" s="5" t="str">
        <f>IFERROR(__xludf.DUMMYFUNCTION("""COMPUTED_VALUE"""),"7407958496542559494")</f>
        <v>7407958496542559494</v>
      </c>
      <c r="B202" s="5" t="str">
        <f>IFERROR(__xludf.DUMMYFUNCTION("""COMPUTED_VALUE"""),"liberdade.mentall")</f>
        <v>liberdade.mentall</v>
      </c>
      <c r="C202" s="5" t="str">
        <f>IFERROR(__xludf.DUMMYFUNCTION("""COMPUTED_VALUE"""),"Liberdade Mental 🧠💫")</f>
        <v>Liberdade Mental 🧠💫</v>
      </c>
      <c r="D202" s="5" t="str">
        <f>IFERROR(__xludf.DUMMYFUNCTION("""COMPUTED_VALUE"""),"Você se identifica? #viralvideo #viral #oqueetdah #comoacabarcomotdah #homenscomtdah #tdahadulto #sintomasdotdah")</f>
        <v>Você se identifica? #viralvideo #viral #oqueetdah #comoacabarcomotdah #homenscomtdah #tdahadulto #sintomasdotdah</v>
      </c>
      <c r="E202" s="5" t="str">
        <f>IFERROR(__xludf.DUMMYFUNCTION("""COMPUTED_VALUE"""),"viralvideo,viral,oqueetdah,comoacabarcomotdah,homenscomtdah,tdahadulto,sintomasdotdah")</f>
        <v>viralvideo,viral,oqueetdah,comoacabarcomotdah,homenscomtdah,tdahadulto,sintomasdotdah</v>
      </c>
      <c r="G202" s="6">
        <f>IFERROR(__xludf.DUMMYFUNCTION("IF(
  TRIM(E202)="""",
  0,
  COUNTA(
    SPLIT(
      REGEXREPLACE(E202,""\s*,\s*"","",""),
      "",""
    )
  )
)"),7.0)</f>
        <v>7</v>
      </c>
    </row>
    <row r="203">
      <c r="A203" s="5" t="str">
        <f>IFERROR(__xludf.DUMMYFUNCTION("""COMPUTED_VALUE"""),"7288700501900659974")</f>
        <v>7288700501900659974</v>
      </c>
      <c r="B203" s="5" t="str">
        <f>IFERROR(__xludf.DUMMYFUNCTION("""COMPUTED_VALUE"""),"mundopsi13")</f>
        <v>mundopsi13</v>
      </c>
      <c r="C203" s="5" t="str">
        <f>IFERROR(__xludf.DUMMYFUNCTION("""COMPUTED_VALUE"""),"Mundo Psi")</f>
        <v>Mundo Psi</v>
      </c>
      <c r="D203" s="5" t="str">
        <f>IFERROR(__xludf.DUMMYFUNCTION("""COMPUTED_VALUE"""),"O desenvolvimento do cérebro de uma pessoa com TDAH, deixe sua opinião nos comentários e me sigam para mais conteúdos. #psicologia ")</f>
        <v>O desenvolvimento do cérebro de uma pessoa com TDAH, deixe sua opinião nos comentários e me sigam para mais conteúdos. #psicologia </v>
      </c>
      <c r="E203" s="5" t="str">
        <f>IFERROR(__xludf.DUMMYFUNCTION("""COMPUTED_VALUE"""),"psicologia")</f>
        <v>psicologia</v>
      </c>
      <c r="G203" s="6">
        <f>IFERROR(__xludf.DUMMYFUNCTION("IF(
  TRIM(E203)="""",
  0,
  COUNTA(
    SPLIT(
      REGEXREPLACE(E203,""\s*,\s*"","",""),
      "",""
    )
  )
)"),1.0)</f>
        <v>1</v>
      </c>
    </row>
    <row r="204">
      <c r="A204" s="5" t="str">
        <f>IFERROR(__xludf.DUMMYFUNCTION("""COMPUTED_VALUE"""),"7335556234138995974")</f>
        <v>7335556234138995974</v>
      </c>
      <c r="B204" s="5" t="str">
        <f>IFERROR(__xludf.DUMMYFUNCTION("""COMPUTED_VALUE"""),"isaquecampos21")</f>
        <v>isaquecampos21</v>
      </c>
      <c r="C204" s="5" t="str">
        <f>IFERROR(__xludf.DUMMYFUNCTION("""COMPUTED_VALUE"""),"Tdah na prática")</f>
        <v>Tdah na prática</v>
      </c>
      <c r="D204" s="5" t="str">
        <f>IFERROR(__xludf.DUMMYFUNCTION("""COMPUTED_VALUE"""),"Alguem se identifica ????😅😅😅 #fly #foryou #tdah #tdahadulto #hiperfoco #flypシ")</f>
        <v>Alguem se identifica ????😅😅😅 #fly #foryou #tdah #tdahadulto #hiperfoco #flypシ</v>
      </c>
      <c r="E204" s="5" t="str">
        <f>IFERROR(__xludf.DUMMYFUNCTION("""COMPUTED_VALUE"""),"fly,foryou,tdah,tdahadulto,hiperfoco,flypシ")</f>
        <v>fly,foryou,tdah,tdahadulto,hiperfoco,flypシ</v>
      </c>
      <c r="G204" s="6">
        <f>IFERROR(__xludf.DUMMYFUNCTION("IF(
  TRIM(E204)="""",
  0,
  COUNTA(
    SPLIT(
      REGEXREPLACE(E204,""\s*,\s*"","",""),
      "",""
    )
  )
)"),6.0)</f>
        <v>6</v>
      </c>
    </row>
    <row r="205">
      <c r="A205" s="5" t="str">
        <f>IFERROR(__xludf.DUMMYFUNCTION("""COMPUTED_VALUE"""),"7459377078920563974")</f>
        <v>7459377078920563974</v>
      </c>
      <c r="B205" s="5" t="str">
        <f>IFERROR(__xludf.DUMMYFUNCTION("""COMPUTED_VALUE"""),"patriciats91")</f>
        <v>patriciats91</v>
      </c>
      <c r="C205" s="5" t="str">
        <f>IFERROR(__xludf.DUMMYFUNCTION("""COMPUTED_VALUE"""),"🦇 Patrícia 🦇")</f>
        <v>🦇 Patrícia 🦇</v>
      </c>
      <c r="D205" s="5" t="str">
        <f>IFERROR(__xludf.DUMMYFUNCTION("""COMPUTED_VALUE"""),"#tdah #tdahadulto #tdahtiktok #toque #sai #grude #sendibilidade #hipersensibilidadsensorial")</f>
        <v>#tdah #tdahadulto #tdahtiktok #toque #sai #grude #sendibilidade #hipersensibilidadsensorial</v>
      </c>
      <c r="E205" s="5" t="str">
        <f>IFERROR(__xludf.DUMMYFUNCTION("""COMPUTED_VALUE"""),"tdah,tdahadulto,tdahtiktok,toque,sai,grude,sendibilidade,hipersensibilidadsensorial")</f>
        <v>tdah,tdahadulto,tdahtiktok,toque,sai,grude,sendibilidade,hipersensibilidadsensorial</v>
      </c>
      <c r="G205" s="6">
        <f>IFERROR(__xludf.DUMMYFUNCTION("IF(
  TRIM(E205)="""",
  0,
  COUNTA(
    SPLIT(
      REGEXREPLACE(E205,""\s*,\s*"","",""),
      "",""
    )
  )
)"),8.0)</f>
        <v>8</v>
      </c>
    </row>
    <row r="206">
      <c r="A206" s="5" t="str">
        <f>IFERROR(__xludf.DUMMYFUNCTION("""COMPUTED_VALUE"""),"7376224055265037574")</f>
        <v>7376224055265037574</v>
      </c>
      <c r="B206" s="5" t="str">
        <f>IFERROR(__xludf.DUMMYFUNCTION("""COMPUTED_VALUE"""),"tdahadulto")</f>
        <v>tdahadulto</v>
      </c>
      <c r="C206" s="5" t="str">
        <f>IFERROR(__xludf.DUMMYFUNCTION("""COMPUTED_VALUE"""),"TdahAdultonodiadia")</f>
        <v>TdahAdultonodiadia</v>
      </c>
      <c r="D206" s="5" t="str">
        <f>IFERROR(__xludf.DUMMYFUNCTION("""COMPUTED_VALUE"""),"TDAH adulto  sintomas  #tdahadulto #toc #tdahparatodalavida #concerta #venvanse #ritalina #dopamina #adrenalina")</f>
        <v>TDAH adulto  sintomas  #tdahadulto #toc #tdahparatodalavida #concerta #venvanse #ritalina #dopamina #adrenalina</v>
      </c>
      <c r="E206" s="5" t="str">
        <f>IFERROR(__xludf.DUMMYFUNCTION("""COMPUTED_VALUE"""),"tdahadulto,toc,tdahparatodalavida,concerta,venvanse,ritalina,dopamina,adrenalina")</f>
        <v>tdahadulto,toc,tdahparatodalavida,concerta,venvanse,ritalina,dopamina,adrenalina</v>
      </c>
      <c r="G206" s="6">
        <f>IFERROR(__xludf.DUMMYFUNCTION("IF(
  TRIM(E206)="""",
  0,
  COUNTA(
    SPLIT(
      REGEXREPLACE(E206,""\s*,\s*"","",""),
      "",""
    )
  )
)"),8.0)</f>
        <v>8</v>
      </c>
    </row>
    <row r="207">
      <c r="A207" s="5" t="str">
        <f>IFERROR(__xludf.DUMMYFUNCTION("""COMPUTED_VALUE"""),"7568557507300412693")</f>
        <v>7568557507300412693</v>
      </c>
      <c r="B207" s="5" t="str">
        <f>IFERROR(__xludf.DUMMYFUNCTION("""COMPUTED_VALUE"""),"labirintodamente6")</f>
        <v>labirintodamente6</v>
      </c>
      <c r="C207" s="5" t="str">
        <f>IFERROR(__xludf.DUMMYFUNCTION("""COMPUTED_VALUE"""),"LabirintodaMente")</f>
        <v>LabirintodaMente</v>
      </c>
      <c r="D207" s="5" t="str">
        <f>IFERROR(__xludf.DUMMYFUNCTION("""COMPUTED_VALUE"""),"#tdah #tdahemadultos #sintomas #Mente #desregulacionemocional")</f>
        <v>#tdah #tdahemadultos #sintomas #Mente #desregulacionemocional</v>
      </c>
      <c r="E207" s="5" t="str">
        <f>IFERROR(__xludf.DUMMYFUNCTION("""COMPUTED_VALUE"""),"tdah,tdahemadultos,sintomas,mente,desregulacionemocional")</f>
        <v>tdah,tdahemadultos,sintomas,mente,desregulacionemocional</v>
      </c>
      <c r="G207" s="6">
        <f>IFERROR(__xludf.DUMMYFUNCTION("IF(
  TRIM(E207)="""",
  0,
  COUNTA(
    SPLIT(
      REGEXREPLACE(E207,""\s*,\s*"","",""),
      "",""
    )
  )
)"),5.0)</f>
        <v>5</v>
      </c>
    </row>
    <row r="208">
      <c r="A208" s="5" t="str">
        <f>IFERROR(__xludf.DUMMYFUNCTION("""COMPUTED_VALUE"""),"7306536318371204357")</f>
        <v>7306536318371204357</v>
      </c>
      <c r="B208" s="5" t="str">
        <f>IFERROR(__xludf.DUMMYFUNCTION("""COMPUTED_VALUE"""),"podzzera")</f>
        <v>podzzera</v>
      </c>
      <c r="C208" s="5" t="str">
        <f>IFERROR(__xludf.DUMMYFUNCTION("""COMPUTED_VALUE"""),"PODZERA")</f>
        <v>PODZERA</v>
      </c>
      <c r="D208" s="5" t="str">
        <f>IFERROR(__xludf.DUMMYFUNCTION("""COMPUTED_VALUE"""),"TDHA É ASSIM - #Psicologia #TDAH #TDAHADULTO #Cortespodcast #anabeatrizbarbosa #Podcast #tdahadulto #tdah")</f>
        <v>TDHA É ASSIM - #Psicologia #TDAH #TDAHADULTO #Cortespodcast #anabeatrizbarbosa #Podcast #tdahadulto #tdah</v>
      </c>
      <c r="E208" s="5" t="str">
        <f>IFERROR(__xludf.DUMMYFUNCTION("""COMPUTED_VALUE"""),"psicologia,tdah,tdahadulto,cortespodcast,anabeatrizbarbosa,podcast,tdahadulto,tdah")</f>
        <v>psicologia,tdah,tdahadulto,cortespodcast,anabeatrizbarbosa,podcast,tdahadulto,tdah</v>
      </c>
      <c r="G208" s="6">
        <f>IFERROR(__xludf.DUMMYFUNCTION("IF(
  TRIM(E208)="""",
  0,
  COUNTA(
    SPLIT(
      REGEXREPLACE(E208,""\s*,\s*"","",""),
      "",""
    )
  )
)"),8.0)</f>
        <v>8</v>
      </c>
    </row>
    <row r="209">
      <c r="A209" s="5" t="str">
        <f>IFERROR(__xludf.DUMMYFUNCTION("""COMPUTED_VALUE"""),"7456935658557426950")</f>
        <v>7456935658557426950</v>
      </c>
      <c r="B209" s="5" t="str">
        <f>IFERROR(__xludf.DUMMYFUNCTION("""COMPUTED_VALUE"""),"neuropsirenataramos")</f>
        <v>neuropsirenataramos</v>
      </c>
      <c r="C209" s="5" t="str">
        <f>IFERROR(__xludf.DUMMYFUNCTION("""COMPUTED_VALUE"""),"Neuropsicóloga Renata Ramos")</f>
        <v>Neuropsicóloga Renata Ramos</v>
      </c>
      <c r="D209" s="5" t="str">
        <f>IFERROR(__xludf.DUMMYFUNCTION("""COMPUTED_VALUE"""),"Você já ouviu falar em desregulação emocional? Para muitas pessoas com TDAH (Transtorno do Déficit de Atenção com Hiperatividade), essa é uma realidade diária. Desregulação emocional refere-se à dificuldade de gerenciar emoções de maneira eficaz. Isso pod"&amp;"e resultar em reações intensas e, por vezes, desproporcionais a situações cotidianas.  🌟 Por que isso acontece? No TDAH, a parte do cérebro responsável pelo controle dos impulsos e pela regulação das emoções funciona de forma diferente. Isso pode tornar "&amp;"mais desafiador manter a calma em situações estressantes ou lidar com frustrações. 💡 Dicas para lidar com a desregulação emocional: 1. Reconheça os sinais: Perceba quando suas emoções estão começando a sair do controle. 2. Pratique a respiração profunda:"&amp;"nIsso pode ajudar a acalmar seu sistema nervoso. 3. Desenvolva estratégias de enfrentamento: Encontre atividades que ajudem a desviar sua atenção, como exercícios físicos ou hobbies. 4. Busque apoio: Procure um profissional especializado.  A desregulação "&amp;"emocional pode ser um desafio, mas com as estratégias certas, é possível viver de maneira mais equilibrada e satisfatória. 🌿❤️ Créditos: @ricksantinaa  *O vídeo que você acabou de assistir é meramente ilustrativo e não representa um diagnóstico ou uma pe"&amp;"ssoa com TDAH. Ele ajuda a ilustrar como a irritabilidade pode ser um traço presente em pessoas que vivenciam desregulação emocional, seja em decorrência do TDAH ou de outros fatores. #tdah #autismo #avaliacaoneuropsicologica #testepsicológico #tdahadulto"&amp;" ")</f>
        <v>Você já ouviu falar em desregulação emocional? Para muitas pessoas com TDAH (Transtorno do Déficit de Atenção com Hiperatividade), essa é uma realidade diária. Desregulação emocional refere-se à dificuldade de gerenciar emoções de maneira eficaz. Isso pode resultar em reações intensas e, por vezes, desproporcionais a situações cotidianas.  🌟 Por que isso acontece? No TDAH, a parte do cérebro responsável pelo controle dos impulsos e pela regulação das emoções funciona de forma diferente. Isso pode tornar mais desafiador manter a calma em situações estressantes ou lidar com frustrações. 💡 Dicas para lidar com a desregulação emocional: 1. Reconheça os sinais: Perceba quando suas emoções estão começando a sair do controle. 2. Pratique a respiração profunda:nIsso pode ajudar a acalmar seu sistema nervoso. 3. Desenvolva estratégias de enfrentamento: Encontre atividades que ajudem a desviar sua atenção, como exercícios físicos ou hobbies. 4. Busque apoio: Procure um profissional especializado.  A desregulação emocional pode ser um desafio, mas com as estratégias certas, é possível viver de maneira mais equilibrada e satisfatória. 🌿❤️ Créditos: @ricksantinaa  *O vídeo que você acabou de assistir é meramente ilustrativo e não representa um diagnóstico ou uma pessoa com TDAH. Ele ajuda a ilustrar como a irritabilidade pode ser um traço presente em pessoas que vivenciam desregulação emocional, seja em decorrência do TDAH ou de outros fatores. #tdah #autismo #avaliacaoneuropsicologica #testepsicológico #tdahadulto </v>
      </c>
      <c r="E209" s="5" t="str">
        <f>IFERROR(__xludf.DUMMYFUNCTION("""COMPUTED_VALUE"""),"tdah,autismo,avaliacaoneuropsicologica,testepsicológico,tdahadulto")</f>
        <v>tdah,autismo,avaliacaoneuropsicologica,testepsicológico,tdahadulto</v>
      </c>
      <c r="G209" s="6">
        <f>IFERROR(__xludf.DUMMYFUNCTION("IF(
  TRIM(E209)="""",
  0,
  COUNTA(
    SPLIT(
      REGEXREPLACE(E209,""\s*,\s*"","",""),
      "",""
    )
  )
)"),5.0)</f>
        <v>5</v>
      </c>
    </row>
    <row r="210">
      <c r="A210" s="5" t="str">
        <f>IFERROR(__xludf.DUMMYFUNCTION("""COMPUTED_VALUE"""),"7501728670701063430")</f>
        <v>7501728670701063430</v>
      </c>
      <c r="B210" s="5" t="str">
        <f>IFERROR(__xludf.DUMMYFUNCTION("""COMPUTED_VALUE"""),"thaisgarciaterapeuta")</f>
        <v>thaisgarciaterapeuta</v>
      </c>
      <c r="C210" s="5" t="str">
        <f>IFERROR(__xludf.DUMMYFUNCTION("""COMPUTED_VALUE"""),"thaisgarciaterapeuta")</f>
        <v>thaisgarciaterapeuta</v>
      </c>
      <c r="D210" s="5" t="str">
        <f>IFERROR(__xludf.DUMMYFUNCTION("""COMPUTED_VALUE"""),"Eu tenho TDAH, eu sou assim. #tdahtiktok#tdah#saudemental#saudeemocional#emoção#transtornos#tdah#")</f>
        <v>Eu tenho TDAH, eu sou assim. #tdahtiktok#tdah#saudemental#saudeemocional#emoção#transtornos#tdah#</v>
      </c>
      <c r="E210" s="5" t="str">
        <f>IFERROR(__xludf.DUMMYFUNCTION("""COMPUTED_VALUE"""),"tdahtiktok,tdah,saudemental,saudeemocional,emoção,transtornos,tdah")</f>
        <v>tdahtiktok,tdah,saudemental,saudeemocional,emoção,transtornos,tdah</v>
      </c>
      <c r="G210" s="6">
        <f>IFERROR(__xludf.DUMMYFUNCTION("IF(
  TRIM(E210)="""",
  0,
  COUNTA(
    SPLIT(
      REGEXREPLACE(E210,""\s*,\s*"","",""),
      "",""
    )
  )
)"),7.0)</f>
        <v>7</v>
      </c>
    </row>
    <row r="211">
      <c r="A211" s="5" t="str">
        <f>IFERROR(__xludf.DUMMYFUNCTION("""COMPUTED_VALUE"""),"7523331671614131512")</f>
        <v>7523331671614131512</v>
      </c>
      <c r="B211" s="5" t="str">
        <f>IFERROR(__xludf.DUMMYFUNCTION("""COMPUTED_VALUE"""),"lorenatdahta")</f>
        <v>lorenatdahta</v>
      </c>
      <c r="C211" s="5" t="str">
        <f>IFERROR(__xludf.DUMMYFUNCTION("""COMPUTED_VALUE"""),"Lorena TDAHTA")</f>
        <v>Lorena TDAHTA</v>
      </c>
      <c r="D211" s="5" t="str">
        <f>IFERROR(__xludf.DUMMYFUNCTION("""COMPUTED_VALUE"""),"""Disciplina Caótica"" no TDAH 🧠🔥 . . . Você se identifica? Com TDAH, a sua disciplina não é linear como a de pessoas neurotípicas. E tudo bem! 🛋️ Em alguns dias, o sofá vai te chamar mais alto, TDAH. Você não vai conseguir fazer muita coisa e a sua ca"&amp;"ma parece te atrair como um ímã. 🔥 Mas terão outros dias, sua energia vai estar a mil. Esses, são os seus ""dias de fogo"". Onde a sua produtividade surge com tudo e você consegue fazer trabalhos que levariam uma semana,  em um único dia! 🧠 Essa é a ""d"&amp;"isciplina caótica"" em ação: ""Dias de baixa"" que te preparam, para seus dias de alta produtividade. Um ciclo, que quando mal compreendido, pode nos fazer sentir culpa. Quando na verdade, trata-se apenas de um sistema próprio de funcionamento! 🎙 Animaçã"&amp;"o original Neurodivers.show e dublagem por minha conta! 🔗Referência: ""The ADHD Rest Cycle &amp; Chaotic Discipline: How ""Down Days"" Fuel Your ""Fire Days"".  #tdahta #tdahadultos #disciplina #tdahmemes #disciplinacaótica #animaçãonotiktok")</f>
        <v>"Disciplina Caótica" no TDAH 🧠🔥 . . . Você se identifica? Com TDAH, a sua disciplina não é linear como a de pessoas neurotípicas. E tudo bem! 🛋️ Em alguns dias, o sofá vai te chamar mais alto, TDAH. Você não vai conseguir fazer muita coisa e a sua cama parece te atrair como um ímã. 🔥 Mas terão outros dias, sua energia vai estar a mil. Esses, são os seus "dias de fogo". Onde a sua produtividade surge com tudo e você consegue fazer trabalhos que levariam uma semana,  em um único dia! 🧠 Essa é a "disciplina caótica" em ação: "Dias de baixa" que te preparam, para seus dias de alta produtividade. Um ciclo, que quando mal compreendido, pode nos fazer sentir culpa. Quando na verdade, trata-se apenas de um sistema próprio de funcionamento! 🎙 Animação original Neurodivers.show e dublagem por minha conta! 🔗Referência: "The ADHD Rest Cycle &amp; Chaotic Discipline: How "Down Days" Fuel Your "Fire Days".  #tdahta #tdahadultos #disciplina #tdahmemes #disciplinacaótica #animaçãonotiktok</v>
      </c>
      <c r="E211" s="5" t="str">
        <f>IFERROR(__xludf.DUMMYFUNCTION("""COMPUTED_VALUE"""),"tdahta,tdahadultos,disciplina,tdahmemes,disciplinacaótica,animaçãonotiktok")</f>
        <v>tdahta,tdahadultos,disciplina,tdahmemes,disciplinacaótica,animaçãonotiktok</v>
      </c>
      <c r="G211" s="6">
        <f>IFERROR(__xludf.DUMMYFUNCTION("IF(
  TRIM(E211)="""",
  0,
  COUNTA(
    SPLIT(
      REGEXREPLACE(E211,""\s*,\s*"","",""),
      "",""
    )
  )
)"),6.0)</f>
        <v>6</v>
      </c>
    </row>
    <row r="212">
      <c r="A212" s="5" t="str">
        <f>IFERROR(__xludf.DUMMYFUNCTION("""COMPUTED_VALUE"""),"7288372944240200966")</f>
        <v>7288372944240200966</v>
      </c>
      <c r="B212" s="5" t="str">
        <f>IFERROR(__xludf.DUMMYFUNCTION("""COMPUTED_VALUE"""),"daianesilva8200")</f>
        <v>daianesilva8200</v>
      </c>
      <c r="C212" s="5" t="str">
        <f>IFERROR(__xludf.DUMMYFUNCTION("""COMPUTED_VALUE"""),"Neuropsicologa com TDAH Daiane")</f>
        <v>Neuropsicologa com TDAH Daiane</v>
      </c>
      <c r="D212" s="5" t="str">
        <f>IFERROR(__xludf.DUMMYFUNCTION("""COMPUTED_VALUE"""),"O sentimento de uma MILHER com TDAH #tdah #tdahtiktok #tdahadulto #tdahi #tdahhumor #tdipower")</f>
        <v>O sentimento de uma MILHER com TDAH #tdah #tdahtiktok #tdahadulto #tdahi #tdahhumor #tdipower</v>
      </c>
      <c r="E212" s="5" t="str">
        <f>IFERROR(__xludf.DUMMYFUNCTION("""COMPUTED_VALUE"""),"tdah,tdahtiktok,tdahadulto,tdahi,tdahhumor,tdipower")</f>
        <v>tdah,tdahtiktok,tdahadulto,tdahi,tdahhumor,tdipower</v>
      </c>
      <c r="G212" s="6">
        <f>IFERROR(__xludf.DUMMYFUNCTION("IF(
  TRIM(E212)="""",
  0,
  COUNTA(
    SPLIT(
      REGEXREPLACE(E212,""\s*,\s*"","",""),
      "",""
    )
  )
)"),6.0)</f>
        <v>6</v>
      </c>
    </row>
    <row r="213">
      <c r="A213" s="5" t="str">
        <f>IFERROR(__xludf.DUMMYFUNCTION("""COMPUTED_VALUE"""),"7554867213556043064")</f>
        <v>7554867213556043064</v>
      </c>
      <c r="B213" s="11" t="str">
        <f>IFERROR(__xludf.DUMMYFUNCTION("""COMPUTED_VALUE"""),"natan.ferreira.de")</f>
        <v>natan.ferreira.de</v>
      </c>
      <c r="C213" s="5" t="str">
        <f>IFERROR(__xludf.DUMMYFUNCTION("""COMPUTED_VALUE"""),"Natan Brito")</f>
        <v>Natan Brito</v>
      </c>
      <c r="D213" s="5" t="str">
        <f>IFERROR(__xludf.DUMMYFUNCTION("""COMPUTED_VALUE"""),"#tdah #reflexao #meditacao #motivação")</f>
        <v>#tdah #reflexao #meditacao #motivação</v>
      </c>
      <c r="E213" s="5" t="str">
        <f>IFERROR(__xludf.DUMMYFUNCTION("""COMPUTED_VALUE"""),"tdah,reflexao,meditacao,motivação")</f>
        <v>tdah,reflexao,meditacao,motivação</v>
      </c>
      <c r="G213" s="6">
        <f>IFERROR(__xludf.DUMMYFUNCTION("IF(
  TRIM(E213)="""",
  0,
  COUNTA(
    SPLIT(
      REGEXREPLACE(E213,""\s*,\s*"","",""),
      "",""
    )
  )
)"),4.0)</f>
        <v>4</v>
      </c>
    </row>
    <row r="214">
      <c r="A214" s="5" t="str">
        <f>IFERROR(__xludf.DUMMYFUNCTION("""COMPUTED_VALUE"""),"7411174844793916677")</f>
        <v>7411174844793916677</v>
      </c>
      <c r="B214" s="5" t="str">
        <f>IFERROR(__xludf.DUMMYFUNCTION("""COMPUTED_VALUE"""),"drdanieltales")</f>
        <v>drdanieltales</v>
      </c>
      <c r="C214" s="5" t="str">
        <f>IFERROR(__xludf.DUMMYFUNCTION("""COMPUTED_VALUE"""),"DR DANIEL TALES")</f>
        <v>DR DANIEL TALES</v>
      </c>
      <c r="D214" s="5" t="str">
        <f>IFERROR(__xludf.DUMMYFUNCTION("""COMPUTED_VALUE"""),"📢 DOIS TIPOS de TDAH? 🤯 Nesse vídeo você vai conhecer de forma divertida as diferenças entre o TDAH Desatento e o TDAH Hiperativo – e o melhor de tudo, com uma boa dose de humor! 😂 🔍 TDAH Desatento: Essa é aquela pessoa que vive “nas nuvens”, esquece "&amp;"compromissos, perde objetos, e tem dificuldade para se concentrar nas tarefas. Às vezes parece que o cérebro está em outro mundo! 🌥️ ⚡ TDAH Hiperativo: Aqui, o corpo não para! Muita energia, agitação constante, dificuldade de ficar quieto e focado em uma"&amp;" única tarefa. Sempre buscando algo novo! 🏃‍♂️ 🎯 Mas o que muita gente não sabe é que os dois tipos afetam de forma diferente o dia a dia de quem tem TDAH. No vídeo, você vai ver esses dois mundos se encontrando – e o resultado é hilário! 😅  Assista at"&amp;"é o final e comente se você se identifica com algum desses tipos! ⬇️ #TDAH #SaúdeMental #Atenção #FocoNoFoco #Hiperatividade #TranstornoDeAtenção AVISO LEGAL: Este conteúdo é apenas informativo e não substitui a consulta a um médico, não estabelece relaçã"&amp;"o médico-paciente via redes sociais e não indica tratamento. Consultas individuais são essenciais para uma avaliação completa e tratamento adequado.")</f>
        <v>📢 DOIS TIPOS de TDAH? 🤯 Nesse vídeo você vai conhecer de forma divertida as diferenças entre o TDAH Desatento e o TDAH Hiperativo – e o melhor de tudo, com uma boa dose de humor! 😂 🔍 TDAH Desatento: Essa é aquela pessoa que vive “nas nuvens”, esquece compromissos, perde objetos, e tem dificuldade para se concentrar nas tarefas. Às vezes parece que o cérebro está em outro mundo! 🌥️ ⚡ TDAH Hiperativo: Aqui, o corpo não para! Muita energia, agitação constante, dificuldade de ficar quieto e focado em uma única tarefa. Sempre buscando algo novo! 🏃‍♂️ 🎯 Mas o que muita gente não sabe é que os dois tipos afetam de forma diferente o dia a dia de quem tem TDAH. No vídeo, você vai ver esses dois mundos se encontrando – e o resultado é hilário! 😅  Assista até o final e comente se você se identifica com algum desses tipos! ⬇️ #TDAH #SaúdeMental #Atenção #FocoNoFoco #Hiperatividade #TranstornoDeAtenção AVISO LEGAL: Este conteúdo é apenas informativo e não substitui a consulta a um médico, não estabelece relação médico-paciente via redes sociais e não indica tratamento. Consultas individuais são essenciais para uma avaliação completa e tratamento adequado.</v>
      </c>
      <c r="E214" s="5" t="str">
        <f>IFERROR(__xludf.DUMMYFUNCTION("""COMPUTED_VALUE"""),"tdah,saúdemental,atenção,foconofoco,hiperatividade,transtornodeatenção")</f>
        <v>tdah,saúdemental,atenção,foconofoco,hiperatividade,transtornodeatenção</v>
      </c>
      <c r="G214" s="6">
        <f>IFERROR(__xludf.DUMMYFUNCTION("IF(
  TRIM(E214)="""",
  0,
  COUNTA(
    SPLIT(
      REGEXREPLACE(E214,""\s*,\s*"","",""),
      "",""
    )
  )
)"),6.0)</f>
        <v>6</v>
      </c>
    </row>
    <row r="215">
      <c r="A215" s="5" t="str">
        <f>IFERROR(__xludf.DUMMYFUNCTION("""COMPUTED_VALUE"""),"7412790904672636166")</f>
        <v>7412790904672636166</v>
      </c>
      <c r="B215" s="5" t="str">
        <f>IFERROR(__xludf.DUMMYFUNCTION("""COMPUTED_VALUE"""),"dicas_descontos")</f>
        <v>dicas_descontos</v>
      </c>
      <c r="C215" s="5" t="str">
        <f>IFERROR(__xludf.DUMMYFUNCTION("""COMPUTED_VALUE"""),"✅ Dicas &amp; Descontos💲")</f>
        <v>✅ Dicas &amp; Descontos💲</v>
      </c>
      <c r="D215" s="5" t="str">
        <f>IFERROR(__xludf.DUMMYFUNCTION("""COMPUTED_VALUE"""),"TDAH parte 3 ! Recebendo ordens! #tdah #tdahadulto #tdahtiktok #tdahinfantil #hiperatividade #atenção #goviral #psicologoalexandrebinbanco")</f>
        <v>TDAH parte 3 ! Recebendo ordens! #tdah #tdahadulto #tdahtiktok #tdahinfantil #hiperatividade #atenção #goviral #psicologoalexandrebinbanco</v>
      </c>
      <c r="E215" s="5" t="str">
        <f>IFERROR(__xludf.DUMMYFUNCTION("""COMPUTED_VALUE"""),"tdah,tdahadulto,tdahtiktok,tdahinfantil,hiperatividade,atenção,goviral,psicologoalexandrebinbanco")</f>
        <v>tdah,tdahadulto,tdahtiktok,tdahinfantil,hiperatividade,atenção,goviral,psicologoalexandrebinbanco</v>
      </c>
      <c r="G215" s="6">
        <f>IFERROR(__xludf.DUMMYFUNCTION("IF(
  TRIM(E215)="""",
  0,
  COUNTA(
    SPLIT(
      REGEXREPLACE(E215,""\s*,\s*"","",""),
      "",""
    )
  )
)"),8.0)</f>
        <v>8</v>
      </c>
    </row>
    <row r="216">
      <c r="A216" s="5" t="str">
        <f>IFERROR(__xludf.DUMMYFUNCTION("""COMPUTED_VALUE"""),"7322885689375296773")</f>
        <v>7322885689375296773</v>
      </c>
      <c r="B216" s="5" t="str">
        <f>IFERROR(__xludf.DUMMYFUNCTION("""COMPUTED_VALUE"""),"trintadedobemestar")</f>
        <v>trintadedobemestar</v>
      </c>
      <c r="C216" s="5" t="str">
        <f>IFERROR(__xludf.DUMMYFUNCTION("""COMPUTED_VALUE"""),"trindade do bem estár")</f>
        <v>trindade do bem estár</v>
      </c>
      <c r="D216" s="5" t="str">
        <f>IFERROR(__xludf.DUMMYFUNCTION("""COMPUTED_VALUE"""),"Quais sintomas de TDAH em Adulto? #tdahadulto  #sintomastdah  #desatenção  #hiperatividade  #impulsividade  #DificuldadeConcentração  #procrastinação #esquecimento  #inquietude #desorganização  #DificuldadeTomarDecisões  #frustração  #BaixaTolerânciaFrust"&amp;"ração  #distração  #impaciência  #VariaçãoHumor")</f>
        <v>Quais sintomas de TDAH em Adulto? #tdahadulto  #sintomastdah  #desatenção  #hiperatividade  #impulsividade  #DificuldadeConcentração  #procrastinação #esquecimento  #inquietude #desorganização  #DificuldadeTomarDecisões  #frustração  #BaixaTolerânciaFrustração  #distração  #impaciência  #VariaçãoHumor</v>
      </c>
      <c r="E216" s="5" t="str">
        <f>IFERROR(__xludf.DUMMYFUNCTION("""COMPUTED_VALUE"""),"tdahadulto,sintomastdah,desatenção,hiperatividade,impulsividade,dificuldadeconcentração,procrastinação,esquecimento,inquietude,desorganização,dificuldadetomardecisões,frustração,baixatolerânciafrustração,distração,impaciência,variaçãohumor")</f>
        <v>tdahadulto,sintomastdah,desatenção,hiperatividade,impulsividade,dificuldadeconcentração,procrastinação,esquecimento,inquietude,desorganização,dificuldadetomardecisões,frustração,baixatolerânciafrustração,distração,impaciência,variaçãohumor</v>
      </c>
      <c r="G216" s="6">
        <f>IFERROR(__xludf.DUMMYFUNCTION("IF(
  TRIM(E216)="""",
  0,
  COUNTA(
    SPLIT(
      REGEXREPLACE(E216,""\s*,\s*"","",""),
      "",""
    )
  )
)"),16.0)</f>
        <v>16</v>
      </c>
    </row>
    <row r="217">
      <c r="A217" s="5" t="str">
        <f>IFERROR(__xludf.DUMMYFUNCTION("""COMPUTED_VALUE"""),"7547311945926430008")</f>
        <v>7547311945926430008</v>
      </c>
      <c r="B217" s="5" t="str">
        <f>IFERROR(__xludf.DUMMYFUNCTION("""COMPUTED_VALUE"""),"tdahcommaisperformance")</f>
        <v>tdahcommaisperformance</v>
      </c>
      <c r="C217" s="5" t="str">
        <f>IFERROR(__xludf.DUMMYFUNCTION("""COMPUTED_VALUE"""),"TDAH ADULTO")</f>
        <v>TDAH ADULTO</v>
      </c>
      <c r="D217" s="5" t="str">
        <f>IFERROR(__xludf.DUMMYFUNCTION("""COMPUTED_VALUE"""),"Siga o perfil para mais dicas sobre TDAH adulto!  Coloque nos comentários o que faz pela manhã! Palavras-chave: TDAH adulto, Sintomas TDAH, Vida adulta com TDAH, Produtividade TDAH, Foco TDAH, Rotina TDAH, ADHD adulto Hashtags: #tdahadulto #viral #foryou "&amp;"#fyp #CapCut")</f>
        <v>Siga o perfil para mais dicas sobre TDAH adulto!  Coloque nos comentários o que faz pela manhã! Palavras-chave: TDAH adulto, Sintomas TDAH, Vida adulta com TDAH, Produtividade TDAH, Foco TDAH, Rotina TDAH, ADHD adulto Hashtags: #tdahadulto #viral #foryou #fyp #CapCut</v>
      </c>
      <c r="E217" s="5" t="str">
        <f>IFERROR(__xludf.DUMMYFUNCTION("""COMPUTED_VALUE"""),"tdahadulto,viral,foryou,fyp,capcut")</f>
        <v>tdahadulto,viral,foryou,fyp,capcut</v>
      </c>
      <c r="G217" s="6">
        <f>IFERROR(__xludf.DUMMYFUNCTION("IF(
  TRIM(E217)="""",
  0,
  COUNTA(
    SPLIT(
      REGEXREPLACE(E217,""\s*,\s*"","",""),
      "",""
    )
  )
)"),5.0)</f>
        <v>5</v>
      </c>
    </row>
    <row r="218">
      <c r="A218" s="5" t="str">
        <f>IFERROR(__xludf.DUMMYFUNCTION("""COMPUTED_VALUE"""),"7547845189474241798")</f>
        <v>7547845189474241798</v>
      </c>
      <c r="B218" s="5" t="str">
        <f>IFERROR(__xludf.DUMMYFUNCTION("""COMPUTED_VALUE"""),"tdahcommaisperformance")</f>
        <v>tdahcommaisperformance</v>
      </c>
      <c r="C218" s="5" t="str">
        <f>IFERROR(__xludf.DUMMYFUNCTION("""COMPUTED_VALUE"""),"TDAH ADULTO")</f>
        <v>TDAH ADULTO</v>
      </c>
      <c r="D218" s="5" t="str">
        <f>IFERROR(__xludf.DUMMYFUNCTION("""COMPUTED_VALUE"""),"Siga o perfil para mais dicas! Compartilhe com quem precisa dessas dicas! Palavras-chave: TDAH adulto, Sintomas TDAH, Vida adulta com TDAH, Produtividade TDAH, Foco TDAH, Rotina TDAH Hashtags: #tdahadulto #viral #foryou #fyp #CapCut ")</f>
        <v>Siga o perfil para mais dicas! Compartilhe com quem precisa dessas dicas! Palavras-chave: TDAH adulto, Sintomas TDAH, Vida adulta com TDAH, Produtividade TDAH, Foco TDAH, Rotina TDAH Hashtags: #tdahadulto #viral #foryou #fyp #CapCut </v>
      </c>
      <c r="E218" s="5" t="str">
        <f>IFERROR(__xludf.DUMMYFUNCTION("""COMPUTED_VALUE"""),"tdahadulto,viral,foryou,fyp,capcut")</f>
        <v>tdahadulto,viral,foryou,fyp,capcut</v>
      </c>
      <c r="G218" s="6">
        <f>IFERROR(__xludf.DUMMYFUNCTION("IF(
  TRIM(E218)="""",
  0,
  COUNTA(
    SPLIT(
      REGEXREPLACE(E218,""\s*,\s*"","",""),
      "",""
    )
  )
)"),5.0)</f>
        <v>5</v>
      </c>
    </row>
    <row r="219">
      <c r="A219" s="5" t="str">
        <f>IFERROR(__xludf.DUMMYFUNCTION("""COMPUTED_VALUE"""),"7559628020055641400")</f>
        <v>7559628020055641400</v>
      </c>
      <c r="B219" s="5" t="str">
        <f>IFERROR(__xludf.DUMMYFUNCTION("""COMPUTED_VALUE"""),"tatiananolasco_")</f>
        <v>tatiananolasco_</v>
      </c>
      <c r="C219" s="5" t="str">
        <f>IFERROR(__xludf.DUMMYFUNCTION("""COMPUTED_VALUE"""),"Tatiana Nolasco")</f>
        <v>Tatiana Nolasco</v>
      </c>
      <c r="D219" s="5" t="str">
        <f>IFERROR(__xludf.DUMMYFUNCTION("""COMPUTED_VALUE"""),"👨‍🧠 Homem com TDAH O TDAH não é algo que “fica só na infância”. Muitos homens chegam à vida adulta sem diagnóstico e carregam dificuldades que não entendem de onde vêm. 👉 Eles podem se sentir: Ansiosos por não conseguir se organizar Frustrados por esqu"&amp;"ecer compromissos importantes Culpados por não corresponder às expectativas Impulsivos em decisões, relacionamentos ou no trabalho Mas também têm uma mente criativa, energia intensa e capacidade de enxergar soluções fora da caixa. ✨ 💡 Reconhecer o TDAH n"&amp;"o homem adulto não é fraqueza, é libertação. É entender que existe um caminho de autoconhecimento, estratégias e apoio para viver com mais equilíbrio. #TDAH #HomemComTDAH #tdahadultos ")</f>
        <v>👨‍🧠 Homem com TDAH O TDAH não é algo que “fica só na infância”. Muitos homens chegam à vida adulta sem diagnóstico e carregam dificuldades que não entendem de onde vêm. 👉 Eles podem se sentir: Ansiosos por não conseguir se organizar Frustrados por esquecer compromissos importantes Culpados por não corresponder às expectativas Impulsivos em decisões, relacionamentos ou no trabalho Mas também têm uma mente criativa, energia intensa e capacidade de enxergar soluções fora da caixa. ✨ 💡 Reconhecer o TDAH no homem adulto não é fraqueza, é libertação. É entender que existe um caminho de autoconhecimento, estratégias e apoio para viver com mais equilíbrio. #TDAH #HomemComTDAH #tdahadultos </v>
      </c>
      <c r="E219" s="5" t="str">
        <f>IFERROR(__xludf.DUMMYFUNCTION("""COMPUTED_VALUE"""),"tdah,homemcomtdah,tdahadultos")</f>
        <v>tdah,homemcomtdah,tdahadultos</v>
      </c>
      <c r="G219" s="6">
        <f>IFERROR(__xludf.DUMMYFUNCTION("IF(
  TRIM(E219)="""",
  0,
  COUNTA(
    SPLIT(
      REGEXREPLACE(E219,""\s*,\s*"","",""),
      "",""
    )
  )
)"),3.0)</f>
        <v>3</v>
      </c>
    </row>
    <row r="220">
      <c r="A220" s="5" t="str">
        <f>IFERROR(__xludf.DUMMYFUNCTION("""COMPUTED_VALUE"""),"7545639784086113542")</f>
        <v>7545639784086113542</v>
      </c>
      <c r="B220" s="5" t="str">
        <f>IFERROR(__xludf.DUMMYFUNCTION("""COMPUTED_VALUE"""),"tdahcommaisperformance")</f>
        <v>tdahcommaisperformance</v>
      </c>
      <c r="C220" s="5" t="str">
        <f>IFERROR(__xludf.DUMMYFUNCTION("""COMPUTED_VALUE"""),"TDAH ADULTO")</f>
        <v>TDAH ADULTO</v>
      </c>
      <c r="D220" s="5" t="str">
        <f>IFERROR(__xludf.DUMMYFUNCTION("""COMPUTED_VALUE"""),"5 hábitos para transformar seu dia a dia! Palavras-chave: TDAH adulto, Sintomas TDAH, Vida adulta com TDAH, Produtividade TDAH, Foco TDAH, Rotina TDAH, ADHD adult Hashtags: #tdahadulto #foryou #tdah #fyp #viral ")</f>
        <v>5 hábitos para transformar seu dia a dia! Palavras-chave: TDAH adulto, Sintomas TDAH, Vida adulta com TDAH, Produtividade TDAH, Foco TDAH, Rotina TDAH, ADHD adult Hashtags: #tdahadulto #foryou #tdah #fyp #viral </v>
      </c>
      <c r="E220" s="5" t="str">
        <f>IFERROR(__xludf.DUMMYFUNCTION("""COMPUTED_VALUE"""),"tdahadulto,foryou,tdah,fyp,viral")</f>
        <v>tdahadulto,foryou,tdah,fyp,viral</v>
      </c>
      <c r="G220" s="6">
        <f>IFERROR(__xludf.DUMMYFUNCTION("IF(
  TRIM(E220)="""",
  0,
  COUNTA(
    SPLIT(
      REGEXREPLACE(E220,""\s*,\s*"","",""),
      "",""
    )
  )
)"),5.0)</f>
        <v>5</v>
      </c>
    </row>
    <row r="221">
      <c r="A221" s="5" t="str">
        <f>IFERROR(__xludf.DUMMYFUNCTION("""COMPUTED_VALUE"""),"7522876051920325944")</f>
        <v>7522876051920325944</v>
      </c>
      <c r="B221" s="5" t="str">
        <f>IFERROR(__xludf.DUMMYFUNCTION("""COMPUTED_VALUE"""),"tdahcommaisperformance")</f>
        <v>tdahcommaisperformance</v>
      </c>
      <c r="C221" s="5" t="str">
        <f>IFERROR(__xludf.DUMMYFUNCTION("""COMPUTED_VALUE"""),"TDAH ADULTO")</f>
        <v>TDAH ADULTO</v>
      </c>
      <c r="D221" s="5" t="str">
        <f>IFERROR(__xludf.DUMMYFUNCTION("""COMPUTED_VALUE"""),"SIGA E COMPARTILHE COM QUEM PRECISA! Palavras-chave: TDAH adulto, Sintomas TDAH, Vida adulta com TDAH, Produtividade TDAH, Foco TDAH, Dicas TDAH, Organização TDAH, Procrastinação, Procrastinar, Neurodivergente, Hiperfoco, Desatenção, Impulsividade, Memóri"&amp;"a TDAH, Diagnóstico TDAH, Saúde mental, TDAH e ansiedade, TDAH no trabalho, Manejo do TDAH Hashtags: #tdahadulto #tdah #foryoupage #rotina #following #fyp #fypシ゚viral🖤tiktok  #PremierRendiplus ")</f>
        <v>SIGA E COMPARTILHE COM QUEM PRECISA! Palavras-chave: TDAH adulto, Sintomas TDAH, Vida adulta com TDAH, Produtividade TDAH, Foco TDAH, Dicas TDAH, Organização TDAH, Procrastinação, Procrastinar, Neurodivergente, Hiperfoco, Desatenção, Impulsividade, Memória TDAH, Diagnóstico TDAH, Saúde mental, TDAH e ansiedade, TDAH no trabalho, Manejo do TDAH Hashtags: #tdahadulto #tdah #foryoupage #rotina #following #fyp #fypシ゚viral🖤tiktok  #PremierRendiplus </v>
      </c>
      <c r="E221" s="5" t="str">
        <f>IFERROR(__xludf.DUMMYFUNCTION("""COMPUTED_VALUE"""),"tdahadulto,tdah,foryoupage,rotina,following,fyp,fypシ゚viral🖤tiktok,premierrendiplus")</f>
        <v>tdahadulto,tdah,foryoupage,rotina,following,fyp,fypシ゚viral🖤tiktok,premierrendiplus</v>
      </c>
      <c r="G221" s="6">
        <f>IFERROR(__xludf.DUMMYFUNCTION("IF(
  TRIM(E221)="""",
  0,
  COUNTA(
    SPLIT(
      REGEXREPLACE(E221,""\s*,\s*"","",""),
      "",""
    )
  )
)"),8.0)</f>
        <v>8</v>
      </c>
    </row>
    <row r="222">
      <c r="A222" s="5" t="str">
        <f>IFERROR(__xludf.DUMMYFUNCTION("""COMPUTED_VALUE"""),"7531442613426081030")</f>
        <v>7531442613426081030</v>
      </c>
      <c r="B222" s="5" t="str">
        <f>IFERROR(__xludf.DUMMYFUNCTION("""COMPUTED_VALUE"""),"tdahcommaisperformance")</f>
        <v>tdahcommaisperformance</v>
      </c>
      <c r="C222" s="5" t="str">
        <f>IFERROR(__xludf.DUMMYFUNCTION("""COMPUTED_VALUE"""),"TDAH ADULTO")</f>
        <v>TDAH ADULTO</v>
      </c>
      <c r="D222" s="5" t="str">
        <f>IFERROR(__xludf.DUMMYFUNCTION("""COMPUTED_VALUE"""),"SIGA E COMPARTILHE COM QUEM PRECISA! Palavras-chave: TDAH adulto, Sintomas TDAH, Vida adulta com TDAH, Produtividade TDAH, Foco TDAH, Dicas TDAH, Organização TDAH, Procrastinação, Procrastinar, Neurodivergente, Hiperfoco, Desatenção, Impulsividade, Memóri"&amp;"a TDAH, Diagnóstico TDAH, Saúde mental, TDAH e ansiedade, TDAH no trabalho, Manejo do TDAH Hashtags: #tdahadulto #tdah #foryoupage #rotina #following #fyp #fypシ #fypシ゚viral #trending #viral #tiktok ")</f>
        <v>SIGA E COMPARTILHE COM QUEM PRECISA! Palavras-chave: TDAH adulto, Sintomas TDAH, Vida adulta com TDAH, Produtividade TDAH, Foco TDAH, Dicas TDAH, Organização TDAH, Procrastinação, Procrastinar, Neurodivergente, Hiperfoco, Desatenção, Impulsividade, Memória TDAH, Diagnóstico TDAH, Saúde mental, TDAH e ansiedade, TDAH no trabalho, Manejo do TDAH Hashtags: #tdahadulto #tdah #foryoupage #rotina #following #fyp #fypシ #fypシ゚viral #trending #viral #tiktok </v>
      </c>
      <c r="E222" s="5" t="str">
        <f>IFERROR(__xludf.DUMMYFUNCTION("""COMPUTED_VALUE"""),"tdahadulto,tdah,foryoupage,rotina,following,fyp,fypシ,fypシ゚viral,trending,viral,tiktok")</f>
        <v>tdahadulto,tdah,foryoupage,rotina,following,fyp,fypシ,fypシ゚viral,trending,viral,tiktok</v>
      </c>
      <c r="G222" s="6">
        <f>IFERROR(__xludf.DUMMYFUNCTION("IF(
  TRIM(E222)="""",
  0,
  COUNTA(
    SPLIT(
      REGEXREPLACE(E222,""\s*,\s*"","",""),
      "",""
    )
  )
)"),11.0)</f>
        <v>11</v>
      </c>
    </row>
  </sheetData>
  <autoFilter ref="$A$1:$G$222">
    <sortState ref="A1:G222">
      <sortCondition ref="G1:G222"/>
    </sortState>
  </autoFilter>
  <hyperlinks>
    <hyperlink r:id="rId1" ref="B163"/>
    <hyperlink r:id="rId2" ref="B213"/>
  </hyperlinks>
  <drawing r:id="rId3"/>
</worksheet>
</file>